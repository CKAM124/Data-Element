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mc:AlternateContent xmlns:mc="http://schemas.openxmlformats.org/markup-compatibility/2006">
    <mc:Choice Requires="x15">
      <x15ac:absPath xmlns:x15ac="http://schemas.microsoft.com/office/spreadsheetml/2010/11/ac" url="https://iatig-my.sharepoint.com/personal/biswajit_pati_iatinsurance_com/Documents/Desktop/"/>
    </mc:Choice>
  </mc:AlternateContent>
  <xr:revisionPtr revIDLastSave="1492" documentId="8_{5AD32A04-DEEF-4053-A0F4-D0490AA2B063}" xr6:coauthVersionLast="47" xr6:coauthVersionMax="47" xr10:uidLastSave="{E669798A-BADD-423E-8D3E-312C173CF941}"/>
  <bookViews>
    <workbookView xWindow="-120" yWindow="-120" windowWidth="29040" windowHeight="15720" firstSheet="1" activeTab="9" xr2:uid="{00000000-000D-0000-FFFF-FFFF00000000}"/>
  </bookViews>
  <sheets>
    <sheet name="Journal" sheetId="37" state="hidden" r:id="rId1"/>
    <sheet name="Data-UW" sheetId="4" r:id="rId2"/>
    <sheet name="Aircraft" sheetId="20" state="hidden" r:id="rId3"/>
    <sheet name="Aircraft Table" sheetId="40" state="hidden" r:id="rId4"/>
    <sheet name="Rating" sheetId="21" state="hidden" r:id="rId5"/>
    <sheet name="Worksheet_Com" sheetId="22" state="hidden" r:id="rId6"/>
    <sheet name="WorksheetAC_old_keep" sheetId="3" state="hidden" r:id="rId7"/>
    <sheet name="Aircraft Base Rate Calculation" sheetId="47" state="hidden" r:id="rId8"/>
    <sheet name="Daily Rates" sheetId="43" state="hidden" r:id="rId9"/>
    <sheet name="Reporter Hull Rates" sheetId="48" r:id="rId10"/>
    <sheet name="Aircraft Rates" sheetId="6" state="hidden" r:id="rId11"/>
    <sheet name="Reporter Liability Rates" sheetId="49" r:id="rId12"/>
    <sheet name="Additional Cov." sheetId="11" r:id="rId13"/>
    <sheet name="Platinum Coverages" sheetId="51" state="hidden" r:id="rId14"/>
    <sheet name="Platinum Endt-Ancillary" sheetId="53" state="hidden" r:id="rId15"/>
    <sheet name="Turbine Owner BroadForm" sheetId="41" state="hidden" r:id="rId16"/>
    <sheet name="OPC" sheetId="23" r:id="rId17"/>
    <sheet name="Com Quote" sheetId="19" state="hidden" r:id="rId18"/>
    <sheet name="Reporter Quote" sheetId="45" r:id="rId19"/>
    <sheet name="Turbine Owner-Com" sheetId="36" state="hidden" r:id="rId20"/>
    <sheet name="Plat Premium Summary" sheetId="52" state="hidden" r:id="rId21"/>
    <sheet name="Platinum Quote" sheetId="50" state="hidden" r:id="rId22"/>
    <sheet name="QS Quote" sheetId="46" state="hidden" r:id="rId23"/>
    <sheet name="GL NI Information" sheetId="26" state="hidden" r:id="rId24"/>
    <sheet name="GL Coverage Screen" sheetId="27" state="hidden" r:id="rId25"/>
    <sheet name="Answer Sheet_GL" sheetId="28" state="hidden" r:id="rId26"/>
    <sheet name="GL_Calculation Sheet" sheetId="30" state="hidden" r:id="rId27"/>
    <sheet name="GL DebitCredit" sheetId="29" state="hidden" r:id="rId28"/>
    <sheet name="GL_Rates" sheetId="31" state="hidden" r:id="rId29"/>
    <sheet name="GL Additional Coverages" sheetId="32" state="hidden" r:id="rId30"/>
    <sheet name="GL Quote Sheet" sheetId="33" state="hidden" r:id="rId31"/>
    <sheet name="Issuance AC Schedule" sheetId="35" state="hidden" r:id="rId32"/>
    <sheet name="Additional Data Mappings" sheetId="42" state="hidden" r:id="rId33"/>
    <sheet name="MGR Adjustment" sheetId="7" state="hidden" r:id="rId34"/>
    <sheet name="Rater Change Log" sheetId="39" state="hidden" r:id="rId35"/>
  </sheets>
  <definedNames>
    <definedName name="_xlnm._FilterDatabase" localSheetId="3" hidden="1">'Aircraft Table'!$A$1:$AE$715</definedName>
    <definedName name="_Reg1">#REF!</definedName>
    <definedName name="_Reg10">#REF!</definedName>
    <definedName name="_Reg2">#REF!</definedName>
    <definedName name="_Reg3">#REF!</definedName>
    <definedName name="_Reg4">#REF!</definedName>
    <definedName name="_Reg5">#REF!</definedName>
    <definedName name="_Reg6">#REF!</definedName>
    <definedName name="_Reg7">#REF!</definedName>
    <definedName name="_Reg8">#REF!</definedName>
    <definedName name="_Reg9">#REF!</definedName>
    <definedName name="_Use1">#REF!</definedName>
    <definedName name="_Use10">#REF!</definedName>
    <definedName name="_Use2">#REF!</definedName>
    <definedName name="_Use3">#REF!</definedName>
    <definedName name="_Use4">#REF!</definedName>
    <definedName name="_Use5">#REF!</definedName>
    <definedName name="_Use6">#REF!</definedName>
    <definedName name="_Use7">#REF!</definedName>
    <definedName name="_Use8">#REF!</definedName>
    <definedName name="_Use9">#REF!</definedName>
    <definedName name="_xleta.OR" hidden="1" xlm="1">#NAME?</definedName>
    <definedName name="ACAgingMod">'MGR Adjustment'!$U$24:$Z$29</definedName>
    <definedName name="ACCATCHART" localSheetId="9">'MGR Adjustment'!$D$45:$D$47</definedName>
    <definedName name="ACCATCHART" localSheetId="11">'MGR Adjustment'!$D$45:$D$47</definedName>
    <definedName name="ACCATCHART">'MGR Adjustment'!$D$45:$D$47</definedName>
    <definedName name="ACcrew1">#REF!</definedName>
    <definedName name="ACcrew10">#REF!</definedName>
    <definedName name="ACcrew2">#REF!</definedName>
    <definedName name="ACcrew3">#REF!</definedName>
    <definedName name="ACcrew4">#REF!</definedName>
    <definedName name="ACcrew5">#REF!</definedName>
    <definedName name="ACcrew6">#REF!</definedName>
    <definedName name="ACcrew7">#REF!</definedName>
    <definedName name="ACcrew8">#REF!</definedName>
    <definedName name="ACcrew9">#REF!</definedName>
    <definedName name="ACGearType" localSheetId="9">'MGR Adjustment'!$H$34:$H$41</definedName>
    <definedName name="ACGearType" localSheetId="11">'MGR Adjustment'!$H$34:$H$41</definedName>
    <definedName name="ACGearType">'MGR Adjustment'!$H$34:$H$41</definedName>
    <definedName name="AChull1">#REF!</definedName>
    <definedName name="AChull10">#REF!</definedName>
    <definedName name="AChull2">#REF!</definedName>
    <definedName name="AChull3">#REF!</definedName>
    <definedName name="AChull4">#REF!</definedName>
    <definedName name="AChull5">#REF!</definedName>
    <definedName name="Achull6">#REF!</definedName>
    <definedName name="AChull7">#REF!</definedName>
    <definedName name="AChull8">#REF!</definedName>
    <definedName name="AChull9">#REF!</definedName>
    <definedName name="ACliability1">#REF!</definedName>
    <definedName name="ACliability10">#REF!</definedName>
    <definedName name="ACliability2">#REF!</definedName>
    <definedName name="ACliability3">#REF!</definedName>
    <definedName name="ACliability4">#REF!</definedName>
    <definedName name="ACliability5">#REF!</definedName>
    <definedName name="ACliability6">#REF!</definedName>
    <definedName name="ACliability7">#REF!</definedName>
    <definedName name="ACliability8">#REF!</definedName>
    <definedName name="ACliability9">#REF!</definedName>
    <definedName name="ACpax1">#REF!</definedName>
    <definedName name="ACpax10">#REF!</definedName>
    <definedName name="ACpax2">#REF!</definedName>
    <definedName name="ACpax3">#REF!</definedName>
    <definedName name="ACpax4">#REF!</definedName>
    <definedName name="ACpax5">#REF!</definedName>
    <definedName name="ACpax6">#REF!</definedName>
    <definedName name="ACpax7">#REF!</definedName>
    <definedName name="ACpax8">#REF!</definedName>
    <definedName name="ACpax9">#REF!</definedName>
    <definedName name="ACSelect" localSheetId="9">'Aircraft Table'!$B$2:$B$716</definedName>
    <definedName name="ACSelect" localSheetId="11">'Aircraft Table'!$B$2:$B$716</definedName>
    <definedName name="ACSelect">'Aircraft Table'!$B$2:$B$716</definedName>
    <definedName name="AE">#REF!</definedName>
    <definedName name="AerialImaging">Worksheet_Com!$AI$19:$AK$20</definedName>
    <definedName name="Agency">#REF!</definedName>
    <definedName name="Aircraftlist" localSheetId="9">'Aircraft Table'!$A$2:$AC$714</definedName>
    <definedName name="Aircraftlist" localSheetId="11">'Aircraft Table'!$A$2:$AC$714</definedName>
    <definedName name="Aircraftlist">'Aircraft Table'!$A$2:$AC$714</definedName>
    <definedName name="AW">WorksheetAC_old_keep!$I$1:$I$6</definedName>
    <definedName name="AWCertChart" localSheetId="9">'MGR Adjustment'!$M$24:$S$30</definedName>
    <definedName name="AWCertChart" localSheetId="11">'MGR Adjustment'!$M$24:$S$30</definedName>
    <definedName name="AWCertChart">'MGR Adjustment'!$M$24:$S$30</definedName>
    <definedName name="AWTYPE">WorksheetAC_old_keep!$I$1:$I$7</definedName>
    <definedName name="AWtypes" localSheetId="9">'MGR Adjustment'!$N$24:$N$30</definedName>
    <definedName name="AWtypes" localSheetId="11">'MGR Adjustment'!$N$24:$N$30</definedName>
    <definedName name="AWtypes">'MGR Adjustment'!$N$24:$N$30</definedName>
    <definedName name="Charter">Worksheet_Com!$AI$31:$AK$32</definedName>
    <definedName name="City">#REF!</definedName>
    <definedName name="ComLimits" localSheetId="9">'Aircraft Rates'!$Y$4:$Y$46</definedName>
    <definedName name="ComLimits" localSheetId="11">'Aircraft Rates'!$Y$4:$Y$46</definedName>
    <definedName name="ComLimits">'Aircraft Rates'!$Y$4:$Y$46</definedName>
    <definedName name="COMME_P">'Aircraft Rates'!$E$117:$F$140</definedName>
    <definedName name="Commission">#REF!</definedName>
    <definedName name="ComPistonFWLiabRates">'Aircraft Rates'!$AR$50:$BC$67</definedName>
    <definedName name="ComPistonMELFWLIABRATES">'Aircraft Rates'!$AQ$70:$BB$87</definedName>
    <definedName name="COMSE_P">'Aircraft Rates'!$B$117:$C$140</definedName>
    <definedName name="Covterritory">#REF!</definedName>
    <definedName name="DedNim1">#REF!</definedName>
    <definedName name="DedNim10">#REF!</definedName>
    <definedName name="DedNim2">#REF!</definedName>
    <definedName name="DedNim3">#REF!</definedName>
    <definedName name="DedNim4">#REF!</definedName>
    <definedName name="DedNim5">#REF!</definedName>
    <definedName name="DedNim6">#REF!</definedName>
    <definedName name="DedNim7">#REF!</definedName>
    <definedName name="DedNim8">#REF!</definedName>
    <definedName name="DedNim9">#REF!</definedName>
    <definedName name="Deducts">Aircraft!$AW$17:$AW$23</definedName>
    <definedName name="Dual">Worksheet_Com!$AI$13:$AK$14</definedName>
    <definedName name="EffectiveDate">#REF!</definedName>
    <definedName name="Expirationdate">#REF!</definedName>
    <definedName name="GearBasic" localSheetId="9">WorksheetAC_old_keep!$F$2:$F$9</definedName>
    <definedName name="GearBasic" localSheetId="11">WorksheetAC_old_keep!$F$2:$F$9</definedName>
    <definedName name="GearBasic">WorksheetAC_old_keep!$F$2:$F$9</definedName>
    <definedName name="GearEasyRead" localSheetId="9">WorksheetAC_old_keep!$G$2:$H$9</definedName>
    <definedName name="GearEasyRead" localSheetId="11">WorksheetAC_old_keep!$G$2:$H$9</definedName>
    <definedName name="GearEasyRead">WorksheetAC_old_keep!$G$2:$H$9</definedName>
    <definedName name="Hullvalues">Aircraft!$P$4:$P$83</definedName>
    <definedName name="IAOwner_TP">Worksheet_Com!$AI$36:$AK$37</definedName>
    <definedName name="InstructionRental">Worksheet_Com!$AI$7:$AK$8</definedName>
    <definedName name="Insured">#REF!</definedName>
    <definedName name="KYAIRPORT" localSheetId="9">Worksheet_Com!$BD$5:$BD$269</definedName>
    <definedName name="KYAIRPORT" localSheetId="11">Worksheet_Com!$BD$5:$BD$269</definedName>
    <definedName name="KYAIRPORT">Worksheet_Com!$BD$5:$BD$269</definedName>
    <definedName name="KYCOuntyCity" localSheetId="9">Worksheet_Com!$BC$5:$BF$269</definedName>
    <definedName name="KYCOuntyCity" localSheetId="11">Worksheet_Com!$BC$5:$BF$269</definedName>
    <definedName name="KYCOuntyCity">Worksheet_Com!$BC$5:$BF$269</definedName>
    <definedName name="KYMUNITAXTABLE" localSheetId="9">Worksheet_Com!$BK$5:$BM$408</definedName>
    <definedName name="KYMUNITAXTABLE" localSheetId="11">Worksheet_Com!$BK$5:$BM$408</definedName>
    <definedName name="KYMUNITAXTABLE">Worksheet_Com!$BK$5:$BM$408</definedName>
    <definedName name="KYTAXLOC" localSheetId="9">Worksheet_Com!$BL$5:$BL$408</definedName>
    <definedName name="KYTAXLOC" localSheetId="11">Worksheet_Com!$BL$5:$BL$408</definedName>
    <definedName name="KYTAXLOC">Worksheet_Com!$BL$5:$BL$408</definedName>
    <definedName name="LiabilityValues">Aircraft!$AU$4:$AU$83</definedName>
    <definedName name="LiabLimitsOptions" localSheetId="9">'Aircraft Rates'!$Y$3:$Y$46</definedName>
    <definedName name="LiabLimitsOptions" localSheetId="11">'Aircraft Rates'!$Y$3:$Y$46</definedName>
    <definedName name="LiabLimitsOptions">'Aircraft Rates'!$Y$3:$Y$46</definedName>
    <definedName name="LiabtotalPrem">Worksheet_Com!$P$86</definedName>
    <definedName name="LimitsGLMatch" localSheetId="9">GL_Rates!$B$83:$B$100</definedName>
    <definedName name="LimitsGLMatch" localSheetId="11">GL_Rates!$B$83:$B$100</definedName>
    <definedName name="LimitsGLMatch">GL_Rates!$B$83:$B$100</definedName>
    <definedName name="LimitsIncreaseFactorGL" localSheetId="9">GL_Rates!$A$82:$D$99</definedName>
    <definedName name="LimitsIncreaseFactorGL" localSheetId="11">GL_Rates!$A$82:$D$99</definedName>
    <definedName name="LimitsIncreaseFactorGL">GL_Rates!$A$82:$D$99</definedName>
    <definedName name="Make1">#REF!</definedName>
    <definedName name="Make10">#REF!</definedName>
    <definedName name="Make2">#REF!</definedName>
    <definedName name="Make3">#REF!</definedName>
    <definedName name="Make4">#REF!</definedName>
    <definedName name="Make5">#REF!</definedName>
    <definedName name="Make6">#REF!</definedName>
    <definedName name="Make7">#REF!</definedName>
    <definedName name="Make8">#REF!</definedName>
    <definedName name="Make9">#REF!</definedName>
    <definedName name="ME_P" localSheetId="9">'Aircraft Rates'!$E$4:$F$111</definedName>
    <definedName name="ME_P" localSheetId="11">'Aircraft Rates'!$E$4:$F$111</definedName>
    <definedName name="ME_P">'Aircraft Rates'!$E$4:$F$111</definedName>
    <definedName name="ME_PCATMOD">'MGR Adjustment'!$M$45:$V$47</definedName>
    <definedName name="ME_PGEARMOD">'MGR Adjustment'!$N$34:$T$41</definedName>
    <definedName name="MedLimits" localSheetId="9">WorksheetAC_old_keep!$C$2:$C$5</definedName>
    <definedName name="MedLimits" localSheetId="11">WorksheetAC_old_keep!$C$2:$C$5</definedName>
    <definedName name="MedLimits">WorksheetAC_old_keep!$C$2:$C$5</definedName>
    <definedName name="MedRate" localSheetId="9">'Aircraft Rates'!$X$84:$Z$87</definedName>
    <definedName name="MedRate" localSheetId="11">'Aircraft Rates'!$X$84:$Z$87</definedName>
    <definedName name="MedRate">'Aircraft Rates'!$X$84:$Z$87</definedName>
    <definedName name="MELPistonLiabLoc">'Aircraft Rates'!$AQ$3:$BH$46</definedName>
    <definedName name="METP" localSheetId="9">'Aircraft Rates'!$M$4:$N$201</definedName>
    <definedName name="METP" localSheetId="11">'Aircraft Rates'!$M$4:$N$201</definedName>
    <definedName name="METP">'Aircraft Rates'!$M$4:$N$201</definedName>
    <definedName name="METPCATMOD">'MGR Adjustment'!$AG$45:$AP$47</definedName>
    <definedName name="METPGEARMOD">'MGR Adjustment'!$AB$34:$AH$41</definedName>
    <definedName name="Model1">#REF!</definedName>
    <definedName name="Model10">#REF!</definedName>
    <definedName name="Model2">#REF!</definedName>
    <definedName name="Model3">#REF!</definedName>
    <definedName name="Model4">#REF!</definedName>
    <definedName name="Model5">#REF!</definedName>
    <definedName name="Model6">#REF!</definedName>
    <definedName name="Model7">#REF!</definedName>
    <definedName name="Model8">#REF!</definedName>
    <definedName name="Model9">#REF!</definedName>
    <definedName name="Option">#REF!</definedName>
    <definedName name="Pilot1" localSheetId="9">Table2[#All]</definedName>
    <definedName name="Pilot1" localSheetId="11">Table2[#All]</definedName>
    <definedName name="Pilot1">Table2[#All]</definedName>
    <definedName name="Pilot2" localSheetId="9">Table27[#All]</definedName>
    <definedName name="Pilot2" localSheetId="11">Table27[#All]</definedName>
    <definedName name="Pilot2">Table27[#All]</definedName>
    <definedName name="Pilot3" localSheetId="9">Table278[#All]</definedName>
    <definedName name="Pilot3" localSheetId="11">Table278[#All]</definedName>
    <definedName name="Pilot3">Table278[#All]</definedName>
    <definedName name="Pilot4" localSheetId="9">Table27810[]</definedName>
    <definedName name="Pilot4" localSheetId="11">Table27810[]</definedName>
    <definedName name="Pilot4">Table27810[]</definedName>
    <definedName name="PilotAgeMod">'MGR Adjustment'!$AA$5:$AB$14</definedName>
    <definedName name="PilotMMHours">'MGR Adjustment'!$T$7:$Y$11</definedName>
    <definedName name="PilotTTHours">'MGR Adjustment'!$N$7:$S$17</definedName>
    <definedName name="PistonFWLiabRate" localSheetId="9">'Aircraft Rates'!$X$3:$AO$46</definedName>
    <definedName name="PistonFWLiabRate" localSheetId="11">'Aircraft Rates'!$X$3:$AO$46</definedName>
    <definedName name="PistonFWLiabRate">'Aircraft Rates'!$X$3:$AO$46</definedName>
    <definedName name="PistonLiabLocMatch" localSheetId="9">'Aircraft Rates'!$Y$4:$Y$46</definedName>
    <definedName name="PistonLiabLocMatch" localSheetId="11">'Aircraft Rates'!$Y$4:$Y$46</definedName>
    <definedName name="PistonLiabLocMatch">'Aircraft Rates'!$Y$4:$Y$46</definedName>
    <definedName name="PistonMELFWLiabRates" localSheetId="9">'Aircraft Rates'!$AQ$3:$BH$46</definedName>
    <definedName name="PistonMELFWLiabRates" localSheetId="11">'Aircraft Rates'!$AQ$3:$BH$46</definedName>
    <definedName name="PistonMELFWLiabRates">'Aircraft Rates'!$AQ$3:$BH$46</definedName>
    <definedName name="PistonRWLiabRate" localSheetId="9">'Aircraft Rates'!$X$49:$AI$69</definedName>
    <definedName name="PistonRWLiabRate" localSheetId="11">'Aircraft Rates'!$X$49:$AI$69</definedName>
    <definedName name="PistonRWLiabRate">'Aircraft Rates'!$X$49:$AI$69</definedName>
    <definedName name="_xlnm.Print_Area" localSheetId="17">'Com Quote'!$A$1:$Q$120</definedName>
    <definedName name="_xlnm.Print_Area" localSheetId="29">'GL Additional Coverages'!$A$1:$J$44</definedName>
    <definedName name="_xlnm.Print_Area" localSheetId="24">'GL Coverage Screen'!$A$1:$K$87</definedName>
    <definedName name="_xlnm.Print_Area" localSheetId="27">'GL DebitCredit'!$A$1:$K$104</definedName>
    <definedName name="_xlnm.Print_Area" localSheetId="23">'GL NI Information'!$A$1:$K$27</definedName>
    <definedName name="_xlnm.Print_Area" localSheetId="30">'GL Quote Sheet'!$A$1:$I$150</definedName>
    <definedName name="_xlnm.Print_Area" localSheetId="20">'Plat Premium Summary'!$A$1:$O$51</definedName>
    <definedName name="_xlnm.Print_Area" localSheetId="18">'Reporter Quote'!$A$1:$Q$78</definedName>
    <definedName name="Product">#REF!</definedName>
    <definedName name="QSstate">'Platinum Endt-Ancillary'!$R$3:$R$7</definedName>
    <definedName name="QSTateform">'Platinum Endt-Ancillary'!$Q$3:$R$8</definedName>
    <definedName name="Quotedate">#REF!</definedName>
    <definedName name="QuoteTailNum" localSheetId="22">Table1[N'#]</definedName>
    <definedName name="QuoteTailNum" localSheetId="9">Table1[N'#]</definedName>
    <definedName name="QuoteTailNum" localSheetId="11">Table1[N'#]</definedName>
    <definedName name="QuoteTailNum" localSheetId="18">#REF!</definedName>
    <definedName name="QuoteTailNum">Table1[N'#]</definedName>
    <definedName name="QuoteTailNumber" localSheetId="22">Table1[N'#]</definedName>
    <definedName name="QuoteTailNumber" localSheetId="9">Table1[N'#]</definedName>
    <definedName name="QuoteTailNumber" localSheetId="11">Table1[N'#]</definedName>
    <definedName name="QuoteTailNumber" localSheetId="18">#REF!</definedName>
    <definedName name="QuoteTailNumber">Table1[N'#]</definedName>
    <definedName name="RateTableRef" localSheetId="9">WorksheetAC_old_keep!$M$2:$N$10</definedName>
    <definedName name="RateTableRef" localSheetId="11">WorksheetAC_old_keep!$M$2:$N$10</definedName>
    <definedName name="RateTableRef">WorksheetAC_old_keep!$M$2:$N$10</definedName>
    <definedName name="RevenuGLSizeFactor" localSheetId="9">GL_Rates!$G$80:$I$87</definedName>
    <definedName name="RevenuGLSizeFactor" localSheetId="11">GL_Rates!$G$80:$I$87</definedName>
    <definedName name="RevenuGLSizeFactor">GL_Rates!$G$80:$I$87</definedName>
    <definedName name="Riskstate">#REF!</definedName>
    <definedName name="RW_P" localSheetId="9">'Aircraft Rates'!$Q$4:$R$99</definedName>
    <definedName name="RW_P" localSheetId="11">'Aircraft Rates'!$Q$4:$R$99</definedName>
    <definedName name="RW_P">'Aircraft Rates'!$Q$4:$R$99</definedName>
    <definedName name="RW_PCATMOD">'MGR Adjustment'!$M$51:$V$53</definedName>
    <definedName name="RW_T" localSheetId="9">'Aircraft Rates'!$U$4:$V$126</definedName>
    <definedName name="RW_T" localSheetId="11">'Aircraft Rates'!$U$4:$V$126</definedName>
    <definedName name="RW_T">'Aircraft Rates'!$U$4:$V$126</definedName>
    <definedName name="RW_TCATMOD">'MGR Adjustment'!$W$51:$AF$53</definedName>
    <definedName name="SchoolWording" localSheetId="9">OPC!$BH$78:$BJ$79</definedName>
    <definedName name="SchoolWording" localSheetId="11">OPC!$BH$78:$BJ$79</definedName>
    <definedName name="SchoolWording">OPC!$BG$78:$BI$79</definedName>
    <definedName name="SE_p" localSheetId="9">'Aircraft Rates'!$B$4:$C$77</definedName>
    <definedName name="SE_p" localSheetId="11">'Aircraft Rates'!$B$4:$C$77</definedName>
    <definedName name="SE_p">'Aircraft Rates'!$B$4:$C$77</definedName>
    <definedName name="SE_PCatMod">'MGR Adjustment'!$C$45:$L$47</definedName>
    <definedName name="SE_PGEARMod" localSheetId="9">'MGR Adjustment'!$G$34:$M$41</definedName>
    <definedName name="SE_PGEARMod" localSheetId="11">'MGR Adjustment'!$G$34:$M$41</definedName>
    <definedName name="SE_PGEARMod">'MGR Adjustment'!$G$34:$M$41</definedName>
    <definedName name="SETP" localSheetId="9">'Aircraft Rates'!$I$4:$J$154</definedName>
    <definedName name="SETP" localSheetId="11">'Aircraft Rates'!$I$4:$J$154</definedName>
    <definedName name="SETP">'Aircraft Rates'!$I$4:$J$154</definedName>
    <definedName name="SETPCATMOD">'MGR Adjustment'!$W$45:$AF$47</definedName>
    <definedName name="SETPGEARMOD">'MGR Adjustment'!$U$34:$AA$41</definedName>
    <definedName name="Sightseeing">Worksheet_Com!$AI$25:$AK$26</definedName>
    <definedName name="States" localSheetId="9">WorksheetAC_old_keep!$A$11:$A$62</definedName>
    <definedName name="States" localSheetId="11">WorksheetAC_old_keep!$A$11:$A$62</definedName>
    <definedName name="States">WorksheetAC_old_keep!$A$11:$A$62</definedName>
    <definedName name="Street1">#REF!</definedName>
    <definedName name="Street2">#REF!</definedName>
    <definedName name="SurchargeRate">#REF!</definedName>
    <definedName name="TAXLESSKY" localSheetId="9">Worksheet_Com!$AN$6:$AO$7</definedName>
    <definedName name="TAXLESSKY" localSheetId="11">Worksheet_Com!$AN$6:$AO$7</definedName>
    <definedName name="TAXLESSKY">Worksheet_Com!$AN$6:$AO$7</definedName>
    <definedName name="Uses" localSheetId="9">Worksheet_Com!$AF$6:$AF$12</definedName>
    <definedName name="Uses" localSheetId="11">Worksheet_Com!$AF$6:$AF$12</definedName>
    <definedName name="Uses">Worksheet_Com!$AF$6:$AF$12</definedName>
    <definedName name="Year1">#REF!</definedName>
    <definedName name="Year10">#REF!</definedName>
    <definedName name="Year2">#REF!</definedName>
    <definedName name="Year3">#REF!</definedName>
    <definedName name="Year4">#REF!</definedName>
    <definedName name="Year5">#REF!</definedName>
    <definedName name="Year6">#REF!</definedName>
    <definedName name="Year7">#REF!</definedName>
    <definedName name="Year8">#REF!</definedName>
    <definedName name="Year9">#REF!</definedName>
    <definedName name="YNRSP">WorksheetAC_old_keep!$A$2:$A$3</definedName>
    <definedName name="Zipcod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2" i="51" l="1"/>
  <c r="Y84" i="20"/>
  <c r="N60" i="51" s="1"/>
  <c r="G24" i="36"/>
  <c r="F24" i="36"/>
  <c r="G23" i="36"/>
  <c r="F23" i="36"/>
  <c r="G21" i="36"/>
  <c r="F21" i="36"/>
  <c r="H21" i="36" l="1"/>
  <c r="I63" i="53"/>
  <c r="I61" i="53"/>
  <c r="I60" i="53"/>
  <c r="I59" i="53"/>
  <c r="I58" i="53"/>
  <c r="I57" i="53"/>
  <c r="I56" i="53"/>
  <c r="I55" i="53"/>
  <c r="I54" i="53"/>
  <c r="I53" i="53"/>
  <c r="I51" i="53"/>
  <c r="I50" i="53"/>
  <c r="I49" i="53"/>
  <c r="I48" i="53"/>
  <c r="I47" i="53"/>
  <c r="I46" i="53"/>
  <c r="I45" i="53"/>
  <c r="I44" i="53"/>
  <c r="I43" i="53"/>
  <c r="I42" i="53"/>
  <c r="I41" i="53"/>
  <c r="I40" i="53"/>
  <c r="I39" i="53"/>
  <c r="I37" i="53"/>
  <c r="I36" i="53"/>
  <c r="I35" i="53"/>
  <c r="I34" i="53"/>
  <c r="I32" i="53"/>
  <c r="I31" i="53"/>
  <c r="I30" i="53"/>
  <c r="I29" i="53"/>
  <c r="I28" i="53"/>
  <c r="I27" i="53"/>
  <c r="I26" i="53"/>
  <c r="I25" i="53"/>
  <c r="I23" i="53"/>
  <c r="I22" i="53"/>
  <c r="I21" i="53"/>
  <c r="I20" i="53"/>
  <c r="I19" i="53"/>
  <c r="I18" i="53"/>
  <c r="I17" i="53"/>
  <c r="I16" i="53"/>
  <c r="I15" i="53"/>
  <c r="I14" i="53"/>
  <c r="I12" i="53"/>
  <c r="I10" i="53"/>
  <c r="I9" i="53"/>
  <c r="I8" i="53"/>
  <c r="I7" i="53"/>
  <c r="I6" i="53"/>
  <c r="H63" i="53"/>
  <c r="H61" i="53"/>
  <c r="H60" i="53"/>
  <c r="H59" i="53"/>
  <c r="H58" i="53"/>
  <c r="H57" i="53"/>
  <c r="H56" i="53"/>
  <c r="H55" i="53"/>
  <c r="H54" i="53"/>
  <c r="H53" i="53"/>
  <c r="H51" i="53"/>
  <c r="H50" i="53"/>
  <c r="H49" i="53"/>
  <c r="H48" i="53"/>
  <c r="H47" i="53"/>
  <c r="H46" i="53"/>
  <c r="H45" i="53"/>
  <c r="H44" i="53"/>
  <c r="H43" i="53"/>
  <c r="H42" i="53"/>
  <c r="H41" i="53"/>
  <c r="H40" i="53"/>
  <c r="H39" i="53"/>
  <c r="H37" i="53"/>
  <c r="H36" i="53"/>
  <c r="H35" i="53"/>
  <c r="H34" i="53"/>
  <c r="H32" i="53"/>
  <c r="H31" i="53"/>
  <c r="H30" i="53"/>
  <c r="H29" i="53"/>
  <c r="H28" i="53"/>
  <c r="H27" i="53"/>
  <c r="H26" i="53"/>
  <c r="H25" i="53"/>
  <c r="H23" i="53"/>
  <c r="H22" i="53"/>
  <c r="H21" i="53"/>
  <c r="H20" i="53"/>
  <c r="H19" i="53"/>
  <c r="H18" i="53"/>
  <c r="H17" i="53"/>
  <c r="H16" i="53"/>
  <c r="H15" i="53"/>
  <c r="H14" i="53"/>
  <c r="H12" i="53"/>
  <c r="H10" i="53"/>
  <c r="H9" i="53"/>
  <c r="H8" i="53"/>
  <c r="H7" i="53"/>
  <c r="H6" i="53"/>
  <c r="D41" i="50"/>
  <c r="A43" i="50" s="1"/>
  <c r="D15" i="52"/>
  <c r="E10" i="50"/>
  <c r="P5" i="53"/>
  <c r="P4" i="53"/>
  <c r="P2" i="53"/>
  <c r="G5" i="53"/>
  <c r="G63" i="53"/>
  <c r="G61" i="53"/>
  <c r="G60" i="53"/>
  <c r="G59" i="53"/>
  <c r="G58" i="53"/>
  <c r="G57" i="53"/>
  <c r="G56" i="53"/>
  <c r="G55" i="53"/>
  <c r="G54" i="53"/>
  <c r="G53" i="53"/>
  <c r="G51" i="53"/>
  <c r="G50" i="53"/>
  <c r="G49" i="53"/>
  <c r="G48" i="53"/>
  <c r="G47" i="53"/>
  <c r="G46" i="53"/>
  <c r="G44" i="53"/>
  <c r="G43" i="53"/>
  <c r="G42" i="53"/>
  <c r="G41" i="53"/>
  <c r="G40" i="53"/>
  <c r="G39" i="53"/>
  <c r="G38" i="53"/>
  <c r="G37" i="53"/>
  <c r="G36" i="53"/>
  <c r="G35" i="53"/>
  <c r="G34" i="53"/>
  <c r="G33" i="53"/>
  <c r="H33" i="53" s="1"/>
  <c r="G32" i="53"/>
  <c r="G31" i="53"/>
  <c r="G30" i="53"/>
  <c r="G29" i="53"/>
  <c r="G28" i="53"/>
  <c r="G27" i="53"/>
  <c r="G26" i="53"/>
  <c r="G25" i="53"/>
  <c r="G24" i="53"/>
  <c r="G23" i="53"/>
  <c r="G22" i="53"/>
  <c r="G21" i="53"/>
  <c r="G20" i="53"/>
  <c r="G19" i="53"/>
  <c r="G18" i="53"/>
  <c r="G17" i="53"/>
  <c r="G16" i="53"/>
  <c r="G15" i="53"/>
  <c r="G14" i="53"/>
  <c r="G13" i="53"/>
  <c r="H13" i="53" s="1"/>
  <c r="I13" i="53" s="1"/>
  <c r="G12" i="53"/>
  <c r="G11" i="53"/>
  <c r="G10" i="53"/>
  <c r="G9" i="53"/>
  <c r="G8" i="53"/>
  <c r="G7" i="53"/>
  <c r="G6" i="53"/>
  <c r="B64" i="53"/>
  <c r="G64" i="53" s="1"/>
  <c r="B62" i="53"/>
  <c r="G62" i="53" s="1"/>
  <c r="A1" i="53"/>
  <c r="N3" i="53" s="1"/>
  <c r="P3" i="53" s="1"/>
  <c r="P7" i="53" s="1"/>
  <c r="B45" i="53"/>
  <c r="G45" i="53" s="1"/>
  <c r="C66" i="53"/>
  <c r="O42" i="52" s="1"/>
  <c r="H41" i="50" s="1"/>
  <c r="H62" i="53" l="1"/>
  <c r="I62" i="53" s="1"/>
  <c r="I33" i="53"/>
  <c r="H24" i="53"/>
  <c r="I24" i="53" s="1"/>
  <c r="H38" i="53"/>
  <c r="I38" i="53" s="1"/>
  <c r="H11" i="53"/>
  <c r="I11" i="53" s="1"/>
  <c r="H64" i="53"/>
  <c r="I64" i="53" s="1"/>
  <c r="E33" i="53"/>
  <c r="E13" i="53"/>
  <c r="E24" i="53"/>
  <c r="E11" i="53"/>
  <c r="E38" i="53"/>
  <c r="S3" i="53"/>
  <c r="S9" i="53" s="1"/>
  <c r="E52" i="53" s="1"/>
  <c r="G52" i="53" s="1"/>
  <c r="O41" i="52"/>
  <c r="U58" i="51"/>
  <c r="S64" i="51"/>
  <c r="S58" i="51"/>
  <c r="H52" i="53" l="1"/>
  <c r="I52" i="53" s="1"/>
  <c r="I67" i="53" s="1"/>
  <c r="A267" i="50" s="1"/>
  <c r="I38" i="52"/>
  <c r="J38" i="52"/>
  <c r="N37" i="52"/>
  <c r="M37" i="52"/>
  <c r="L37" i="52"/>
  <c r="M38" i="52" s="1"/>
  <c r="K37" i="52"/>
  <c r="J37" i="52"/>
  <c r="I37" i="52"/>
  <c r="H37" i="52"/>
  <c r="G37" i="52"/>
  <c r="F37" i="52"/>
  <c r="E37" i="52"/>
  <c r="C37" i="52"/>
  <c r="D38" i="52" s="1"/>
  <c r="B37" i="52"/>
  <c r="I36" i="52"/>
  <c r="J36" i="52"/>
  <c r="N35" i="52"/>
  <c r="N36" i="52" s="1"/>
  <c r="M35" i="52"/>
  <c r="L35" i="52"/>
  <c r="K35" i="52"/>
  <c r="J35" i="52"/>
  <c r="I35" i="52"/>
  <c r="I21" i="52"/>
  <c r="H35" i="52"/>
  <c r="G35" i="52"/>
  <c r="F35" i="52"/>
  <c r="E35" i="52"/>
  <c r="C35" i="52"/>
  <c r="C36" i="52" s="1"/>
  <c r="B35" i="52"/>
  <c r="A35" i="52"/>
  <c r="A36" i="52" s="1"/>
  <c r="I34" i="52"/>
  <c r="J34" i="52"/>
  <c r="N33" i="52"/>
  <c r="M33" i="52"/>
  <c r="L33" i="52"/>
  <c r="K33" i="52"/>
  <c r="J33" i="52"/>
  <c r="I33" i="52"/>
  <c r="H33" i="52"/>
  <c r="G33" i="52"/>
  <c r="F33" i="52"/>
  <c r="E33" i="52"/>
  <c r="C33" i="52"/>
  <c r="D34" i="52" s="1"/>
  <c r="B33" i="52"/>
  <c r="B34" i="52" s="1"/>
  <c r="A33" i="52"/>
  <c r="A34" i="52" s="1"/>
  <c r="I32" i="52"/>
  <c r="I30" i="52"/>
  <c r="I28" i="52"/>
  <c r="J32" i="52"/>
  <c r="N31" i="52"/>
  <c r="M31" i="52"/>
  <c r="L31" i="52"/>
  <c r="K31" i="52"/>
  <c r="J31" i="52"/>
  <c r="I31" i="52"/>
  <c r="I29" i="52"/>
  <c r="H31" i="52"/>
  <c r="G31" i="52"/>
  <c r="F31" i="52"/>
  <c r="E31" i="52"/>
  <c r="C31" i="52"/>
  <c r="B31" i="52"/>
  <c r="A31" i="52"/>
  <c r="J30" i="52"/>
  <c r="N29" i="52"/>
  <c r="M29" i="52"/>
  <c r="L29" i="52"/>
  <c r="K29" i="52"/>
  <c r="J29" i="52"/>
  <c r="H29" i="52"/>
  <c r="G29" i="52"/>
  <c r="F29" i="52"/>
  <c r="E29" i="52"/>
  <c r="C29" i="52"/>
  <c r="C30" i="52" s="1"/>
  <c r="B29" i="52"/>
  <c r="A29" i="52"/>
  <c r="N27" i="52"/>
  <c r="M27" i="52"/>
  <c r="M25" i="52"/>
  <c r="L27" i="52"/>
  <c r="M28" i="52" s="1"/>
  <c r="K27" i="52"/>
  <c r="J28" i="52"/>
  <c r="J27" i="52"/>
  <c r="I27" i="52"/>
  <c r="H27" i="52"/>
  <c r="G27" i="52"/>
  <c r="G38" i="52"/>
  <c r="G32" i="52"/>
  <c r="G30" i="52"/>
  <c r="G28" i="52"/>
  <c r="G26" i="52"/>
  <c r="G22" i="52"/>
  <c r="F27" i="52"/>
  <c r="E27" i="52"/>
  <c r="C27" i="52"/>
  <c r="D28" i="52" s="1"/>
  <c r="B27" i="52"/>
  <c r="B28" i="52" s="1"/>
  <c r="A27" i="52"/>
  <c r="H38" i="52"/>
  <c r="F38" i="52"/>
  <c r="E38" i="52"/>
  <c r="B38" i="52"/>
  <c r="A38" i="52"/>
  <c r="O37" i="52"/>
  <c r="O38" i="52" s="1"/>
  <c r="N38" i="52"/>
  <c r="A37" i="52"/>
  <c r="H36" i="52"/>
  <c r="F36" i="52"/>
  <c r="E36" i="52"/>
  <c r="B36" i="52"/>
  <c r="O35" i="52"/>
  <c r="O36" i="52" s="1"/>
  <c r="D32" i="52"/>
  <c r="A32" i="52"/>
  <c r="A30" i="52"/>
  <c r="A28" i="52"/>
  <c r="H25" i="52"/>
  <c r="G25" i="52"/>
  <c r="H198" i="50"/>
  <c r="H197" i="50"/>
  <c r="C38" i="52" l="1"/>
  <c r="D36" i="52"/>
  <c r="M36" i="52"/>
  <c r="G36" i="52"/>
  <c r="G34" i="52"/>
  <c r="M32" i="52"/>
  <c r="C28" i="52"/>
  <c r="E28" i="52"/>
  <c r="F28" i="52"/>
  <c r="H28" i="52"/>
  <c r="M34" i="52"/>
  <c r="C34" i="52"/>
  <c r="O31" i="52"/>
  <c r="O32" i="52" s="1"/>
  <c r="E34" i="52"/>
  <c r="F34" i="52"/>
  <c r="B32" i="52"/>
  <c r="C32" i="52"/>
  <c r="H34" i="52"/>
  <c r="E32" i="52"/>
  <c r="H32" i="52"/>
  <c r="N28" i="52"/>
  <c r="D30" i="52"/>
  <c r="N32" i="52"/>
  <c r="M30" i="52"/>
  <c r="N30" i="52"/>
  <c r="O29" i="52"/>
  <c r="O30" i="52" s="1"/>
  <c r="F32" i="52"/>
  <c r="B30" i="52"/>
  <c r="O27" i="52"/>
  <c r="O28" i="52" s="1"/>
  <c r="E30" i="52"/>
  <c r="F30" i="52"/>
  <c r="H30" i="52"/>
  <c r="N34" i="52"/>
  <c r="O33" i="52"/>
  <c r="O34" i="52" s="1"/>
  <c r="N25" i="52"/>
  <c r="L25" i="52"/>
  <c r="K25" i="52"/>
  <c r="J25" i="52"/>
  <c r="J26" i="52"/>
  <c r="I26" i="52"/>
  <c r="F25" i="52"/>
  <c r="E25" i="52"/>
  <c r="C25" i="52"/>
  <c r="D26" i="52" s="1"/>
  <c r="B25" i="52"/>
  <c r="A25" i="52"/>
  <c r="A26" i="52" s="1"/>
  <c r="E23" i="52"/>
  <c r="C23" i="52"/>
  <c r="B23" i="52"/>
  <c r="K23" i="52" s="1"/>
  <c r="A23" i="52"/>
  <c r="J22" i="52"/>
  <c r="J21" i="52"/>
  <c r="I22" i="52"/>
  <c r="L21" i="52"/>
  <c r="M21" i="52"/>
  <c r="N21" i="52"/>
  <c r="K21" i="52"/>
  <c r="G23" i="52" l="1"/>
  <c r="L23" i="52"/>
  <c r="F23" i="52"/>
  <c r="N23" i="52"/>
  <c r="H23" i="52"/>
  <c r="I23" i="52"/>
  <c r="J23" i="52"/>
  <c r="M23" i="52"/>
  <c r="G24" i="52"/>
  <c r="J24" i="52"/>
  <c r="I24" i="52"/>
  <c r="N26" i="52"/>
  <c r="H26" i="52"/>
  <c r="B26" i="52"/>
  <c r="O25" i="52"/>
  <c r="O26" i="52" s="1"/>
  <c r="C26" i="52"/>
  <c r="E26" i="52"/>
  <c r="F26" i="52"/>
  <c r="I25" i="52"/>
  <c r="M26" i="52"/>
  <c r="H21" i="52"/>
  <c r="G21" i="52"/>
  <c r="E21" i="52"/>
  <c r="C21" i="52"/>
  <c r="B21" i="52"/>
  <c r="N22" i="52" s="1"/>
  <c r="A21" i="52"/>
  <c r="D41" i="52"/>
  <c r="F42" i="52"/>
  <c r="D42" i="52"/>
  <c r="F41" i="52"/>
  <c r="F24" i="52"/>
  <c r="A24" i="52"/>
  <c r="AE90" i="21"/>
  <c r="E19" i="52"/>
  <c r="C19" i="52"/>
  <c r="D20" i="52" s="1"/>
  <c r="B19" i="52"/>
  <c r="A19" i="52"/>
  <c r="A20" i="52" s="1"/>
  <c r="B2" i="52"/>
  <c r="L3" i="22"/>
  <c r="E85" i="22"/>
  <c r="E84" i="22"/>
  <c r="E83" i="22"/>
  <c r="E82" i="22"/>
  <c r="E81" i="22"/>
  <c r="E80" i="22"/>
  <c r="E79" i="22"/>
  <c r="E78" i="22"/>
  <c r="E77" i="22"/>
  <c r="E76" i="22"/>
  <c r="E75" i="22"/>
  <c r="E74" i="22"/>
  <c r="E73" i="22"/>
  <c r="E72"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E37" i="22"/>
  <c r="E36" i="22"/>
  <c r="E35" i="22"/>
  <c r="E34" i="22"/>
  <c r="E33" i="22"/>
  <c r="E32" i="22"/>
  <c r="E31" i="22"/>
  <c r="E30" i="22"/>
  <c r="E29" i="22"/>
  <c r="E28" i="22"/>
  <c r="E27" i="22"/>
  <c r="E26" i="22"/>
  <c r="E25" i="22"/>
  <c r="E24" i="22"/>
  <c r="E23" i="22"/>
  <c r="E22" i="22"/>
  <c r="E21" i="22"/>
  <c r="E20" i="22"/>
  <c r="E19" i="22"/>
  <c r="E18" i="22"/>
  <c r="E17" i="22"/>
  <c r="E16" i="22"/>
  <c r="E15" i="22"/>
  <c r="E14" i="22"/>
  <c r="E13" i="22"/>
  <c r="E12" i="22"/>
  <c r="E11" i="22"/>
  <c r="E10" i="22"/>
  <c r="E9" i="22"/>
  <c r="H225" i="50"/>
  <c r="H226" i="50"/>
  <c r="G219" i="50"/>
  <c r="G222" i="50" s="1"/>
  <c r="G218" i="50"/>
  <c r="G221" i="50" s="1"/>
  <c r="H209" i="50"/>
  <c r="H206" i="50"/>
  <c r="H203" i="50"/>
  <c r="H200" i="50"/>
  <c r="H199" i="50"/>
  <c r="H194" i="50"/>
  <c r="H193" i="50"/>
  <c r="H192" i="50"/>
  <c r="H182" i="50"/>
  <c r="H176" i="50"/>
  <c r="G178" i="50" s="1"/>
  <c r="H167" i="50"/>
  <c r="H158" i="50"/>
  <c r="H152" i="50"/>
  <c r="H148" i="50"/>
  <c r="H149" i="50" s="1"/>
  <c r="H131" i="50"/>
  <c r="H126" i="50"/>
  <c r="AI84" i="20"/>
  <c r="G113" i="50"/>
  <c r="G116" i="50" s="1"/>
  <c r="G112" i="50"/>
  <c r="G120" i="50" s="1"/>
  <c r="H107" i="50"/>
  <c r="C104" i="50"/>
  <c r="U62" i="51"/>
  <c r="U57" i="51"/>
  <c r="U56" i="51"/>
  <c r="U55" i="51"/>
  <c r="U54" i="51"/>
  <c r="U50" i="51"/>
  <c r="U47" i="51"/>
  <c r="U44" i="51"/>
  <c r="U42" i="51"/>
  <c r="U38" i="51"/>
  <c r="U35" i="51"/>
  <c r="U34" i="51"/>
  <c r="U33" i="51"/>
  <c r="U32" i="51"/>
  <c r="U31" i="51"/>
  <c r="U30" i="51"/>
  <c r="U29" i="51"/>
  <c r="U28" i="51"/>
  <c r="U25" i="51"/>
  <c r="U21" i="51"/>
  <c r="U20" i="51"/>
  <c r="U19" i="51"/>
  <c r="U18" i="51"/>
  <c r="U17" i="51"/>
  <c r="U12" i="51"/>
  <c r="U9" i="51"/>
  <c r="N57" i="51"/>
  <c r="H212" i="50" s="1"/>
  <c r="H181" i="50"/>
  <c r="AS4" i="20" a="1"/>
  <c r="AS4" i="20" s="1"/>
  <c r="Q29" i="51"/>
  <c r="N9" i="51"/>
  <c r="I19" i="52" l="1"/>
  <c r="J20" i="52"/>
  <c r="E20" i="52"/>
  <c r="O16" i="52"/>
  <c r="G4" i="52"/>
  <c r="B7" i="52"/>
  <c r="C8" i="52"/>
  <c r="B5" i="52"/>
  <c r="M6" i="52"/>
  <c r="N19" i="52"/>
  <c r="N20" i="52" s="1"/>
  <c r="J19" i="52"/>
  <c r="A22" i="52"/>
  <c r="G19" i="52"/>
  <c r="G2" i="52"/>
  <c r="G20" i="52"/>
  <c r="I20" i="52"/>
  <c r="B6" i="52"/>
  <c r="M24" i="52"/>
  <c r="N24" i="52"/>
  <c r="H24" i="52"/>
  <c r="O23" i="52"/>
  <c r="O24" i="52" s="1"/>
  <c r="B24" i="52"/>
  <c r="E24" i="52"/>
  <c r="B22" i="52"/>
  <c r="B20" i="52"/>
  <c r="C20" i="52"/>
  <c r="E22" i="52"/>
  <c r="F20" i="52"/>
  <c r="H22" i="52"/>
  <c r="H20" i="52"/>
  <c r="F22" i="52"/>
  <c r="G177" i="50"/>
  <c r="G115" i="50"/>
  <c r="G119" i="50"/>
  <c r="BB84" i="20"/>
  <c r="AU83" i="20"/>
  <c r="AU69" i="20"/>
  <c r="AU55" i="20"/>
  <c r="AU41" i="20"/>
  <c r="AU27" i="20"/>
  <c r="AU13" i="20"/>
  <c r="AU34" i="20"/>
  <c r="AU61" i="20"/>
  <c r="AU60" i="20"/>
  <c r="AU59" i="20"/>
  <c r="AU44" i="20"/>
  <c r="AU29" i="20"/>
  <c r="AU14" i="20"/>
  <c r="AU82" i="20"/>
  <c r="AU68" i="20"/>
  <c r="AU54" i="20"/>
  <c r="AU40" i="20"/>
  <c r="AU26" i="20"/>
  <c r="AU12" i="20"/>
  <c r="AU62" i="20"/>
  <c r="AU19" i="20"/>
  <c r="AU46" i="20"/>
  <c r="AU17" i="20"/>
  <c r="AU30" i="20"/>
  <c r="AU57" i="20"/>
  <c r="AU56" i="20"/>
  <c r="AU81" i="20"/>
  <c r="AU67" i="20"/>
  <c r="AU53" i="20"/>
  <c r="AU39" i="20"/>
  <c r="AU25" i="20"/>
  <c r="AU11" i="20"/>
  <c r="AU48" i="20"/>
  <c r="AU5" i="20"/>
  <c r="AU4" i="20"/>
  <c r="AU72" i="20"/>
  <c r="AU43" i="20"/>
  <c r="AU80" i="20"/>
  <c r="AU66" i="20"/>
  <c r="AU52" i="20"/>
  <c r="AU38" i="20"/>
  <c r="AU24" i="20"/>
  <c r="AU10" i="20"/>
  <c r="AU8" i="20"/>
  <c r="AU6" i="20"/>
  <c r="AU74" i="20"/>
  <c r="AU58" i="20"/>
  <c r="AU15" i="20"/>
  <c r="AU42" i="20"/>
  <c r="AU79" i="20"/>
  <c r="AU65" i="20"/>
  <c r="AU51" i="20"/>
  <c r="AU37" i="20"/>
  <c r="AU23" i="20"/>
  <c r="AU9" i="20"/>
  <c r="AU22" i="20"/>
  <c r="AU33" i="20"/>
  <c r="AU18" i="20"/>
  <c r="AU31" i="20"/>
  <c r="AU71" i="20"/>
  <c r="AU28" i="20"/>
  <c r="AU78" i="20"/>
  <c r="AU64" i="20"/>
  <c r="AU50" i="20"/>
  <c r="AU36" i="20"/>
  <c r="AU47" i="20"/>
  <c r="AU73" i="20"/>
  <c r="AU16" i="20"/>
  <c r="AU70" i="20"/>
  <c r="AU77" i="20"/>
  <c r="AU63" i="20"/>
  <c r="AU49" i="20"/>
  <c r="AU35" i="20"/>
  <c r="AU21" i="20"/>
  <c r="AU7" i="20"/>
  <c r="AU76" i="20"/>
  <c r="AU20" i="20"/>
  <c r="AU75" i="20"/>
  <c r="AU32" i="20"/>
  <c r="AU45" i="20"/>
  <c r="N7" i="51" l="1"/>
  <c r="N17" i="51"/>
  <c r="N31" i="51"/>
  <c r="H155" i="50" s="1"/>
  <c r="D24" i="52"/>
  <c r="C24" i="52"/>
  <c r="N39" i="52"/>
  <c r="U13" i="51" s="1"/>
  <c r="D22" i="52"/>
  <c r="C22" i="52"/>
  <c r="N6" i="51"/>
  <c r="H96" i="50" s="1"/>
  <c r="G118" i="50" s="1"/>
  <c r="N35" i="51"/>
  <c r="H168" i="50" s="1"/>
  <c r="N33" i="51"/>
  <c r="N32" i="51"/>
  <c r="N28" i="51"/>
  <c r="H123" i="50"/>
  <c r="H99" i="50"/>
  <c r="N34" i="51"/>
  <c r="H164" i="50" s="1"/>
  <c r="E4" i="22"/>
  <c r="Q85" i="22"/>
  <c r="P85" i="22"/>
  <c r="O85" i="22"/>
  <c r="N85" i="22"/>
  <c r="M85" i="22"/>
  <c r="L85" i="22"/>
  <c r="Q84" i="22"/>
  <c r="P84" i="22"/>
  <c r="O84" i="22"/>
  <c r="N84" i="22"/>
  <c r="M84" i="22"/>
  <c r="L84" i="22"/>
  <c r="Q83" i="22"/>
  <c r="P83" i="22"/>
  <c r="O83" i="22"/>
  <c r="N83" i="22"/>
  <c r="M83" i="22"/>
  <c r="L83" i="22"/>
  <c r="Q82" i="22"/>
  <c r="P82" i="22"/>
  <c r="O82" i="22"/>
  <c r="N82" i="22"/>
  <c r="M82" i="22"/>
  <c r="L82" i="22"/>
  <c r="Q81" i="22"/>
  <c r="P81" i="22"/>
  <c r="O81" i="22"/>
  <c r="N81" i="22"/>
  <c r="M81" i="22"/>
  <c r="L81" i="22"/>
  <c r="Q80" i="22"/>
  <c r="P80" i="22"/>
  <c r="O80" i="22"/>
  <c r="N80" i="22"/>
  <c r="M80" i="22"/>
  <c r="L80" i="22"/>
  <c r="Q79" i="22"/>
  <c r="P79" i="22"/>
  <c r="O79" i="22"/>
  <c r="N79" i="22"/>
  <c r="M79" i="22"/>
  <c r="L79" i="22"/>
  <c r="Q78" i="22"/>
  <c r="P78" i="22"/>
  <c r="O78" i="22"/>
  <c r="N78" i="22"/>
  <c r="M78" i="22"/>
  <c r="L78" i="22"/>
  <c r="Q77" i="22"/>
  <c r="P77" i="22"/>
  <c r="O77" i="22"/>
  <c r="N77" i="22"/>
  <c r="M77" i="22"/>
  <c r="L77" i="22"/>
  <c r="Q76" i="22"/>
  <c r="P76" i="22"/>
  <c r="O76" i="22"/>
  <c r="N76" i="22"/>
  <c r="M76" i="22"/>
  <c r="L76" i="22"/>
  <c r="Q75" i="22"/>
  <c r="P75" i="22"/>
  <c r="O75" i="22"/>
  <c r="N75" i="22"/>
  <c r="M75" i="22"/>
  <c r="L75" i="22"/>
  <c r="Q74" i="22"/>
  <c r="P74" i="22"/>
  <c r="O74" i="22"/>
  <c r="N74" i="22"/>
  <c r="M74" i="22"/>
  <c r="L74" i="22"/>
  <c r="Q73" i="22"/>
  <c r="P73" i="22"/>
  <c r="O73" i="22"/>
  <c r="N73" i="22"/>
  <c r="M73" i="22"/>
  <c r="L73" i="22"/>
  <c r="Q72" i="22"/>
  <c r="P72" i="22"/>
  <c r="O72" i="22"/>
  <c r="N72" i="22"/>
  <c r="M72" i="22"/>
  <c r="L72" i="22"/>
  <c r="Q71" i="22"/>
  <c r="P71" i="22"/>
  <c r="O71" i="22"/>
  <c r="N71" i="22"/>
  <c r="M71" i="22"/>
  <c r="L71" i="22"/>
  <c r="Q70" i="22"/>
  <c r="P70" i="22"/>
  <c r="O70" i="22"/>
  <c r="N70" i="22"/>
  <c r="M70" i="22"/>
  <c r="L70" i="22"/>
  <c r="Q69" i="22"/>
  <c r="P69" i="22"/>
  <c r="O69" i="22"/>
  <c r="N69" i="22"/>
  <c r="M69" i="22"/>
  <c r="L69" i="22"/>
  <c r="Q68" i="22"/>
  <c r="P68" i="22"/>
  <c r="O68" i="22"/>
  <c r="N68" i="22"/>
  <c r="M68" i="22"/>
  <c r="L68" i="22"/>
  <c r="Q67" i="22"/>
  <c r="P67" i="22"/>
  <c r="O67" i="22"/>
  <c r="N67" i="22"/>
  <c r="M67" i="22"/>
  <c r="L67" i="22"/>
  <c r="Q66" i="22"/>
  <c r="P66" i="22"/>
  <c r="O66" i="22"/>
  <c r="N66" i="22"/>
  <c r="M66" i="22"/>
  <c r="L66" i="22"/>
  <c r="Q65" i="22"/>
  <c r="P65" i="22"/>
  <c r="O65" i="22"/>
  <c r="N65" i="22"/>
  <c r="M65" i="22"/>
  <c r="L65" i="22"/>
  <c r="Q64" i="22"/>
  <c r="P64" i="22"/>
  <c r="O64" i="22"/>
  <c r="N64" i="22"/>
  <c r="M64" i="22"/>
  <c r="L64" i="22"/>
  <c r="Q63" i="22"/>
  <c r="P63" i="22"/>
  <c r="O63" i="22"/>
  <c r="N63" i="22"/>
  <c r="M63" i="22"/>
  <c r="L63" i="22"/>
  <c r="Q62" i="22"/>
  <c r="P62" i="22"/>
  <c r="O62" i="22"/>
  <c r="N62" i="22"/>
  <c r="M62" i="22"/>
  <c r="L62" i="22"/>
  <c r="Q61" i="22"/>
  <c r="P61" i="22"/>
  <c r="O61" i="22"/>
  <c r="N61" i="22"/>
  <c r="M61" i="22"/>
  <c r="L61" i="22"/>
  <c r="Q60" i="22"/>
  <c r="P60" i="22"/>
  <c r="O60" i="22"/>
  <c r="N60" i="22"/>
  <c r="M60" i="22"/>
  <c r="L60" i="22"/>
  <c r="Q59" i="22"/>
  <c r="P59" i="22"/>
  <c r="O59" i="22"/>
  <c r="N59" i="22"/>
  <c r="M59" i="22"/>
  <c r="L59" i="22"/>
  <c r="Q58" i="22"/>
  <c r="P58" i="22"/>
  <c r="O58" i="22"/>
  <c r="N58" i="22"/>
  <c r="M58" i="22"/>
  <c r="L58" i="22"/>
  <c r="Q57" i="22"/>
  <c r="P57" i="22"/>
  <c r="O57" i="22"/>
  <c r="N57" i="22"/>
  <c r="M57" i="22"/>
  <c r="L57" i="22"/>
  <c r="Q56" i="22"/>
  <c r="P56" i="22"/>
  <c r="O56" i="22"/>
  <c r="N56" i="22"/>
  <c r="M56" i="22"/>
  <c r="L56" i="22"/>
  <c r="Q55" i="22"/>
  <c r="P55" i="22"/>
  <c r="O55" i="22"/>
  <c r="N55" i="22"/>
  <c r="M55" i="22"/>
  <c r="L55" i="22"/>
  <c r="Q54" i="22"/>
  <c r="P54" i="22"/>
  <c r="O54" i="22"/>
  <c r="N54" i="22"/>
  <c r="M54" i="22"/>
  <c r="L54" i="22"/>
  <c r="Q53" i="22"/>
  <c r="P53" i="22"/>
  <c r="O53" i="22"/>
  <c r="N53" i="22"/>
  <c r="M53" i="22"/>
  <c r="L53" i="22"/>
  <c r="Q52" i="22"/>
  <c r="P52" i="22"/>
  <c r="O52" i="22"/>
  <c r="N52" i="22"/>
  <c r="M52" i="22"/>
  <c r="L52" i="22"/>
  <c r="Q51" i="22"/>
  <c r="P51" i="22"/>
  <c r="O51" i="22"/>
  <c r="N51" i="22"/>
  <c r="M51" i="22"/>
  <c r="L51" i="22"/>
  <c r="Q50" i="22"/>
  <c r="P50" i="22"/>
  <c r="O50" i="22"/>
  <c r="N50" i="22"/>
  <c r="M50" i="22"/>
  <c r="L50" i="22"/>
  <c r="Q49" i="22"/>
  <c r="P49" i="22"/>
  <c r="O49" i="22"/>
  <c r="N49" i="22"/>
  <c r="M49" i="22"/>
  <c r="L49" i="22"/>
  <c r="Q48" i="22"/>
  <c r="P48" i="22"/>
  <c r="O48" i="22"/>
  <c r="N48" i="22"/>
  <c r="M48" i="22"/>
  <c r="L48" i="22"/>
  <c r="Q47" i="22"/>
  <c r="P47" i="22"/>
  <c r="O47" i="22"/>
  <c r="N47" i="22"/>
  <c r="M47" i="22"/>
  <c r="L47" i="22"/>
  <c r="Q46" i="22"/>
  <c r="P46" i="22"/>
  <c r="O46" i="22"/>
  <c r="N46" i="22"/>
  <c r="M46" i="22"/>
  <c r="L46" i="22"/>
  <c r="Q45" i="22"/>
  <c r="P45" i="22"/>
  <c r="O45" i="22"/>
  <c r="N45" i="22"/>
  <c r="M45" i="22"/>
  <c r="L45" i="22"/>
  <c r="Q44" i="22"/>
  <c r="P44" i="22"/>
  <c r="O44" i="22"/>
  <c r="N44" i="22"/>
  <c r="M44" i="22"/>
  <c r="L44" i="22"/>
  <c r="Q43" i="22"/>
  <c r="P43" i="22"/>
  <c r="O43" i="22"/>
  <c r="N43" i="22"/>
  <c r="M43" i="22"/>
  <c r="L43" i="22"/>
  <c r="Q42" i="22"/>
  <c r="P42" i="22"/>
  <c r="O42" i="22"/>
  <c r="N42" i="22"/>
  <c r="M42" i="22"/>
  <c r="L42" i="22"/>
  <c r="Q41" i="22"/>
  <c r="P41" i="22"/>
  <c r="O41" i="22"/>
  <c r="N41" i="22"/>
  <c r="M41" i="22"/>
  <c r="L41" i="22"/>
  <c r="Q40" i="22"/>
  <c r="P40" i="22"/>
  <c r="O40" i="22"/>
  <c r="N40" i="22"/>
  <c r="M40" i="22"/>
  <c r="L40" i="22"/>
  <c r="Q39" i="22"/>
  <c r="P39" i="22"/>
  <c r="O39" i="22"/>
  <c r="N39" i="22"/>
  <c r="M39" i="22"/>
  <c r="L39" i="22"/>
  <c r="Q38" i="22"/>
  <c r="P38" i="22"/>
  <c r="O38" i="22"/>
  <c r="N38" i="22"/>
  <c r="M38" i="22"/>
  <c r="L38" i="22"/>
  <c r="Q37" i="22"/>
  <c r="P37" i="22"/>
  <c r="O37" i="22"/>
  <c r="N37" i="22"/>
  <c r="M37" i="22"/>
  <c r="L37" i="22"/>
  <c r="Q36" i="22"/>
  <c r="P36" i="22"/>
  <c r="O36" i="22"/>
  <c r="N36" i="22"/>
  <c r="M36" i="22"/>
  <c r="L36" i="22"/>
  <c r="Q35" i="22"/>
  <c r="P35" i="22"/>
  <c r="O35" i="22"/>
  <c r="N35" i="22"/>
  <c r="M35" i="22"/>
  <c r="L35" i="22"/>
  <c r="Q34" i="22"/>
  <c r="P34" i="22"/>
  <c r="O34" i="22"/>
  <c r="N34" i="22"/>
  <c r="M34" i="22"/>
  <c r="L34" i="22"/>
  <c r="Q33" i="22"/>
  <c r="P33" i="22"/>
  <c r="O33" i="22"/>
  <c r="N33" i="22"/>
  <c r="M33" i="22"/>
  <c r="L33" i="22"/>
  <c r="Q32" i="22"/>
  <c r="P32" i="22"/>
  <c r="O32" i="22"/>
  <c r="N32" i="22"/>
  <c r="M32" i="22"/>
  <c r="L32" i="22"/>
  <c r="Q31" i="22"/>
  <c r="P31" i="22"/>
  <c r="O31" i="22"/>
  <c r="N31" i="22"/>
  <c r="M31" i="22"/>
  <c r="L31" i="22"/>
  <c r="Q30" i="22"/>
  <c r="P30" i="22"/>
  <c r="O30" i="22"/>
  <c r="N30" i="22"/>
  <c r="M30" i="22"/>
  <c r="L30" i="22"/>
  <c r="Q29" i="22"/>
  <c r="P29" i="22"/>
  <c r="O29" i="22"/>
  <c r="N29" i="22"/>
  <c r="M29" i="22"/>
  <c r="L29" i="22"/>
  <c r="Q28" i="22"/>
  <c r="P28" i="22"/>
  <c r="O28" i="22"/>
  <c r="N28" i="22"/>
  <c r="M28" i="22"/>
  <c r="L28" i="22"/>
  <c r="Q27" i="22"/>
  <c r="P27" i="22"/>
  <c r="O27" i="22"/>
  <c r="N27" i="22"/>
  <c r="M27" i="22"/>
  <c r="L27" i="22"/>
  <c r="Q26" i="22"/>
  <c r="P26" i="22"/>
  <c r="O26" i="22"/>
  <c r="N26" i="22"/>
  <c r="M26" i="22"/>
  <c r="L26" i="22"/>
  <c r="Q25" i="22"/>
  <c r="P25" i="22"/>
  <c r="O25" i="22"/>
  <c r="N25" i="22"/>
  <c r="M25" i="22"/>
  <c r="L25" i="22"/>
  <c r="Q24" i="22"/>
  <c r="P24" i="22"/>
  <c r="O24" i="22"/>
  <c r="N24" i="22"/>
  <c r="M24" i="22"/>
  <c r="L24" i="22"/>
  <c r="Q23" i="22"/>
  <c r="P23" i="22"/>
  <c r="O23" i="22"/>
  <c r="N23" i="22"/>
  <c r="M23" i="22"/>
  <c r="L23" i="22"/>
  <c r="Q22" i="22"/>
  <c r="P22" i="22"/>
  <c r="O22" i="22"/>
  <c r="N22" i="22"/>
  <c r="M22" i="22"/>
  <c r="L22" i="22"/>
  <c r="Q21" i="22"/>
  <c r="P21" i="22"/>
  <c r="O21" i="22"/>
  <c r="N21" i="22"/>
  <c r="M21" i="22"/>
  <c r="L21" i="22"/>
  <c r="Q20" i="22"/>
  <c r="P20" i="22"/>
  <c r="O20" i="22"/>
  <c r="N20" i="22"/>
  <c r="M20" i="22"/>
  <c r="L20" i="22"/>
  <c r="Q19" i="22"/>
  <c r="P19" i="22"/>
  <c r="O19" i="22"/>
  <c r="N19" i="22"/>
  <c r="M19" i="22"/>
  <c r="L19" i="22"/>
  <c r="Q18" i="22"/>
  <c r="P18" i="22"/>
  <c r="O18" i="22"/>
  <c r="N18" i="22"/>
  <c r="M18" i="22"/>
  <c r="L18" i="22"/>
  <c r="Q17" i="22"/>
  <c r="P17" i="22"/>
  <c r="O17" i="22"/>
  <c r="N17" i="22"/>
  <c r="M17" i="22"/>
  <c r="L17" i="22"/>
  <c r="Q16" i="22"/>
  <c r="P16" i="22"/>
  <c r="O16" i="22"/>
  <c r="N16" i="22"/>
  <c r="M16" i="22"/>
  <c r="L16" i="22"/>
  <c r="Q15" i="22"/>
  <c r="P15" i="22"/>
  <c r="O15" i="22"/>
  <c r="N15" i="22"/>
  <c r="M15" i="22"/>
  <c r="L15" i="22"/>
  <c r="Q14" i="22"/>
  <c r="P14" i="22"/>
  <c r="O14" i="22"/>
  <c r="N14" i="22"/>
  <c r="M14" i="22"/>
  <c r="L14" i="22"/>
  <c r="Q13" i="22"/>
  <c r="P13" i="22"/>
  <c r="O13" i="22"/>
  <c r="N13" i="22"/>
  <c r="M13" i="22"/>
  <c r="L13" i="22"/>
  <c r="Q12" i="22"/>
  <c r="P12" i="22"/>
  <c r="O12" i="22"/>
  <c r="N12" i="22"/>
  <c r="M12" i="22"/>
  <c r="L12" i="22"/>
  <c r="Q11" i="22"/>
  <c r="P11" i="22"/>
  <c r="O11" i="22"/>
  <c r="N11" i="22"/>
  <c r="M11" i="22"/>
  <c r="L11" i="22"/>
  <c r="Q10" i="22"/>
  <c r="P10" i="22"/>
  <c r="O10" i="22"/>
  <c r="N10" i="22"/>
  <c r="M10" i="22"/>
  <c r="L10" i="22"/>
  <c r="Q9" i="22"/>
  <c r="A88" i="50"/>
  <c r="A87" i="50"/>
  <c r="A86" i="50"/>
  <c r="A85" i="50"/>
  <c r="A84" i="50"/>
  <c r="A83" i="50"/>
  <c r="A82" i="50"/>
  <c r="A81" i="50"/>
  <c r="A80" i="50"/>
  <c r="A79" i="50"/>
  <c r="A78" i="50"/>
  <c r="A77" i="50"/>
  <c r="A76" i="50"/>
  <c r="I71" i="50"/>
  <c r="H71" i="50"/>
  <c r="A71" i="50"/>
  <c r="G71" i="50" s="1"/>
  <c r="I70" i="50"/>
  <c r="H70" i="50"/>
  <c r="A70" i="50"/>
  <c r="I69" i="50"/>
  <c r="H69" i="50"/>
  <c r="A69" i="50"/>
  <c r="G69" i="50" s="1"/>
  <c r="I68" i="50"/>
  <c r="H68" i="50"/>
  <c r="A68" i="50"/>
  <c r="I67" i="50"/>
  <c r="H67" i="50"/>
  <c r="A67" i="50"/>
  <c r="I66" i="50"/>
  <c r="H66" i="50"/>
  <c r="A66" i="50"/>
  <c r="G66" i="50" s="1"/>
  <c r="I65" i="50"/>
  <c r="H65" i="50"/>
  <c r="A65" i="50"/>
  <c r="I64" i="50"/>
  <c r="H64" i="50"/>
  <c r="A64" i="50"/>
  <c r="G64" i="50" s="1"/>
  <c r="I63" i="50"/>
  <c r="H63" i="50"/>
  <c r="A63" i="50"/>
  <c r="I62" i="50"/>
  <c r="H62" i="50"/>
  <c r="A62" i="50"/>
  <c r="G62" i="50" s="1"/>
  <c r="I61" i="50"/>
  <c r="H61" i="50"/>
  <c r="A61" i="50"/>
  <c r="I60" i="50"/>
  <c r="H60" i="50"/>
  <c r="A60" i="50"/>
  <c r="I59" i="50"/>
  <c r="H59" i="50"/>
  <c r="A59" i="50"/>
  <c r="G59" i="50" s="1"/>
  <c r="I58" i="50"/>
  <c r="H58" i="50"/>
  <c r="A20" i="50"/>
  <c r="H100" i="50" l="1"/>
  <c r="H103" i="50"/>
  <c r="H104" i="50" s="1"/>
  <c r="H185" i="50"/>
  <c r="H161" i="50"/>
  <c r="H140" i="50"/>
  <c r="H142" i="50" s="1"/>
  <c r="H128" i="50"/>
  <c r="H145" i="50"/>
  <c r="H141" i="50"/>
  <c r="H134" i="50"/>
  <c r="E67" i="50"/>
  <c r="G67" i="50"/>
  <c r="B63" i="50"/>
  <c r="G63" i="50"/>
  <c r="B70" i="50"/>
  <c r="G70" i="50"/>
  <c r="C60" i="50"/>
  <c r="G60" i="50"/>
  <c r="C61" i="50"/>
  <c r="G61" i="50"/>
  <c r="F68" i="50"/>
  <c r="G68" i="50"/>
  <c r="B65" i="50"/>
  <c r="G65" i="50"/>
  <c r="D81" i="50"/>
  <c r="B81" i="50"/>
  <c r="B84" i="50"/>
  <c r="B76" i="50"/>
  <c r="F21" i="52" s="1"/>
  <c r="D84" i="50"/>
  <c r="E68" i="50"/>
  <c r="D76" i="50"/>
  <c r="B85" i="50"/>
  <c r="D85" i="50"/>
  <c r="E59" i="50"/>
  <c r="B69" i="50"/>
  <c r="D79" i="50"/>
  <c r="E66" i="50"/>
  <c r="C63" i="50"/>
  <c r="F63" i="50"/>
  <c r="B86" i="50"/>
  <c r="C70" i="50"/>
  <c r="D77" i="50"/>
  <c r="E70" i="50"/>
  <c r="D82" i="50"/>
  <c r="B87" i="50"/>
  <c r="B80" i="50"/>
  <c r="F66" i="50"/>
  <c r="D80" i="50"/>
  <c r="E63" i="50"/>
  <c r="B61" i="50"/>
  <c r="B77" i="50"/>
  <c r="D86" i="50"/>
  <c r="E61" i="50"/>
  <c r="B82" i="50"/>
  <c r="F61" i="50"/>
  <c r="B68" i="50"/>
  <c r="F70" i="50"/>
  <c r="B78" i="50"/>
  <c r="D87" i="50"/>
  <c r="C68" i="50"/>
  <c r="D78" i="50"/>
  <c r="B83" i="50"/>
  <c r="D83" i="50"/>
  <c r="B88" i="50"/>
  <c r="F59" i="50"/>
  <c r="B79" i="50"/>
  <c r="D88" i="50"/>
  <c r="C65" i="50"/>
  <c r="E65" i="50"/>
  <c r="F65" i="50"/>
  <c r="C67" i="50"/>
  <c r="B60" i="50"/>
  <c r="B62" i="50"/>
  <c r="F60" i="50"/>
  <c r="C69" i="50"/>
  <c r="E60" i="50"/>
  <c r="E62" i="50"/>
  <c r="E69" i="50"/>
  <c r="B71" i="50"/>
  <c r="B67" i="50"/>
  <c r="C62" i="50"/>
  <c r="F67" i="50"/>
  <c r="B64" i="50"/>
  <c r="F62" i="50"/>
  <c r="C64" i="50"/>
  <c r="F69" i="50"/>
  <c r="C71" i="50"/>
  <c r="B59" i="50"/>
  <c r="E64" i="50"/>
  <c r="B66" i="50"/>
  <c r="E71" i="50"/>
  <c r="C59" i="50"/>
  <c r="F64" i="50"/>
  <c r="C66" i="50"/>
  <c r="F71" i="50"/>
  <c r="CC79" i="23"/>
  <c r="CC78" i="23"/>
  <c r="CC77" i="23"/>
  <c r="CC76" i="23"/>
  <c r="A36" i="50"/>
  <c r="F26" i="50"/>
  <c r="I9" i="36"/>
  <c r="J6" i="19"/>
  <c r="C24" i="50"/>
  <c r="C26" i="50"/>
  <c r="C25" i="50"/>
  <c r="C23" i="50"/>
  <c r="A9" i="50"/>
  <c r="E40" i="49"/>
  <c r="E34" i="49"/>
  <c r="E28" i="49"/>
  <c r="E22" i="49"/>
  <c r="E16" i="49"/>
  <c r="E10" i="49"/>
  <c r="H136" i="50" l="1"/>
  <c r="H135" i="50"/>
  <c r="H137" i="50"/>
  <c r="H186" i="50"/>
  <c r="F187" i="50"/>
  <c r="E7" i="49"/>
  <c r="S10" i="49"/>
  <c r="S12" i="49"/>
  <c r="S13" i="49" s="1"/>
  <c r="T12" i="49"/>
  <c r="U12" i="49"/>
  <c r="U13" i="49" s="1"/>
  <c r="V12" i="49"/>
  <c r="V13" i="49" s="1"/>
  <c r="W12" i="49"/>
  <c r="W13" i="49" s="1"/>
  <c r="X12" i="49"/>
  <c r="X13" i="49" s="1"/>
  <c r="Y12" i="49"/>
  <c r="Y13" i="49" s="1"/>
  <c r="Z12" i="49"/>
  <c r="Z13" i="49" s="1"/>
  <c r="AA12" i="49"/>
  <c r="AA13" i="49" s="1"/>
  <c r="AB12" i="49"/>
  <c r="AB13" i="49" s="1"/>
  <c r="T13" i="49"/>
  <c r="R3" i="48"/>
  <c r="D4" i="48"/>
  <c r="Y3" i="48"/>
  <c r="AM4" i="48"/>
  <c r="AF3" i="48"/>
  <c r="K3" i="48"/>
  <c r="E6" i="49"/>
  <c r="N12" i="49" l="1"/>
  <c r="N13" i="49" s="1"/>
  <c r="E18" i="49"/>
  <c r="E19" i="49" s="1"/>
  <c r="H24" i="49"/>
  <c r="H25" i="49" s="1"/>
  <c r="K30" i="49"/>
  <c r="K31" i="49" s="1"/>
  <c r="J30" i="49"/>
  <c r="J31" i="49" s="1"/>
  <c r="F12" i="49"/>
  <c r="F13" i="49" s="1"/>
  <c r="F18" i="49"/>
  <c r="F19" i="49" s="1"/>
  <c r="I24" i="49"/>
  <c r="I25" i="49" s="1"/>
  <c r="L30" i="49"/>
  <c r="L31" i="49" s="1"/>
  <c r="E42" i="49"/>
  <c r="E43" i="49" s="1"/>
  <c r="M12" i="49"/>
  <c r="M13" i="49" s="1"/>
  <c r="G18" i="49"/>
  <c r="G19" i="49" s="1"/>
  <c r="J24" i="49"/>
  <c r="J25" i="49" s="1"/>
  <c r="M30" i="49"/>
  <c r="M31" i="49" s="1"/>
  <c r="F42" i="49"/>
  <c r="F43" i="49" s="1"/>
  <c r="M24" i="49"/>
  <c r="M25" i="49" s="1"/>
  <c r="N24" i="49"/>
  <c r="N25" i="49" s="1"/>
  <c r="J42" i="49"/>
  <c r="J43" i="49" s="1"/>
  <c r="G36" i="49"/>
  <c r="G37" i="49" s="1"/>
  <c r="J12" i="49"/>
  <c r="J13" i="49" s="1"/>
  <c r="H36" i="49"/>
  <c r="H37" i="49" s="1"/>
  <c r="F30" i="49"/>
  <c r="F31" i="49" s="1"/>
  <c r="J36" i="49"/>
  <c r="J37" i="49" s="1"/>
  <c r="K36" i="49"/>
  <c r="K37" i="49" s="1"/>
  <c r="G24" i="49"/>
  <c r="G25" i="49" s="1"/>
  <c r="L12" i="49"/>
  <c r="L13" i="49" s="1"/>
  <c r="H18" i="49"/>
  <c r="H19" i="49" s="1"/>
  <c r="K24" i="49"/>
  <c r="K25" i="49" s="1"/>
  <c r="N30" i="49"/>
  <c r="N31" i="49" s="1"/>
  <c r="G42" i="49"/>
  <c r="G43" i="49" s="1"/>
  <c r="E36" i="49"/>
  <c r="E37" i="49" s="1"/>
  <c r="K18" i="49"/>
  <c r="K19" i="49" s="1"/>
  <c r="F36" i="49"/>
  <c r="F37" i="49" s="1"/>
  <c r="G12" i="49"/>
  <c r="G13" i="49" s="1"/>
  <c r="M18" i="49"/>
  <c r="M19" i="49" s="1"/>
  <c r="L42" i="49"/>
  <c r="L43" i="49" s="1"/>
  <c r="N18" i="49"/>
  <c r="N19" i="49" s="1"/>
  <c r="I36" i="49"/>
  <c r="I37" i="49" s="1"/>
  <c r="G30" i="49"/>
  <c r="G31" i="49" s="1"/>
  <c r="E24" i="49"/>
  <c r="E25" i="49" s="1"/>
  <c r="F24" i="49"/>
  <c r="F25" i="49" s="1"/>
  <c r="I30" i="49"/>
  <c r="I31" i="49" s="1"/>
  <c r="L36" i="49"/>
  <c r="L37" i="49" s="1"/>
  <c r="M36" i="49"/>
  <c r="M37" i="49" s="1"/>
  <c r="K12" i="49"/>
  <c r="K13" i="49" s="1"/>
  <c r="I18" i="49"/>
  <c r="I19" i="49" s="1"/>
  <c r="L24" i="49"/>
  <c r="L25" i="49" s="1"/>
  <c r="H42" i="49"/>
  <c r="H43" i="49" s="1"/>
  <c r="J18" i="49"/>
  <c r="J19" i="49" s="1"/>
  <c r="I42" i="49"/>
  <c r="I43" i="49" s="1"/>
  <c r="H12" i="49"/>
  <c r="H13" i="49" s="1"/>
  <c r="L18" i="49"/>
  <c r="L19" i="49" s="1"/>
  <c r="K42" i="49"/>
  <c r="K43" i="49" s="1"/>
  <c r="E30" i="49"/>
  <c r="E31" i="49" s="1"/>
  <c r="E12" i="49"/>
  <c r="E13" i="49" s="1"/>
  <c r="M42" i="49"/>
  <c r="M43" i="49" s="1"/>
  <c r="I12" i="49"/>
  <c r="I13" i="49" s="1"/>
  <c r="H30" i="49"/>
  <c r="H31" i="49" s="1"/>
  <c r="BD6" i="48"/>
  <c r="BD5" i="48"/>
  <c r="Y13" i="48" s="1"/>
  <c r="Z13" i="48" s="1"/>
  <c r="AV5" i="48"/>
  <c r="K13" i="48" s="1"/>
  <c r="L13" i="48" s="1"/>
  <c r="AR6" i="48"/>
  <c r="AR5" i="48"/>
  <c r="AZ5" i="48"/>
  <c r="R13" i="48" s="1"/>
  <c r="S13" i="48" s="1"/>
  <c r="BG5" i="48"/>
  <c r="BK5" i="48"/>
  <c r="AM13" i="48" s="1"/>
  <c r="AN13" i="48" s="1"/>
  <c r="AV6" i="48"/>
  <c r="AZ6" i="48"/>
  <c r="BG6" i="48"/>
  <c r="BK6" i="48"/>
  <c r="AR10" i="48"/>
  <c r="AR11" i="48" s="1"/>
  <c r="AV10" i="48"/>
  <c r="AV11" i="48" s="1"/>
  <c r="AZ10" i="48"/>
  <c r="AZ11" i="48" s="1"/>
  <c r="BD10" i="48"/>
  <c r="BD11" i="48" s="1"/>
  <c r="BG10" i="48"/>
  <c r="BG11" i="48" s="1"/>
  <c r="BK10" i="48"/>
  <c r="BK11" i="48" s="1"/>
  <c r="B13" i="48"/>
  <c r="I13" i="48"/>
  <c r="P13" i="48"/>
  <c r="W13" i="48"/>
  <c r="W14" i="48" s="1"/>
  <c r="AD13" i="48"/>
  <c r="AD14" i="48" s="1"/>
  <c r="AK13" i="48"/>
  <c r="C34" i="48"/>
  <c r="J35" i="48"/>
  <c r="Q35" i="48"/>
  <c r="X35" i="48"/>
  <c r="AE35" i="48"/>
  <c r="AL35" i="48"/>
  <c r="CT37" i="23"/>
  <c r="CT55" i="23"/>
  <c r="CT73" i="23"/>
  <c r="AS25" i="23"/>
  <c r="AS18" i="23"/>
  <c r="AS11" i="23"/>
  <c r="AQ25" i="23"/>
  <c r="AQ18" i="23"/>
  <c r="AQ11" i="23"/>
  <c r="AO25" i="23"/>
  <c r="AO18" i="23"/>
  <c r="AO11" i="23"/>
  <c r="AM25" i="23"/>
  <c r="AM18" i="23"/>
  <c r="AM11" i="23"/>
  <c r="AK25" i="23"/>
  <c r="AK18" i="23"/>
  <c r="AK11" i="23"/>
  <c r="AS4" i="23"/>
  <c r="AQ4" i="23"/>
  <c r="AO4" i="23"/>
  <c r="AM4" i="23"/>
  <c r="AK4" i="23"/>
  <c r="CF41" i="23"/>
  <c r="CF36" i="23"/>
  <c r="CF35" i="23"/>
  <c r="CF34" i="23"/>
  <c r="CF33" i="23"/>
  <c r="CF32" i="23"/>
  <c r="CF31" i="23"/>
  <c r="CE31" i="23" s="1"/>
  <c r="CF30" i="23"/>
  <c r="CF29" i="23"/>
  <c r="CF28" i="23"/>
  <c r="CE28" i="23" s="1"/>
  <c r="CF27" i="23"/>
  <c r="CE27" i="23" s="1"/>
  <c r="CF26" i="23"/>
  <c r="CE26" i="23" s="1"/>
  <c r="CF25" i="23"/>
  <c r="CE25" i="23" s="1"/>
  <c r="CF24" i="23"/>
  <c r="CE24" i="23" s="1"/>
  <c r="CF23" i="23"/>
  <c r="CH60" i="23"/>
  <c r="CG60" i="23" s="1"/>
  <c r="BZ59" i="23"/>
  <c r="CH59" i="23" s="1"/>
  <c r="CG59" i="23" s="1"/>
  <c r="CF72" i="23"/>
  <c r="CF71" i="23"/>
  <c r="CE71" i="23" s="1"/>
  <c r="CF70" i="23"/>
  <c r="CE70" i="23" s="1"/>
  <c r="CF69" i="23"/>
  <c r="CE69" i="23" s="1"/>
  <c r="CF68" i="23"/>
  <c r="CE68" i="23" s="1"/>
  <c r="CF67" i="23"/>
  <c r="CE67" i="23" s="1"/>
  <c r="CF66" i="23"/>
  <c r="CE66" i="23" s="1"/>
  <c r="CF65" i="23"/>
  <c r="CE65" i="23" s="1"/>
  <c r="CF64" i="23"/>
  <c r="CE64" i="23" s="1"/>
  <c r="CF63" i="23"/>
  <c r="CE63" i="23" s="1"/>
  <c r="CF62" i="23"/>
  <c r="CE62" i="23" s="1"/>
  <c r="CF61" i="23"/>
  <c r="CE61" i="23" s="1"/>
  <c r="CF60" i="23"/>
  <c r="CE60" i="23" s="1"/>
  <c r="CT60" i="23" s="1"/>
  <c r="CF59" i="23"/>
  <c r="CE59" i="23" s="1"/>
  <c r="CH73" i="23"/>
  <c r="CG73" i="23" s="1"/>
  <c r="CF73" i="23"/>
  <c r="CH72" i="23"/>
  <c r="CG72" i="23" s="1"/>
  <c r="CT72" i="23" s="1"/>
  <c r="CH71" i="23"/>
  <c r="CG71" i="23" s="1"/>
  <c r="CH70" i="23"/>
  <c r="CG70" i="23" s="1"/>
  <c r="CH69" i="23"/>
  <c r="CG69" i="23" s="1"/>
  <c r="CH68" i="23"/>
  <c r="CG68" i="23" s="1"/>
  <c r="CH67" i="23"/>
  <c r="CG67" i="23" s="1"/>
  <c r="CH66" i="23"/>
  <c r="CG66" i="23" s="1"/>
  <c r="CH65" i="23"/>
  <c r="CG65" i="23" s="1"/>
  <c r="CH64" i="23"/>
  <c r="CG64" i="23" s="1"/>
  <c r="CH63" i="23"/>
  <c r="CG63" i="23" s="1"/>
  <c r="CH62" i="23"/>
  <c r="CG62" i="23" s="1"/>
  <c r="CH61" i="23"/>
  <c r="CG61" i="23" s="1"/>
  <c r="AQ24" i="23"/>
  <c r="AQ17" i="23"/>
  <c r="AQ10" i="23"/>
  <c r="AQ3" i="23"/>
  <c r="BZ41" i="23"/>
  <c r="CH47" i="23" s="1"/>
  <c r="CG47" i="23" s="1"/>
  <c r="BZ23" i="23"/>
  <c r="CH25" i="23" s="1"/>
  <c r="CG25" i="23" s="1"/>
  <c r="CF54" i="23"/>
  <c r="CF53" i="23"/>
  <c r="CE53" i="23" s="1"/>
  <c r="CF52" i="23"/>
  <c r="CE52" i="23" s="1"/>
  <c r="CF51" i="23"/>
  <c r="CE51" i="23" s="1"/>
  <c r="CF50" i="23"/>
  <c r="CE50" i="23" s="1"/>
  <c r="CF49" i="23"/>
  <c r="CE49" i="23" s="1"/>
  <c r="CF48" i="23"/>
  <c r="CE48" i="23" s="1"/>
  <c r="CF47" i="23"/>
  <c r="CE47" i="23" s="1"/>
  <c r="CF46" i="23"/>
  <c r="CE46" i="23" s="1"/>
  <c r="CF45" i="23"/>
  <c r="CE45" i="23" s="1"/>
  <c r="CF44" i="23"/>
  <c r="CE44" i="23" s="1"/>
  <c r="CF43" i="23"/>
  <c r="CE43" i="23" s="1"/>
  <c r="CF42" i="23"/>
  <c r="CE42" i="23" s="1"/>
  <c r="CE41" i="23"/>
  <c r="CF55" i="23"/>
  <c r="BM39" i="23"/>
  <c r="BO39" i="23" s="1"/>
  <c r="BM40" i="23"/>
  <c r="BO40" i="23" s="1"/>
  <c r="BM41" i="23"/>
  <c r="BO41" i="23" s="1"/>
  <c r="BM42" i="23"/>
  <c r="BO42" i="23" s="1"/>
  <c r="BM43" i="23"/>
  <c r="BO43" i="23" s="1"/>
  <c r="BM44" i="23"/>
  <c r="BO44" i="23" s="1"/>
  <c r="BM45" i="23"/>
  <c r="BO45" i="23" s="1"/>
  <c r="CE33" i="23"/>
  <c r="CE34" i="23"/>
  <c r="CE35" i="23"/>
  <c r="CF37" i="23"/>
  <c r="CE23" i="23"/>
  <c r="CH4" i="23"/>
  <c r="CG4" i="23" s="1"/>
  <c r="CH5" i="23"/>
  <c r="CG5" i="23" s="1"/>
  <c r="CH6" i="23"/>
  <c r="CG6" i="23" s="1"/>
  <c r="CH7" i="23"/>
  <c r="CG7" i="23" s="1"/>
  <c r="CH8" i="23"/>
  <c r="CG8" i="23" s="1"/>
  <c r="CH9" i="23"/>
  <c r="CG9" i="23" s="1"/>
  <c r="CH10" i="23"/>
  <c r="CG10" i="23" s="1"/>
  <c r="CH11" i="23"/>
  <c r="CG11" i="23" s="1"/>
  <c r="CH12" i="23"/>
  <c r="CG12" i="23" s="1"/>
  <c r="CH13" i="23"/>
  <c r="CG13" i="23" s="1"/>
  <c r="CH14" i="23"/>
  <c r="CG14" i="23" s="1"/>
  <c r="CH15" i="23"/>
  <c r="CG15" i="23" s="1"/>
  <c r="CH16" i="23"/>
  <c r="CG16" i="23" s="1"/>
  <c r="CH17" i="23"/>
  <c r="CG17" i="23" s="1"/>
  <c r="CT17" i="23" s="1"/>
  <c r="CH18" i="23"/>
  <c r="BC2" i="23"/>
  <c r="CE29" i="23"/>
  <c r="CE32" i="23"/>
  <c r="CE30" i="23"/>
  <c r="CE4" i="23"/>
  <c r="CF4" i="23"/>
  <c r="CF5" i="23"/>
  <c r="CF6" i="23"/>
  <c r="CE6" i="23" s="1"/>
  <c r="CF7" i="23"/>
  <c r="CE7" i="23" s="1"/>
  <c r="CF8" i="23"/>
  <c r="CE8" i="23" s="1"/>
  <c r="CF9" i="23"/>
  <c r="CE9" i="23" s="1"/>
  <c r="CF10" i="23"/>
  <c r="CE10" i="23" s="1"/>
  <c r="CF11" i="23"/>
  <c r="CE11" i="23" s="1"/>
  <c r="CF12" i="23"/>
  <c r="CE12" i="23" s="1"/>
  <c r="CF13" i="23"/>
  <c r="CE13" i="23" s="1"/>
  <c r="CF14" i="23"/>
  <c r="CE14" i="23" s="1"/>
  <c r="CF15" i="23"/>
  <c r="CE15" i="23" s="1"/>
  <c r="CF16" i="23"/>
  <c r="CE16" i="23" s="1"/>
  <c r="CF17" i="23"/>
  <c r="CF18" i="23"/>
  <c r="CE5" i="23"/>
  <c r="AK14" i="48" l="1"/>
  <c r="P14" i="48"/>
  <c r="BD7" i="48"/>
  <c r="BD8" i="48" s="1"/>
  <c r="Y14" i="48" s="1"/>
  <c r="Z14" i="48" s="1"/>
  <c r="AZ7" i="48"/>
  <c r="AZ8" i="48" s="1"/>
  <c r="R14" i="48" s="1"/>
  <c r="S14" i="48" s="1"/>
  <c r="AV7" i="48"/>
  <c r="AV8" i="48" s="1"/>
  <c r="BK7" i="48"/>
  <c r="BK8" i="48" s="1"/>
  <c r="AM14" i="48" s="1"/>
  <c r="AN14" i="48" s="1"/>
  <c r="BG7" i="48"/>
  <c r="BG8" i="48" s="1"/>
  <c r="AF13" i="48"/>
  <c r="AG13" i="48" s="1"/>
  <c r="AD15" i="48"/>
  <c r="AE13" i="48"/>
  <c r="D13" i="48"/>
  <c r="E13" i="48" s="1"/>
  <c r="AR7" i="48"/>
  <c r="AR8" i="48" s="1"/>
  <c r="X13" i="48"/>
  <c r="W15" i="48"/>
  <c r="I14" i="48"/>
  <c r="B14" i="48"/>
  <c r="AL13" i="48"/>
  <c r="AK15" i="48"/>
  <c r="Q13" i="48"/>
  <c r="P15" i="48"/>
  <c r="CT4" i="23"/>
  <c r="CT69" i="23"/>
  <c r="CT70" i="23"/>
  <c r="CH50" i="23"/>
  <c r="CG50" i="23" s="1"/>
  <c r="CH54" i="23"/>
  <c r="CG54" i="23" s="1"/>
  <c r="CT54" i="23" s="1"/>
  <c r="CH43" i="23"/>
  <c r="CG43" i="23" s="1"/>
  <c r="CH24" i="23"/>
  <c r="CG24" i="23" s="1"/>
  <c r="CT24" i="23" s="1"/>
  <c r="CH48" i="23"/>
  <c r="CG48" i="23" s="1"/>
  <c r="CH29" i="23"/>
  <c r="CG29" i="23" s="1"/>
  <c r="CH31" i="23"/>
  <c r="CG31" i="23" s="1"/>
  <c r="CH51" i="23"/>
  <c r="CG51" i="23" s="1"/>
  <c r="CT51" i="23" s="1"/>
  <c r="CH52" i="23"/>
  <c r="CG52" i="23" s="1"/>
  <c r="CT52" i="23" s="1"/>
  <c r="CH42" i="23"/>
  <c r="CG42" i="23" s="1"/>
  <c r="CT42" i="23" s="1"/>
  <c r="CH44" i="23"/>
  <c r="CG44" i="23" s="1"/>
  <c r="CH28" i="23"/>
  <c r="CG28" i="23" s="1"/>
  <c r="CH49" i="23"/>
  <c r="CG49" i="23" s="1"/>
  <c r="CH30" i="23"/>
  <c r="CG30" i="23" s="1"/>
  <c r="CH32" i="23"/>
  <c r="CG32" i="23" s="1"/>
  <c r="CH33" i="23"/>
  <c r="CG33" i="23" s="1"/>
  <c r="CT33" i="23" s="1"/>
  <c r="CH35" i="23"/>
  <c r="CG35" i="23" s="1"/>
  <c r="CT35" i="23" s="1"/>
  <c r="CH23" i="23"/>
  <c r="CG23" i="23" s="1"/>
  <c r="CT23" i="23" s="1"/>
  <c r="CH37" i="23"/>
  <c r="CG37" i="23" s="1"/>
  <c r="CH45" i="23"/>
  <c r="CG45" i="23" s="1"/>
  <c r="CH26" i="23"/>
  <c r="CG26" i="23" s="1"/>
  <c r="CH53" i="23"/>
  <c r="CG53" i="23" s="1"/>
  <c r="CT53" i="23" s="1"/>
  <c r="CH34" i="23"/>
  <c r="CG34" i="23" s="1"/>
  <c r="CT34" i="23" s="1"/>
  <c r="CH41" i="23"/>
  <c r="CG41" i="23" s="1"/>
  <c r="CT41" i="23" s="1"/>
  <c r="CH55" i="23"/>
  <c r="CG55" i="23" s="1"/>
  <c r="CH36" i="23"/>
  <c r="CG36" i="23" s="1"/>
  <c r="CT36" i="23" s="1"/>
  <c r="CT71" i="23"/>
  <c r="CH46" i="23"/>
  <c r="CG46" i="23" s="1"/>
  <c r="CH27" i="23"/>
  <c r="CG27" i="23" s="1"/>
  <c r="CT59" i="23"/>
  <c r="CT14" i="23"/>
  <c r="CT15" i="23"/>
  <c r="CT16" i="23"/>
  <c r="CJ41" i="23"/>
  <c r="AF14" i="48" l="1"/>
  <c r="AG14" i="48" s="1"/>
  <c r="P16" i="48"/>
  <c r="R15" i="48"/>
  <c r="S15" i="48" s="1"/>
  <c r="Q14" i="48"/>
  <c r="AE14" i="48"/>
  <c r="AD16" i="48"/>
  <c r="AK16" i="48"/>
  <c r="AM15" i="48"/>
  <c r="AN15" i="48" s="1"/>
  <c r="AL14" i="48"/>
  <c r="D14" i="48"/>
  <c r="E14" i="48" s="1"/>
  <c r="C13" i="48"/>
  <c r="B15" i="48"/>
  <c r="I15" i="48"/>
  <c r="K14" i="48"/>
  <c r="L14" i="48" s="1"/>
  <c r="J13" i="48"/>
  <c r="X14" i="48"/>
  <c r="W16" i="48"/>
  <c r="Y15" i="48"/>
  <c r="Z15" i="48" s="1"/>
  <c r="CN62" i="23"/>
  <c r="CN67" i="23"/>
  <c r="CN61" i="23"/>
  <c r="CN65" i="23"/>
  <c r="CN64" i="23"/>
  <c r="CN68" i="23"/>
  <c r="CN60" i="23"/>
  <c r="CN63" i="23"/>
  <c r="CN66" i="23"/>
  <c r="CL60" i="23"/>
  <c r="CL65" i="23"/>
  <c r="CL68" i="23"/>
  <c r="CL66" i="23"/>
  <c r="CL64" i="23"/>
  <c r="CL63" i="23"/>
  <c r="CL62" i="23"/>
  <c r="CL67" i="23"/>
  <c r="CL61" i="23"/>
  <c r="CR60" i="23"/>
  <c r="CR65" i="23"/>
  <c r="CR63" i="23"/>
  <c r="CR68" i="23"/>
  <c r="CR67" i="23"/>
  <c r="CR66" i="23"/>
  <c r="CR62" i="23"/>
  <c r="CR64" i="23"/>
  <c r="CR61" i="23"/>
  <c r="CN42" i="23"/>
  <c r="CN47" i="23"/>
  <c r="CN50" i="23"/>
  <c r="CN46" i="23"/>
  <c r="CN43" i="23"/>
  <c r="CN48" i="23"/>
  <c r="CN45" i="23"/>
  <c r="CN44" i="23"/>
  <c r="CN49" i="23"/>
  <c r="CP42" i="23"/>
  <c r="CP48" i="23"/>
  <c r="CP44" i="23"/>
  <c r="CP49" i="23"/>
  <c r="CP46" i="23"/>
  <c r="CP50" i="23"/>
  <c r="CP47" i="23"/>
  <c r="CP45" i="23"/>
  <c r="CP43" i="23"/>
  <c r="CR42" i="23"/>
  <c r="CR45" i="23"/>
  <c r="CR49" i="23"/>
  <c r="CR44" i="23"/>
  <c r="CR47" i="23"/>
  <c r="CR46" i="23"/>
  <c r="CR43" i="23"/>
  <c r="CR50" i="23"/>
  <c r="CR48" i="23"/>
  <c r="CP68" i="23"/>
  <c r="CP61" i="23"/>
  <c r="CP67" i="23"/>
  <c r="CP64" i="23"/>
  <c r="CP60" i="23"/>
  <c r="CP66" i="23"/>
  <c r="CP63" i="23"/>
  <c r="CP62" i="23"/>
  <c r="CP65" i="23"/>
  <c r="CJ69" i="23"/>
  <c r="CJ63" i="23"/>
  <c r="CJ62" i="23"/>
  <c r="CJ61" i="23"/>
  <c r="CJ60" i="23"/>
  <c r="CJ71" i="23"/>
  <c r="CJ70" i="23"/>
  <c r="CJ68" i="23"/>
  <c r="CJ72" i="23"/>
  <c r="CJ67" i="23"/>
  <c r="CJ65" i="23"/>
  <c r="CJ64" i="23"/>
  <c r="CJ66" i="23"/>
  <c r="CJ73" i="23"/>
  <c r="CJ59" i="23"/>
  <c r="CL42" i="23"/>
  <c r="CL50" i="23"/>
  <c r="CL43" i="23"/>
  <c r="CL48" i="23"/>
  <c r="CL46" i="23"/>
  <c r="CL45" i="23"/>
  <c r="CL44" i="23"/>
  <c r="CL49" i="23"/>
  <c r="CL47" i="23"/>
  <c r="CJ49" i="23"/>
  <c r="CJ53" i="23"/>
  <c r="CJ46" i="23"/>
  <c r="CJ52" i="23"/>
  <c r="CJ43" i="23"/>
  <c r="CJ51" i="23"/>
  <c r="CJ42" i="23"/>
  <c r="CJ45" i="23"/>
  <c r="CJ50" i="23"/>
  <c r="CJ44" i="23"/>
  <c r="CJ55" i="23"/>
  <c r="CJ47" i="23"/>
  <c r="CJ54" i="23"/>
  <c r="CJ48" i="23"/>
  <c r="CP27" i="23"/>
  <c r="CP30" i="23"/>
  <c r="CP29" i="23"/>
  <c r="CP26" i="23"/>
  <c r="CP25" i="23"/>
  <c r="CP24" i="23"/>
  <c r="CP32" i="23"/>
  <c r="CP28" i="23"/>
  <c r="CP31" i="23"/>
  <c r="CR32" i="23"/>
  <c r="CR24" i="23"/>
  <c r="CR31" i="23"/>
  <c r="CR30" i="23"/>
  <c r="CR29" i="23"/>
  <c r="CR28" i="23"/>
  <c r="CR25" i="23"/>
  <c r="CR27" i="23"/>
  <c r="CR26" i="23"/>
  <c r="CL31" i="23"/>
  <c r="CL26" i="23"/>
  <c r="CL30" i="23"/>
  <c r="CL24" i="23"/>
  <c r="CL29" i="23"/>
  <c r="CL28" i="23"/>
  <c r="CL27" i="23"/>
  <c r="CL25" i="23"/>
  <c r="CL32" i="23"/>
  <c r="CJ29" i="23"/>
  <c r="CJ26" i="23"/>
  <c r="CJ30" i="23"/>
  <c r="CJ34" i="23"/>
  <c r="CJ37" i="23"/>
  <c r="CJ28" i="23"/>
  <c r="CJ31" i="23"/>
  <c r="CJ32" i="23"/>
  <c r="CJ36" i="23"/>
  <c r="CJ23" i="23"/>
  <c r="CJ25" i="23"/>
  <c r="CJ33" i="23"/>
  <c r="CJ24" i="23"/>
  <c r="CJ35" i="23"/>
  <c r="CJ27" i="23"/>
  <c r="CN29" i="23"/>
  <c r="CN28" i="23"/>
  <c r="CN27" i="23"/>
  <c r="CN24" i="23"/>
  <c r="CN32" i="23"/>
  <c r="CN31" i="23"/>
  <c r="CN25" i="23"/>
  <c r="CN26" i="23"/>
  <c r="CN30" i="23"/>
  <c r="CJ4" i="23"/>
  <c r="CJ18" i="23"/>
  <c r="CJ6" i="23"/>
  <c r="CJ7" i="23"/>
  <c r="CJ8" i="23"/>
  <c r="CJ9" i="23"/>
  <c r="CJ10" i="23"/>
  <c r="CJ11" i="23"/>
  <c r="CJ12" i="23"/>
  <c r="CJ13" i="23"/>
  <c r="CJ14" i="23"/>
  <c r="CJ15" i="23"/>
  <c r="CJ16" i="23"/>
  <c r="CJ17" i="23"/>
  <c r="CJ5" i="23"/>
  <c r="CL12" i="23"/>
  <c r="CL9" i="23"/>
  <c r="CL8" i="23"/>
  <c r="CL7" i="23"/>
  <c r="CL6" i="23"/>
  <c r="CL5" i="23"/>
  <c r="CL13" i="23"/>
  <c r="CL11" i="23"/>
  <c r="CL10" i="23"/>
  <c r="CR10" i="23"/>
  <c r="CR9" i="23"/>
  <c r="CR8" i="23"/>
  <c r="CR7" i="23"/>
  <c r="CR5" i="23"/>
  <c r="CR12" i="23"/>
  <c r="CR11" i="23"/>
  <c r="CR6" i="23"/>
  <c r="CR13" i="23"/>
  <c r="CN8" i="23"/>
  <c r="CN7" i="23"/>
  <c r="CN6" i="23"/>
  <c r="CN5" i="23"/>
  <c r="CN13" i="23"/>
  <c r="CN12" i="23"/>
  <c r="CN11" i="23"/>
  <c r="CN10" i="23"/>
  <c r="CN9" i="23"/>
  <c r="CP5" i="23"/>
  <c r="CP10" i="23"/>
  <c r="CP9" i="23"/>
  <c r="CP7" i="23"/>
  <c r="CP6" i="23"/>
  <c r="CP13" i="23"/>
  <c r="CP12" i="23"/>
  <c r="CP11" i="23"/>
  <c r="CP8" i="23"/>
  <c r="AO7" i="22"/>
  <c r="AO6" i="22"/>
  <c r="AS46" i="6"/>
  <c r="AS45" i="6"/>
  <c r="AS44" i="6"/>
  <c r="AS43" i="6"/>
  <c r="AS42" i="6"/>
  <c r="AS41" i="6"/>
  <c r="AS40" i="6"/>
  <c r="AS39" i="6"/>
  <c r="AS38" i="6"/>
  <c r="AS37" i="6"/>
  <c r="AS36" i="6"/>
  <c r="AS35" i="6"/>
  <c r="AS34" i="6"/>
  <c r="AS33" i="6"/>
  <c r="AS32" i="6"/>
  <c r="AS31" i="6"/>
  <c r="AS30" i="6"/>
  <c r="AS29" i="6"/>
  <c r="AS28" i="6"/>
  <c r="AS27" i="6"/>
  <c r="AS26" i="6"/>
  <c r="AS25" i="6"/>
  <c r="AS24" i="6"/>
  <c r="AS23" i="6"/>
  <c r="AS22" i="6"/>
  <c r="AS21" i="6"/>
  <c r="Z46" i="6"/>
  <c r="BH46" i="6" s="1"/>
  <c r="Z45" i="6"/>
  <c r="AV45" i="6" s="1"/>
  <c r="Z44" i="6"/>
  <c r="AX44" i="6" s="1"/>
  <c r="Z43" i="6"/>
  <c r="AZ43" i="6" s="1"/>
  <c r="Z42" i="6"/>
  <c r="BB42" i="6" s="1"/>
  <c r="Z41" i="6"/>
  <c r="BD41" i="6" s="1"/>
  <c r="Z40" i="6"/>
  <c r="BF40" i="6" s="1"/>
  <c r="Z39" i="6"/>
  <c r="BH39" i="6" s="1"/>
  <c r="Z38" i="6"/>
  <c r="AV38" i="6" s="1"/>
  <c r="Z37" i="6"/>
  <c r="AX37" i="6" s="1"/>
  <c r="Z36" i="6"/>
  <c r="AZ36" i="6" s="1"/>
  <c r="Z35" i="6"/>
  <c r="BB35" i="6" s="1"/>
  <c r="Z34" i="6"/>
  <c r="BD34" i="6" s="1"/>
  <c r="Z33" i="6"/>
  <c r="BF33" i="6" s="1"/>
  <c r="Z32" i="6"/>
  <c r="BH32" i="6" s="1"/>
  <c r="Z31" i="6"/>
  <c r="AV31" i="6" s="1"/>
  <c r="Z30" i="6"/>
  <c r="AX30" i="6" s="1"/>
  <c r="Z29" i="6"/>
  <c r="AZ29" i="6" s="1"/>
  <c r="Z28" i="6"/>
  <c r="BB28" i="6" s="1"/>
  <c r="Z27" i="6"/>
  <c r="BD27" i="6" s="1"/>
  <c r="Z26" i="6"/>
  <c r="BF26" i="6" s="1"/>
  <c r="Z25" i="6"/>
  <c r="BH25" i="6" s="1"/>
  <c r="Z24" i="6"/>
  <c r="AV24" i="6" s="1"/>
  <c r="Z23" i="6"/>
  <c r="AX23" i="6" s="1"/>
  <c r="Z22" i="6"/>
  <c r="AZ22" i="6" s="1"/>
  <c r="Z21" i="6"/>
  <c r="BB21" i="6" s="1"/>
  <c r="G6" i="19"/>
  <c r="F9" i="36"/>
  <c r="C51" i="11"/>
  <c r="D51" i="11"/>
  <c r="D4" i="27"/>
  <c r="E8" i="21"/>
  <c r="I5" i="47"/>
  <c r="H133" i="47"/>
  <c r="H132" i="47"/>
  <c r="H131" i="47"/>
  <c r="H130" i="47"/>
  <c r="H129" i="47"/>
  <c r="H128" i="47"/>
  <c r="H127" i="47"/>
  <c r="H126" i="47"/>
  <c r="H125" i="47"/>
  <c r="H124" i="47"/>
  <c r="H123" i="47"/>
  <c r="H122" i="47"/>
  <c r="H121" i="47"/>
  <c r="H120" i="47"/>
  <c r="H119" i="47"/>
  <c r="H118" i="47"/>
  <c r="H117" i="47"/>
  <c r="H116" i="47"/>
  <c r="H115" i="47"/>
  <c r="H114" i="47"/>
  <c r="H113" i="47"/>
  <c r="H112" i="47"/>
  <c r="H111" i="47"/>
  <c r="H110" i="47"/>
  <c r="H109" i="47"/>
  <c r="H108" i="47"/>
  <c r="H107" i="47"/>
  <c r="H106" i="47"/>
  <c r="H105" i="47"/>
  <c r="H104" i="47"/>
  <c r="H103" i="47"/>
  <c r="H102" i="47"/>
  <c r="H101" i="47"/>
  <c r="H100" i="47"/>
  <c r="H99" i="47"/>
  <c r="H98" i="47"/>
  <c r="H97" i="47"/>
  <c r="H96" i="47"/>
  <c r="H95" i="47"/>
  <c r="H94" i="47"/>
  <c r="H93" i="47"/>
  <c r="H92" i="47"/>
  <c r="H91" i="47"/>
  <c r="H90" i="47"/>
  <c r="H89" i="47"/>
  <c r="H88" i="47"/>
  <c r="H87" i="47"/>
  <c r="H86" i="47"/>
  <c r="H85" i="47"/>
  <c r="H84" i="47"/>
  <c r="H83" i="47"/>
  <c r="H82" i="47"/>
  <c r="H81" i="47"/>
  <c r="H80" i="47"/>
  <c r="H79" i="47"/>
  <c r="H78" i="47"/>
  <c r="H77" i="47"/>
  <c r="H76" i="47"/>
  <c r="H75" i="47"/>
  <c r="H74" i="47"/>
  <c r="H73" i="47"/>
  <c r="H72" i="47"/>
  <c r="H71" i="47"/>
  <c r="H70" i="47"/>
  <c r="H69" i="47"/>
  <c r="H68" i="47"/>
  <c r="H67" i="47"/>
  <c r="H66" i="47"/>
  <c r="H65" i="47"/>
  <c r="H64" i="47"/>
  <c r="H63" i="47"/>
  <c r="H62" i="47"/>
  <c r="H61" i="47"/>
  <c r="H60" i="47"/>
  <c r="H59" i="47"/>
  <c r="H58" i="47"/>
  <c r="H57" i="47"/>
  <c r="H56" i="47"/>
  <c r="H55" i="47"/>
  <c r="H54" i="47"/>
  <c r="H53" i="47"/>
  <c r="H52" i="47"/>
  <c r="H51" i="47"/>
  <c r="H50" i="47"/>
  <c r="H49" i="47"/>
  <c r="H48" i="47"/>
  <c r="H47" i="47"/>
  <c r="H46" i="47"/>
  <c r="H45" i="47"/>
  <c r="H44" i="47"/>
  <c r="H43" i="47"/>
  <c r="H42" i="47"/>
  <c r="H41" i="47"/>
  <c r="H40" i="47"/>
  <c r="H39" i="47"/>
  <c r="H38" i="47"/>
  <c r="H37" i="47"/>
  <c r="H36" i="47"/>
  <c r="H35" i="47"/>
  <c r="H34" i="47"/>
  <c r="H33" i="47"/>
  <c r="H32" i="47"/>
  <c r="H31" i="47"/>
  <c r="H30" i="47"/>
  <c r="H29" i="47"/>
  <c r="H28" i="47"/>
  <c r="H27" i="47"/>
  <c r="H26" i="47"/>
  <c r="H25" i="47"/>
  <c r="H24" i="47"/>
  <c r="H23" i="47"/>
  <c r="H22" i="47"/>
  <c r="H21" i="47"/>
  <c r="H20" i="47"/>
  <c r="H19" i="47"/>
  <c r="H18" i="47"/>
  <c r="H17" i="47"/>
  <c r="H16" i="47"/>
  <c r="H15" i="47"/>
  <c r="H14" i="47"/>
  <c r="H13" i="47"/>
  <c r="H12" i="47"/>
  <c r="H11" i="47"/>
  <c r="H10" i="47"/>
  <c r="H9" i="47"/>
  <c r="H8" i="47"/>
  <c r="H7" i="47"/>
  <c r="H6" i="47"/>
  <c r="E133" i="47"/>
  <c r="D133" i="47"/>
  <c r="C133" i="47"/>
  <c r="E132" i="47"/>
  <c r="D132" i="47"/>
  <c r="C132" i="47"/>
  <c r="E131" i="47"/>
  <c r="D131" i="47"/>
  <c r="C131" i="47"/>
  <c r="E130" i="47"/>
  <c r="D130" i="47"/>
  <c r="C130" i="47"/>
  <c r="E129" i="47"/>
  <c r="D129" i="47"/>
  <c r="C129" i="47"/>
  <c r="E128" i="47"/>
  <c r="D128" i="47"/>
  <c r="C128" i="47"/>
  <c r="E127" i="47"/>
  <c r="D127" i="47"/>
  <c r="C127" i="47"/>
  <c r="E126" i="47"/>
  <c r="D126" i="47"/>
  <c r="C126" i="47"/>
  <c r="E125" i="47"/>
  <c r="D125" i="47"/>
  <c r="C125" i="47"/>
  <c r="E124" i="47"/>
  <c r="D124" i="47"/>
  <c r="C124" i="47"/>
  <c r="E123" i="47"/>
  <c r="D123" i="47"/>
  <c r="C123" i="47"/>
  <c r="E122" i="47"/>
  <c r="D122" i="47"/>
  <c r="C122" i="47"/>
  <c r="E121" i="47"/>
  <c r="D121" i="47"/>
  <c r="C121" i="47"/>
  <c r="E120" i="47"/>
  <c r="D120" i="47"/>
  <c r="C120" i="47"/>
  <c r="E119" i="47"/>
  <c r="D119" i="47"/>
  <c r="C119" i="47"/>
  <c r="E118" i="47"/>
  <c r="D118" i="47"/>
  <c r="C118" i="47"/>
  <c r="E117" i="47"/>
  <c r="D117" i="47"/>
  <c r="C117" i="47"/>
  <c r="E116" i="47"/>
  <c r="D116" i="47"/>
  <c r="C116" i="47"/>
  <c r="E115" i="47"/>
  <c r="D115" i="47"/>
  <c r="C115" i="47"/>
  <c r="E114" i="47"/>
  <c r="D114" i="47"/>
  <c r="C114" i="47"/>
  <c r="E113" i="47"/>
  <c r="D113" i="47"/>
  <c r="C113" i="47"/>
  <c r="E112" i="47"/>
  <c r="D112" i="47"/>
  <c r="C112" i="47"/>
  <c r="E111" i="47"/>
  <c r="D111" i="47"/>
  <c r="C111" i="47"/>
  <c r="E110" i="47"/>
  <c r="D110" i="47"/>
  <c r="C110" i="47"/>
  <c r="E109" i="47"/>
  <c r="D109" i="47"/>
  <c r="C109" i="47"/>
  <c r="E108" i="47"/>
  <c r="D108" i="47"/>
  <c r="C108" i="47"/>
  <c r="E107" i="47"/>
  <c r="D107" i="47"/>
  <c r="C107" i="47"/>
  <c r="E106" i="47"/>
  <c r="D106" i="47"/>
  <c r="C106" i="47"/>
  <c r="E105" i="47"/>
  <c r="D105" i="47"/>
  <c r="C105" i="47"/>
  <c r="E104" i="47"/>
  <c r="D104" i="47"/>
  <c r="C104" i="47"/>
  <c r="E103" i="47"/>
  <c r="D103" i="47"/>
  <c r="C103" i="47"/>
  <c r="E102" i="47"/>
  <c r="D102" i="47"/>
  <c r="C102" i="47"/>
  <c r="E101" i="47"/>
  <c r="D101" i="47"/>
  <c r="C101" i="47"/>
  <c r="E100" i="47"/>
  <c r="D100" i="47"/>
  <c r="C100" i="47"/>
  <c r="E99" i="47"/>
  <c r="D99" i="47"/>
  <c r="C99" i="47"/>
  <c r="E98" i="47"/>
  <c r="D98" i="47"/>
  <c r="C98" i="47"/>
  <c r="E97" i="47"/>
  <c r="D97" i="47"/>
  <c r="C97" i="47"/>
  <c r="E96" i="47"/>
  <c r="D96" i="47"/>
  <c r="C96" i="47"/>
  <c r="E95" i="47"/>
  <c r="D95" i="47"/>
  <c r="C95" i="47"/>
  <c r="E94" i="47"/>
  <c r="D94" i="47"/>
  <c r="C94" i="47"/>
  <c r="E93" i="47"/>
  <c r="D93" i="47"/>
  <c r="C93" i="47"/>
  <c r="E92" i="47"/>
  <c r="D92" i="47"/>
  <c r="C92" i="47"/>
  <c r="E91" i="47"/>
  <c r="D91" i="47"/>
  <c r="C91" i="47"/>
  <c r="E90" i="47"/>
  <c r="D90" i="47"/>
  <c r="C90" i="47"/>
  <c r="E89" i="47"/>
  <c r="D89" i="47"/>
  <c r="C89" i="47"/>
  <c r="E88" i="47"/>
  <c r="D88" i="47"/>
  <c r="C88" i="47"/>
  <c r="E87" i="47"/>
  <c r="D87" i="47"/>
  <c r="C87" i="47"/>
  <c r="E86" i="47"/>
  <c r="D86" i="47"/>
  <c r="C86" i="47"/>
  <c r="E85" i="47"/>
  <c r="D85" i="47"/>
  <c r="C85" i="47"/>
  <c r="E84" i="47"/>
  <c r="D84" i="47"/>
  <c r="C84" i="47"/>
  <c r="E83" i="47"/>
  <c r="D83" i="47"/>
  <c r="C83" i="47"/>
  <c r="E82" i="47"/>
  <c r="D82" i="47"/>
  <c r="C82" i="47"/>
  <c r="E81" i="47"/>
  <c r="D81" i="47"/>
  <c r="C81" i="47"/>
  <c r="E80" i="47"/>
  <c r="D80" i="47"/>
  <c r="C80" i="47"/>
  <c r="E79" i="47"/>
  <c r="D79" i="47"/>
  <c r="C79" i="47"/>
  <c r="E78" i="47"/>
  <c r="D78" i="47"/>
  <c r="C78" i="47"/>
  <c r="E77" i="47"/>
  <c r="D77" i="47"/>
  <c r="C77" i="47"/>
  <c r="E76" i="47"/>
  <c r="D76" i="47"/>
  <c r="C76" i="47"/>
  <c r="E75" i="47"/>
  <c r="D75" i="47"/>
  <c r="C75" i="47"/>
  <c r="E74" i="47"/>
  <c r="D74" i="47"/>
  <c r="C74" i="47"/>
  <c r="E73" i="47"/>
  <c r="D73" i="47"/>
  <c r="C73" i="47"/>
  <c r="E72" i="47"/>
  <c r="D72" i="47"/>
  <c r="C72" i="47"/>
  <c r="E71" i="47"/>
  <c r="D71" i="47"/>
  <c r="C71" i="47"/>
  <c r="E70" i="47"/>
  <c r="D70" i="47"/>
  <c r="C70" i="47"/>
  <c r="E69" i="47"/>
  <c r="D69" i="47"/>
  <c r="C69" i="47"/>
  <c r="E68" i="47"/>
  <c r="D68" i="47"/>
  <c r="C68" i="47"/>
  <c r="E67" i="47"/>
  <c r="D67" i="47"/>
  <c r="C67" i="47"/>
  <c r="E66" i="47"/>
  <c r="D66" i="47"/>
  <c r="C66" i="47"/>
  <c r="E65" i="47"/>
  <c r="D65" i="47"/>
  <c r="C65" i="47"/>
  <c r="E64" i="47"/>
  <c r="D64" i="47"/>
  <c r="C64" i="47"/>
  <c r="E63" i="47"/>
  <c r="D63" i="47"/>
  <c r="C63" i="47"/>
  <c r="E62" i="47"/>
  <c r="D62" i="47"/>
  <c r="C62" i="47"/>
  <c r="E61" i="47"/>
  <c r="D61" i="47"/>
  <c r="C61" i="47"/>
  <c r="E60" i="47"/>
  <c r="D60" i="47"/>
  <c r="C60" i="47"/>
  <c r="E59" i="47"/>
  <c r="D59" i="47"/>
  <c r="C59" i="47"/>
  <c r="E58" i="47"/>
  <c r="D58" i="47"/>
  <c r="C58" i="47"/>
  <c r="E57" i="47"/>
  <c r="D57" i="47"/>
  <c r="C57" i="47"/>
  <c r="E56" i="47"/>
  <c r="D56" i="47"/>
  <c r="C56" i="47"/>
  <c r="E55" i="47"/>
  <c r="D55" i="47"/>
  <c r="C55" i="47"/>
  <c r="E54" i="47"/>
  <c r="D54" i="47"/>
  <c r="C54" i="47"/>
  <c r="E53" i="47"/>
  <c r="D53" i="47"/>
  <c r="C53" i="47"/>
  <c r="E52" i="47"/>
  <c r="D52" i="47"/>
  <c r="C52" i="47"/>
  <c r="E51" i="47"/>
  <c r="D51" i="47"/>
  <c r="C51" i="47"/>
  <c r="E50" i="47"/>
  <c r="D50" i="47"/>
  <c r="C50" i="47"/>
  <c r="E49" i="47"/>
  <c r="D49" i="47"/>
  <c r="C49" i="47"/>
  <c r="E48" i="47"/>
  <c r="D48" i="47"/>
  <c r="C48" i="47"/>
  <c r="E47" i="47"/>
  <c r="D47" i="47"/>
  <c r="C47" i="47"/>
  <c r="E46" i="47"/>
  <c r="D46" i="47"/>
  <c r="C46" i="47"/>
  <c r="E45" i="47"/>
  <c r="D45" i="47"/>
  <c r="C45" i="47"/>
  <c r="E44" i="47"/>
  <c r="D44" i="47"/>
  <c r="C44" i="47"/>
  <c r="E43" i="47"/>
  <c r="D43" i="47"/>
  <c r="C43" i="47"/>
  <c r="E42" i="47"/>
  <c r="D42" i="47"/>
  <c r="C42" i="47"/>
  <c r="E41" i="47"/>
  <c r="D41" i="47"/>
  <c r="C41" i="47"/>
  <c r="E40" i="47"/>
  <c r="D40" i="47"/>
  <c r="C40" i="47"/>
  <c r="E39" i="47"/>
  <c r="D39" i="47"/>
  <c r="C39" i="47"/>
  <c r="E38" i="47"/>
  <c r="D38" i="47"/>
  <c r="C38" i="47"/>
  <c r="E37" i="47"/>
  <c r="D37" i="47"/>
  <c r="C37" i="47"/>
  <c r="E36" i="47"/>
  <c r="D36" i="47"/>
  <c r="C36" i="47"/>
  <c r="E35" i="47"/>
  <c r="D35" i="47"/>
  <c r="C35" i="47"/>
  <c r="E34" i="47"/>
  <c r="D34" i="47"/>
  <c r="C34" i="47"/>
  <c r="E33" i="47"/>
  <c r="D33" i="47"/>
  <c r="C33" i="47"/>
  <c r="E32" i="47"/>
  <c r="D32" i="47"/>
  <c r="C32" i="47"/>
  <c r="E31" i="47"/>
  <c r="D31" i="47"/>
  <c r="C31" i="47"/>
  <c r="E30" i="47"/>
  <c r="D30" i="47"/>
  <c r="C30" i="47"/>
  <c r="E29" i="47"/>
  <c r="D29" i="47"/>
  <c r="C29" i="47"/>
  <c r="E28" i="47"/>
  <c r="D28" i="47"/>
  <c r="C28" i="47"/>
  <c r="E27" i="47"/>
  <c r="D27" i="47"/>
  <c r="C27" i="47"/>
  <c r="E26" i="47"/>
  <c r="D26" i="47"/>
  <c r="C26" i="47"/>
  <c r="E25" i="47"/>
  <c r="D25" i="47"/>
  <c r="C25" i="47"/>
  <c r="E24" i="47"/>
  <c r="D24" i="47"/>
  <c r="C24" i="47"/>
  <c r="E23" i="47"/>
  <c r="D23" i="47"/>
  <c r="C23" i="47"/>
  <c r="E22" i="47"/>
  <c r="D22" i="47"/>
  <c r="C22" i="47"/>
  <c r="E21" i="47"/>
  <c r="D21" i="47"/>
  <c r="C21" i="47"/>
  <c r="E20" i="47"/>
  <c r="D20" i="47"/>
  <c r="C20" i="47"/>
  <c r="E19" i="47"/>
  <c r="D19" i="47"/>
  <c r="C19" i="47"/>
  <c r="E18" i="47"/>
  <c r="D18" i="47"/>
  <c r="C18" i="47"/>
  <c r="E17" i="47"/>
  <c r="D17" i="47"/>
  <c r="C17" i="47"/>
  <c r="E16" i="47"/>
  <c r="D16" i="47"/>
  <c r="C16" i="47"/>
  <c r="E15" i="47"/>
  <c r="D15" i="47"/>
  <c r="C15" i="47"/>
  <c r="E14" i="47"/>
  <c r="D14" i="47"/>
  <c r="C14" i="47"/>
  <c r="E13" i="47"/>
  <c r="D13" i="47"/>
  <c r="C13" i="47"/>
  <c r="E12" i="47"/>
  <c r="D12" i="47"/>
  <c r="C12" i="47"/>
  <c r="E11" i="47"/>
  <c r="D11" i="47"/>
  <c r="C11" i="47"/>
  <c r="E10" i="47"/>
  <c r="D10" i="47"/>
  <c r="C10" i="47"/>
  <c r="E9" i="47"/>
  <c r="D9" i="47"/>
  <c r="C9" i="47"/>
  <c r="E8" i="47"/>
  <c r="D8" i="47"/>
  <c r="C8" i="47"/>
  <c r="E7" i="47"/>
  <c r="D7" i="47"/>
  <c r="C7" i="47"/>
  <c r="E6" i="47"/>
  <c r="D6" i="47"/>
  <c r="C6" i="47"/>
  <c r="E5" i="47"/>
  <c r="D5" i="47"/>
  <c r="C5" i="47"/>
  <c r="N84" i="20"/>
  <c r="A23" i="11" s="1"/>
  <c r="K86" i="19"/>
  <c r="I86" i="19"/>
  <c r="H86" i="19"/>
  <c r="K85" i="19"/>
  <c r="I85" i="19"/>
  <c r="H85" i="19"/>
  <c r="K84" i="19"/>
  <c r="I84" i="19"/>
  <c r="H84" i="19"/>
  <c r="K83" i="19"/>
  <c r="I83" i="19"/>
  <c r="H83" i="19"/>
  <c r="B83" i="19"/>
  <c r="K90" i="19"/>
  <c r="I90" i="19"/>
  <c r="H90" i="19"/>
  <c r="B90" i="19"/>
  <c r="K89" i="19"/>
  <c r="I89" i="19"/>
  <c r="H89" i="19"/>
  <c r="K88" i="19"/>
  <c r="I88" i="19"/>
  <c r="H88" i="19"/>
  <c r="B88" i="19"/>
  <c r="K87" i="19"/>
  <c r="I87" i="19"/>
  <c r="H87" i="19"/>
  <c r="K82" i="19"/>
  <c r="I82" i="19"/>
  <c r="H82" i="19"/>
  <c r="K81" i="19"/>
  <c r="I81" i="19"/>
  <c r="H81" i="19"/>
  <c r="B81" i="19"/>
  <c r="K80" i="19"/>
  <c r="I80" i="19"/>
  <c r="H80" i="19"/>
  <c r="K79" i="19"/>
  <c r="I79" i="19"/>
  <c r="H79" i="19"/>
  <c r="K78" i="19"/>
  <c r="I78" i="19"/>
  <c r="H78" i="19"/>
  <c r="K77" i="19"/>
  <c r="I77" i="19"/>
  <c r="H77" i="19"/>
  <c r="K76" i="19"/>
  <c r="I76" i="19"/>
  <c r="H76" i="19"/>
  <c r="K75" i="19"/>
  <c r="I75" i="19"/>
  <c r="H75" i="19"/>
  <c r="B75" i="19"/>
  <c r="K74" i="19"/>
  <c r="I74" i="19"/>
  <c r="H74" i="19"/>
  <c r="K73" i="19"/>
  <c r="I73" i="19"/>
  <c r="H73" i="19"/>
  <c r="K72" i="19"/>
  <c r="I72" i="19"/>
  <c r="H72" i="19"/>
  <c r="K71" i="19"/>
  <c r="I71" i="19"/>
  <c r="H71" i="19"/>
  <c r="K70" i="19"/>
  <c r="I70" i="19"/>
  <c r="H70" i="19"/>
  <c r="B70" i="19"/>
  <c r="K69" i="19"/>
  <c r="I69" i="19"/>
  <c r="H69" i="19"/>
  <c r="K68" i="19"/>
  <c r="I68" i="19"/>
  <c r="H68" i="19"/>
  <c r="K67" i="19"/>
  <c r="I67" i="19"/>
  <c r="H67" i="19"/>
  <c r="K66" i="19"/>
  <c r="I66" i="19"/>
  <c r="H66" i="19"/>
  <c r="K65" i="19"/>
  <c r="I65" i="19"/>
  <c r="H65" i="19"/>
  <c r="K64" i="19"/>
  <c r="I64" i="19"/>
  <c r="H64" i="19"/>
  <c r="K63" i="19"/>
  <c r="I63" i="19"/>
  <c r="H63" i="19"/>
  <c r="K62" i="19"/>
  <c r="I62" i="19"/>
  <c r="H62" i="19"/>
  <c r="B62" i="19"/>
  <c r="K61" i="19"/>
  <c r="I61" i="19"/>
  <c r="H61" i="19"/>
  <c r="K60" i="19"/>
  <c r="I60" i="19"/>
  <c r="H60" i="19"/>
  <c r="K59" i="19"/>
  <c r="I59" i="19"/>
  <c r="H59" i="19"/>
  <c r="K58" i="19"/>
  <c r="I58" i="19"/>
  <c r="H58" i="19"/>
  <c r="K57" i="19"/>
  <c r="I57" i="19"/>
  <c r="H57" i="19"/>
  <c r="K56" i="19"/>
  <c r="I56" i="19"/>
  <c r="H56" i="19"/>
  <c r="K55" i="19"/>
  <c r="I55" i="19"/>
  <c r="H55" i="19"/>
  <c r="K54" i="19"/>
  <c r="I54" i="19"/>
  <c r="H54" i="19"/>
  <c r="K53" i="19"/>
  <c r="I53" i="19"/>
  <c r="H53" i="19"/>
  <c r="B53" i="19"/>
  <c r="K52" i="19"/>
  <c r="I52" i="19"/>
  <c r="H52" i="19"/>
  <c r="B52" i="19"/>
  <c r="C52" i="19" s="1"/>
  <c r="K51" i="19"/>
  <c r="I51" i="19"/>
  <c r="H51" i="19"/>
  <c r="B51" i="19"/>
  <c r="K50" i="19"/>
  <c r="I50" i="19"/>
  <c r="H50" i="19"/>
  <c r="K49" i="19"/>
  <c r="I49" i="19"/>
  <c r="H49" i="19"/>
  <c r="K48" i="19"/>
  <c r="I48" i="19"/>
  <c r="H48" i="19"/>
  <c r="K47" i="19"/>
  <c r="I47" i="19"/>
  <c r="H47" i="19"/>
  <c r="K46" i="19"/>
  <c r="I46" i="19"/>
  <c r="H46" i="19"/>
  <c r="B46" i="19"/>
  <c r="K45" i="19"/>
  <c r="I45" i="19"/>
  <c r="H45" i="19"/>
  <c r="K44" i="19"/>
  <c r="I44" i="19"/>
  <c r="H44" i="19"/>
  <c r="K43" i="19"/>
  <c r="I43" i="19"/>
  <c r="H43" i="19"/>
  <c r="K42" i="19"/>
  <c r="I42" i="19"/>
  <c r="H42" i="19"/>
  <c r="K41" i="19"/>
  <c r="I41" i="19"/>
  <c r="H41" i="19"/>
  <c r="K40" i="19"/>
  <c r="I40" i="19"/>
  <c r="H40" i="19"/>
  <c r="K39" i="19"/>
  <c r="I39" i="19"/>
  <c r="H39" i="19"/>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2" i="21"/>
  <c r="V61" i="21"/>
  <c r="V60" i="21"/>
  <c r="V59" i="21"/>
  <c r="V58" i="21"/>
  <c r="V57" i="21"/>
  <c r="V56" i="21"/>
  <c r="V55" i="21"/>
  <c r="V54" i="21"/>
  <c r="V53" i="21"/>
  <c r="V52" i="21"/>
  <c r="V51" i="21"/>
  <c r="V50" i="21"/>
  <c r="V49" i="21"/>
  <c r="V48" i="21"/>
  <c r="V47" i="21"/>
  <c r="V46" i="21"/>
  <c r="V45" i="21"/>
  <c r="V44" i="21"/>
  <c r="V43" i="21"/>
  <c r="V42" i="21"/>
  <c r="V41" i="21"/>
  <c r="V40" i="21"/>
  <c r="C89" i="21"/>
  <c r="C88" i="21"/>
  <c r="C87" i="21"/>
  <c r="C86" i="21"/>
  <c r="C85" i="21"/>
  <c r="C84" i="21"/>
  <c r="B89" i="19" s="1"/>
  <c r="C83" i="21"/>
  <c r="C82" i="21"/>
  <c r="B87" i="19" s="1"/>
  <c r="C81" i="21"/>
  <c r="B86" i="19" s="1"/>
  <c r="C80" i="21"/>
  <c r="B85" i="19" s="1"/>
  <c r="C79" i="21"/>
  <c r="B84" i="19" s="1"/>
  <c r="C78" i="21"/>
  <c r="B79" i="19" s="1"/>
  <c r="C77" i="21"/>
  <c r="B78" i="19" s="1"/>
  <c r="C76" i="21"/>
  <c r="B77" i="19" s="1"/>
  <c r="C75" i="21"/>
  <c r="B76" i="19" s="1"/>
  <c r="C74" i="21"/>
  <c r="C73" i="21"/>
  <c r="B74" i="19" s="1"/>
  <c r="C72" i="21"/>
  <c r="B73" i="19" s="1"/>
  <c r="C71" i="21"/>
  <c r="B72" i="19" s="1"/>
  <c r="C70" i="21"/>
  <c r="B71" i="19" s="1"/>
  <c r="C69" i="21"/>
  <c r="C68" i="21"/>
  <c r="B69" i="19" s="1"/>
  <c r="C67" i="21"/>
  <c r="B68" i="19" s="1"/>
  <c r="C66" i="21"/>
  <c r="B67" i="19" s="1"/>
  <c r="C65" i="21"/>
  <c r="B66" i="19" s="1"/>
  <c r="C64" i="21"/>
  <c r="B65" i="19" s="1"/>
  <c r="C63" i="21"/>
  <c r="B64" i="19" s="1"/>
  <c r="C62" i="21"/>
  <c r="B63" i="19" s="1"/>
  <c r="C61" i="21"/>
  <c r="C60" i="21"/>
  <c r="B61" i="19" s="1"/>
  <c r="C59" i="21"/>
  <c r="B60" i="19" s="1"/>
  <c r="C58" i="21"/>
  <c r="B59" i="19" s="1"/>
  <c r="C57" i="21"/>
  <c r="B58" i="19" s="1"/>
  <c r="C56" i="21"/>
  <c r="B57" i="19" s="1"/>
  <c r="C55" i="21"/>
  <c r="B56" i="19" s="1"/>
  <c r="C54" i="21"/>
  <c r="B55" i="19" s="1"/>
  <c r="C55" i="19" s="1"/>
  <c r="C53" i="21"/>
  <c r="B54" i="19" s="1"/>
  <c r="C52" i="21"/>
  <c r="C51" i="21"/>
  <c r="C50" i="21"/>
  <c r="C49" i="21"/>
  <c r="B50" i="19" s="1"/>
  <c r="C48" i="21"/>
  <c r="B49" i="19" s="1"/>
  <c r="C47" i="21"/>
  <c r="B48" i="19" s="1"/>
  <c r="C46" i="21"/>
  <c r="B47" i="19" s="1"/>
  <c r="C45" i="21"/>
  <c r="C44" i="21"/>
  <c r="B45" i="19" s="1"/>
  <c r="C43" i="21"/>
  <c r="B44" i="19" s="1"/>
  <c r="C44" i="19" s="1"/>
  <c r="C42" i="21"/>
  <c r="B43" i="19" s="1"/>
  <c r="C41" i="21"/>
  <c r="B42" i="19" s="1"/>
  <c r="C40" i="21"/>
  <c r="B41" i="19" s="1"/>
  <c r="C39" i="21"/>
  <c r="B40" i="19" s="1"/>
  <c r="AC85" i="22"/>
  <c r="AB85" i="22"/>
  <c r="K85" i="22"/>
  <c r="J85" i="22"/>
  <c r="AC84" i="22"/>
  <c r="AB84" i="22"/>
  <c r="K84" i="22"/>
  <c r="J84" i="22"/>
  <c r="AC83" i="22"/>
  <c r="AB83" i="22"/>
  <c r="K83" i="22"/>
  <c r="J83" i="22"/>
  <c r="AC82" i="22"/>
  <c r="AB82" i="22"/>
  <c r="K82" i="22"/>
  <c r="J82" i="22"/>
  <c r="AC81" i="22"/>
  <c r="AB81" i="22"/>
  <c r="K81" i="22"/>
  <c r="J81" i="22"/>
  <c r="AC80" i="22"/>
  <c r="AB80" i="22"/>
  <c r="K80" i="22"/>
  <c r="J80" i="22"/>
  <c r="AC79" i="22"/>
  <c r="AB79" i="22"/>
  <c r="K79" i="22"/>
  <c r="J79" i="22"/>
  <c r="AC78" i="22"/>
  <c r="AB78" i="22"/>
  <c r="K78" i="22"/>
  <c r="J78" i="22"/>
  <c r="AC77" i="22"/>
  <c r="AB77" i="22"/>
  <c r="K77" i="22"/>
  <c r="J77" i="22"/>
  <c r="AC76" i="22"/>
  <c r="AB76" i="22"/>
  <c r="K76" i="22"/>
  <c r="J76" i="22"/>
  <c r="AC75" i="22"/>
  <c r="AB75" i="22"/>
  <c r="K75" i="22"/>
  <c r="J75" i="22"/>
  <c r="AC74" i="22"/>
  <c r="AB74" i="22"/>
  <c r="K74" i="22"/>
  <c r="J74" i="22"/>
  <c r="AC73" i="22"/>
  <c r="AB73" i="22"/>
  <c r="K73" i="22"/>
  <c r="J73" i="22"/>
  <c r="AC72" i="22"/>
  <c r="AB72" i="22"/>
  <c r="K72" i="22"/>
  <c r="J72" i="22"/>
  <c r="AC71" i="22"/>
  <c r="AB71" i="22"/>
  <c r="K71" i="22"/>
  <c r="J71" i="22"/>
  <c r="AC70" i="22"/>
  <c r="AB70" i="22"/>
  <c r="K70" i="22"/>
  <c r="J70" i="22"/>
  <c r="AC69" i="22"/>
  <c r="AB69" i="22"/>
  <c r="K69" i="22"/>
  <c r="J69" i="22"/>
  <c r="AC68" i="22"/>
  <c r="AB68" i="22"/>
  <c r="K68" i="22"/>
  <c r="J68" i="22"/>
  <c r="AC67" i="22"/>
  <c r="AB67" i="22"/>
  <c r="K67" i="22"/>
  <c r="J67" i="22"/>
  <c r="AC66" i="22"/>
  <c r="AB66" i="22"/>
  <c r="K66" i="22"/>
  <c r="J66" i="22"/>
  <c r="AC65" i="22"/>
  <c r="AB65" i="22"/>
  <c r="K65" i="22"/>
  <c r="J65" i="22"/>
  <c r="AC64" i="22"/>
  <c r="AB64" i="22"/>
  <c r="K64" i="22"/>
  <c r="J64" i="22"/>
  <c r="AC63" i="22"/>
  <c r="AB63" i="22"/>
  <c r="K63" i="22"/>
  <c r="J63" i="22"/>
  <c r="AC62" i="22"/>
  <c r="AB62" i="22"/>
  <c r="K62" i="22"/>
  <c r="J62" i="22"/>
  <c r="AC61" i="22"/>
  <c r="AB61" i="22"/>
  <c r="K61" i="22"/>
  <c r="J61" i="22"/>
  <c r="AC60" i="22"/>
  <c r="AB60" i="22"/>
  <c r="K60" i="22"/>
  <c r="J60" i="22"/>
  <c r="AC59" i="22"/>
  <c r="AB59" i="22"/>
  <c r="K59" i="22"/>
  <c r="J59" i="22"/>
  <c r="AC58" i="22"/>
  <c r="AB58" i="22"/>
  <c r="K58" i="22"/>
  <c r="J58" i="22"/>
  <c r="AC57" i="22"/>
  <c r="AB57" i="22"/>
  <c r="K57" i="22"/>
  <c r="J57" i="22"/>
  <c r="AC56" i="22"/>
  <c r="AB56" i="22"/>
  <c r="K56" i="22"/>
  <c r="J56" i="22"/>
  <c r="AC55" i="22"/>
  <c r="AB55" i="22"/>
  <c r="K55" i="22"/>
  <c r="J55" i="22"/>
  <c r="AC54" i="22"/>
  <c r="AB54" i="22"/>
  <c r="K54" i="22"/>
  <c r="J54" i="22"/>
  <c r="AC53" i="22"/>
  <c r="AB53" i="22"/>
  <c r="K53" i="22"/>
  <c r="J53" i="22"/>
  <c r="AC52" i="22"/>
  <c r="AB52" i="22"/>
  <c r="K52" i="22"/>
  <c r="J52" i="22"/>
  <c r="AC51" i="22"/>
  <c r="AB51" i="22"/>
  <c r="K51" i="22"/>
  <c r="J51" i="22"/>
  <c r="AC50" i="22"/>
  <c r="AB50" i="22"/>
  <c r="K50" i="22"/>
  <c r="J50" i="22"/>
  <c r="AC49" i="22"/>
  <c r="AB49" i="22"/>
  <c r="K49" i="22"/>
  <c r="J49" i="22"/>
  <c r="AC48" i="22"/>
  <c r="AB48" i="22"/>
  <c r="K48" i="22"/>
  <c r="J48" i="22"/>
  <c r="AC47" i="22"/>
  <c r="AB47" i="22"/>
  <c r="K47" i="22"/>
  <c r="J47" i="22"/>
  <c r="AC46" i="22"/>
  <c r="AB46" i="22"/>
  <c r="K46" i="22"/>
  <c r="J46" i="22"/>
  <c r="AC45" i="22"/>
  <c r="AB45" i="22"/>
  <c r="K45" i="22"/>
  <c r="J45" i="22"/>
  <c r="AC44" i="22"/>
  <c r="AB44" i="22"/>
  <c r="K44" i="22"/>
  <c r="J44" i="22"/>
  <c r="AC43" i="22"/>
  <c r="AB43" i="22"/>
  <c r="K43" i="22"/>
  <c r="J43" i="22"/>
  <c r="AC42" i="22"/>
  <c r="AB42" i="22"/>
  <c r="K42" i="22"/>
  <c r="J42" i="22"/>
  <c r="AC41" i="22"/>
  <c r="AB41" i="22"/>
  <c r="K41" i="22"/>
  <c r="J41" i="22"/>
  <c r="AC40" i="22"/>
  <c r="AB40" i="22"/>
  <c r="K40" i="22"/>
  <c r="J40" i="22"/>
  <c r="AC39" i="22"/>
  <c r="AB39" i="22"/>
  <c r="K39" i="22"/>
  <c r="J39" i="22"/>
  <c r="AC38" i="22"/>
  <c r="AB38" i="22"/>
  <c r="K38" i="22"/>
  <c r="J38" i="22"/>
  <c r="AC37" i="22"/>
  <c r="AB37" i="22"/>
  <c r="K37" i="22"/>
  <c r="J37" i="22"/>
  <c r="AC36" i="22"/>
  <c r="AB36" i="22"/>
  <c r="K36" i="22"/>
  <c r="J36" i="22"/>
  <c r="BH83" i="20"/>
  <c r="C83" i="20"/>
  <c r="E89" i="21" s="1"/>
  <c r="BH82" i="20"/>
  <c r="C82" i="20"/>
  <c r="BF82" i="20" s="1"/>
  <c r="BH81" i="20"/>
  <c r="C81" i="20"/>
  <c r="AX81" i="20" s="1"/>
  <c r="AY81" i="20" s="1"/>
  <c r="AZ81" i="20" s="1"/>
  <c r="BH80" i="20"/>
  <c r="C80" i="20"/>
  <c r="E86" i="21" s="1"/>
  <c r="BH79" i="20"/>
  <c r="C79" i="20"/>
  <c r="BF79" i="20" s="1"/>
  <c r="BH78" i="20"/>
  <c r="C78" i="20"/>
  <c r="BE78" i="20" s="1"/>
  <c r="Q78" i="20" s="1"/>
  <c r="BH77" i="20"/>
  <c r="C77" i="20"/>
  <c r="BC77" i="20" s="1"/>
  <c r="BH76" i="20"/>
  <c r="C76" i="20"/>
  <c r="BC76" i="20" s="1"/>
  <c r="BH75" i="20"/>
  <c r="C75" i="20"/>
  <c r="AX75" i="20" s="1"/>
  <c r="AY75" i="20" s="1"/>
  <c r="BH74" i="20"/>
  <c r="C74" i="20"/>
  <c r="BC74" i="20" s="1"/>
  <c r="BH73" i="20"/>
  <c r="C73" i="20"/>
  <c r="AX73" i="20" s="1"/>
  <c r="AY73" i="20" s="1"/>
  <c r="BH72" i="20"/>
  <c r="C72" i="20"/>
  <c r="E78" i="21" s="1"/>
  <c r="BH71" i="20"/>
  <c r="C71" i="20"/>
  <c r="BF71" i="20" s="1"/>
  <c r="BH70" i="20"/>
  <c r="C70" i="20"/>
  <c r="BE70" i="20" s="1"/>
  <c r="Q70" i="20" s="1"/>
  <c r="BH69" i="20"/>
  <c r="C69" i="20"/>
  <c r="BC69" i="20" s="1"/>
  <c r="BH68" i="20"/>
  <c r="C68" i="20"/>
  <c r="BC68" i="20" s="1"/>
  <c r="BH67" i="20"/>
  <c r="C67" i="20"/>
  <c r="E73" i="21" s="1"/>
  <c r="BH66" i="20"/>
  <c r="C66" i="20"/>
  <c r="E72" i="21" s="1"/>
  <c r="BH65" i="20"/>
  <c r="C65" i="20"/>
  <c r="BC65" i="20" s="1"/>
  <c r="BH64" i="20"/>
  <c r="C64" i="20"/>
  <c r="S66" i="22" s="1"/>
  <c r="BH63" i="20"/>
  <c r="C63" i="20"/>
  <c r="E69" i="21" s="1"/>
  <c r="BH62" i="20"/>
  <c r="C62" i="20"/>
  <c r="BE62" i="20" s="1"/>
  <c r="Q62" i="20" s="1"/>
  <c r="BH61" i="20"/>
  <c r="C61" i="20"/>
  <c r="BC61" i="20" s="1"/>
  <c r="BH60" i="20"/>
  <c r="C60" i="20"/>
  <c r="BC60" i="20" s="1"/>
  <c r="BH59" i="20"/>
  <c r="C59" i="20"/>
  <c r="S61" i="22" s="1"/>
  <c r="BH58" i="20"/>
  <c r="C58" i="20"/>
  <c r="W60" i="22" s="1"/>
  <c r="BH57" i="20"/>
  <c r="C57" i="20"/>
  <c r="E63" i="21" s="1"/>
  <c r="BH56" i="20"/>
  <c r="C56" i="20"/>
  <c r="E62" i="21" s="1"/>
  <c r="BH55" i="20"/>
  <c r="C55" i="20"/>
  <c r="E61" i="21" s="1"/>
  <c r="BH54" i="20"/>
  <c r="C54" i="20"/>
  <c r="S56" i="22" s="1"/>
  <c r="BH53" i="20"/>
  <c r="C53" i="20"/>
  <c r="BC53" i="20" s="1"/>
  <c r="BH52" i="20"/>
  <c r="C52" i="20"/>
  <c r="BC52" i="20" s="1"/>
  <c r="BH51" i="20"/>
  <c r="C51" i="20"/>
  <c r="E57" i="21" s="1"/>
  <c r="BH50" i="20"/>
  <c r="C50" i="20"/>
  <c r="S52" i="22" s="1"/>
  <c r="BH49" i="20"/>
  <c r="C49" i="20"/>
  <c r="W51" i="22" s="1"/>
  <c r="BH48" i="20"/>
  <c r="C48" i="20"/>
  <c r="X50" i="22" s="1"/>
  <c r="BH47" i="20"/>
  <c r="C47" i="20"/>
  <c r="X49" i="22" s="1"/>
  <c r="BH46" i="20"/>
  <c r="C46" i="20"/>
  <c r="X48" i="22" s="1"/>
  <c r="BH45" i="20"/>
  <c r="C45" i="20"/>
  <c r="BC45" i="20" s="1"/>
  <c r="BH44" i="20"/>
  <c r="C44" i="20"/>
  <c r="BC44" i="20" s="1"/>
  <c r="BH43" i="20"/>
  <c r="C43" i="20"/>
  <c r="E49" i="21" s="1"/>
  <c r="BH42" i="20"/>
  <c r="C42" i="20"/>
  <c r="AX42" i="20" s="1"/>
  <c r="AY42" i="20" s="1"/>
  <c r="BH41" i="20"/>
  <c r="C41" i="20"/>
  <c r="X43" i="22" s="1"/>
  <c r="BH40" i="20"/>
  <c r="C40" i="20"/>
  <c r="BC40" i="20" s="1"/>
  <c r="BH39" i="20"/>
  <c r="C39" i="20"/>
  <c r="E45" i="21" s="1"/>
  <c r="BH38" i="20"/>
  <c r="C38" i="20"/>
  <c r="AX38" i="20" s="1"/>
  <c r="AY38" i="20" s="1"/>
  <c r="BH37" i="20"/>
  <c r="C37" i="20"/>
  <c r="E43" i="21" s="1"/>
  <c r="BH36" i="20"/>
  <c r="C36" i="20"/>
  <c r="BC36" i="20" s="1"/>
  <c r="BH35" i="20"/>
  <c r="C35" i="20"/>
  <c r="X37" i="22" s="1"/>
  <c r="BH34" i="20"/>
  <c r="C34" i="20"/>
  <c r="AX34" i="20" s="1"/>
  <c r="AY34" i="20" s="1"/>
  <c r="N39" i="33"/>
  <c r="H5" i="30"/>
  <c r="BH20" i="6"/>
  <c r="BG20" i="6"/>
  <c r="BF20" i="6"/>
  <c r="BE20" i="6"/>
  <c r="BD20" i="6"/>
  <c r="BC20" i="6"/>
  <c r="BB20" i="6"/>
  <c r="BA20" i="6"/>
  <c r="AZ20" i="6"/>
  <c r="AY20" i="6"/>
  <c r="AX20" i="6"/>
  <c r="AW20" i="6"/>
  <c r="AV20" i="6"/>
  <c r="AU20" i="6"/>
  <c r="AT20" i="6"/>
  <c r="CT6" i="23" l="1"/>
  <c r="CT5" i="23"/>
  <c r="AF15" i="48"/>
  <c r="AG15" i="48" s="1"/>
  <c r="D15" i="48"/>
  <c r="E15" i="48" s="1"/>
  <c r="C14" i="48"/>
  <c r="B16" i="48"/>
  <c r="K15" i="48"/>
  <c r="L15" i="48" s="1"/>
  <c r="J14" i="48"/>
  <c r="I16" i="48"/>
  <c r="AM16" i="48"/>
  <c r="AN16" i="48" s="1"/>
  <c r="AL15" i="48"/>
  <c r="AK17" i="48"/>
  <c r="AE15" i="48"/>
  <c r="AD17" i="48"/>
  <c r="W17" i="48"/>
  <c r="Y16" i="48"/>
  <c r="Z16" i="48" s="1"/>
  <c r="X15" i="48"/>
  <c r="R16" i="48"/>
  <c r="S16" i="48" s="1"/>
  <c r="Q15" i="48"/>
  <c r="P17" i="48"/>
  <c r="CT62" i="23"/>
  <c r="CT63" i="23"/>
  <c r="CT61" i="23"/>
  <c r="CT43" i="23"/>
  <c r="CT66" i="23"/>
  <c r="CT64" i="23"/>
  <c r="CT65" i="23"/>
  <c r="CT67" i="23"/>
  <c r="CT68" i="23"/>
  <c r="CX59" i="23" s="1"/>
  <c r="CT26" i="23"/>
  <c r="CT46" i="23"/>
  <c r="CT48" i="23"/>
  <c r="CT49" i="23"/>
  <c r="CT47" i="23"/>
  <c r="CT44" i="23"/>
  <c r="CT50" i="23"/>
  <c r="CX41" i="23" s="1"/>
  <c r="CT45" i="23"/>
  <c r="CT30" i="23"/>
  <c r="CT31" i="23"/>
  <c r="CT32" i="23"/>
  <c r="CT28" i="23"/>
  <c r="CT27" i="23"/>
  <c r="CT29" i="23"/>
  <c r="CT25" i="23"/>
  <c r="CT13" i="23"/>
  <c r="CT12" i="23"/>
  <c r="CT11" i="23"/>
  <c r="CT18" i="23" s="1"/>
  <c r="CT8" i="23"/>
  <c r="CT10" i="23"/>
  <c r="CT9" i="23"/>
  <c r="CT7" i="23"/>
  <c r="AF28" i="6"/>
  <c r="AB28" i="6"/>
  <c r="AB21" i="6"/>
  <c r="BA37" i="6"/>
  <c r="BE27" i="6"/>
  <c r="AL22" i="6"/>
  <c r="AA28" i="6"/>
  <c r="AZ37" i="6"/>
  <c r="AN39" i="6"/>
  <c r="BF28" i="6"/>
  <c r="AL41" i="6"/>
  <c r="BF27" i="6"/>
  <c r="AN42" i="6"/>
  <c r="AY40" i="6"/>
  <c r="AG28" i="6"/>
  <c r="AW38" i="6"/>
  <c r="AO42" i="6"/>
  <c r="BG40" i="6"/>
  <c r="AH45" i="6"/>
  <c r="AB46" i="6"/>
  <c r="AB32" i="6"/>
  <c r="AC32" i="6"/>
  <c r="AG46" i="6"/>
  <c r="AG32" i="6"/>
  <c r="AU22" i="6"/>
  <c r="AC46" i="6"/>
  <c r="AK39" i="6"/>
  <c r="AB31" i="6"/>
  <c r="AJ40" i="6"/>
  <c r="AX40" i="6"/>
  <c r="AV25" i="6"/>
  <c r="AO32" i="6"/>
  <c r="AA41" i="6"/>
  <c r="AJ37" i="6"/>
  <c r="AC41" i="6"/>
  <c r="AY25" i="6"/>
  <c r="AT33" i="6"/>
  <c r="BA40" i="6"/>
  <c r="BG33" i="6"/>
  <c r="AC23" i="6"/>
  <c r="BG26" i="6"/>
  <c r="BH26" i="6"/>
  <c r="AC45" i="6"/>
  <c r="AV22" i="6"/>
  <c r="AD21" i="6"/>
  <c r="AM22" i="6"/>
  <c r="AW22" i="6"/>
  <c r="AW25" i="6"/>
  <c r="BC37" i="6"/>
  <c r="AE21" i="6"/>
  <c r="AB23" i="6"/>
  <c r="AO40" i="6"/>
  <c r="BA22" i="6"/>
  <c r="AX25" i="6"/>
  <c r="BD37" i="6"/>
  <c r="BB40" i="6"/>
  <c r="AC21" i="6"/>
  <c r="AK21" i="6"/>
  <c r="BE35" i="6"/>
  <c r="AL21" i="6"/>
  <c r="AA25" i="6"/>
  <c r="BA25" i="6"/>
  <c r="BG35" i="6"/>
  <c r="AL23" i="6"/>
  <c r="AO21" i="6"/>
  <c r="AB25" i="6"/>
  <c r="AC36" i="6"/>
  <c r="BA23" i="6"/>
  <c r="BC25" i="6"/>
  <c r="BH28" i="6"/>
  <c r="BH35" i="6"/>
  <c r="AU39" i="6"/>
  <c r="BH41" i="6"/>
  <c r="AJ21" i="6"/>
  <c r="BH40" i="6"/>
  <c r="AK22" i="6"/>
  <c r="AC25" i="6"/>
  <c r="AL36" i="6"/>
  <c r="BC23" i="6"/>
  <c r="AV39" i="6"/>
  <c r="AE28" i="6"/>
  <c r="AA26" i="6"/>
  <c r="AB37" i="6"/>
  <c r="BD23" i="6"/>
  <c r="AY26" i="6"/>
  <c r="AU36" i="6"/>
  <c r="AW39" i="6"/>
  <c r="AT42" i="6"/>
  <c r="BC22" i="6"/>
  <c r="AJ26" i="6"/>
  <c r="AC37" i="6"/>
  <c r="AZ26" i="6"/>
  <c r="AV36" i="6"/>
  <c r="AX39" i="6"/>
  <c r="AK26" i="6"/>
  <c r="AK37" i="6"/>
  <c r="AW24" i="6"/>
  <c r="BA26" i="6"/>
  <c r="BA36" i="6"/>
  <c r="AY39" i="6"/>
  <c r="BB22" i="6"/>
  <c r="AZ25" i="6"/>
  <c r="AL35" i="6"/>
  <c r="AL26" i="6"/>
  <c r="AL37" i="6"/>
  <c r="AX24" i="6"/>
  <c r="BB26" i="6"/>
  <c r="AY32" i="6"/>
  <c r="AZ39" i="6"/>
  <c r="AK36" i="6"/>
  <c r="AO27" i="6"/>
  <c r="AA39" i="6"/>
  <c r="AY24" i="6"/>
  <c r="BC26" i="6"/>
  <c r="AZ32" i="6"/>
  <c r="AY37" i="6"/>
  <c r="AZ27" i="6"/>
  <c r="BF41" i="6"/>
  <c r="AB41" i="6"/>
  <c r="BA27" i="6"/>
  <c r="BG28" i="6"/>
  <c r="BG41" i="6"/>
  <c r="BA43" i="6"/>
  <c r="AM41" i="6"/>
  <c r="AH28" i="6"/>
  <c r="AO41" i="6"/>
  <c r="BH27" i="6"/>
  <c r="AY30" i="6"/>
  <c r="BH33" i="6"/>
  <c r="AU42" i="6"/>
  <c r="AW45" i="6"/>
  <c r="AY44" i="6"/>
  <c r="AI28" i="6"/>
  <c r="AA42" i="6"/>
  <c r="AW42" i="6"/>
  <c r="AX45" i="6"/>
  <c r="AL28" i="6"/>
  <c r="AB42" i="6"/>
  <c r="AH46" i="6"/>
  <c r="AT21" i="6"/>
  <c r="BD22" i="6"/>
  <c r="AZ24" i="6"/>
  <c r="BD25" i="6"/>
  <c r="AT28" i="6"/>
  <c r="AW31" i="6"/>
  <c r="AU34" i="6"/>
  <c r="BB36" i="6"/>
  <c r="AX38" i="6"/>
  <c r="BA39" i="6"/>
  <c r="AT41" i="6"/>
  <c r="AX42" i="6"/>
  <c r="BA45" i="6"/>
  <c r="AG27" i="6"/>
  <c r="AM28" i="6"/>
  <c r="AF42" i="6"/>
  <c r="BC21" i="6"/>
  <c r="BE22" i="6"/>
  <c r="BA24" i="6"/>
  <c r="AT27" i="6"/>
  <c r="AU28" i="6"/>
  <c r="AX31" i="6"/>
  <c r="BE34" i="6"/>
  <c r="BC36" i="6"/>
  <c r="AY38" i="6"/>
  <c r="BC39" i="6"/>
  <c r="AU41" i="6"/>
  <c r="BC42" i="6"/>
  <c r="AE42" i="6"/>
  <c r="AH27" i="6"/>
  <c r="AN28" i="6"/>
  <c r="AG42" i="6"/>
  <c r="BD21" i="6"/>
  <c r="BF22" i="6"/>
  <c r="BB24" i="6"/>
  <c r="AT26" i="6"/>
  <c r="AU27" i="6"/>
  <c r="AW28" i="6"/>
  <c r="BA31" i="6"/>
  <c r="BF34" i="6"/>
  <c r="BD36" i="6"/>
  <c r="AZ38" i="6"/>
  <c r="AV41" i="6"/>
  <c r="BD42" i="6"/>
  <c r="AU46" i="6"/>
  <c r="AJ27" i="6"/>
  <c r="AO28" i="6"/>
  <c r="AH42" i="6"/>
  <c r="BE21" i="6"/>
  <c r="BG22" i="6"/>
  <c r="BC24" i="6"/>
  <c r="AU26" i="6"/>
  <c r="AV27" i="6"/>
  <c r="AX28" i="6"/>
  <c r="BE36" i="6"/>
  <c r="BA38" i="6"/>
  <c r="AT40" i="6"/>
  <c r="AW41" i="6"/>
  <c r="BE42" i="6"/>
  <c r="AV46" i="6"/>
  <c r="AL27" i="6"/>
  <c r="AO29" i="6"/>
  <c r="AI42" i="6"/>
  <c r="BF21" i="6"/>
  <c r="BE24" i="6"/>
  <c r="AV26" i="6"/>
  <c r="AW27" i="6"/>
  <c r="BC28" i="6"/>
  <c r="AU32" i="6"/>
  <c r="AT35" i="6"/>
  <c r="BF36" i="6"/>
  <c r="BB38" i="6"/>
  <c r="AU40" i="6"/>
  <c r="AY41" i="6"/>
  <c r="BF42" i="6"/>
  <c r="AW46" i="6"/>
  <c r="AM27" i="6"/>
  <c r="AC31" i="6"/>
  <c r="AJ42" i="6"/>
  <c r="BG21" i="6"/>
  <c r="AY23" i="6"/>
  <c r="AW26" i="6"/>
  <c r="AX27" i="6"/>
  <c r="BD28" i="6"/>
  <c r="AV32" i="6"/>
  <c r="BC35" i="6"/>
  <c r="BG36" i="6"/>
  <c r="BC38" i="6"/>
  <c r="AV40" i="6"/>
  <c r="AZ41" i="6"/>
  <c r="BG42" i="6"/>
  <c r="AY46" i="6"/>
  <c r="BG27" i="6"/>
  <c r="AN27" i="6"/>
  <c r="AH31" i="6"/>
  <c r="AM42" i="6"/>
  <c r="BH21" i="6"/>
  <c r="AZ23" i="6"/>
  <c r="AU25" i="6"/>
  <c r="AX26" i="6"/>
  <c r="AY27" i="6"/>
  <c r="BE28" i="6"/>
  <c r="AW32" i="6"/>
  <c r="BD35" i="6"/>
  <c r="BE38" i="6"/>
  <c r="AW40" i="6"/>
  <c r="BE41" i="6"/>
  <c r="BH42" i="6"/>
  <c r="AZ46" i="6"/>
  <c r="BB29" i="6"/>
  <c r="BB43" i="6"/>
  <c r="AZ44" i="6"/>
  <c r="AN33" i="6"/>
  <c r="AA43" i="6"/>
  <c r="BC29" i="6"/>
  <c r="BA30" i="6"/>
  <c r="AY31" i="6"/>
  <c r="AU33" i="6"/>
  <c r="BG34" i="6"/>
  <c r="BC43" i="6"/>
  <c r="BA44" i="6"/>
  <c r="AY45" i="6"/>
  <c r="AM34" i="6"/>
  <c r="AK23" i="6"/>
  <c r="AA29" i="6"/>
  <c r="AE43" i="6"/>
  <c r="BB23" i="6"/>
  <c r="BD29" i="6"/>
  <c r="BB30" i="6"/>
  <c r="AZ31" i="6"/>
  <c r="AX32" i="6"/>
  <c r="AV33" i="6"/>
  <c r="AT34" i="6"/>
  <c r="BH34" i="6"/>
  <c r="BF35" i="6"/>
  <c r="BB37" i="6"/>
  <c r="BD43" i="6"/>
  <c r="BB44" i="6"/>
  <c r="AZ45" i="6"/>
  <c r="AX46" i="6"/>
  <c r="BE29" i="6"/>
  <c r="BC30" i="6"/>
  <c r="AW33" i="6"/>
  <c r="AF29" i="6"/>
  <c r="BF29" i="6"/>
  <c r="AV34" i="6"/>
  <c r="BD44" i="6"/>
  <c r="AG29" i="6"/>
  <c r="AH32" i="6"/>
  <c r="AH43" i="6"/>
  <c r="AU21" i="6"/>
  <c r="BE23" i="6"/>
  <c r="BG29" i="6"/>
  <c r="BE30" i="6"/>
  <c r="BC31" i="6"/>
  <c r="BA32" i="6"/>
  <c r="AY33" i="6"/>
  <c r="AW34" i="6"/>
  <c r="AU35" i="6"/>
  <c r="BE37" i="6"/>
  <c r="BG43" i="6"/>
  <c r="BE44" i="6"/>
  <c r="BC45" i="6"/>
  <c r="BA46" i="6"/>
  <c r="BC44" i="6"/>
  <c r="BD30" i="6"/>
  <c r="BB31" i="6"/>
  <c r="AX33" i="6"/>
  <c r="BF43" i="6"/>
  <c r="BB45" i="6"/>
  <c r="AM21" i="6"/>
  <c r="AH29" i="6"/>
  <c r="AI32" i="6"/>
  <c r="AJ39" i="6"/>
  <c r="AI43" i="6"/>
  <c r="AV21" i="6"/>
  <c r="AT22" i="6"/>
  <c r="BH22" i="6"/>
  <c r="BF23" i="6"/>
  <c r="BD24" i="6"/>
  <c r="BB25" i="6"/>
  <c r="AV28" i="6"/>
  <c r="AT29" i="6"/>
  <c r="BH29" i="6"/>
  <c r="BF30" i="6"/>
  <c r="BD31" i="6"/>
  <c r="BB32" i="6"/>
  <c r="AZ33" i="6"/>
  <c r="AX34" i="6"/>
  <c r="AV35" i="6"/>
  <c r="AT36" i="6"/>
  <c r="BH36" i="6"/>
  <c r="BF37" i="6"/>
  <c r="BD38" i="6"/>
  <c r="BB39" i="6"/>
  <c r="AZ40" i="6"/>
  <c r="AX41" i="6"/>
  <c r="AV42" i="6"/>
  <c r="AT43" i="6"/>
  <c r="BH43" i="6"/>
  <c r="BF44" i="6"/>
  <c r="BD45" i="6"/>
  <c r="BB46" i="6"/>
  <c r="BA29" i="6"/>
  <c r="AZ30" i="6"/>
  <c r="AE29" i="6"/>
  <c r="AW21" i="6"/>
  <c r="BG23" i="6"/>
  <c r="AU29" i="6"/>
  <c r="BG30" i="6"/>
  <c r="BE31" i="6"/>
  <c r="BC32" i="6"/>
  <c r="BA33" i="6"/>
  <c r="AY34" i="6"/>
  <c r="AW35" i="6"/>
  <c r="BG37" i="6"/>
  <c r="AU43" i="6"/>
  <c r="BG44" i="6"/>
  <c r="BE45" i="6"/>
  <c r="BC46" i="6"/>
  <c r="AG43" i="6"/>
  <c r="AC44" i="6"/>
  <c r="AJ29" i="6"/>
  <c r="AO33" i="6"/>
  <c r="AK43" i="6"/>
  <c r="AX21" i="6"/>
  <c r="AT23" i="6"/>
  <c r="BH23" i="6"/>
  <c r="BF24" i="6"/>
  <c r="AV29" i="6"/>
  <c r="AT30" i="6"/>
  <c r="BH30" i="6"/>
  <c r="BF31" i="6"/>
  <c r="BD32" i="6"/>
  <c r="BB33" i="6"/>
  <c r="AZ34" i="6"/>
  <c r="AX35" i="6"/>
  <c r="AT37" i="6"/>
  <c r="BH37" i="6"/>
  <c r="BF38" i="6"/>
  <c r="BD39" i="6"/>
  <c r="AV43" i="6"/>
  <c r="AT44" i="6"/>
  <c r="BH44" i="6"/>
  <c r="BF45" i="6"/>
  <c r="BD46" i="6"/>
  <c r="AJ43" i="6"/>
  <c r="AJ23" i="6"/>
  <c r="AB45" i="6"/>
  <c r="AK29" i="6"/>
  <c r="AA34" i="6"/>
  <c r="AL43" i="6"/>
  <c r="AY21" i="6"/>
  <c r="AU23" i="6"/>
  <c r="BG24" i="6"/>
  <c r="BE25" i="6"/>
  <c r="AY28" i="6"/>
  <c r="AW29" i="6"/>
  <c r="AU30" i="6"/>
  <c r="BG31" i="6"/>
  <c r="BE32" i="6"/>
  <c r="BC33" i="6"/>
  <c r="BA34" i="6"/>
  <c r="AY35" i="6"/>
  <c r="AW36" i="6"/>
  <c r="AU37" i="6"/>
  <c r="BG38" i="6"/>
  <c r="BE39" i="6"/>
  <c r="BC40" i="6"/>
  <c r="BA41" i="6"/>
  <c r="AY42" i="6"/>
  <c r="AW43" i="6"/>
  <c r="AU44" i="6"/>
  <c r="BG45" i="6"/>
  <c r="BE46" i="6"/>
  <c r="AO46" i="6"/>
  <c r="AJ28" i="6"/>
  <c r="AL29" i="6"/>
  <c r="AB34" i="6"/>
  <c r="AK42" i="6"/>
  <c r="AM43" i="6"/>
  <c r="AZ21" i="6"/>
  <c r="AX22" i="6"/>
  <c r="AV23" i="6"/>
  <c r="AT24" i="6"/>
  <c r="BH24" i="6"/>
  <c r="BF25" i="6"/>
  <c r="BD26" i="6"/>
  <c r="BB27" i="6"/>
  <c r="AZ28" i="6"/>
  <c r="AX29" i="6"/>
  <c r="AV30" i="6"/>
  <c r="AT31" i="6"/>
  <c r="BH31" i="6"/>
  <c r="BF32" i="6"/>
  <c r="BD33" i="6"/>
  <c r="BB34" i="6"/>
  <c r="AZ35" i="6"/>
  <c r="AX36" i="6"/>
  <c r="AV37" i="6"/>
  <c r="AT38" i="6"/>
  <c r="BH38" i="6"/>
  <c r="BF39" i="6"/>
  <c r="BD40" i="6"/>
  <c r="BB41" i="6"/>
  <c r="AZ42" i="6"/>
  <c r="AX43" i="6"/>
  <c r="AV44" i="6"/>
  <c r="AT45" i="6"/>
  <c r="BH45" i="6"/>
  <c r="BF46" i="6"/>
  <c r="AD43" i="6"/>
  <c r="AC33" i="6"/>
  <c r="AI21" i="6"/>
  <c r="AD29" i="6"/>
  <c r="AC22" i="6"/>
  <c r="AK28" i="6"/>
  <c r="AM29" i="6"/>
  <c r="AN34" i="6"/>
  <c r="AL42" i="6"/>
  <c r="AN43" i="6"/>
  <c r="BA21" i="6"/>
  <c r="AY22" i="6"/>
  <c r="AW23" i="6"/>
  <c r="AU24" i="6"/>
  <c r="BG25" i="6"/>
  <c r="BE26" i="6"/>
  <c r="BC27" i="6"/>
  <c r="BA28" i="6"/>
  <c r="AY29" i="6"/>
  <c r="AW30" i="6"/>
  <c r="AU31" i="6"/>
  <c r="BG32" i="6"/>
  <c r="BE33" i="6"/>
  <c r="BC34" i="6"/>
  <c r="BA35" i="6"/>
  <c r="AY36" i="6"/>
  <c r="AW37" i="6"/>
  <c r="AU38" i="6"/>
  <c r="BG39" i="6"/>
  <c r="BE40" i="6"/>
  <c r="BC41" i="6"/>
  <c r="BA42" i="6"/>
  <c r="AY43" i="6"/>
  <c r="AW44" i="6"/>
  <c r="AU45" i="6"/>
  <c r="BG46" i="6"/>
  <c r="AF43" i="6"/>
  <c r="BE43" i="6"/>
  <c r="AI29" i="6"/>
  <c r="AA21" i="6"/>
  <c r="AC30" i="6"/>
  <c r="AN29" i="6"/>
  <c r="AO34" i="6"/>
  <c r="AO43" i="6"/>
  <c r="AT25" i="6"/>
  <c r="AT32" i="6"/>
  <c r="AT39" i="6"/>
  <c r="AT46" i="6"/>
  <c r="H5" i="47"/>
  <c r="AB26" i="6"/>
  <c r="AK24" i="6"/>
  <c r="AC26" i="6"/>
  <c r="AI27" i="6"/>
  <c r="AG33" i="6"/>
  <c r="AB39" i="6"/>
  <c r="AL40" i="6"/>
  <c r="AN41" i="6"/>
  <c r="AK40" i="6"/>
  <c r="AL24" i="6"/>
  <c r="AH26" i="6"/>
  <c r="AH33" i="6"/>
  <c r="AC39" i="6"/>
  <c r="AM40" i="6"/>
  <c r="AC24" i="6"/>
  <c r="AO38" i="6"/>
  <c r="AJ24" i="6"/>
  <c r="AF33" i="6"/>
  <c r="AO24" i="6"/>
  <c r="AI26" i="6"/>
  <c r="AK27" i="6"/>
  <c r="AI33" i="6"/>
  <c r="AI39" i="6"/>
  <c r="AN40" i="6"/>
  <c r="AI25" i="6"/>
  <c r="AM26" i="6"/>
  <c r="AC34" i="6"/>
  <c r="AA38" i="6"/>
  <c r="AO39" i="6"/>
  <c r="AJ25" i="6"/>
  <c r="AN26" i="6"/>
  <c r="AE34" i="6"/>
  <c r="AB38" i="6"/>
  <c r="AA40" i="6"/>
  <c r="AG41" i="6"/>
  <c r="AI24" i="6"/>
  <c r="AI38" i="6"/>
  <c r="AK25" i="6"/>
  <c r="AO26" i="6"/>
  <c r="AF34" i="6"/>
  <c r="AC38" i="6"/>
  <c r="AB40" i="6"/>
  <c r="AH41" i="6"/>
  <c r="AH25" i="6"/>
  <c r="AH39" i="6"/>
  <c r="AL25" i="6"/>
  <c r="AA27" i="6"/>
  <c r="AG34" i="6"/>
  <c r="AJ38" i="6"/>
  <c r="AC40" i="6"/>
  <c r="AI41" i="6"/>
  <c r="AG26" i="6"/>
  <c r="AG40" i="6"/>
  <c r="AA24" i="6"/>
  <c r="AN25" i="6"/>
  <c r="AB27" i="6"/>
  <c r="AA33" i="6"/>
  <c r="AH34" i="6"/>
  <c r="AK38" i="6"/>
  <c r="AH40" i="6"/>
  <c r="AJ41" i="6"/>
  <c r="AF27" i="6"/>
  <c r="AF41" i="6"/>
  <c r="AB24" i="6"/>
  <c r="AO25" i="6"/>
  <c r="AC27" i="6"/>
  <c r="AB33" i="6"/>
  <c r="AI34" i="6"/>
  <c r="AL38" i="6"/>
  <c r="AI40" i="6"/>
  <c r="AK41" i="6"/>
  <c r="AD30" i="6"/>
  <c r="AM35" i="6"/>
  <c r="AD44" i="6"/>
  <c r="AD45" i="6"/>
  <c r="AE30" i="6"/>
  <c r="AD31" i="6"/>
  <c r="AN35" i="6"/>
  <c r="AM36" i="6"/>
  <c r="AE44" i="6"/>
  <c r="AN22" i="6"/>
  <c r="AM23" i="6"/>
  <c r="AF30" i="6"/>
  <c r="AE31" i="6"/>
  <c r="AD32" i="6"/>
  <c r="AA35" i="6"/>
  <c r="AO35" i="6"/>
  <c r="AN36" i="6"/>
  <c r="AM37" i="6"/>
  <c r="AF44" i="6"/>
  <c r="AE45" i="6"/>
  <c r="AD46" i="6"/>
  <c r="AA22" i="6"/>
  <c r="AO22" i="6"/>
  <c r="AN23" i="6"/>
  <c r="AM24" i="6"/>
  <c r="AG30" i="6"/>
  <c r="AF31" i="6"/>
  <c r="AE32" i="6"/>
  <c r="AD33" i="6"/>
  <c r="AB35" i="6"/>
  <c r="AA36" i="6"/>
  <c r="AO36" i="6"/>
  <c r="AN37" i="6"/>
  <c r="AM38" i="6"/>
  <c r="AL39" i="6"/>
  <c r="AG44" i="6"/>
  <c r="AF45" i="6"/>
  <c r="AE46" i="6"/>
  <c r="AN21" i="6"/>
  <c r="AB22" i="6"/>
  <c r="AA23" i="6"/>
  <c r="AO23" i="6"/>
  <c r="AN24" i="6"/>
  <c r="AM25" i="6"/>
  <c r="AH30" i="6"/>
  <c r="AG31" i="6"/>
  <c r="AF32" i="6"/>
  <c r="AE33" i="6"/>
  <c r="AD34" i="6"/>
  <c r="AC35" i="6"/>
  <c r="AB36" i="6"/>
  <c r="AA37" i="6"/>
  <c r="AO37" i="6"/>
  <c r="AN38" i="6"/>
  <c r="AM39" i="6"/>
  <c r="AH44" i="6"/>
  <c r="AG45" i="6"/>
  <c r="AF46" i="6"/>
  <c r="AJ30" i="6"/>
  <c r="AE35" i="6"/>
  <c r="AI45" i="6"/>
  <c r="AE22" i="6"/>
  <c r="AJ31" i="6"/>
  <c r="AK44" i="6"/>
  <c r="AF22" i="6"/>
  <c r="AE23" i="6"/>
  <c r="AD24" i="6"/>
  <c r="AL30" i="6"/>
  <c r="AK31" i="6"/>
  <c r="AJ32" i="6"/>
  <c r="AG35" i="6"/>
  <c r="AF36" i="6"/>
  <c r="AE37" i="6"/>
  <c r="AD38" i="6"/>
  <c r="AL44" i="6"/>
  <c r="AK45" i="6"/>
  <c r="AJ46" i="6"/>
  <c r="AD23" i="6"/>
  <c r="AK30" i="6"/>
  <c r="AF35" i="6"/>
  <c r="AI46" i="6"/>
  <c r="AG22" i="6"/>
  <c r="AK32" i="6"/>
  <c r="AG36" i="6"/>
  <c r="AK46" i="6"/>
  <c r="AF21" i="6"/>
  <c r="AH22" i="6"/>
  <c r="AG23" i="6"/>
  <c r="AF24" i="6"/>
  <c r="AE25" i="6"/>
  <c r="AD26" i="6"/>
  <c r="AN30" i="6"/>
  <c r="AM31" i="6"/>
  <c r="AL32" i="6"/>
  <c r="AK33" i="6"/>
  <c r="AJ34" i="6"/>
  <c r="AI35" i="6"/>
  <c r="AH36" i="6"/>
  <c r="AG37" i="6"/>
  <c r="AF38" i="6"/>
  <c r="AE39" i="6"/>
  <c r="AD40" i="6"/>
  <c r="AN44" i="6"/>
  <c r="AM45" i="6"/>
  <c r="AL46" i="6"/>
  <c r="AD36" i="6"/>
  <c r="AD37" i="6"/>
  <c r="AD25" i="6"/>
  <c r="AJ33" i="6"/>
  <c r="AF37" i="6"/>
  <c r="AD39" i="6"/>
  <c r="AL45" i="6"/>
  <c r="AG21" i="6"/>
  <c r="AI22" i="6"/>
  <c r="AH23" i="6"/>
  <c r="AG24" i="6"/>
  <c r="AF25" i="6"/>
  <c r="AE26" i="6"/>
  <c r="AD27" i="6"/>
  <c r="AC28" i="6"/>
  <c r="AB29" i="6"/>
  <c r="AA30" i="6"/>
  <c r="AO30" i="6"/>
  <c r="AN31" i="6"/>
  <c r="AM32" i="6"/>
  <c r="AL33" i="6"/>
  <c r="AK34" i="6"/>
  <c r="AJ35" i="6"/>
  <c r="AI36" i="6"/>
  <c r="AH37" i="6"/>
  <c r="AG38" i="6"/>
  <c r="AF39" i="6"/>
  <c r="AE40" i="6"/>
  <c r="AD41" i="6"/>
  <c r="AC42" i="6"/>
  <c r="AB43" i="6"/>
  <c r="AA44" i="6"/>
  <c r="AO44" i="6"/>
  <c r="AN45" i="6"/>
  <c r="AM46" i="6"/>
  <c r="AI30" i="6"/>
  <c r="AD35" i="6"/>
  <c r="AI44" i="6"/>
  <c r="AF23" i="6"/>
  <c r="AM30" i="6"/>
  <c r="AE38" i="6"/>
  <c r="AH21" i="6"/>
  <c r="AJ22" i="6"/>
  <c r="AI23" i="6"/>
  <c r="AH24" i="6"/>
  <c r="AG25" i="6"/>
  <c r="AF26" i="6"/>
  <c r="AE27" i="6"/>
  <c r="AD28" i="6"/>
  <c r="AC29" i="6"/>
  <c r="AB30" i="6"/>
  <c r="AA31" i="6"/>
  <c r="AO31" i="6"/>
  <c r="AN32" i="6"/>
  <c r="AM33" i="6"/>
  <c r="AL34" i="6"/>
  <c r="AK35" i="6"/>
  <c r="AJ36" i="6"/>
  <c r="AI37" i="6"/>
  <c r="AH38" i="6"/>
  <c r="AG39" i="6"/>
  <c r="AF40" i="6"/>
  <c r="AE41" i="6"/>
  <c r="AD42" i="6"/>
  <c r="AC43" i="6"/>
  <c r="AB44" i="6"/>
  <c r="AA45" i="6"/>
  <c r="AO45" i="6"/>
  <c r="AN46" i="6"/>
  <c r="AD22" i="6"/>
  <c r="AI31" i="6"/>
  <c r="AJ44" i="6"/>
  <c r="AE36" i="6"/>
  <c r="AJ45" i="6"/>
  <c r="AE24" i="6"/>
  <c r="AL31" i="6"/>
  <c r="AH35" i="6"/>
  <c r="AM44" i="6"/>
  <c r="AA32" i="6"/>
  <c r="AA46" i="6"/>
  <c r="E77" i="21"/>
  <c r="E48" i="21"/>
  <c r="E76" i="21"/>
  <c r="E50" i="21"/>
  <c r="E64" i="21"/>
  <c r="E51" i="21"/>
  <c r="E65" i="21"/>
  <c r="E79" i="21"/>
  <c r="E52" i="21"/>
  <c r="E66" i="21"/>
  <c r="E80" i="21"/>
  <c r="E53" i="21"/>
  <c r="E67" i="21"/>
  <c r="E81" i="21"/>
  <c r="E40" i="21"/>
  <c r="E54" i="21"/>
  <c r="E68" i="21"/>
  <c r="E82" i="21"/>
  <c r="E41" i="21"/>
  <c r="E55" i="21"/>
  <c r="E83" i="21"/>
  <c r="E42" i="21"/>
  <c r="E56" i="21"/>
  <c r="E70" i="21"/>
  <c r="E84" i="21"/>
  <c r="E71" i="21"/>
  <c r="E85" i="21"/>
  <c r="E44" i="21"/>
  <c r="E58" i="21"/>
  <c r="E59" i="21"/>
  <c r="E87" i="21"/>
  <c r="E46" i="21"/>
  <c r="E60" i="21"/>
  <c r="E74" i="21"/>
  <c r="E88" i="21"/>
  <c r="E47" i="21"/>
  <c r="E75" i="21"/>
  <c r="AE43" i="20"/>
  <c r="BB43" i="20" s="1"/>
  <c r="AB49" i="21" s="1"/>
  <c r="AX79" i="20"/>
  <c r="AY79" i="20" s="1"/>
  <c r="AM79" i="20" s="1"/>
  <c r="AK76" i="20"/>
  <c r="Y78" i="22" s="1"/>
  <c r="BC58" i="20"/>
  <c r="X84" i="22"/>
  <c r="AK43" i="20"/>
  <c r="Y45" i="22" s="1"/>
  <c r="S78" i="22"/>
  <c r="AX43" i="20"/>
  <c r="AY43" i="20" s="1"/>
  <c r="AZ43" i="20" s="1"/>
  <c r="S72" i="22"/>
  <c r="W78" i="22"/>
  <c r="W66" i="22"/>
  <c r="S57" i="22"/>
  <c r="X60" i="22"/>
  <c r="BF37" i="20"/>
  <c r="X51" i="22"/>
  <c r="S42" i="22"/>
  <c r="X45" i="22"/>
  <c r="O50" i="19"/>
  <c r="W85" i="22"/>
  <c r="S84" i="22"/>
  <c r="X85" i="22"/>
  <c r="W84" i="22"/>
  <c r="S85" i="22"/>
  <c r="S79" i="22"/>
  <c r="AO76" i="20"/>
  <c r="X78" i="22"/>
  <c r="W79" i="22"/>
  <c r="S80" i="22"/>
  <c r="D89" i="19"/>
  <c r="AX76" i="20"/>
  <c r="AY76" i="20" s="1"/>
  <c r="AZ76" i="20" s="1"/>
  <c r="AO77" i="20"/>
  <c r="AX78" i="20"/>
  <c r="AY78" i="20" s="1"/>
  <c r="AZ78" i="20" s="1"/>
  <c r="X79" i="22"/>
  <c r="W80" i="22"/>
  <c r="S81" i="22"/>
  <c r="AO80" i="20"/>
  <c r="X80" i="22"/>
  <c r="W81" i="22"/>
  <c r="S82" i="22"/>
  <c r="BE76" i="20"/>
  <c r="Q76" i="20" s="1"/>
  <c r="X81" i="22"/>
  <c r="W82" i="22"/>
  <c r="S83" i="22"/>
  <c r="D88" i="19"/>
  <c r="AX77" i="20"/>
  <c r="AY77" i="20" s="1"/>
  <c r="BF76" i="20"/>
  <c r="BF77" i="20"/>
  <c r="X82" i="22"/>
  <c r="W83" i="22"/>
  <c r="X83" i="22"/>
  <c r="AZ73" i="20"/>
  <c r="AM73" i="20"/>
  <c r="AZ75" i="20"/>
  <c r="AM75" i="20"/>
  <c r="AE74" i="20"/>
  <c r="BF74" i="20"/>
  <c r="W72" i="22"/>
  <c r="S73" i="22"/>
  <c r="AK74" i="20"/>
  <c r="Y76" i="22" s="1"/>
  <c r="D79" i="19"/>
  <c r="BE75" i="20"/>
  <c r="Q75" i="20" s="1"/>
  <c r="X73" i="22"/>
  <c r="W74" i="22"/>
  <c r="S75" i="22"/>
  <c r="BE74" i="20"/>
  <c r="Q74" i="20" s="1"/>
  <c r="BC75" i="20"/>
  <c r="AO75" i="20" s="1"/>
  <c r="X72" i="22"/>
  <c r="W73" i="22"/>
  <c r="S74" i="22"/>
  <c r="AX71" i="20"/>
  <c r="AY71" i="20" s="1"/>
  <c r="AM71" i="20" s="1"/>
  <c r="AO74" i="20"/>
  <c r="BF75" i="20"/>
  <c r="X74" i="22"/>
  <c r="W75" i="22"/>
  <c r="S76" i="22"/>
  <c r="D81" i="19"/>
  <c r="AX70" i="20"/>
  <c r="AY70" i="20" s="1"/>
  <c r="AZ70" i="20" s="1"/>
  <c r="AX74" i="20"/>
  <c r="AY74" i="20" s="1"/>
  <c r="AE75" i="20"/>
  <c r="X75" i="22"/>
  <c r="W76" i="22"/>
  <c r="S77" i="22"/>
  <c r="D86" i="19"/>
  <c r="AK75" i="20"/>
  <c r="Y77" i="22" s="1"/>
  <c r="X76" i="22"/>
  <c r="W77" i="22"/>
  <c r="X77" i="22"/>
  <c r="AE66" i="20"/>
  <c r="BF66" i="20"/>
  <c r="AX67" i="20"/>
  <c r="AY67" i="20" s="1"/>
  <c r="AK68" i="20"/>
  <c r="Y70" i="22" s="1"/>
  <c r="X66" i="22"/>
  <c r="W67" i="22"/>
  <c r="S68" i="22"/>
  <c r="AK66" i="20"/>
  <c r="Y68" i="22" s="1"/>
  <c r="AO68" i="20"/>
  <c r="X67" i="22"/>
  <c r="W68" i="22"/>
  <c r="S69" i="22"/>
  <c r="BC66" i="20"/>
  <c r="AO66" i="20" s="1"/>
  <c r="BE66" i="20"/>
  <c r="Q66" i="20" s="1"/>
  <c r="BC67" i="20"/>
  <c r="AO67" i="20" s="1"/>
  <c r="AX68" i="20"/>
  <c r="AY68" i="20" s="1"/>
  <c r="AZ68" i="20" s="1"/>
  <c r="AO69" i="20"/>
  <c r="X68" i="22"/>
  <c r="W69" i="22"/>
  <c r="S70" i="22"/>
  <c r="D74" i="19"/>
  <c r="AE65" i="20"/>
  <c r="BE67" i="20"/>
  <c r="Q67" i="20" s="1"/>
  <c r="AX69" i="20"/>
  <c r="AY69" i="20" s="1"/>
  <c r="X69" i="22"/>
  <c r="W70" i="22"/>
  <c r="S71" i="22"/>
  <c r="S67" i="22"/>
  <c r="AX66" i="20"/>
  <c r="AY66" i="20" s="1"/>
  <c r="AE67" i="20"/>
  <c r="BF67" i="20"/>
  <c r="BE68" i="20"/>
  <c r="Q68" i="20" s="1"/>
  <c r="X70" i="22"/>
  <c r="W71" i="22"/>
  <c r="D73" i="19"/>
  <c r="G73" i="19" s="1"/>
  <c r="AK67" i="20"/>
  <c r="Y69" i="22" s="1"/>
  <c r="BF68" i="20"/>
  <c r="BF69" i="20"/>
  <c r="X71" i="22"/>
  <c r="X61" i="22"/>
  <c r="W62" i="22"/>
  <c r="S63" i="22"/>
  <c r="D65" i="19"/>
  <c r="BF58" i="20"/>
  <c r="AX59" i="20"/>
  <c r="AY59" i="20" s="1"/>
  <c r="AK60" i="20"/>
  <c r="Y62" i="22" s="1"/>
  <c r="X62" i="22"/>
  <c r="W63" i="22"/>
  <c r="S64" i="22"/>
  <c r="D66" i="19"/>
  <c r="AE58" i="20"/>
  <c r="AO60" i="20"/>
  <c r="AO61" i="20"/>
  <c r="X63" i="22"/>
  <c r="W64" i="22"/>
  <c r="S65" i="22"/>
  <c r="BC59" i="20"/>
  <c r="AX60" i="20"/>
  <c r="AY60" i="20" s="1"/>
  <c r="AZ60" i="20" s="1"/>
  <c r="AX61" i="20"/>
  <c r="AY61" i="20" s="1"/>
  <c r="AZ61" i="20" s="1"/>
  <c r="AX62" i="20"/>
  <c r="AY62" i="20" s="1"/>
  <c r="AZ62" i="20" s="1"/>
  <c r="X64" i="22"/>
  <c r="W65" i="22"/>
  <c r="AK58" i="20"/>
  <c r="Y60" i="22" s="1"/>
  <c r="AO58" i="20"/>
  <c r="BE59" i="20"/>
  <c r="Q59" i="20" s="1"/>
  <c r="X65" i="22"/>
  <c r="D69" i="19"/>
  <c r="W61" i="22"/>
  <c r="S62" i="22"/>
  <c r="BE58" i="20"/>
  <c r="Q58" i="20" s="1"/>
  <c r="AX58" i="20"/>
  <c r="AY58" i="20" s="1"/>
  <c r="AZ58" i="20" s="1"/>
  <c r="AE59" i="20"/>
  <c r="BF59" i="20"/>
  <c r="BE60" i="20"/>
  <c r="Q60" i="20" s="1"/>
  <c r="BF61" i="20"/>
  <c r="S60" i="22"/>
  <c r="AO59" i="20"/>
  <c r="AK59" i="20"/>
  <c r="Y61" i="22" s="1"/>
  <c r="BF60" i="20"/>
  <c r="X56" i="22"/>
  <c r="W57" i="22"/>
  <c r="S58" i="22"/>
  <c r="AK57" i="20"/>
  <c r="Y59" i="22" s="1"/>
  <c r="X57" i="22"/>
  <c r="W58" i="22"/>
  <c r="S59" i="22"/>
  <c r="X58" i="22"/>
  <c r="W59" i="22"/>
  <c r="AK52" i="20"/>
  <c r="Y54" i="22" s="1"/>
  <c r="AO52" i="20"/>
  <c r="AX54" i="20"/>
  <c r="AY54" i="20" s="1"/>
  <c r="AX52" i="20"/>
  <c r="AY52" i="20" s="1"/>
  <c r="AZ52" i="20" s="1"/>
  <c r="AO53" i="20"/>
  <c r="X59" i="22"/>
  <c r="X55" i="22"/>
  <c r="W56" i="22"/>
  <c r="AX53" i="20"/>
  <c r="AY53" i="20" s="1"/>
  <c r="AZ53" i="20" s="1"/>
  <c r="S54" i="22"/>
  <c r="BE52" i="20"/>
  <c r="Q52" i="20" s="1"/>
  <c r="BC56" i="20"/>
  <c r="W54" i="22"/>
  <c r="S55" i="22"/>
  <c r="BF52" i="20"/>
  <c r="BF53" i="20"/>
  <c r="X54" i="22"/>
  <c r="W55" i="22"/>
  <c r="D61" i="19"/>
  <c r="J61" i="19" s="1"/>
  <c r="BC51" i="20"/>
  <c r="X52" i="22"/>
  <c r="W53" i="22"/>
  <c r="BE51" i="20"/>
  <c r="Q51" i="20" s="1"/>
  <c r="X53" i="22"/>
  <c r="AE50" i="20"/>
  <c r="AX46" i="20"/>
  <c r="AY46" i="20" s="1"/>
  <c r="AM46" i="20" s="1"/>
  <c r="AX50" i="20"/>
  <c r="AY50" i="20" s="1"/>
  <c r="AZ50" i="20" s="1"/>
  <c r="AE51" i="20"/>
  <c r="BF51" i="20"/>
  <c r="S48" i="22"/>
  <c r="W52" i="22"/>
  <c r="S53" i="22"/>
  <c r="AK49" i="20"/>
  <c r="Y51" i="22" s="1"/>
  <c r="AK51" i="20"/>
  <c r="Y53" i="22" s="1"/>
  <c r="W48" i="22"/>
  <c r="S49" i="22"/>
  <c r="D53" i="19"/>
  <c r="J53" i="19" s="1"/>
  <c r="AK50" i="20"/>
  <c r="Y52" i="22" s="1"/>
  <c r="BC48" i="20"/>
  <c r="BC50" i="20"/>
  <c r="AO50" i="20" s="1"/>
  <c r="W49" i="22"/>
  <c r="S50" i="22"/>
  <c r="BE50" i="20"/>
  <c r="Q50" i="20" s="1"/>
  <c r="AO51" i="20"/>
  <c r="W50" i="22"/>
  <c r="S51" i="22"/>
  <c r="D57" i="19"/>
  <c r="BF50" i="20"/>
  <c r="AX51" i="20"/>
  <c r="AY51" i="20" s="1"/>
  <c r="AZ42" i="20"/>
  <c r="AM42" i="20"/>
  <c r="X47" i="22"/>
  <c r="AE42" i="20"/>
  <c r="BF42" i="20"/>
  <c r="AO44" i="20"/>
  <c r="AO45" i="20"/>
  <c r="W42" i="22"/>
  <c r="S43" i="22"/>
  <c r="D47" i="19"/>
  <c r="X46" i="22"/>
  <c r="W47" i="22"/>
  <c r="AK41" i="20"/>
  <c r="Y43" i="22" s="1"/>
  <c r="AK42" i="20"/>
  <c r="Y44" i="22" s="1"/>
  <c r="BC43" i="20"/>
  <c r="AO43" i="20" s="1"/>
  <c r="AX44" i="20"/>
  <c r="AY44" i="20" s="1"/>
  <c r="AZ44" i="20" s="1"/>
  <c r="AX45" i="20"/>
  <c r="AY45" i="20" s="1"/>
  <c r="AZ45" i="20" s="1"/>
  <c r="X42" i="22"/>
  <c r="W43" i="22"/>
  <c r="S44" i="22"/>
  <c r="BC42" i="20"/>
  <c r="BE43" i="20"/>
  <c r="Q43" i="20" s="1"/>
  <c r="W44" i="22"/>
  <c r="S45" i="22"/>
  <c r="D49" i="19"/>
  <c r="BE42" i="20"/>
  <c r="Q42" i="20" s="1"/>
  <c r="AK44" i="20"/>
  <c r="Y46" i="22" s="1"/>
  <c r="AO42" i="20"/>
  <c r="BF43" i="20"/>
  <c r="BE44" i="20"/>
  <c r="Q44" i="20" s="1"/>
  <c r="BF45" i="20"/>
  <c r="X44" i="22"/>
  <c r="W45" i="22"/>
  <c r="S46" i="22"/>
  <c r="BF44" i="20"/>
  <c r="W46" i="22"/>
  <c r="S47" i="22"/>
  <c r="AM38" i="20"/>
  <c r="AZ38" i="20"/>
  <c r="X38" i="22"/>
  <c r="W39" i="22"/>
  <c r="S40" i="22"/>
  <c r="BF36" i="20"/>
  <c r="AO35" i="20"/>
  <c r="X39" i="22"/>
  <c r="W40" i="22"/>
  <c r="S41" i="22"/>
  <c r="AK36" i="20"/>
  <c r="Y38" i="22" s="1"/>
  <c r="X41" i="22"/>
  <c r="D45" i="19"/>
  <c r="J45" i="19" s="1"/>
  <c r="BC35" i="20"/>
  <c r="AO36" i="20"/>
  <c r="X40" i="22"/>
  <c r="W41" i="22"/>
  <c r="S37" i="22"/>
  <c r="W37" i="22"/>
  <c r="S38" i="22"/>
  <c r="AX35" i="20"/>
  <c r="AY35" i="20" s="1"/>
  <c r="BE35" i="20"/>
  <c r="Q35" i="20" s="1"/>
  <c r="AX36" i="20"/>
  <c r="AY36" i="20" s="1"/>
  <c r="AE35" i="20"/>
  <c r="BF35" i="20"/>
  <c r="AK35" i="20"/>
  <c r="Y37" i="22" s="1"/>
  <c r="BE36" i="20"/>
  <c r="Q36" i="20" s="1"/>
  <c r="W38" i="22"/>
  <c r="S39" i="22"/>
  <c r="AZ34" i="20"/>
  <c r="AM34" i="20"/>
  <c r="BE34" i="20"/>
  <c r="Q34" i="20" s="1"/>
  <c r="W36" i="22"/>
  <c r="AE34" i="20"/>
  <c r="BF34" i="20"/>
  <c r="X36" i="22"/>
  <c r="S36" i="22"/>
  <c r="AK34" i="20"/>
  <c r="Y36" i="22" s="1"/>
  <c r="D41" i="19"/>
  <c r="G41" i="19" s="1"/>
  <c r="BC34" i="20"/>
  <c r="AO34" i="20" s="1"/>
  <c r="D42" i="19"/>
  <c r="J42" i="19" s="1"/>
  <c r="C50" i="19"/>
  <c r="D50" i="19"/>
  <c r="G50" i="19" s="1"/>
  <c r="D58" i="19"/>
  <c r="G58" i="19" s="1"/>
  <c r="C58" i="19"/>
  <c r="C66" i="19"/>
  <c r="C74" i="19"/>
  <c r="C86" i="19"/>
  <c r="D43" i="19"/>
  <c r="J43" i="19" s="1"/>
  <c r="D59" i="19"/>
  <c r="J59" i="19" s="1"/>
  <c r="C67" i="19"/>
  <c r="C87" i="19"/>
  <c r="C76" i="19"/>
  <c r="D76" i="19"/>
  <c r="F76" i="19" s="1"/>
  <c r="D77" i="19"/>
  <c r="J77" i="19" s="1"/>
  <c r="C77" i="19"/>
  <c r="C60" i="19"/>
  <c r="D60" i="19"/>
  <c r="C68" i="19"/>
  <c r="D68" i="19"/>
  <c r="G68" i="19" s="1"/>
  <c r="C47" i="19"/>
  <c r="C63" i="19"/>
  <c r="D63" i="19"/>
  <c r="G63" i="19" s="1"/>
  <c r="C71" i="19"/>
  <c r="D71" i="19"/>
  <c r="G71" i="19" s="1"/>
  <c r="C79" i="19"/>
  <c r="C48" i="19"/>
  <c r="D48" i="19"/>
  <c r="J48" i="19" s="1"/>
  <c r="C64" i="19"/>
  <c r="D64" i="19"/>
  <c r="F64" i="19" s="1"/>
  <c r="C72" i="19"/>
  <c r="D72" i="19"/>
  <c r="G72" i="19" s="1"/>
  <c r="D84" i="19"/>
  <c r="F84" i="19" s="1"/>
  <c r="C84" i="19"/>
  <c r="C85" i="19"/>
  <c r="B82" i="19"/>
  <c r="C51" i="19"/>
  <c r="D52" i="19"/>
  <c r="J52" i="19" s="1"/>
  <c r="C53" i="19"/>
  <c r="C75" i="19"/>
  <c r="C83" i="19"/>
  <c r="D51" i="19"/>
  <c r="F51" i="19" s="1"/>
  <c r="B80" i="19"/>
  <c r="C40" i="19"/>
  <c r="C42" i="19"/>
  <c r="D67" i="19"/>
  <c r="D75" i="19"/>
  <c r="D87" i="19"/>
  <c r="F87" i="19" s="1"/>
  <c r="D55" i="19"/>
  <c r="G55" i="19" s="1"/>
  <c r="C56" i="19"/>
  <c r="C43" i="19"/>
  <c r="D44" i="19"/>
  <c r="F44" i="19" s="1"/>
  <c r="C45" i="19"/>
  <c r="D56" i="19"/>
  <c r="J56" i="19" s="1"/>
  <c r="C59" i="19"/>
  <c r="C61" i="19"/>
  <c r="C69" i="19"/>
  <c r="C89" i="19"/>
  <c r="C46" i="19"/>
  <c r="C54" i="19"/>
  <c r="C62" i="19"/>
  <c r="C70" i="19"/>
  <c r="C78" i="19"/>
  <c r="C90" i="19"/>
  <c r="D46" i="19"/>
  <c r="D54" i="19"/>
  <c r="D62" i="19"/>
  <c r="D70" i="19"/>
  <c r="D78" i="19"/>
  <c r="D90" i="19"/>
  <c r="C41" i="19"/>
  <c r="C49" i="19"/>
  <c r="C57" i="19"/>
  <c r="C65" i="19"/>
  <c r="C73" i="19"/>
  <c r="C81" i="19"/>
  <c r="C88" i="19"/>
  <c r="AM81" i="20"/>
  <c r="AO82" i="20"/>
  <c r="AX83" i="20"/>
  <c r="AY83" i="20" s="1"/>
  <c r="AM83" i="20" s="1"/>
  <c r="AX82" i="20"/>
  <c r="AY82" i="20" s="1"/>
  <c r="AM82" i="20" s="1"/>
  <c r="AE83" i="20"/>
  <c r="BB83" i="20" s="1"/>
  <c r="AB89" i="21" s="1"/>
  <c r="BC83" i="20"/>
  <c r="AO83" i="20" s="1"/>
  <c r="AE82" i="20"/>
  <c r="BB82" i="20" s="1"/>
  <c r="AB88" i="21" s="1"/>
  <c r="BC82" i="20"/>
  <c r="AK83" i="20"/>
  <c r="Y85" i="22" s="1"/>
  <c r="BE83" i="20"/>
  <c r="AK82" i="20"/>
  <c r="Y84" i="22" s="1"/>
  <c r="BE82" i="20"/>
  <c r="Q82" i="20" s="1"/>
  <c r="BF83" i="20"/>
  <c r="AO64" i="20"/>
  <c r="BF64" i="20"/>
  <c r="BE64" i="20"/>
  <c r="Q64" i="20" s="1"/>
  <c r="AK64" i="20"/>
  <c r="Y66" i="22" s="1"/>
  <c r="BC64" i="20"/>
  <c r="AE64" i="20"/>
  <c r="AX64" i="20"/>
  <c r="AY64" i="20" s="1"/>
  <c r="AM64" i="20" s="1"/>
  <c r="BF63" i="20"/>
  <c r="BE63" i="20"/>
  <c r="Q63" i="20" s="1"/>
  <c r="AK63" i="20"/>
  <c r="Y65" i="22" s="1"/>
  <c r="BC63" i="20"/>
  <c r="AO63" i="20" s="1"/>
  <c r="AE63" i="20"/>
  <c r="BC37" i="20"/>
  <c r="AO37" i="20" s="1"/>
  <c r="AE37" i="20"/>
  <c r="BE37" i="20"/>
  <c r="Q37" i="20" s="1"/>
  <c r="AK37" i="20"/>
  <c r="Y39" i="22" s="1"/>
  <c r="BE38" i="20"/>
  <c r="Q38" i="20" s="1"/>
  <c r="AK38" i="20"/>
  <c r="Y40" i="22" s="1"/>
  <c r="BC38" i="20"/>
  <c r="BF38" i="20"/>
  <c r="AE38" i="20"/>
  <c r="AO40" i="20"/>
  <c r="BF40" i="20"/>
  <c r="BE40" i="20"/>
  <c r="Q40" i="20" s="1"/>
  <c r="AK40" i="20"/>
  <c r="Y42" i="22" s="1"/>
  <c r="AX40" i="20"/>
  <c r="AY40" i="20" s="1"/>
  <c r="AM40" i="20" s="1"/>
  <c r="BE46" i="20"/>
  <c r="Q46" i="20" s="1"/>
  <c r="AK46" i="20"/>
  <c r="Y48" i="22" s="1"/>
  <c r="BC46" i="20"/>
  <c r="AE46" i="20"/>
  <c r="BF46" i="20"/>
  <c r="AO48" i="20"/>
  <c r="BF48" i="20"/>
  <c r="BE48" i="20"/>
  <c r="Q48" i="20" s="1"/>
  <c r="AK48" i="20"/>
  <c r="Y50" i="22" s="1"/>
  <c r="AX48" i="20"/>
  <c r="AY48" i="20" s="1"/>
  <c r="AM48" i="20" s="1"/>
  <c r="BE54" i="20"/>
  <c r="Q54" i="20" s="1"/>
  <c r="AK54" i="20"/>
  <c r="Y56" i="22" s="1"/>
  <c r="BC54" i="20"/>
  <c r="AE54" i="20"/>
  <c r="BF54" i="20"/>
  <c r="BF55" i="20"/>
  <c r="BE55" i="20"/>
  <c r="Q55" i="20" s="1"/>
  <c r="AK55" i="20"/>
  <c r="Y57" i="22" s="1"/>
  <c r="BC55" i="20"/>
  <c r="AE55" i="20"/>
  <c r="AO55" i="20"/>
  <c r="AO56" i="20"/>
  <c r="BF56" i="20"/>
  <c r="BE56" i="20"/>
  <c r="Q56" i="20" s="1"/>
  <c r="AK56" i="20"/>
  <c r="Y58" i="22" s="1"/>
  <c r="AX56" i="20"/>
  <c r="AY56" i="20" s="1"/>
  <c r="AM56" i="20" s="1"/>
  <c r="AX57" i="20"/>
  <c r="AY57" i="20" s="1"/>
  <c r="BF57" i="20"/>
  <c r="BC57" i="20"/>
  <c r="AO57" i="20" s="1"/>
  <c r="AX63" i="20"/>
  <c r="AY63" i="20" s="1"/>
  <c r="AM63" i="20" s="1"/>
  <c r="BF39" i="20"/>
  <c r="BE39" i="20"/>
  <c r="Q39" i="20" s="1"/>
  <c r="BC39" i="20"/>
  <c r="AE39" i="20"/>
  <c r="AO39" i="20"/>
  <c r="AK39" i="20"/>
  <c r="Y41" i="22" s="1"/>
  <c r="AX41" i="20"/>
  <c r="AY41" i="20" s="1"/>
  <c r="BF41" i="20"/>
  <c r="BC41" i="20"/>
  <c r="AO41" i="20" s="1"/>
  <c r="BF47" i="20"/>
  <c r="BE47" i="20"/>
  <c r="Q47" i="20" s="1"/>
  <c r="AK47" i="20"/>
  <c r="Y49" i="22" s="1"/>
  <c r="BC47" i="20"/>
  <c r="AO47" i="20" s="1"/>
  <c r="AE47" i="20"/>
  <c r="AX49" i="20"/>
  <c r="AY49" i="20" s="1"/>
  <c r="AO49" i="20"/>
  <c r="BF49" i="20"/>
  <c r="BC49" i="20"/>
  <c r="BE41" i="20"/>
  <c r="Q41" i="20" s="1"/>
  <c r="BE49" i="20"/>
  <c r="Q49" i="20" s="1"/>
  <c r="BE57" i="20"/>
  <c r="Q57" i="20" s="1"/>
  <c r="AX37" i="20"/>
  <c r="AY37" i="20" s="1"/>
  <c r="AZ37" i="20" s="1"/>
  <c r="AO38" i="20"/>
  <c r="AX39" i="20"/>
  <c r="AY39" i="20" s="1"/>
  <c r="AM39" i="20" s="1"/>
  <c r="AE40" i="20"/>
  <c r="AE41" i="20"/>
  <c r="AO46" i="20"/>
  <c r="AX47" i="20"/>
  <c r="AY47" i="20" s="1"/>
  <c r="AM47" i="20" s="1"/>
  <c r="AE48" i="20"/>
  <c r="AE49" i="20"/>
  <c r="AO54" i="20"/>
  <c r="AX55" i="20"/>
  <c r="AY55" i="20" s="1"/>
  <c r="AM55" i="20" s="1"/>
  <c r="AE56" i="20"/>
  <c r="AE57" i="20"/>
  <c r="AX65" i="20"/>
  <c r="AY65" i="20" s="1"/>
  <c r="AZ65" i="20" s="1"/>
  <c r="AO65" i="20"/>
  <c r="BF65" i="20"/>
  <c r="BE65" i="20"/>
  <c r="Q65" i="20" s="1"/>
  <c r="AK65" i="20"/>
  <c r="Y67" i="22" s="1"/>
  <c r="BF72" i="20"/>
  <c r="BE72" i="20"/>
  <c r="Q72" i="20" s="1"/>
  <c r="AK72" i="20"/>
  <c r="Y74" i="22" s="1"/>
  <c r="BC72" i="20"/>
  <c r="AO72" i="20" s="1"/>
  <c r="AE72" i="20"/>
  <c r="AX72" i="20"/>
  <c r="AY72" i="20" s="1"/>
  <c r="AM72" i="20" s="1"/>
  <c r="AE36" i="20"/>
  <c r="AE44" i="20"/>
  <c r="AK45" i="20"/>
  <c r="Y47" i="22" s="1"/>
  <c r="BE45" i="20"/>
  <c r="Q45" i="20" s="1"/>
  <c r="AE52" i="20"/>
  <c r="AK53" i="20"/>
  <c r="Y55" i="22" s="1"/>
  <c r="BE53" i="20"/>
  <c r="Q53" i="20" s="1"/>
  <c r="AE60" i="20"/>
  <c r="AK61" i="20"/>
  <c r="Y63" i="22" s="1"/>
  <c r="BE61" i="20"/>
  <c r="Q61" i="20" s="1"/>
  <c r="BF62" i="20"/>
  <c r="AE68" i="20"/>
  <c r="AK69" i="20"/>
  <c r="Y71" i="22" s="1"/>
  <c r="BE69" i="20"/>
  <c r="Q69" i="20" s="1"/>
  <c r="BF70" i="20"/>
  <c r="AE76" i="20"/>
  <c r="AK77" i="20"/>
  <c r="Y79" i="22" s="1"/>
  <c r="BE77" i="20"/>
  <c r="Q77" i="20" s="1"/>
  <c r="BF78" i="20"/>
  <c r="AX80" i="20"/>
  <c r="AY80" i="20" s="1"/>
  <c r="AM80" i="20" s="1"/>
  <c r="AE73" i="20"/>
  <c r="BC73" i="20"/>
  <c r="AO73" i="20" s="1"/>
  <c r="AE81" i="20"/>
  <c r="BB81" i="20" s="1"/>
  <c r="AB87" i="21" s="1"/>
  <c r="BC81" i="20"/>
  <c r="AK73" i="20"/>
  <c r="Y75" i="22" s="1"/>
  <c r="BE73" i="20"/>
  <c r="Q73" i="20" s="1"/>
  <c r="AE80" i="20"/>
  <c r="BB80" i="20" s="1"/>
  <c r="AB86" i="21" s="1"/>
  <c r="BC80" i="20"/>
  <c r="AK81" i="20"/>
  <c r="Y83" i="22" s="1"/>
  <c r="BE81" i="20"/>
  <c r="Q81" i="20" s="1"/>
  <c r="AE71" i="20"/>
  <c r="BC71" i="20"/>
  <c r="AO71" i="20" s="1"/>
  <c r="BF73" i="20"/>
  <c r="AE79" i="20"/>
  <c r="BC79" i="20"/>
  <c r="AO79" i="20" s="1"/>
  <c r="AK80" i="20"/>
  <c r="Y82" i="22" s="1"/>
  <c r="BE80" i="20"/>
  <c r="Q80" i="20" s="1"/>
  <c r="BF81" i="20"/>
  <c r="AE62" i="20"/>
  <c r="BC62" i="20"/>
  <c r="AO62" i="20" s="1"/>
  <c r="AE70" i="20"/>
  <c r="BC70" i="20"/>
  <c r="AO70" i="20" s="1"/>
  <c r="AK71" i="20"/>
  <c r="Y73" i="22" s="1"/>
  <c r="BE71" i="20"/>
  <c r="Q71" i="20" s="1"/>
  <c r="AE78" i="20"/>
  <c r="BC78" i="20"/>
  <c r="AO78" i="20" s="1"/>
  <c r="AK79" i="20"/>
  <c r="Y81" i="22" s="1"/>
  <c r="BE79" i="20"/>
  <c r="Q79" i="20" s="1"/>
  <c r="BF80" i="20"/>
  <c r="AO81" i="20"/>
  <c r="AE45" i="20"/>
  <c r="AE53" i="20"/>
  <c r="AE61" i="20"/>
  <c r="AK62" i="20"/>
  <c r="Y64" i="22" s="1"/>
  <c r="AE69" i="20"/>
  <c r="AK70" i="20"/>
  <c r="Y72" i="22" s="1"/>
  <c r="AE77" i="20"/>
  <c r="AK78" i="20"/>
  <c r="Y80" i="22" s="1"/>
  <c r="C79" i="22"/>
  <c r="C78" i="22"/>
  <c r="C76" i="22"/>
  <c r="C70" i="22"/>
  <c r="C66" i="22"/>
  <c r="C63" i="22"/>
  <c r="C58" i="22"/>
  <c r="C47" i="22"/>
  <c r="C46" i="22"/>
  <c r="C40" i="22"/>
  <c r="C38" i="22"/>
  <c r="C37" i="22"/>
  <c r="U36" i="22"/>
  <c r="V82" i="22"/>
  <c r="V49" i="22"/>
  <c r="Z49" i="22"/>
  <c r="V58" i="22"/>
  <c r="V72" i="22"/>
  <c r="V73" i="22"/>
  <c r="U39" i="22"/>
  <c r="T42" i="22"/>
  <c r="Z75" i="22"/>
  <c r="T50" i="22"/>
  <c r="AA79" i="22"/>
  <c r="AA65" i="22"/>
  <c r="U74" i="22"/>
  <c r="Z39" i="22"/>
  <c r="U41" i="22"/>
  <c r="Z62" i="22"/>
  <c r="AA44" i="22"/>
  <c r="T36" i="22"/>
  <c r="T60" i="22"/>
  <c r="Z37" i="22"/>
  <c r="U43" i="22"/>
  <c r="Z66" i="22"/>
  <c r="V76" i="22"/>
  <c r="T80" i="22"/>
  <c r="AA54" i="22"/>
  <c r="T56" i="22"/>
  <c r="V69" i="22"/>
  <c r="T71" i="22"/>
  <c r="V44" i="22"/>
  <c r="V83" i="22"/>
  <c r="U68" i="22"/>
  <c r="T40" i="22"/>
  <c r="Z47" i="22"/>
  <c r="T47" i="22"/>
  <c r="V85" i="22"/>
  <c r="V45" i="22"/>
  <c r="Z73" i="22"/>
  <c r="AA83" i="22"/>
  <c r="V78" i="22"/>
  <c r="V53" i="22"/>
  <c r="AA55" i="22"/>
  <c r="Z60" i="22"/>
  <c r="V42" i="22"/>
  <c r="AA75" i="22"/>
  <c r="U55" i="22"/>
  <c r="T38" i="22"/>
  <c r="V40" i="22"/>
  <c r="U64" i="22"/>
  <c r="AA72" i="22"/>
  <c r="AA53" i="22"/>
  <c r="AA64" i="22"/>
  <c r="U70" i="22"/>
  <c r="U44" i="22"/>
  <c r="T51" i="22"/>
  <c r="AA41" i="22"/>
  <c r="V63" i="22"/>
  <c r="T75" i="22"/>
  <c r="Z80" i="22"/>
  <c r="AA50" i="22"/>
  <c r="U46" i="22"/>
  <c r="V46" i="22"/>
  <c r="Z74" i="22"/>
  <c r="T76" i="22"/>
  <c r="AA60" i="22"/>
  <c r="AA43" i="22"/>
  <c r="Z41" i="22"/>
  <c r="V67" i="22"/>
  <c r="T39" i="22"/>
  <c r="AA61" i="22"/>
  <c r="Z72" i="22"/>
  <c r="AA73" i="22"/>
  <c r="V57" i="22"/>
  <c r="AA59" i="22"/>
  <c r="V38" i="22"/>
  <c r="V81" i="22"/>
  <c r="V37" i="22"/>
  <c r="U57" i="22"/>
  <c r="AA80" i="22"/>
  <c r="AA42" i="22"/>
  <c r="AA57" i="22"/>
  <c r="T48" i="22"/>
  <c r="V75" i="22"/>
  <c r="AA45" i="22"/>
  <c r="AA69" i="22"/>
  <c r="Z51" i="22"/>
  <c r="Z76" i="22"/>
  <c r="Z65" i="22"/>
  <c r="Z85" i="22"/>
  <c r="U50" i="22"/>
  <c r="V74" i="22"/>
  <c r="Z44" i="22"/>
  <c r="Z79" i="22"/>
  <c r="AA63" i="22"/>
  <c r="Z55" i="22"/>
  <c r="Z54" i="22"/>
  <c r="T37" i="22"/>
  <c r="AA36" i="22"/>
  <c r="T53" i="22"/>
  <c r="U63" i="22"/>
  <c r="U76" i="22"/>
  <c r="U83" i="22"/>
  <c r="U51" i="22"/>
  <c r="U52" i="22"/>
  <c r="AA47" i="22"/>
  <c r="Z70" i="22"/>
  <c r="U78" i="22"/>
  <c r="T77" i="22"/>
  <c r="V43" i="22"/>
  <c r="V60" i="22"/>
  <c r="AA77" i="22"/>
  <c r="T82" i="22"/>
  <c r="U72" i="22"/>
  <c r="AA68" i="22"/>
  <c r="T62" i="22"/>
  <c r="V65" i="22"/>
  <c r="U38" i="22"/>
  <c r="Z50" i="22"/>
  <c r="V66" i="22"/>
  <c r="V70" i="22"/>
  <c r="AA46" i="22"/>
  <c r="T44" i="22"/>
  <c r="U75" i="22"/>
  <c r="U54" i="22"/>
  <c r="V80" i="22"/>
  <c r="AA70" i="22"/>
  <c r="Z68" i="22"/>
  <c r="T85" i="22"/>
  <c r="AA39" i="22"/>
  <c r="V68" i="22"/>
  <c r="U47" i="22"/>
  <c r="Z69" i="22"/>
  <c r="Z56" i="22"/>
  <c r="V62" i="22"/>
  <c r="U40" i="22"/>
  <c r="U85" i="22"/>
  <c r="T66" i="22"/>
  <c r="U37" i="22"/>
  <c r="T84" i="22"/>
  <c r="T61" i="22"/>
  <c r="Z63" i="22"/>
  <c r="Z67" i="22"/>
  <c r="U65" i="22"/>
  <c r="Z38" i="22"/>
  <c r="V36" i="22"/>
  <c r="T45" i="22"/>
  <c r="T73" i="22"/>
  <c r="V56" i="22"/>
  <c r="Z42" i="22"/>
  <c r="V54" i="22"/>
  <c r="AA49" i="22"/>
  <c r="Z40" i="22"/>
  <c r="AA37" i="22"/>
  <c r="Z81" i="22"/>
  <c r="AA84" i="22"/>
  <c r="U42" i="22"/>
  <c r="V51" i="22"/>
  <c r="V79" i="22"/>
  <c r="Z61" i="22"/>
  <c r="V84" i="22"/>
  <c r="T79" i="22"/>
  <c r="T70" i="22"/>
  <c r="T46" i="22"/>
  <c r="V41" i="22"/>
  <c r="AA48" i="22"/>
  <c r="U73" i="22"/>
  <c r="AA81" i="22"/>
  <c r="V52" i="22"/>
  <c r="AA76" i="22"/>
  <c r="Z48" i="22"/>
  <c r="V64" i="22"/>
  <c r="V61" i="22"/>
  <c r="U69" i="22"/>
  <c r="T54" i="22"/>
  <c r="T72" i="22"/>
  <c r="AA71" i="22"/>
  <c r="Z82" i="22"/>
  <c r="T81" i="22"/>
  <c r="V47" i="22"/>
  <c r="T57" i="22"/>
  <c r="U84" i="22"/>
  <c r="V77" i="22"/>
  <c r="Z57" i="22"/>
  <c r="Z58" i="22"/>
  <c r="Z46" i="22"/>
  <c r="T59" i="22"/>
  <c r="Z43" i="22"/>
  <c r="V39" i="22"/>
  <c r="T41" i="22"/>
  <c r="U45" i="22"/>
  <c r="U80" i="22"/>
  <c r="V48" i="22"/>
  <c r="Z83" i="22"/>
  <c r="Z78" i="22"/>
  <c r="AA66" i="22"/>
  <c r="U62" i="22"/>
  <c r="AA58" i="22"/>
  <c r="Z36" i="22"/>
  <c r="T55" i="22"/>
  <c r="T68" i="22"/>
  <c r="AA51" i="22"/>
  <c r="T69" i="22"/>
  <c r="U53" i="22"/>
  <c r="T67" i="22"/>
  <c r="Z59" i="22"/>
  <c r="V55" i="22"/>
  <c r="V50" i="22"/>
  <c r="U49" i="22"/>
  <c r="AA40" i="22"/>
  <c r="T49" i="22"/>
  <c r="T78" i="22"/>
  <c r="AA82" i="22"/>
  <c r="Z45" i="22"/>
  <c r="AA67" i="22"/>
  <c r="U79" i="22"/>
  <c r="U66" i="22"/>
  <c r="U56" i="22"/>
  <c r="AA85" i="22"/>
  <c r="AA78" i="22"/>
  <c r="Z84" i="22"/>
  <c r="V59" i="22"/>
  <c r="AA74" i="22"/>
  <c r="U58" i="22"/>
  <c r="AA38" i="22"/>
  <c r="Z64" i="22"/>
  <c r="U77" i="22"/>
  <c r="U59" i="22"/>
  <c r="T43" i="22"/>
  <c r="T63" i="22"/>
  <c r="U71" i="22"/>
  <c r="T52" i="22"/>
  <c r="T64" i="22"/>
  <c r="Z52" i="22"/>
  <c r="U81" i="22"/>
  <c r="Z53" i="22"/>
  <c r="U67" i="22"/>
  <c r="V71" i="22"/>
  <c r="U82" i="22"/>
  <c r="T74" i="22"/>
  <c r="AA62" i="22"/>
  <c r="Z71" i="22"/>
  <c r="Z77" i="22"/>
  <c r="AA56" i="22"/>
  <c r="T83" i="22"/>
  <c r="T58" i="22"/>
  <c r="U61" i="22"/>
  <c r="AA52" i="22"/>
  <c r="U48" i="22"/>
  <c r="T65" i="22"/>
  <c r="U60" i="22"/>
  <c r="AF16" i="48" l="1"/>
  <c r="AG16" i="48" s="1"/>
  <c r="AD18" i="48"/>
  <c r="AE16" i="48"/>
  <c r="AL16" i="48"/>
  <c r="AK18" i="48"/>
  <c r="AM17" i="48"/>
  <c r="AN17" i="48" s="1"/>
  <c r="K16" i="48"/>
  <c r="L16" i="48" s="1"/>
  <c r="J15" i="48"/>
  <c r="I17" i="48"/>
  <c r="Y17" i="48"/>
  <c r="Z17" i="48" s="1"/>
  <c r="X16" i="48"/>
  <c r="W18" i="48"/>
  <c r="C15" i="48"/>
  <c r="B17" i="48"/>
  <c r="D16" i="48"/>
  <c r="E16" i="48" s="1"/>
  <c r="R17" i="48"/>
  <c r="S17" i="48" s="1"/>
  <c r="Q16" i="48"/>
  <c r="P18" i="48"/>
  <c r="CX3" i="23"/>
  <c r="CX23" i="23"/>
  <c r="AZ79" i="20"/>
  <c r="G51" i="19"/>
  <c r="AM58" i="20"/>
  <c r="AM76" i="20"/>
  <c r="AM43" i="20"/>
  <c r="V50" i="19"/>
  <c r="E50" i="19" s="1"/>
  <c r="AM68" i="20"/>
  <c r="AM70" i="20"/>
  <c r="J50" i="19"/>
  <c r="F58" i="19"/>
  <c r="L58" i="19" s="1"/>
  <c r="AI57" i="21" s="1"/>
  <c r="AM61" i="20"/>
  <c r="G43" i="19"/>
  <c r="G42" i="19"/>
  <c r="F71" i="19"/>
  <c r="L71" i="19" s="1"/>
  <c r="AI70" i="21" s="1"/>
  <c r="F43" i="19"/>
  <c r="F61" i="19"/>
  <c r="L61" i="19" s="1"/>
  <c r="AI60" i="21" s="1"/>
  <c r="G61" i="19"/>
  <c r="AZ46" i="20"/>
  <c r="F55" i="19"/>
  <c r="J55" i="19"/>
  <c r="G87" i="19"/>
  <c r="AM62" i="20"/>
  <c r="J72" i="19"/>
  <c r="F45" i="19"/>
  <c r="J84" i="19"/>
  <c r="F68" i="19"/>
  <c r="J68" i="19"/>
  <c r="J87" i="19"/>
  <c r="F72" i="19"/>
  <c r="AZ63" i="20"/>
  <c r="AM50" i="20"/>
  <c r="AZ56" i="20"/>
  <c r="AZ55" i="20"/>
  <c r="AM60" i="20"/>
  <c r="Q83" i="20"/>
  <c r="AZ64" i="20"/>
  <c r="AZ71" i="20"/>
  <c r="AM44" i="20"/>
  <c r="J44" i="19"/>
  <c r="F77" i="19"/>
  <c r="J63" i="19"/>
  <c r="G77" i="19"/>
  <c r="F63" i="19"/>
  <c r="J58" i="19"/>
  <c r="F73" i="19"/>
  <c r="L73" i="19"/>
  <c r="AI72" i="21" s="1"/>
  <c r="G84" i="22"/>
  <c r="F84" i="22"/>
  <c r="G85" i="22"/>
  <c r="F85" i="22"/>
  <c r="BJ83" i="20"/>
  <c r="D85" i="22"/>
  <c r="BJ82" i="20"/>
  <c r="D84" i="22"/>
  <c r="AZ83" i="20"/>
  <c r="AZ82" i="20"/>
  <c r="F81" i="22"/>
  <c r="G81" i="22"/>
  <c r="F80" i="22"/>
  <c r="G80" i="22"/>
  <c r="G83" i="22"/>
  <c r="F83" i="22"/>
  <c r="F82" i="22"/>
  <c r="G82" i="22"/>
  <c r="G78" i="22"/>
  <c r="F78" i="22"/>
  <c r="G79" i="22"/>
  <c r="F79" i="22"/>
  <c r="BJ78" i="20"/>
  <c r="D80" i="22"/>
  <c r="F88" i="19"/>
  <c r="L88" i="19" s="1"/>
  <c r="AI87" i="21" s="1"/>
  <c r="J88" i="19"/>
  <c r="G88" i="19"/>
  <c r="J89" i="19"/>
  <c r="G89" i="19"/>
  <c r="F89" i="19"/>
  <c r="BJ79" i="20"/>
  <c r="D81" i="22"/>
  <c r="BJ81" i="20"/>
  <c r="D83" i="22"/>
  <c r="BJ80" i="20"/>
  <c r="D82" i="22"/>
  <c r="BB77" i="20"/>
  <c r="V88" i="19"/>
  <c r="E88" i="19" s="1"/>
  <c r="BB78" i="20"/>
  <c r="V89" i="19"/>
  <c r="E89" i="19" s="1"/>
  <c r="BB79" i="20"/>
  <c r="V90" i="19"/>
  <c r="E90" i="19" s="1"/>
  <c r="AM78" i="20"/>
  <c r="BB76" i="20"/>
  <c r="V87" i="19"/>
  <c r="E87" i="19" s="1"/>
  <c r="AZ77" i="20"/>
  <c r="AM77" i="20"/>
  <c r="BJ77" i="20"/>
  <c r="D79" i="22"/>
  <c r="AZ80" i="20"/>
  <c r="BJ76" i="20"/>
  <c r="D78" i="22"/>
  <c r="F72" i="22"/>
  <c r="G72" i="22"/>
  <c r="G76" i="22"/>
  <c r="F76" i="22"/>
  <c r="G73" i="22"/>
  <c r="F73" i="22"/>
  <c r="G75" i="22"/>
  <c r="F75" i="22"/>
  <c r="G74" i="22"/>
  <c r="F74" i="22"/>
  <c r="F77" i="22"/>
  <c r="G77" i="22"/>
  <c r="D72" i="22"/>
  <c r="BJ70" i="20"/>
  <c r="BJ75" i="20"/>
  <c r="D77" i="22"/>
  <c r="BJ71" i="20"/>
  <c r="D73" i="22"/>
  <c r="BJ72" i="20"/>
  <c r="D74" i="22"/>
  <c r="G79" i="19"/>
  <c r="J79" i="19"/>
  <c r="F79" i="19"/>
  <c r="BJ73" i="20"/>
  <c r="D75" i="22"/>
  <c r="J81" i="19"/>
  <c r="G81" i="19"/>
  <c r="F81" i="19"/>
  <c r="AZ72" i="20"/>
  <c r="L77" i="19"/>
  <c r="AI76" i="21" s="1"/>
  <c r="D83" i="19"/>
  <c r="F83" i="19" s="1"/>
  <c r="D85" i="19"/>
  <c r="J85" i="19" s="1"/>
  <c r="BB74" i="20"/>
  <c r="V81" i="19"/>
  <c r="E81" i="19" s="1"/>
  <c r="V85" i="19"/>
  <c r="E85" i="19" s="1"/>
  <c r="BB70" i="20"/>
  <c r="V77" i="19"/>
  <c r="E77" i="19" s="1"/>
  <c r="BB72" i="20"/>
  <c r="V83" i="19"/>
  <c r="E83" i="19" s="1"/>
  <c r="V79" i="19"/>
  <c r="E79" i="19" s="1"/>
  <c r="BB75" i="20"/>
  <c r="V86" i="19"/>
  <c r="E86" i="19" s="1"/>
  <c r="V82" i="19"/>
  <c r="E82" i="19" s="1"/>
  <c r="BJ74" i="20"/>
  <c r="D76" i="22"/>
  <c r="BB71" i="20"/>
  <c r="V78" i="19"/>
  <c r="E78" i="19" s="1"/>
  <c r="AZ74" i="20"/>
  <c r="AM74" i="20"/>
  <c r="BB73" i="20"/>
  <c r="V84" i="19"/>
  <c r="E84" i="19" s="1"/>
  <c r="V80" i="19"/>
  <c r="E80" i="19" s="1"/>
  <c r="F69" i="22"/>
  <c r="G69" i="22"/>
  <c r="G66" i="22"/>
  <c r="F66" i="22"/>
  <c r="G67" i="22"/>
  <c r="F67" i="22"/>
  <c r="G71" i="22"/>
  <c r="F71" i="22"/>
  <c r="F70" i="22"/>
  <c r="G70" i="22"/>
  <c r="G68" i="22"/>
  <c r="F68" i="22"/>
  <c r="J74" i="19"/>
  <c r="G74" i="19"/>
  <c r="BJ66" i="20"/>
  <c r="D68" i="22"/>
  <c r="BB64" i="20"/>
  <c r="V71" i="19"/>
  <c r="E71" i="19" s="1"/>
  <c r="J76" i="19"/>
  <c r="AM65" i="20"/>
  <c r="BB69" i="20"/>
  <c r="V76" i="19"/>
  <c r="E76" i="19" s="1"/>
  <c r="BB68" i="20"/>
  <c r="V75" i="19"/>
  <c r="E75" i="19" s="1"/>
  <c r="BJ65" i="20"/>
  <c r="D67" i="22"/>
  <c r="J73" i="19"/>
  <c r="G76" i="19"/>
  <c r="BB67" i="20"/>
  <c r="V74" i="19"/>
  <c r="E74" i="19" s="1"/>
  <c r="AZ69" i="20"/>
  <c r="AM69" i="20"/>
  <c r="BJ69" i="20"/>
  <c r="D71" i="22"/>
  <c r="BJ64" i="20"/>
  <c r="AZ66" i="20"/>
  <c r="AM66" i="20"/>
  <c r="BJ68" i="20"/>
  <c r="D70" i="22"/>
  <c r="AZ67" i="20"/>
  <c r="AM67" i="20"/>
  <c r="L72" i="19"/>
  <c r="AI71" i="21" s="1"/>
  <c r="BJ67" i="20"/>
  <c r="D69" i="22"/>
  <c r="J71" i="19"/>
  <c r="BB65" i="20"/>
  <c r="V72" i="19"/>
  <c r="E72" i="19" s="1"/>
  <c r="BB66" i="20"/>
  <c r="V73" i="19"/>
  <c r="E73" i="19" s="1"/>
  <c r="L76" i="19"/>
  <c r="AI75" i="21" s="1"/>
  <c r="G61" i="22"/>
  <c r="F61" i="22"/>
  <c r="G60" i="22"/>
  <c r="F60" i="22"/>
  <c r="G62" i="22"/>
  <c r="F62" i="22"/>
  <c r="G65" i="22"/>
  <c r="F65" i="22"/>
  <c r="G63" i="22"/>
  <c r="F63" i="22"/>
  <c r="F64" i="22"/>
  <c r="G64" i="22"/>
  <c r="BJ62" i="20"/>
  <c r="D64" i="22"/>
  <c r="BJ63" i="20"/>
  <c r="D65" i="22"/>
  <c r="J65" i="19"/>
  <c r="G65" i="19"/>
  <c r="F65" i="19"/>
  <c r="L65" i="19" s="1"/>
  <c r="AI64" i="21" s="1"/>
  <c r="J69" i="19"/>
  <c r="F69" i="19"/>
  <c r="G69" i="19"/>
  <c r="F66" i="19"/>
  <c r="J66" i="19"/>
  <c r="G66" i="19"/>
  <c r="BB61" i="20"/>
  <c r="V68" i="19"/>
  <c r="E68" i="19" s="1"/>
  <c r="BB60" i="20"/>
  <c r="V67" i="19"/>
  <c r="E67" i="19" s="1"/>
  <c r="BJ59" i="20"/>
  <c r="D61" i="22"/>
  <c r="BJ58" i="20"/>
  <c r="D60" i="22"/>
  <c r="L68" i="19"/>
  <c r="AI67" i="21" s="1"/>
  <c r="D63" i="22"/>
  <c r="BJ61" i="20"/>
  <c r="BJ60" i="20"/>
  <c r="D62" i="22"/>
  <c r="AZ59" i="20"/>
  <c r="AM59" i="20"/>
  <c r="BB58" i="20"/>
  <c r="V65" i="19"/>
  <c r="E65" i="19" s="1"/>
  <c r="BB63" i="20"/>
  <c r="V70" i="19"/>
  <c r="E70" i="19" s="1"/>
  <c r="BB62" i="20"/>
  <c r="V69" i="19"/>
  <c r="E69" i="19" s="1"/>
  <c r="BB59" i="20"/>
  <c r="V66" i="19"/>
  <c r="E66" i="19" s="1"/>
  <c r="G57" i="22"/>
  <c r="F57" i="22"/>
  <c r="G55" i="22"/>
  <c r="F55" i="22"/>
  <c r="G59" i="22"/>
  <c r="F59" i="22"/>
  <c r="F56" i="22"/>
  <c r="G56" i="22"/>
  <c r="G58" i="22"/>
  <c r="F58" i="22"/>
  <c r="G54" i="22"/>
  <c r="F54" i="22"/>
  <c r="BJ57" i="20"/>
  <c r="D59" i="22"/>
  <c r="BB57" i="20"/>
  <c r="V64" i="19"/>
  <c r="E64" i="19" s="1"/>
  <c r="AM53" i="20"/>
  <c r="BJ55" i="20"/>
  <c r="D57" i="22"/>
  <c r="BJ52" i="20"/>
  <c r="D54" i="22"/>
  <c r="BB54" i="20"/>
  <c r="V61" i="19"/>
  <c r="E61" i="19" s="1"/>
  <c r="AM54" i="20"/>
  <c r="AZ54" i="20"/>
  <c r="BB52" i="20"/>
  <c r="V59" i="19"/>
  <c r="E59" i="19" s="1"/>
  <c r="BB56" i="20"/>
  <c r="V63" i="19"/>
  <c r="E63" i="19" s="1"/>
  <c r="BB55" i="20"/>
  <c r="V62" i="19"/>
  <c r="E62" i="19" s="1"/>
  <c r="L64" i="19"/>
  <c r="AI63" i="21" s="1"/>
  <c r="AZ57" i="20"/>
  <c r="AM57" i="20"/>
  <c r="BJ54" i="20"/>
  <c r="D56" i="22"/>
  <c r="AM52" i="20"/>
  <c r="L63" i="19"/>
  <c r="AI62" i="21" s="1"/>
  <c r="G59" i="19"/>
  <c r="BJ56" i="20"/>
  <c r="D58" i="22"/>
  <c r="BB53" i="20"/>
  <c r="V60" i="19"/>
  <c r="E60" i="19" s="1"/>
  <c r="F59" i="19"/>
  <c r="BJ53" i="20"/>
  <c r="D55" i="22"/>
  <c r="F52" i="22"/>
  <c r="G52" i="22"/>
  <c r="F50" i="22"/>
  <c r="G50" i="22"/>
  <c r="F49" i="22"/>
  <c r="G49" i="22"/>
  <c r="F48" i="22"/>
  <c r="G48" i="22"/>
  <c r="G51" i="22"/>
  <c r="F51" i="22"/>
  <c r="F53" i="22"/>
  <c r="G53" i="22"/>
  <c r="G57" i="19"/>
  <c r="F57" i="19"/>
  <c r="J57" i="19"/>
  <c r="BJ50" i="20"/>
  <c r="D52" i="22"/>
  <c r="BJ47" i="20"/>
  <c r="D49" i="22"/>
  <c r="AZ48" i="20"/>
  <c r="AZ47" i="20"/>
  <c r="BB47" i="20"/>
  <c r="V54" i="19"/>
  <c r="E54" i="19" s="1"/>
  <c r="BJ48" i="20"/>
  <c r="D50" i="22"/>
  <c r="F53" i="19"/>
  <c r="BB46" i="20"/>
  <c r="V53" i="19"/>
  <c r="E53" i="19" s="1"/>
  <c r="BB51" i="20"/>
  <c r="V58" i="19"/>
  <c r="E58" i="19" s="1"/>
  <c r="G53" i="19"/>
  <c r="BB49" i="20"/>
  <c r="V56" i="19"/>
  <c r="E56" i="19" s="1"/>
  <c r="BJ51" i="20"/>
  <c r="D53" i="22"/>
  <c r="BB48" i="20"/>
  <c r="V55" i="19"/>
  <c r="E55" i="19" s="1"/>
  <c r="BB50" i="20"/>
  <c r="V57" i="19"/>
  <c r="E57" i="19" s="1"/>
  <c r="BJ49" i="20"/>
  <c r="D51" i="22"/>
  <c r="AZ49" i="20"/>
  <c r="AM49" i="20"/>
  <c r="BJ46" i="20"/>
  <c r="D48" i="22"/>
  <c r="AZ51" i="20"/>
  <c r="AM51" i="20"/>
  <c r="G42" i="22"/>
  <c r="F42" i="22"/>
  <c r="G45" i="22"/>
  <c r="F45" i="22"/>
  <c r="G47" i="22"/>
  <c r="F47" i="22"/>
  <c r="G43" i="22"/>
  <c r="F43" i="22"/>
  <c r="G46" i="22"/>
  <c r="F46" i="22"/>
  <c r="F44" i="22"/>
  <c r="G44" i="22"/>
  <c r="F49" i="19"/>
  <c r="J49" i="19"/>
  <c r="G49" i="19"/>
  <c r="BJ41" i="20"/>
  <c r="D43" i="22"/>
  <c r="G47" i="19"/>
  <c r="F47" i="19"/>
  <c r="J47" i="19"/>
  <c r="BJ40" i="20"/>
  <c r="D42" i="22"/>
  <c r="BB42" i="20"/>
  <c r="V49" i="19"/>
  <c r="E49" i="19" s="1"/>
  <c r="J51" i="19"/>
  <c r="AZ40" i="20"/>
  <c r="BJ43" i="20"/>
  <c r="D45" i="22"/>
  <c r="L51" i="19"/>
  <c r="AI50" i="21" s="1"/>
  <c r="BJ42" i="20"/>
  <c r="D44" i="22"/>
  <c r="AZ41" i="20"/>
  <c r="AM41" i="20"/>
  <c r="G48" i="19"/>
  <c r="BJ45" i="20"/>
  <c r="D47" i="22"/>
  <c r="BB41" i="20"/>
  <c r="V48" i="19"/>
  <c r="E48" i="19" s="1"/>
  <c r="BB44" i="20"/>
  <c r="V51" i="19"/>
  <c r="E51" i="19" s="1"/>
  <c r="BB40" i="20"/>
  <c r="V47" i="19"/>
  <c r="E47" i="19" s="1"/>
  <c r="BB45" i="20"/>
  <c r="V52" i="19"/>
  <c r="E52" i="19" s="1"/>
  <c r="AM45" i="20"/>
  <c r="BJ44" i="20"/>
  <c r="D46" i="22"/>
  <c r="G37" i="22"/>
  <c r="F37" i="22"/>
  <c r="G39" i="22"/>
  <c r="F39" i="22"/>
  <c r="G40" i="22"/>
  <c r="F40" i="22"/>
  <c r="G41" i="22"/>
  <c r="F41" i="22"/>
  <c r="G38" i="22"/>
  <c r="F38" i="22"/>
  <c r="BJ37" i="20"/>
  <c r="D39" i="22"/>
  <c r="BB38" i="20"/>
  <c r="V45" i="19"/>
  <c r="E45" i="19" s="1"/>
  <c r="AZ36" i="20"/>
  <c r="AM36" i="20"/>
  <c r="BB36" i="20"/>
  <c r="V43" i="19"/>
  <c r="E43" i="19" s="1"/>
  <c r="AM37" i="20"/>
  <c r="G45" i="19"/>
  <c r="AZ35" i="20"/>
  <c r="AM35" i="20"/>
  <c r="BJ38" i="20"/>
  <c r="D40" i="22"/>
  <c r="L43" i="19"/>
  <c r="AI42" i="21" s="1"/>
  <c r="BB39" i="20"/>
  <c r="V46" i="19"/>
  <c r="E46" i="19" s="1"/>
  <c r="BJ36" i="20"/>
  <c r="D38" i="22"/>
  <c r="BJ39" i="20"/>
  <c r="D41" i="22"/>
  <c r="BB37" i="20"/>
  <c r="V44" i="19"/>
  <c r="E44" i="19" s="1"/>
  <c r="F42" i="19"/>
  <c r="AZ39" i="20"/>
  <c r="L45" i="19"/>
  <c r="AI44" i="21" s="1"/>
  <c r="BB35" i="20"/>
  <c r="V42" i="19"/>
  <c r="E42" i="19" s="1"/>
  <c r="BJ35" i="20"/>
  <c r="D37" i="22"/>
  <c r="G36" i="22"/>
  <c r="F36" i="22"/>
  <c r="BJ34" i="20"/>
  <c r="BB34" i="20"/>
  <c r="V41" i="19"/>
  <c r="E41" i="19" s="1"/>
  <c r="F41" i="19"/>
  <c r="L41" i="19" s="1"/>
  <c r="AI40" i="21" s="1"/>
  <c r="J41" i="19"/>
  <c r="J64" i="19"/>
  <c r="F60" i="19"/>
  <c r="F67" i="19"/>
  <c r="L67" i="19" s="1"/>
  <c r="AI66" i="21" s="1"/>
  <c r="G60" i="19"/>
  <c r="F50" i="19"/>
  <c r="G52" i="19"/>
  <c r="J67" i="19"/>
  <c r="L55" i="19"/>
  <c r="AI54" i="21" s="1"/>
  <c r="F48" i="19"/>
  <c r="D80" i="19"/>
  <c r="C80" i="19"/>
  <c r="F74" i="19"/>
  <c r="D82" i="19"/>
  <c r="C82" i="19"/>
  <c r="L84" i="19"/>
  <c r="AI83" i="21" s="1"/>
  <c r="G84" i="19"/>
  <c r="J60" i="19"/>
  <c r="G67" i="19"/>
  <c r="F52" i="19"/>
  <c r="G64" i="19"/>
  <c r="F56" i="19"/>
  <c r="L44" i="19"/>
  <c r="AI43" i="21" s="1"/>
  <c r="G44" i="19"/>
  <c r="J86" i="19"/>
  <c r="G86" i="19"/>
  <c r="F86" i="19"/>
  <c r="L86" i="19" s="1"/>
  <c r="AI85" i="21" s="1"/>
  <c r="F75" i="19"/>
  <c r="G75" i="19"/>
  <c r="J75" i="19"/>
  <c r="G56" i="19"/>
  <c r="L87" i="19"/>
  <c r="AI86" i="21" s="1"/>
  <c r="J62" i="19"/>
  <c r="G62" i="19"/>
  <c r="F62" i="19"/>
  <c r="J78" i="19"/>
  <c r="G78" i="19"/>
  <c r="F78" i="19"/>
  <c r="J90" i="19"/>
  <c r="G90" i="19"/>
  <c r="F90" i="19"/>
  <c r="L90" i="19" s="1"/>
  <c r="AI89" i="21" s="1"/>
  <c r="J46" i="19"/>
  <c r="G46" i="19"/>
  <c r="F46" i="19"/>
  <c r="J70" i="19"/>
  <c r="G70" i="19"/>
  <c r="F70" i="19"/>
  <c r="J54" i="19"/>
  <c r="G54" i="19"/>
  <c r="F54" i="19"/>
  <c r="K17" i="30"/>
  <c r="K18" i="30" s="1"/>
  <c r="B7" i="30"/>
  <c r="I18" i="30" s="1"/>
  <c r="E85" i="33"/>
  <c r="C10" i="46"/>
  <c r="C10" i="36"/>
  <c r="B7" i="36"/>
  <c r="B8" i="36"/>
  <c r="B9" i="36"/>
  <c r="O9" i="45"/>
  <c r="O9" i="19"/>
  <c r="B5" i="4"/>
  <c r="A17" i="11"/>
  <c r="C17" i="11" s="1"/>
  <c r="E26" i="27"/>
  <c r="A2" i="26"/>
  <c r="D11" i="26"/>
  <c r="B14" i="33" s="1"/>
  <c r="E7" i="46"/>
  <c r="F7" i="36"/>
  <c r="F4" i="45"/>
  <c r="F4" i="19"/>
  <c r="C2" i="4"/>
  <c r="M34" i="27"/>
  <c r="A33" i="27" s="1"/>
  <c r="L34" i="46"/>
  <c r="L33" i="46"/>
  <c r="L32" i="46"/>
  <c r="L31" i="46"/>
  <c r="L30" i="46"/>
  <c r="L29" i="46"/>
  <c r="L28" i="46"/>
  <c r="L27" i="46"/>
  <c r="L26" i="46"/>
  <c r="L25" i="46"/>
  <c r="L24" i="46"/>
  <c r="L23" i="46"/>
  <c r="L22" i="46"/>
  <c r="L21" i="46"/>
  <c r="L20" i="46"/>
  <c r="L19" i="46"/>
  <c r="L18" i="46"/>
  <c r="L17" i="46"/>
  <c r="L16" i="46"/>
  <c r="L15" i="46"/>
  <c r="L14" i="46"/>
  <c r="L13" i="46"/>
  <c r="K9" i="46"/>
  <c r="B9" i="46"/>
  <c r="B8" i="46"/>
  <c r="B7" i="46"/>
  <c r="D6" i="46"/>
  <c r="B5" i="46"/>
  <c r="AI66" i="6"/>
  <c r="AH66" i="6"/>
  <c r="AG66" i="6"/>
  <c r="AF66" i="6"/>
  <c r="AE66" i="6"/>
  <c r="AD66" i="6"/>
  <c r="AC66" i="6"/>
  <c r="AB66" i="6"/>
  <c r="AA66" i="6"/>
  <c r="Z66" i="6"/>
  <c r="C36" i="43"/>
  <c r="C12" i="45"/>
  <c r="C48" i="45"/>
  <c r="G67" i="45"/>
  <c r="G66" i="45"/>
  <c r="N8" i="45"/>
  <c r="N7" i="45"/>
  <c r="D7" i="45"/>
  <c r="N6" i="45"/>
  <c r="B6" i="45"/>
  <c r="N4" i="45"/>
  <c r="G109" i="19"/>
  <c r="G110" i="19"/>
  <c r="J60" i="29"/>
  <c r="J45" i="29"/>
  <c r="J28" i="29"/>
  <c r="J10" i="29"/>
  <c r="F3" i="29"/>
  <c r="I43" i="29"/>
  <c r="F56" i="29"/>
  <c r="F41" i="29"/>
  <c r="F24" i="29"/>
  <c r="L1" i="29"/>
  <c r="A10" i="28"/>
  <c r="A9" i="28"/>
  <c r="T13" i="19"/>
  <c r="C84" i="22"/>
  <c r="C85" i="22"/>
  <c r="C80" i="22"/>
  <c r="C82" i="22"/>
  <c r="C83" i="22"/>
  <c r="C81" i="22"/>
  <c r="C74" i="22"/>
  <c r="C77" i="22"/>
  <c r="C75" i="22"/>
  <c r="C73" i="22"/>
  <c r="C72" i="22"/>
  <c r="C71" i="22"/>
  <c r="C68" i="22"/>
  <c r="C67" i="22"/>
  <c r="C69" i="22"/>
  <c r="C65" i="22"/>
  <c r="C62" i="22"/>
  <c r="C61" i="22"/>
  <c r="C60" i="22"/>
  <c r="C64" i="22"/>
  <c r="C55" i="22"/>
  <c r="C56" i="22"/>
  <c r="C57" i="22"/>
  <c r="C59" i="22"/>
  <c r="C54" i="22"/>
  <c r="C51" i="22"/>
  <c r="C52" i="22"/>
  <c r="C48" i="22"/>
  <c r="C49" i="22"/>
  <c r="C50" i="22"/>
  <c r="C53" i="22"/>
  <c r="C44" i="22"/>
  <c r="C45" i="22"/>
  <c r="C42" i="22"/>
  <c r="C43" i="22"/>
  <c r="C41" i="22"/>
  <c r="C39" i="22"/>
  <c r="C36" i="22"/>
  <c r="AF17" i="48" l="1"/>
  <c r="AG17" i="48" s="1"/>
  <c r="B18" i="48"/>
  <c r="D17" i="48"/>
  <c r="E17" i="48" s="1"/>
  <c r="C16" i="48"/>
  <c r="Y18" i="48"/>
  <c r="Z18" i="48" s="1"/>
  <c r="X17" i="48"/>
  <c r="W19" i="48"/>
  <c r="J16" i="48"/>
  <c r="I18" i="48"/>
  <c r="K17" i="48"/>
  <c r="L17" i="48" s="1"/>
  <c r="AK19" i="48"/>
  <c r="AM18" i="48"/>
  <c r="AN18" i="48" s="1"/>
  <c r="AL17" i="48"/>
  <c r="Q17" i="48"/>
  <c r="P19" i="48"/>
  <c r="R18" i="48"/>
  <c r="S18" i="48" s="1"/>
  <c r="AE17" i="48"/>
  <c r="AD19" i="48"/>
  <c r="AB54" i="21"/>
  <c r="O55" i="19"/>
  <c r="AB59" i="21"/>
  <c r="O60" i="19"/>
  <c r="AB44" i="21"/>
  <c r="O45" i="19"/>
  <c r="AB52" i="21"/>
  <c r="O53" i="19"/>
  <c r="AB64" i="21"/>
  <c r="O65" i="19"/>
  <c r="D66" i="22"/>
  <c r="L70" i="21" s="1"/>
  <c r="AB82" i="21"/>
  <c r="O87" i="19"/>
  <c r="AB41" i="21"/>
  <c r="O42" i="19"/>
  <c r="D36" i="22"/>
  <c r="AB51" i="21"/>
  <c r="O52" i="19"/>
  <c r="AB47" i="21"/>
  <c r="O48" i="19"/>
  <c r="AB58" i="21"/>
  <c r="O59" i="19"/>
  <c r="AB63" i="21"/>
  <c r="O64" i="19"/>
  <c r="AB65" i="21"/>
  <c r="O66" i="19"/>
  <c r="AB77" i="21"/>
  <c r="O78" i="19"/>
  <c r="AB78" i="21"/>
  <c r="O79" i="19"/>
  <c r="O83" i="19"/>
  <c r="AB45" i="21"/>
  <c r="O46" i="19"/>
  <c r="AB46" i="21"/>
  <c r="O47" i="19"/>
  <c r="AB55" i="21"/>
  <c r="O56" i="19"/>
  <c r="AB61" i="21"/>
  <c r="O62" i="19"/>
  <c r="AB60" i="21"/>
  <c r="O61" i="19"/>
  <c r="AB72" i="21"/>
  <c r="O73" i="19"/>
  <c r="AB70" i="21"/>
  <c r="O71" i="19"/>
  <c r="AB85" i="21"/>
  <c r="O90" i="19"/>
  <c r="AB42" i="21"/>
  <c r="O43" i="19"/>
  <c r="AB68" i="21"/>
  <c r="O69" i="19"/>
  <c r="AB76" i="21"/>
  <c r="O77" i="19"/>
  <c r="AB43" i="21"/>
  <c r="O44" i="19"/>
  <c r="AB50" i="21"/>
  <c r="O51" i="19"/>
  <c r="AB48" i="21"/>
  <c r="O49" i="19"/>
  <c r="AB56" i="21"/>
  <c r="O57" i="19"/>
  <c r="AB53" i="21"/>
  <c r="O54" i="19"/>
  <c r="AB62" i="21"/>
  <c r="O63" i="19"/>
  <c r="AB66" i="21"/>
  <c r="O67" i="19"/>
  <c r="AB71" i="21"/>
  <c r="O72" i="19"/>
  <c r="AB74" i="21"/>
  <c r="O75" i="19"/>
  <c r="AB84" i="21"/>
  <c r="O89" i="19"/>
  <c r="AB57" i="21"/>
  <c r="O58" i="19"/>
  <c r="AB69" i="21"/>
  <c r="O70" i="19"/>
  <c r="AB79" i="21"/>
  <c r="O80" i="19"/>
  <c r="O84" i="19"/>
  <c r="AB67" i="21"/>
  <c r="O68" i="19"/>
  <c r="AB73" i="21"/>
  <c r="O74" i="19"/>
  <c r="AB75" i="21"/>
  <c r="O76" i="19"/>
  <c r="AB81" i="21"/>
  <c r="O82" i="19"/>
  <c r="O86" i="19"/>
  <c r="AB80" i="21"/>
  <c r="O85" i="19"/>
  <c r="O81" i="19"/>
  <c r="AB83" i="21"/>
  <c r="O88" i="19"/>
  <c r="F85" i="19"/>
  <c r="G85" i="19"/>
  <c r="L43" i="21"/>
  <c r="L79" i="21"/>
  <c r="X89" i="21"/>
  <c r="L73" i="21"/>
  <c r="L50" i="21"/>
  <c r="L47" i="21"/>
  <c r="L48" i="21"/>
  <c r="L74" i="21"/>
  <c r="L85" i="21"/>
  <c r="L88" i="21"/>
  <c r="L53" i="21"/>
  <c r="L71" i="21"/>
  <c r="X87" i="21"/>
  <c r="L41" i="21"/>
  <c r="L45" i="21"/>
  <c r="L81" i="21"/>
  <c r="L65" i="21"/>
  <c r="X86" i="21"/>
  <c r="L59" i="21"/>
  <c r="L75" i="21"/>
  <c r="L70" i="19"/>
  <c r="AI69" i="21" s="1"/>
  <c r="L62" i="19"/>
  <c r="AI61" i="21" s="1"/>
  <c r="L54" i="19"/>
  <c r="AI53" i="21" s="1"/>
  <c r="L42" i="19"/>
  <c r="AI41" i="21" s="1"/>
  <c r="L57" i="19"/>
  <c r="AI56" i="21" s="1"/>
  <c r="L79" i="19"/>
  <c r="AI78" i="21" s="1"/>
  <c r="N83" i="21"/>
  <c r="M88" i="19"/>
  <c r="N82" i="21"/>
  <c r="M87" i="19"/>
  <c r="L82" i="21"/>
  <c r="L89" i="19"/>
  <c r="AI88" i="21" s="1"/>
  <c r="L85" i="19"/>
  <c r="AI84" i="21" s="1"/>
  <c r="L81" i="19"/>
  <c r="AI80" i="21" s="1"/>
  <c r="N80" i="21"/>
  <c r="M81" i="19"/>
  <c r="L78" i="19"/>
  <c r="AI77" i="21" s="1"/>
  <c r="J83" i="19"/>
  <c r="L83" i="19"/>
  <c r="AI82" i="21" s="1"/>
  <c r="G83" i="19"/>
  <c r="M75" i="19"/>
  <c r="N74" i="21"/>
  <c r="L75" i="19"/>
  <c r="AI74" i="21" s="1"/>
  <c r="L74" i="19"/>
  <c r="AI73" i="21" s="1"/>
  <c r="N70" i="21"/>
  <c r="M71" i="19"/>
  <c r="M68" i="19"/>
  <c r="N67" i="21"/>
  <c r="L69" i="19"/>
  <c r="AI68" i="21" s="1"/>
  <c r="L69" i="21"/>
  <c r="L66" i="19"/>
  <c r="AI65" i="21" s="1"/>
  <c r="N62" i="21"/>
  <c r="M63" i="19"/>
  <c r="L63" i="21"/>
  <c r="L60" i="19"/>
  <c r="AI59" i="21" s="1"/>
  <c r="L59" i="19"/>
  <c r="AI58" i="21" s="1"/>
  <c r="L56" i="21"/>
  <c r="L53" i="19"/>
  <c r="AI52" i="21" s="1"/>
  <c r="L56" i="19"/>
  <c r="AI55" i="21" s="1"/>
  <c r="L57" i="21"/>
  <c r="L49" i="21"/>
  <c r="L52" i="19"/>
  <c r="AI51" i="21" s="1"/>
  <c r="L48" i="19"/>
  <c r="AI47" i="21" s="1"/>
  <c r="L50" i="19"/>
  <c r="AI49" i="21" s="1"/>
  <c r="L47" i="19"/>
  <c r="AI46" i="21" s="1"/>
  <c r="L49" i="19"/>
  <c r="AI48" i="21" s="1"/>
  <c r="N51" i="21"/>
  <c r="M52" i="19"/>
  <c r="M51" i="19"/>
  <c r="N50" i="21"/>
  <c r="N42" i="21"/>
  <c r="M43" i="19"/>
  <c r="L46" i="19"/>
  <c r="AI45" i="21" s="1"/>
  <c r="N44" i="21"/>
  <c r="M45" i="19"/>
  <c r="N41" i="21"/>
  <c r="M42" i="19"/>
  <c r="F82" i="19"/>
  <c r="G82" i="19"/>
  <c r="J82" i="19"/>
  <c r="G80" i="19"/>
  <c r="F80" i="19"/>
  <c r="J80" i="19"/>
  <c r="B33" i="27"/>
  <c r="K33" i="27"/>
  <c r="L35" i="46"/>
  <c r="T4" i="43"/>
  <c r="T5" i="43"/>
  <c r="T6" i="43"/>
  <c r="T7" i="43"/>
  <c r="T20" i="43"/>
  <c r="T19" i="43"/>
  <c r="T18" i="43"/>
  <c r="T17" i="43"/>
  <c r="T16" i="43"/>
  <c r="T15" i="43"/>
  <c r="T13" i="43"/>
  <c r="T12" i="43"/>
  <c r="T11" i="43"/>
  <c r="T10" i="43"/>
  <c r="T9" i="43"/>
  <c r="T8" i="43"/>
  <c r="AF18" i="48" l="1"/>
  <c r="AG18" i="48" s="1"/>
  <c r="P20" i="48"/>
  <c r="R19" i="48"/>
  <c r="S19" i="48" s="1"/>
  <c r="Q18" i="48"/>
  <c r="AM19" i="48"/>
  <c r="AN19" i="48" s="1"/>
  <c r="AL18" i="48"/>
  <c r="AK20" i="48"/>
  <c r="I19" i="48"/>
  <c r="K18" i="48"/>
  <c r="L18" i="48" s="1"/>
  <c r="J17" i="48"/>
  <c r="X18" i="48"/>
  <c r="W20" i="48"/>
  <c r="Y19" i="48"/>
  <c r="Z19" i="48" s="1"/>
  <c r="AE18" i="48"/>
  <c r="AD20" i="48"/>
  <c r="D18" i="48"/>
  <c r="E18" i="48" s="1"/>
  <c r="C17" i="48"/>
  <c r="B19" i="48"/>
  <c r="AB40" i="21"/>
  <c r="O41" i="19"/>
  <c r="L89" i="21"/>
  <c r="X43" i="21"/>
  <c r="X73" i="21"/>
  <c r="L42" i="21"/>
  <c r="N84" i="19"/>
  <c r="X85" i="21"/>
  <c r="X71" i="21"/>
  <c r="X50" i="21"/>
  <c r="L64" i="21"/>
  <c r="L84" i="21"/>
  <c r="L55" i="21"/>
  <c r="X88" i="21"/>
  <c r="L40" i="21"/>
  <c r="X53" i="21"/>
  <c r="L76" i="21"/>
  <c r="L60" i="21"/>
  <c r="L51" i="21"/>
  <c r="L72" i="21"/>
  <c r="L78" i="21"/>
  <c r="L61" i="21"/>
  <c r="N66" i="19"/>
  <c r="L62" i="21"/>
  <c r="N60" i="19"/>
  <c r="N49" i="19"/>
  <c r="X45" i="21"/>
  <c r="N75" i="19"/>
  <c r="L46" i="21"/>
  <c r="L54" i="21"/>
  <c r="L66" i="21"/>
  <c r="X47" i="21"/>
  <c r="L83" i="21"/>
  <c r="L44" i="21"/>
  <c r="N86" i="19"/>
  <c r="N42" i="19"/>
  <c r="L67" i="21"/>
  <c r="L87" i="21"/>
  <c r="L80" i="21"/>
  <c r="L58" i="21"/>
  <c r="L68" i="21"/>
  <c r="L86" i="21"/>
  <c r="L52" i="21"/>
  <c r="X54" i="21"/>
  <c r="N55" i="19"/>
  <c r="X67" i="21"/>
  <c r="N68" i="19"/>
  <c r="X58" i="21"/>
  <c r="N59" i="19"/>
  <c r="X77" i="21"/>
  <c r="N78" i="19"/>
  <c r="X52" i="21"/>
  <c r="N53" i="19"/>
  <c r="X46" i="21"/>
  <c r="N47" i="19"/>
  <c r="X64" i="21"/>
  <c r="N65" i="19"/>
  <c r="X68" i="21"/>
  <c r="N69" i="19"/>
  <c r="X55" i="21"/>
  <c r="N56" i="19"/>
  <c r="X61" i="21"/>
  <c r="N62" i="19"/>
  <c r="X51" i="21"/>
  <c r="N52" i="19"/>
  <c r="X56" i="21"/>
  <c r="N57" i="19"/>
  <c r="X60" i="21"/>
  <c r="N61" i="19"/>
  <c r="X66" i="21"/>
  <c r="N67" i="19"/>
  <c r="X70" i="21"/>
  <c r="N71" i="19"/>
  <c r="L77" i="21"/>
  <c r="X78" i="21"/>
  <c r="N79" i="19"/>
  <c r="N83" i="19"/>
  <c r="X83" i="21"/>
  <c r="N88" i="19"/>
  <c r="X72" i="21"/>
  <c r="N73" i="19"/>
  <c r="X49" i="21"/>
  <c r="N50" i="19"/>
  <c r="X44" i="21"/>
  <c r="N45" i="19"/>
  <c r="X84" i="21"/>
  <c r="N89" i="19"/>
  <c r="X42" i="21"/>
  <c r="N43" i="19"/>
  <c r="X40" i="21"/>
  <c r="N41" i="19"/>
  <c r="X57" i="21"/>
  <c r="N58" i="19"/>
  <c r="X62" i="21"/>
  <c r="N63" i="19"/>
  <c r="X76" i="21"/>
  <c r="N77" i="19"/>
  <c r="X80" i="21"/>
  <c r="N85" i="19"/>
  <c r="N81" i="19"/>
  <c r="X63" i="21"/>
  <c r="N64" i="19"/>
  <c r="X69" i="21"/>
  <c r="N70" i="19"/>
  <c r="X82" i="21"/>
  <c r="N87" i="19"/>
  <c r="M85" i="19"/>
  <c r="N89" i="21"/>
  <c r="N88" i="21"/>
  <c r="P83" i="21"/>
  <c r="P82" i="21"/>
  <c r="N86" i="21"/>
  <c r="N84" i="21"/>
  <c r="M89" i="19"/>
  <c r="N87" i="21"/>
  <c r="M90" i="19"/>
  <c r="N85" i="21"/>
  <c r="L80" i="19"/>
  <c r="AI79" i="21" s="1"/>
  <c r="N78" i="21"/>
  <c r="N81" i="21"/>
  <c r="L82" i="19"/>
  <c r="AI81" i="21" s="1"/>
  <c r="N79" i="21"/>
  <c r="P80" i="21"/>
  <c r="M78" i="19"/>
  <c r="N77" i="21"/>
  <c r="M77" i="19"/>
  <c r="N76" i="21"/>
  <c r="N71" i="21"/>
  <c r="M72" i="19"/>
  <c r="P70" i="21"/>
  <c r="P74" i="21"/>
  <c r="M76" i="19"/>
  <c r="N75" i="21"/>
  <c r="N72" i="21"/>
  <c r="M73" i="19"/>
  <c r="N73" i="21"/>
  <c r="M74" i="19"/>
  <c r="P67" i="21"/>
  <c r="M70" i="19"/>
  <c r="N69" i="21"/>
  <c r="M67" i="19"/>
  <c r="N66" i="21"/>
  <c r="N65" i="21"/>
  <c r="M66" i="19"/>
  <c r="N64" i="21"/>
  <c r="M65" i="19"/>
  <c r="M69" i="19"/>
  <c r="N68" i="21"/>
  <c r="N61" i="21"/>
  <c r="M62" i="19"/>
  <c r="N63" i="21"/>
  <c r="M64" i="19"/>
  <c r="N58" i="21"/>
  <c r="M59" i="19"/>
  <c r="P62" i="21"/>
  <c r="N59" i="21"/>
  <c r="M60" i="19"/>
  <c r="N60" i="21"/>
  <c r="M61" i="19"/>
  <c r="M53" i="19"/>
  <c r="N52" i="21"/>
  <c r="N55" i="21"/>
  <c r="M56" i="19"/>
  <c r="N56" i="21"/>
  <c r="M57" i="19"/>
  <c r="N54" i="21"/>
  <c r="M55" i="19"/>
  <c r="N53" i="21"/>
  <c r="M54" i="19"/>
  <c r="M58" i="19"/>
  <c r="N57" i="21"/>
  <c r="P51" i="21"/>
  <c r="M48" i="19"/>
  <c r="N47" i="21"/>
  <c r="M49" i="19"/>
  <c r="N48" i="21"/>
  <c r="N49" i="21"/>
  <c r="M50" i="19"/>
  <c r="P50" i="21"/>
  <c r="N46" i="21"/>
  <c r="M47" i="19"/>
  <c r="P42" i="21"/>
  <c r="N43" i="21"/>
  <c r="M44" i="19"/>
  <c r="M46" i="19"/>
  <c r="N45" i="21"/>
  <c r="P41" i="21"/>
  <c r="P44" i="21"/>
  <c r="M41" i="19"/>
  <c r="N40" i="21"/>
  <c r="H48" i="36"/>
  <c r="AF19" i="48" l="1"/>
  <c r="AG19" i="48" s="1"/>
  <c r="W21" i="48"/>
  <c r="Y20" i="48"/>
  <c r="Z20" i="48" s="1"/>
  <c r="X19" i="48"/>
  <c r="K19" i="48"/>
  <c r="L19" i="48" s="1"/>
  <c r="J18" i="48"/>
  <c r="I20" i="48"/>
  <c r="AM20" i="48"/>
  <c r="AN20" i="48" s="1"/>
  <c r="AL19" i="48"/>
  <c r="AK21" i="48"/>
  <c r="C18" i="48"/>
  <c r="B20" i="48"/>
  <c r="D19" i="48"/>
  <c r="E19" i="48" s="1"/>
  <c r="AE19" i="48"/>
  <c r="AD21" i="48"/>
  <c r="R20" i="48"/>
  <c r="S20" i="48" s="1"/>
  <c r="Q19" i="48"/>
  <c r="P21" i="48"/>
  <c r="N74" i="19"/>
  <c r="N44" i="19"/>
  <c r="N80" i="19"/>
  <c r="X79" i="21"/>
  <c r="X74" i="21"/>
  <c r="N90" i="19"/>
  <c r="N72" i="19"/>
  <c r="N54" i="19"/>
  <c r="X59" i="21"/>
  <c r="N51" i="19"/>
  <c r="X48" i="21"/>
  <c r="X65" i="21"/>
  <c r="N46" i="19"/>
  <c r="N48" i="19"/>
  <c r="N82" i="19"/>
  <c r="X81" i="21"/>
  <c r="X41" i="21"/>
  <c r="X75" i="21"/>
  <c r="N76" i="19"/>
  <c r="Z50" i="21"/>
  <c r="AG50" i="21" s="1"/>
  <c r="P51" i="19"/>
  <c r="Z62" i="21"/>
  <c r="AG62" i="21" s="1"/>
  <c r="P63" i="19"/>
  <c r="Q63" i="19" s="1"/>
  <c r="M82" i="19"/>
  <c r="M86" i="19"/>
  <c r="Z83" i="21"/>
  <c r="AG83" i="21" s="1"/>
  <c r="P88" i="19"/>
  <c r="Q88" i="19" s="1"/>
  <c r="M84" i="19"/>
  <c r="M80" i="19"/>
  <c r="Z44" i="21"/>
  <c r="AG44" i="21" s="1"/>
  <c r="P45" i="19"/>
  <c r="Q45" i="19" s="1"/>
  <c r="Z42" i="21"/>
  <c r="AG42" i="21" s="1"/>
  <c r="P43" i="19"/>
  <c r="Q43" i="19" s="1"/>
  <c r="Z67" i="21"/>
  <c r="AG67" i="21" s="1"/>
  <c r="P68" i="19"/>
  <c r="Q68" i="19" s="1"/>
  <c r="Z74" i="21"/>
  <c r="P75" i="19"/>
  <c r="Q75" i="19" s="1"/>
  <c r="Z70" i="21"/>
  <c r="AG70" i="21" s="1"/>
  <c r="P71" i="19"/>
  <c r="Q71" i="19" s="1"/>
  <c r="Z80" i="21"/>
  <c r="AG80" i="21" s="1"/>
  <c r="P81" i="19"/>
  <c r="Q81" i="19" s="1"/>
  <c r="P85" i="19"/>
  <c r="Q85" i="19" s="1"/>
  <c r="M79" i="19"/>
  <c r="M83" i="19"/>
  <c r="Z41" i="21"/>
  <c r="P42" i="19"/>
  <c r="Q42" i="19" s="1"/>
  <c r="Z51" i="21"/>
  <c r="AG51" i="21" s="1"/>
  <c r="P52" i="19"/>
  <c r="Q52" i="19" s="1"/>
  <c r="Z82" i="21"/>
  <c r="AG82" i="21" s="1"/>
  <c r="P87" i="19"/>
  <c r="Q87" i="19" s="1"/>
  <c r="P88" i="21"/>
  <c r="Z88" i="21"/>
  <c r="AG88" i="21" s="1"/>
  <c r="Z89" i="21"/>
  <c r="AG89" i="21" s="1"/>
  <c r="P89" i="21"/>
  <c r="P86" i="21"/>
  <c r="Z86" i="21"/>
  <c r="AG86" i="21" s="1"/>
  <c r="P85" i="21"/>
  <c r="P87" i="21"/>
  <c r="Z87" i="21"/>
  <c r="AG87" i="21" s="1"/>
  <c r="P84" i="21"/>
  <c r="P79" i="21"/>
  <c r="P76" i="21"/>
  <c r="P81" i="21"/>
  <c r="P78" i="21"/>
  <c r="P77" i="21"/>
  <c r="P75" i="21"/>
  <c r="P73" i="21"/>
  <c r="P72" i="21"/>
  <c r="P71" i="21"/>
  <c r="P65" i="21"/>
  <c r="P66" i="21"/>
  <c r="P68" i="21"/>
  <c r="P69" i="21"/>
  <c r="P64" i="21"/>
  <c r="P58" i="21"/>
  <c r="P60" i="21"/>
  <c r="P63" i="21"/>
  <c r="P61" i="21"/>
  <c r="P59" i="21"/>
  <c r="P57" i="21"/>
  <c r="P54" i="21"/>
  <c r="P56" i="21"/>
  <c r="P55" i="21"/>
  <c r="P53" i="21"/>
  <c r="P52" i="21"/>
  <c r="P48" i="21"/>
  <c r="P49" i="21"/>
  <c r="P47" i="21"/>
  <c r="P46" i="21"/>
  <c r="P45" i="21"/>
  <c r="P43" i="21"/>
  <c r="P40" i="21"/>
  <c r="H43" i="36"/>
  <c r="I44" i="36" s="1"/>
  <c r="AF20" i="48" l="1"/>
  <c r="AG20" i="48" s="1"/>
  <c r="B21" i="48"/>
  <c r="D20" i="48"/>
  <c r="E20" i="48" s="1"/>
  <c r="C19" i="48"/>
  <c r="AD22" i="48"/>
  <c r="AE20" i="48"/>
  <c r="AL20" i="48"/>
  <c r="AK22" i="48"/>
  <c r="AM21" i="48"/>
  <c r="AN21" i="48" s="1"/>
  <c r="Q20" i="48"/>
  <c r="P22" i="48"/>
  <c r="R21" i="48"/>
  <c r="S21" i="48" s="1"/>
  <c r="J19" i="48"/>
  <c r="I21" i="48"/>
  <c r="K20" i="48"/>
  <c r="L20" i="48" s="1"/>
  <c r="Y21" i="48"/>
  <c r="Z21" i="48" s="1"/>
  <c r="X20" i="48"/>
  <c r="W22" i="48"/>
  <c r="AG74" i="21"/>
  <c r="AG41" i="21"/>
  <c r="Q51" i="19"/>
  <c r="Z58" i="21"/>
  <c r="AG58" i="21" s="1"/>
  <c r="P59" i="19"/>
  <c r="Q59" i="19" s="1"/>
  <c r="Z43" i="21"/>
  <c r="AG43" i="21" s="1"/>
  <c r="P44" i="19"/>
  <c r="Q44" i="19" s="1"/>
  <c r="Z49" i="21"/>
  <c r="AG49" i="21" s="1"/>
  <c r="P50" i="19"/>
  <c r="Q50" i="19" s="1"/>
  <c r="Z66" i="21"/>
  <c r="AG66" i="21" s="1"/>
  <c r="P67" i="19"/>
  <c r="Q67" i="19" s="1"/>
  <c r="Z73" i="21"/>
  <c r="AG73" i="21" s="1"/>
  <c r="P74" i="19"/>
  <c r="Q74" i="19" s="1"/>
  <c r="Z55" i="21"/>
  <c r="AG55" i="21" s="1"/>
  <c r="P56" i="19"/>
  <c r="Q56" i="19" s="1"/>
  <c r="Z56" i="21"/>
  <c r="AG56" i="21" s="1"/>
  <c r="P57" i="19"/>
  <c r="Q57" i="19" s="1"/>
  <c r="Z64" i="21"/>
  <c r="AG64" i="21" s="1"/>
  <c r="P65" i="19"/>
  <c r="Q65" i="19" s="1"/>
  <c r="Z65" i="21"/>
  <c r="AG65" i="21" s="1"/>
  <c r="P66" i="19"/>
  <c r="Q66" i="19" s="1"/>
  <c r="Z75" i="21"/>
  <c r="AG75" i="21" s="1"/>
  <c r="P76" i="19"/>
  <c r="Q76" i="19" s="1"/>
  <c r="Z59" i="21"/>
  <c r="AG59" i="21" s="1"/>
  <c r="P60" i="19"/>
  <c r="Q60" i="19" s="1"/>
  <c r="Z48" i="21"/>
  <c r="AG48" i="21" s="1"/>
  <c r="P49" i="19"/>
  <c r="Q49" i="19" s="1"/>
  <c r="Z45" i="21"/>
  <c r="AG45" i="21" s="1"/>
  <c r="P46" i="19"/>
  <c r="Q46" i="19" s="1"/>
  <c r="Z61" i="21"/>
  <c r="AG61" i="21" s="1"/>
  <c r="P62" i="19"/>
  <c r="Q62" i="19" s="1"/>
  <c r="Z76" i="21"/>
  <c r="AG76" i="21" s="1"/>
  <c r="P77" i="19"/>
  <c r="Q77" i="19" s="1"/>
  <c r="Z85" i="21"/>
  <c r="AG85" i="21" s="1"/>
  <c r="P90" i="19"/>
  <c r="Q90" i="19" s="1"/>
  <c r="Z40" i="21"/>
  <c r="AG40" i="21" s="1"/>
  <c r="P41" i="19"/>
  <c r="Q41" i="19" s="1"/>
  <c r="Z54" i="21"/>
  <c r="AG54" i="21" s="1"/>
  <c r="P55" i="19"/>
  <c r="Q55" i="19" s="1"/>
  <c r="Z52" i="21"/>
  <c r="AG52" i="21" s="1"/>
  <c r="P53" i="19"/>
  <c r="Q53" i="19" s="1"/>
  <c r="Z71" i="21"/>
  <c r="AG71" i="21" s="1"/>
  <c r="P72" i="19"/>
  <c r="Q72" i="19" s="1"/>
  <c r="Z77" i="21"/>
  <c r="AG77" i="21" s="1"/>
  <c r="P78" i="19"/>
  <c r="Q78" i="19" s="1"/>
  <c r="Z79" i="21"/>
  <c r="AG79" i="21" s="1"/>
  <c r="P84" i="19"/>
  <c r="Q84" i="19" s="1"/>
  <c r="P80" i="19"/>
  <c r="Q80" i="19" s="1"/>
  <c r="Z47" i="21"/>
  <c r="AG47" i="21" s="1"/>
  <c r="P48" i="19"/>
  <c r="Q48" i="19" s="1"/>
  <c r="Z69" i="21"/>
  <c r="AG69" i="21" s="1"/>
  <c r="P70" i="19"/>
  <c r="Q70" i="19" s="1"/>
  <c r="Z46" i="21"/>
  <c r="AG46" i="21" s="1"/>
  <c r="P47" i="19"/>
  <c r="Q47" i="19" s="1"/>
  <c r="Z63" i="21"/>
  <c r="AG63" i="21" s="1"/>
  <c r="P64" i="19"/>
  <c r="Q64" i="19" s="1"/>
  <c r="Z53" i="21"/>
  <c r="AG53" i="21" s="1"/>
  <c r="P54" i="19"/>
  <c r="Q54" i="19" s="1"/>
  <c r="Z60" i="21"/>
  <c r="AG60" i="21" s="1"/>
  <c r="P61" i="19"/>
  <c r="Q61" i="19" s="1"/>
  <c r="Z57" i="21"/>
  <c r="AG57" i="21" s="1"/>
  <c r="P58" i="19"/>
  <c r="Q58" i="19" s="1"/>
  <c r="Z68" i="21"/>
  <c r="AG68" i="21" s="1"/>
  <c r="P69" i="19"/>
  <c r="Q69" i="19" s="1"/>
  <c r="Z72" i="21"/>
  <c r="AG72" i="21" s="1"/>
  <c r="P73" i="19"/>
  <c r="Q73" i="19" s="1"/>
  <c r="Z78" i="21"/>
  <c r="AG78" i="21" s="1"/>
  <c r="P79" i="19"/>
  <c r="Q79" i="19" s="1"/>
  <c r="P83" i="19"/>
  <c r="Q83" i="19" s="1"/>
  <c r="Z84" i="21"/>
  <c r="AG84" i="21" s="1"/>
  <c r="P89" i="19"/>
  <c r="Q89" i="19" s="1"/>
  <c r="Z81" i="21"/>
  <c r="AG81" i="21" s="1"/>
  <c r="P86" i="19"/>
  <c r="Q86" i="19" s="1"/>
  <c r="P82" i="19"/>
  <c r="Q82" i="19" s="1"/>
  <c r="BH72" i="23"/>
  <c r="BH71" i="23"/>
  <c r="BH70" i="23"/>
  <c r="AF21" i="48" l="1"/>
  <c r="AG21" i="48" s="1"/>
  <c r="I22" i="48"/>
  <c r="K21" i="48"/>
  <c r="L21" i="48" s="1"/>
  <c r="J20" i="48"/>
  <c r="P23" i="48"/>
  <c r="R22" i="48"/>
  <c r="S22" i="48" s="1"/>
  <c r="Q21" i="48"/>
  <c r="AK23" i="48"/>
  <c r="AM22" i="48"/>
  <c r="AN22" i="48" s="1"/>
  <c r="AL21" i="48"/>
  <c r="X21" i="48"/>
  <c r="W23" i="48"/>
  <c r="Y22" i="48"/>
  <c r="Z22" i="48" s="1"/>
  <c r="AE21" i="48"/>
  <c r="AD23" i="48"/>
  <c r="D21" i="48"/>
  <c r="E21" i="48" s="1"/>
  <c r="C20" i="48"/>
  <c r="B22" i="48"/>
  <c r="G18" i="33"/>
  <c r="P92" i="19"/>
  <c r="AF22" i="48" l="1"/>
  <c r="AG22" i="48" s="1"/>
  <c r="D22" i="48"/>
  <c r="E22" i="48" s="1"/>
  <c r="C21" i="48"/>
  <c r="B23" i="48"/>
  <c r="R23" i="48"/>
  <c r="S23" i="48" s="1"/>
  <c r="Q22" i="48"/>
  <c r="P24" i="48"/>
  <c r="AM23" i="48"/>
  <c r="AN23" i="48" s="1"/>
  <c r="AL22" i="48"/>
  <c r="AK24" i="48"/>
  <c r="W24" i="48"/>
  <c r="Y23" i="48"/>
  <c r="Z23" i="48" s="1"/>
  <c r="X22" i="48"/>
  <c r="AE22" i="48"/>
  <c r="AD24" i="48"/>
  <c r="K22" i="48"/>
  <c r="L22" i="48" s="1"/>
  <c r="J21" i="48"/>
  <c r="I23" i="48"/>
  <c r="H40" i="36"/>
  <c r="AF23" i="48" l="1"/>
  <c r="AG23" i="48" s="1"/>
  <c r="Y24" i="48"/>
  <c r="Z24" i="48" s="1"/>
  <c r="X23" i="48"/>
  <c r="W25" i="48"/>
  <c r="K23" i="48"/>
  <c r="L23" i="48" s="1"/>
  <c r="J22" i="48"/>
  <c r="I24" i="48"/>
  <c r="AL23" i="48"/>
  <c r="AK25" i="48"/>
  <c r="AM24" i="48"/>
  <c r="AN24" i="48" s="1"/>
  <c r="AD25" i="48"/>
  <c r="AE23" i="48"/>
  <c r="R24" i="48"/>
  <c r="S24" i="48" s="1"/>
  <c r="Q23" i="48"/>
  <c r="P25" i="48"/>
  <c r="C22" i="48"/>
  <c r="B24" i="48"/>
  <c r="D23" i="48"/>
  <c r="E23" i="48" s="1"/>
  <c r="J94" i="21"/>
  <c r="J93" i="21"/>
  <c r="J92" i="21"/>
  <c r="J91" i="21"/>
  <c r="J90" i="21"/>
  <c r="AF24" i="48" l="1"/>
  <c r="AG24" i="48" s="1"/>
  <c r="AE24" i="48"/>
  <c r="AD26" i="48"/>
  <c r="J23" i="48"/>
  <c r="I25" i="48"/>
  <c r="K24" i="48"/>
  <c r="L24" i="48" s="1"/>
  <c r="B25" i="48"/>
  <c r="D24" i="48"/>
  <c r="E24" i="48" s="1"/>
  <c r="C23" i="48"/>
  <c r="AK26" i="48"/>
  <c r="AM25" i="48"/>
  <c r="AN25" i="48" s="1"/>
  <c r="AL24" i="48"/>
  <c r="Y25" i="48"/>
  <c r="Z25" i="48" s="1"/>
  <c r="X24" i="48"/>
  <c r="W26" i="48"/>
  <c r="Q24" i="48"/>
  <c r="P26" i="48"/>
  <c r="R25" i="48"/>
  <c r="S25" i="48" s="1"/>
  <c r="J95" i="21"/>
  <c r="I14" i="11" s="1"/>
  <c r="G30" i="30"/>
  <c r="G29" i="30"/>
  <c r="G28" i="30"/>
  <c r="G27" i="30"/>
  <c r="G26" i="30"/>
  <c r="AF25" i="48" l="1"/>
  <c r="AG25" i="48" s="1"/>
  <c r="X25" i="48"/>
  <c r="W27" i="48"/>
  <c r="Y26" i="48"/>
  <c r="Z26" i="48" s="1"/>
  <c r="AM26" i="48"/>
  <c r="AN26" i="48" s="1"/>
  <c r="AL25" i="48"/>
  <c r="AK27" i="48"/>
  <c r="I26" i="48"/>
  <c r="K25" i="48"/>
  <c r="L25" i="48" s="1"/>
  <c r="J24" i="48"/>
  <c r="D25" i="48"/>
  <c r="E25" i="48" s="1"/>
  <c r="C24" i="48"/>
  <c r="B26" i="48"/>
  <c r="AE25" i="48"/>
  <c r="AD27" i="48"/>
  <c r="P27" i="48"/>
  <c r="R26" i="48"/>
  <c r="S26" i="48" s="1"/>
  <c r="Q25" i="48"/>
  <c r="N59" i="11"/>
  <c r="N18" i="11"/>
  <c r="N56" i="11"/>
  <c r="N28" i="11"/>
  <c r="A28" i="11" s="1"/>
  <c r="N55" i="11"/>
  <c r="AO20" i="6"/>
  <c r="AN20" i="6"/>
  <c r="AM20" i="6"/>
  <c r="AL20" i="6"/>
  <c r="AK20" i="6"/>
  <c r="AJ20" i="6"/>
  <c r="AI20" i="6"/>
  <c r="AH20" i="6"/>
  <c r="AG20" i="6"/>
  <c r="AF20" i="6"/>
  <c r="AE20" i="6"/>
  <c r="AD20" i="6"/>
  <c r="AC20" i="6"/>
  <c r="AB20" i="6"/>
  <c r="AA20" i="6"/>
  <c r="AF26" i="48" l="1"/>
  <c r="AG26" i="48" s="1"/>
  <c r="C25" i="48"/>
  <c r="B27" i="48"/>
  <c r="D26" i="48"/>
  <c r="E26" i="48" s="1"/>
  <c r="K26" i="48"/>
  <c r="L26" i="48" s="1"/>
  <c r="J25" i="48"/>
  <c r="I27" i="48"/>
  <c r="AM27" i="48"/>
  <c r="AN27" i="48" s="1"/>
  <c r="AL26" i="48"/>
  <c r="AK28" i="48"/>
  <c r="R27" i="48"/>
  <c r="S27" i="48" s="1"/>
  <c r="Q26" i="48"/>
  <c r="P28" i="48"/>
  <c r="W28" i="48"/>
  <c r="Y27" i="48"/>
  <c r="Z27" i="48" s="1"/>
  <c r="X26" i="48"/>
  <c r="AE26" i="48"/>
  <c r="AD28" i="48"/>
  <c r="G68" i="45"/>
  <c r="G111" i="19"/>
  <c r="AC35" i="22"/>
  <c r="AB35" i="22"/>
  <c r="K35" i="22"/>
  <c r="J35" i="22"/>
  <c r="AC34" i="22"/>
  <c r="AB34" i="22"/>
  <c r="K34" i="22"/>
  <c r="J34" i="22"/>
  <c r="AC33" i="22"/>
  <c r="AB33" i="22"/>
  <c r="K33" i="22"/>
  <c r="J33" i="22"/>
  <c r="AC32" i="22"/>
  <c r="AB32" i="22"/>
  <c r="K32" i="22"/>
  <c r="J32" i="22"/>
  <c r="AC31" i="22"/>
  <c r="AB31" i="22"/>
  <c r="K31" i="22"/>
  <c r="J31" i="22"/>
  <c r="AC30" i="22"/>
  <c r="AB30" i="22"/>
  <c r="K30" i="22"/>
  <c r="J30" i="22"/>
  <c r="AC29" i="22"/>
  <c r="AB29" i="22"/>
  <c r="K29" i="22"/>
  <c r="J29" i="22"/>
  <c r="AC28" i="22"/>
  <c r="AB28" i="22"/>
  <c r="K28" i="22"/>
  <c r="J28" i="22"/>
  <c r="AC27" i="22"/>
  <c r="AB27" i="22"/>
  <c r="K27" i="22"/>
  <c r="J27" i="22"/>
  <c r="AC26" i="22"/>
  <c r="AB26" i="22"/>
  <c r="K26" i="22"/>
  <c r="J26" i="22"/>
  <c r="AC25" i="22"/>
  <c r="AB25" i="22"/>
  <c r="K25" i="22"/>
  <c r="J25" i="22"/>
  <c r="AC24" i="22"/>
  <c r="AB24" i="22"/>
  <c r="K24" i="22"/>
  <c r="J24" i="22"/>
  <c r="AC23" i="22"/>
  <c r="AB23" i="22"/>
  <c r="K23" i="22"/>
  <c r="J23" i="22"/>
  <c r="AC22" i="22"/>
  <c r="AB22" i="22"/>
  <c r="K22" i="22"/>
  <c r="J22" i="22"/>
  <c r="AC21" i="22"/>
  <c r="AB21" i="22"/>
  <c r="K21" i="22"/>
  <c r="J21" i="22"/>
  <c r="AC20" i="22"/>
  <c r="AB20" i="22"/>
  <c r="K20" i="22"/>
  <c r="J20" i="22"/>
  <c r="AC19" i="22"/>
  <c r="AB19" i="22"/>
  <c r="K19" i="22"/>
  <c r="J19" i="22"/>
  <c r="AC18" i="22"/>
  <c r="AB18" i="22"/>
  <c r="K18" i="22"/>
  <c r="J18" i="22"/>
  <c r="AC17" i="22"/>
  <c r="AB17" i="22"/>
  <c r="K17" i="22"/>
  <c r="J17" i="22"/>
  <c r="AC16" i="22"/>
  <c r="AB16" i="22"/>
  <c r="K16" i="22"/>
  <c r="J16" i="22"/>
  <c r="AC15" i="22"/>
  <c r="AB15" i="22"/>
  <c r="K15" i="22"/>
  <c r="J15" i="22"/>
  <c r="AC14" i="22"/>
  <c r="AB14" i="22"/>
  <c r="K14" i="22"/>
  <c r="J14" i="22"/>
  <c r="AC13" i="22"/>
  <c r="AB13" i="22"/>
  <c r="K13" i="22"/>
  <c r="J13" i="22"/>
  <c r="AC12" i="22"/>
  <c r="AB12" i="22"/>
  <c r="K12" i="22"/>
  <c r="J12" i="22"/>
  <c r="AC11" i="22"/>
  <c r="AB11" i="22"/>
  <c r="K11" i="22"/>
  <c r="J11" i="22"/>
  <c r="AC10" i="22"/>
  <c r="AB10" i="22"/>
  <c r="K10" i="22"/>
  <c r="J10" i="22"/>
  <c r="AC9" i="22"/>
  <c r="AB9" i="22"/>
  <c r="K9" i="22"/>
  <c r="J9" i="22"/>
  <c r="AC8" i="22"/>
  <c r="Q8" i="22" s="1"/>
  <c r="AB8" i="22"/>
  <c r="K8" i="22"/>
  <c r="J8" i="22"/>
  <c r="AC7" i="22"/>
  <c r="Q7" i="22" s="1"/>
  <c r="AB7" i="22"/>
  <c r="K7" i="22"/>
  <c r="J7" i="22"/>
  <c r="AF27" i="48" l="1"/>
  <c r="AG27" i="48" s="1"/>
  <c r="J26" i="48"/>
  <c r="I28" i="48"/>
  <c r="K27" i="48"/>
  <c r="L27" i="48" s="1"/>
  <c r="Q27" i="48"/>
  <c r="P29" i="48"/>
  <c r="R28" i="48"/>
  <c r="S28" i="48" s="1"/>
  <c r="AD29" i="48"/>
  <c r="AE27" i="48"/>
  <c r="Y28" i="48"/>
  <c r="Z28" i="48" s="1"/>
  <c r="X27" i="48"/>
  <c r="W29" i="48"/>
  <c r="B28" i="48"/>
  <c r="D27" i="48"/>
  <c r="E27" i="48" s="1"/>
  <c r="C26" i="48"/>
  <c r="AL27" i="48"/>
  <c r="AK29" i="48"/>
  <c r="AM28" i="48"/>
  <c r="AN28" i="48" s="1"/>
  <c r="K38" i="19"/>
  <c r="I38" i="19"/>
  <c r="H38" i="19"/>
  <c r="K37" i="19"/>
  <c r="I37" i="19"/>
  <c r="H37" i="19"/>
  <c r="K36" i="19"/>
  <c r="I36" i="19"/>
  <c r="H36" i="19"/>
  <c r="K35" i="19"/>
  <c r="I35" i="19"/>
  <c r="H35" i="19"/>
  <c r="K34" i="19"/>
  <c r="I34" i="19"/>
  <c r="H34" i="19"/>
  <c r="K33" i="19"/>
  <c r="I33" i="19"/>
  <c r="H33" i="19"/>
  <c r="K32" i="19"/>
  <c r="I32" i="19"/>
  <c r="H32" i="19"/>
  <c r="K31" i="19"/>
  <c r="I31" i="19"/>
  <c r="H31" i="19"/>
  <c r="K30" i="19"/>
  <c r="I30" i="19"/>
  <c r="H30" i="19"/>
  <c r="K29" i="19"/>
  <c r="I29" i="19"/>
  <c r="H29" i="19"/>
  <c r="K28" i="19"/>
  <c r="I28" i="19"/>
  <c r="H28" i="19"/>
  <c r="K27" i="19"/>
  <c r="I27" i="19"/>
  <c r="H27" i="19"/>
  <c r="K26" i="19"/>
  <c r="I26" i="19"/>
  <c r="H26" i="19"/>
  <c r="K25" i="19"/>
  <c r="I25" i="19"/>
  <c r="H25" i="19"/>
  <c r="K24" i="19"/>
  <c r="I24" i="19"/>
  <c r="H24" i="19"/>
  <c r="K23" i="19"/>
  <c r="I23" i="19"/>
  <c r="H23" i="19"/>
  <c r="K22" i="19"/>
  <c r="I22" i="19"/>
  <c r="H22" i="19"/>
  <c r="K21" i="19"/>
  <c r="I21" i="19"/>
  <c r="H21" i="19"/>
  <c r="K20" i="19"/>
  <c r="I20" i="19"/>
  <c r="H20" i="19"/>
  <c r="K19" i="19"/>
  <c r="I19" i="19"/>
  <c r="H19" i="19"/>
  <c r="K18" i="19"/>
  <c r="I18" i="19"/>
  <c r="H18" i="19"/>
  <c r="K17" i="19"/>
  <c r="I17" i="19"/>
  <c r="H17" i="19"/>
  <c r="K16" i="19"/>
  <c r="I16" i="19"/>
  <c r="H16" i="19"/>
  <c r="K15" i="19"/>
  <c r="I15" i="19"/>
  <c r="H15" i="19"/>
  <c r="K14" i="19"/>
  <c r="I14" i="19"/>
  <c r="H14" i="19"/>
  <c r="K13" i="19"/>
  <c r="I13" i="19"/>
  <c r="H13" i="19"/>
  <c r="K12" i="19"/>
  <c r="I12" i="19"/>
  <c r="H12" i="19"/>
  <c r="BH33" i="20"/>
  <c r="BH32" i="20"/>
  <c r="BH31" i="20"/>
  <c r="BH30" i="20"/>
  <c r="BH29" i="20"/>
  <c r="BH28" i="20"/>
  <c r="BH27" i="20"/>
  <c r="BH26" i="20"/>
  <c r="BH25" i="20"/>
  <c r="BH24" i="20"/>
  <c r="BH23" i="20"/>
  <c r="BH22" i="20"/>
  <c r="BH21" i="20"/>
  <c r="BH20" i="20"/>
  <c r="BH19" i="20"/>
  <c r="BH18" i="20"/>
  <c r="BH17" i="20"/>
  <c r="BH16" i="20"/>
  <c r="BH15" i="20"/>
  <c r="BH14" i="20"/>
  <c r="BH13" i="20"/>
  <c r="BH12" i="20"/>
  <c r="BH11" i="20"/>
  <c r="BH10" i="20"/>
  <c r="BH9" i="20"/>
  <c r="BH8" i="20"/>
  <c r="BH7" i="20"/>
  <c r="BH6" i="20"/>
  <c r="BH5" i="20"/>
  <c r="AF28" i="48" l="1"/>
  <c r="AG28" i="48" s="1"/>
  <c r="AE28" i="48"/>
  <c r="AD30" i="48"/>
  <c r="P30" i="48"/>
  <c r="R29" i="48"/>
  <c r="S29" i="48" s="1"/>
  <c r="Q28" i="48"/>
  <c r="X28" i="48"/>
  <c r="W30" i="48"/>
  <c r="Y29" i="48"/>
  <c r="Z29" i="48" s="1"/>
  <c r="AK30" i="48"/>
  <c r="AM29" i="48"/>
  <c r="AN29" i="48" s="1"/>
  <c r="AL28" i="48"/>
  <c r="D28" i="48"/>
  <c r="E28" i="48" s="1"/>
  <c r="C27" i="48"/>
  <c r="B29" i="48"/>
  <c r="I29" i="48"/>
  <c r="K28" i="48"/>
  <c r="L28" i="48" s="1"/>
  <c r="J27" i="48"/>
  <c r="AG14" i="22"/>
  <c r="BH13" i="6"/>
  <c r="BG13" i="6"/>
  <c r="BF13" i="6"/>
  <c r="BE13" i="6"/>
  <c r="BD13" i="6"/>
  <c r="BC13" i="6"/>
  <c r="BB13" i="6"/>
  <c r="BA13" i="6"/>
  <c r="AZ13" i="6"/>
  <c r="AY13" i="6"/>
  <c r="AX13" i="6"/>
  <c r="AW13" i="6"/>
  <c r="AV13" i="6"/>
  <c r="AU13" i="6"/>
  <c r="AT13" i="6"/>
  <c r="AT8" i="6"/>
  <c r="AU8" i="6"/>
  <c r="AV8" i="6"/>
  <c r="AW8" i="6"/>
  <c r="AX8" i="6"/>
  <c r="AY8" i="6"/>
  <c r="AZ8" i="6"/>
  <c r="BA8" i="6"/>
  <c r="BB8" i="6"/>
  <c r="AF29" i="48" l="1"/>
  <c r="AG29" i="48" s="1"/>
  <c r="K29" i="48"/>
  <c r="L29" i="48" s="1"/>
  <c r="J28" i="48"/>
  <c r="I30" i="48"/>
  <c r="D29" i="48"/>
  <c r="E29" i="48" s="1"/>
  <c r="C28" i="48"/>
  <c r="B30" i="48"/>
  <c r="R30" i="48"/>
  <c r="S30" i="48" s="1"/>
  <c r="Q29" i="48"/>
  <c r="P31" i="48"/>
  <c r="AM30" i="48"/>
  <c r="AN30" i="48" s="1"/>
  <c r="AL29" i="48"/>
  <c r="AK31" i="48"/>
  <c r="W31" i="48"/>
  <c r="Y30" i="48"/>
  <c r="Z30" i="48" s="1"/>
  <c r="X29" i="48"/>
  <c r="AE29" i="48"/>
  <c r="AD31" i="48"/>
  <c r="H83" i="22"/>
  <c r="H79" i="22"/>
  <c r="H75" i="22"/>
  <c r="H71" i="22"/>
  <c r="H67" i="22"/>
  <c r="I82" i="22"/>
  <c r="I78" i="22"/>
  <c r="I74" i="22"/>
  <c r="I70" i="22"/>
  <c r="I66" i="22"/>
  <c r="H82" i="22"/>
  <c r="H78" i="22"/>
  <c r="H74" i="22"/>
  <c r="H70" i="22"/>
  <c r="H66" i="22"/>
  <c r="I85" i="22"/>
  <c r="I81" i="22"/>
  <c r="I77" i="22"/>
  <c r="I73" i="22"/>
  <c r="I69" i="22"/>
  <c r="I83" i="22"/>
  <c r="H85" i="22"/>
  <c r="H81" i="22"/>
  <c r="H77" i="22"/>
  <c r="H73" i="22"/>
  <c r="H69" i="22"/>
  <c r="I79" i="22"/>
  <c r="I75" i="22"/>
  <c r="I71" i="22"/>
  <c r="I67" i="22"/>
  <c r="I84" i="22"/>
  <c r="I80" i="22"/>
  <c r="I76" i="22"/>
  <c r="I72" i="22"/>
  <c r="I68" i="22"/>
  <c r="H84" i="22"/>
  <c r="H80" i="22"/>
  <c r="H76" i="22"/>
  <c r="H72" i="22"/>
  <c r="H68" i="22"/>
  <c r="H63" i="22"/>
  <c r="H59" i="22"/>
  <c r="H55" i="22"/>
  <c r="H51" i="22"/>
  <c r="H47" i="22"/>
  <c r="H43" i="22"/>
  <c r="H39" i="22"/>
  <c r="I62" i="22"/>
  <c r="I58" i="22"/>
  <c r="I54" i="22"/>
  <c r="I50" i="22"/>
  <c r="I46" i="22"/>
  <c r="I42" i="22"/>
  <c r="I38" i="22"/>
  <c r="I43" i="22"/>
  <c r="I39" i="22"/>
  <c r="H62" i="22"/>
  <c r="H58" i="22"/>
  <c r="H54" i="22"/>
  <c r="H50" i="22"/>
  <c r="H46" i="22"/>
  <c r="H42" i="22"/>
  <c r="H38" i="22"/>
  <c r="I55" i="22"/>
  <c r="I47" i="22"/>
  <c r="I65" i="22"/>
  <c r="I61" i="22"/>
  <c r="I57" i="22"/>
  <c r="I53" i="22"/>
  <c r="I49" i="22"/>
  <c r="I45" i="22"/>
  <c r="I41" i="22"/>
  <c r="I37" i="22"/>
  <c r="H37" i="22"/>
  <c r="H65" i="22"/>
  <c r="H61" i="22"/>
  <c r="H57" i="22"/>
  <c r="H53" i="22"/>
  <c r="H49" i="22"/>
  <c r="H45" i="22"/>
  <c r="H41" i="22"/>
  <c r="I64" i="22"/>
  <c r="I60" i="22"/>
  <c r="I56" i="22"/>
  <c r="I52" i="22"/>
  <c r="I48" i="22"/>
  <c r="I44" i="22"/>
  <c r="I40" i="22"/>
  <c r="I36" i="22"/>
  <c r="H36" i="22"/>
  <c r="H64" i="22"/>
  <c r="H60" i="22"/>
  <c r="H56" i="22"/>
  <c r="H52" i="22"/>
  <c r="H48" i="22"/>
  <c r="H44" i="22"/>
  <c r="H40" i="22"/>
  <c r="I63" i="22"/>
  <c r="I59" i="22"/>
  <c r="I51" i="22"/>
  <c r="I6" i="22"/>
  <c r="I35" i="22"/>
  <c r="I33" i="22"/>
  <c r="I31" i="22"/>
  <c r="I29" i="22"/>
  <c r="I27" i="22"/>
  <c r="I25" i="22"/>
  <c r="I23" i="22"/>
  <c r="I21" i="22"/>
  <c r="I19" i="22"/>
  <c r="I17" i="22"/>
  <c r="I15" i="22"/>
  <c r="I13" i="22"/>
  <c r="I11" i="22"/>
  <c r="I9" i="22"/>
  <c r="I7" i="22"/>
  <c r="H17" i="22"/>
  <c r="H15" i="22"/>
  <c r="H13" i="22"/>
  <c r="H11" i="22"/>
  <c r="H7" i="22"/>
  <c r="H35" i="22"/>
  <c r="H33" i="22"/>
  <c r="H31" i="22"/>
  <c r="H29" i="22"/>
  <c r="H27" i="22"/>
  <c r="H25" i="22"/>
  <c r="H23" i="22"/>
  <c r="H21" i="22"/>
  <c r="H19" i="22"/>
  <c r="H9" i="22"/>
  <c r="I34" i="22"/>
  <c r="I32" i="22"/>
  <c r="I30" i="22"/>
  <c r="I28" i="22"/>
  <c r="I26" i="22"/>
  <c r="I24" i="22"/>
  <c r="I22" i="22"/>
  <c r="I20" i="22"/>
  <c r="I18" i="22"/>
  <c r="I16" i="22"/>
  <c r="I14" i="22"/>
  <c r="I12" i="22"/>
  <c r="I10" i="22"/>
  <c r="I8" i="22"/>
  <c r="H34" i="22"/>
  <c r="H32" i="22"/>
  <c r="H30" i="22"/>
  <c r="H28" i="22"/>
  <c r="H26" i="22"/>
  <c r="H24" i="22"/>
  <c r="H22" i="22"/>
  <c r="H20" i="22"/>
  <c r="H18" i="22"/>
  <c r="H16" i="22"/>
  <c r="H14" i="22"/>
  <c r="H12" i="22"/>
  <c r="H10" i="22"/>
  <c r="H8" i="22"/>
  <c r="H6" i="22"/>
  <c r="AF30" i="48" l="1"/>
  <c r="AG30" i="48" s="1"/>
  <c r="Y31" i="48"/>
  <c r="Z31" i="48" s="1"/>
  <c r="X30" i="48"/>
  <c r="W32" i="48"/>
  <c r="AL30" i="48"/>
  <c r="AK32" i="48"/>
  <c r="AM31" i="48"/>
  <c r="AN31" i="48" s="1"/>
  <c r="R31" i="48"/>
  <c r="S31" i="48" s="1"/>
  <c r="P32" i="48"/>
  <c r="Q30" i="48"/>
  <c r="C29" i="48"/>
  <c r="B31" i="48"/>
  <c r="D30" i="48"/>
  <c r="E30" i="48" s="1"/>
  <c r="AD32" i="48"/>
  <c r="AE30" i="48"/>
  <c r="K30" i="48"/>
  <c r="L30" i="48" s="1"/>
  <c r="J29" i="48"/>
  <c r="I31" i="48"/>
  <c r="C65" i="11"/>
  <c r="C64" i="11"/>
  <c r="C63" i="11"/>
  <c r="C62" i="11"/>
  <c r="C61" i="11"/>
  <c r="C60" i="11"/>
  <c r="C59" i="11"/>
  <c r="C58" i="11"/>
  <c r="C57" i="11"/>
  <c r="C56" i="11"/>
  <c r="C55" i="11"/>
  <c r="C53" i="11"/>
  <c r="C52" i="11"/>
  <c r="C50" i="11"/>
  <c r="C49" i="11"/>
  <c r="C48" i="11"/>
  <c r="C47" i="11"/>
  <c r="C46" i="11"/>
  <c r="C45" i="11"/>
  <c r="C44" i="11"/>
  <c r="C43" i="11"/>
  <c r="C42" i="11"/>
  <c r="C41" i="11"/>
  <c r="C40" i="11"/>
  <c r="C39" i="11"/>
  <c r="C38" i="11"/>
  <c r="C37" i="11"/>
  <c r="C36" i="11"/>
  <c r="C35" i="11"/>
  <c r="C34" i="11"/>
  <c r="C33" i="11"/>
  <c r="C32" i="11"/>
  <c r="C31" i="11"/>
  <c r="C30" i="11"/>
  <c r="C29" i="11"/>
  <c r="C28" i="11"/>
  <c r="AF31" i="48" l="1"/>
  <c r="AG31" i="48" s="1"/>
  <c r="AE31" i="48"/>
  <c r="AD33" i="48"/>
  <c r="B32" i="48"/>
  <c r="D31" i="48"/>
  <c r="E31" i="48" s="1"/>
  <c r="C30" i="48"/>
  <c r="Q31" i="48"/>
  <c r="P33" i="48"/>
  <c r="R32" i="48"/>
  <c r="S32" i="48" s="1"/>
  <c r="AK33" i="48"/>
  <c r="AM32" i="48"/>
  <c r="AN32" i="48" s="1"/>
  <c r="AL31" i="48"/>
  <c r="J30" i="48"/>
  <c r="I32" i="48"/>
  <c r="K31" i="48"/>
  <c r="L31" i="48" s="1"/>
  <c r="Y32" i="48"/>
  <c r="Z32" i="48" s="1"/>
  <c r="X31" i="48"/>
  <c r="W33" i="48"/>
  <c r="B13" i="30"/>
  <c r="AF32" i="48" l="1"/>
  <c r="AG32" i="48" s="1"/>
  <c r="I33" i="48"/>
  <c r="K32" i="48"/>
  <c r="L32" i="48" s="1"/>
  <c r="J31" i="48"/>
  <c r="AM33" i="48"/>
  <c r="AN33" i="48" s="1"/>
  <c r="AL32" i="48"/>
  <c r="AK34" i="48"/>
  <c r="P34" i="48"/>
  <c r="R33" i="48"/>
  <c r="S33" i="48" s="1"/>
  <c r="Q32" i="48"/>
  <c r="X32" i="48"/>
  <c r="W34" i="48"/>
  <c r="Y33" i="48"/>
  <c r="Z33" i="48" s="1"/>
  <c r="D32" i="48"/>
  <c r="E32" i="48" s="1"/>
  <c r="C31" i="48"/>
  <c r="B33" i="48"/>
  <c r="AD34" i="48"/>
  <c r="AE32" i="48"/>
  <c r="BH4" i="20"/>
  <c r="AF33" i="48" l="1"/>
  <c r="AG33" i="48" s="1"/>
  <c r="R34" i="48"/>
  <c r="S34" i="48" s="1"/>
  <c r="Q33" i="48"/>
  <c r="P35" i="48"/>
  <c r="Y34" i="48"/>
  <c r="Z34" i="48" s="1"/>
  <c r="X33" i="48"/>
  <c r="W35" i="48"/>
  <c r="AM34" i="48"/>
  <c r="AN34" i="48" s="1"/>
  <c r="AL33" i="48"/>
  <c r="AK35" i="48"/>
  <c r="AE33" i="48"/>
  <c r="AD35" i="48"/>
  <c r="C32" i="48"/>
  <c r="B34" i="48"/>
  <c r="D33" i="48"/>
  <c r="E33" i="48" s="1"/>
  <c r="K33" i="48"/>
  <c r="L33" i="48" s="1"/>
  <c r="I34" i="48"/>
  <c r="J32" i="48"/>
  <c r="BL13" i="6"/>
  <c r="AI69" i="6"/>
  <c r="BT23" i="6" s="1"/>
  <c r="AH69" i="6"/>
  <c r="BS23" i="6" s="1"/>
  <c r="BR20" i="6"/>
  <c r="BQ20" i="6"/>
  <c r="AE68" i="6"/>
  <c r="BP22" i="6" s="1"/>
  <c r="AD68" i="6"/>
  <c r="BO22" i="6" s="1"/>
  <c r="AC67" i="6"/>
  <c r="BN21" i="6" s="1"/>
  <c r="AB67" i="6"/>
  <c r="BM21" i="6" s="1"/>
  <c r="AA69" i="6"/>
  <c r="BL23" i="6" s="1"/>
  <c r="Z69" i="6"/>
  <c r="BK23" i="6" s="1"/>
  <c r="AF34" i="48" l="1"/>
  <c r="AG34" i="48" s="1"/>
  <c r="AL34" i="48"/>
  <c r="AM35" i="48"/>
  <c r="AN35" i="48" s="1"/>
  <c r="D34" i="48"/>
  <c r="E34" i="48" s="1"/>
  <c r="C33" i="48"/>
  <c r="AE34" i="48"/>
  <c r="X34" i="48"/>
  <c r="Y35" i="48"/>
  <c r="Z35" i="48" s="1"/>
  <c r="J33" i="48"/>
  <c r="I35" i="48"/>
  <c r="K34" i="48"/>
  <c r="L34" i="48" s="1"/>
  <c r="R35" i="48"/>
  <c r="S35" i="48" s="1"/>
  <c r="Q34" i="48"/>
  <c r="AA68" i="6"/>
  <c r="BL22" i="6" s="1"/>
  <c r="AF68" i="6"/>
  <c r="BQ22" i="6" s="1"/>
  <c r="AB69" i="6"/>
  <c r="BM23" i="6" s="1"/>
  <c r="AI68" i="6"/>
  <c r="BT22" i="6" s="1"/>
  <c r="AD67" i="6"/>
  <c r="BO21" i="6" s="1"/>
  <c r="AG67" i="6"/>
  <c r="BR21" i="6" s="1"/>
  <c r="AE69" i="6"/>
  <c r="BP23" i="6" s="1"/>
  <c r="BK20" i="6"/>
  <c r="AG68" i="6"/>
  <c r="BR22" i="6" s="1"/>
  <c r="AE67" i="6"/>
  <c r="BP21" i="6" s="1"/>
  <c r="AC69" i="6"/>
  <c r="BN23" i="6" s="1"/>
  <c r="BL20" i="6"/>
  <c r="BT20" i="6"/>
  <c r="Z68" i="6"/>
  <c r="BK22" i="6" s="1"/>
  <c r="AH68" i="6"/>
  <c r="BS22" i="6" s="1"/>
  <c r="AF67" i="6"/>
  <c r="BQ21" i="6" s="1"/>
  <c r="AD69" i="6"/>
  <c r="BO23" i="6" s="1"/>
  <c r="BM20" i="6"/>
  <c r="BN20" i="6"/>
  <c r="AB68" i="6"/>
  <c r="BM22" i="6" s="1"/>
  <c r="Z67" i="6"/>
  <c r="BK21" i="6" s="1"/>
  <c r="AH67" i="6"/>
  <c r="BS21" i="6" s="1"/>
  <c r="AF69" i="6"/>
  <c r="BQ23" i="6" s="1"/>
  <c r="BO20" i="6"/>
  <c r="AC68" i="6"/>
  <c r="BN22" i="6" s="1"/>
  <c r="AA67" i="6"/>
  <c r="BL21" i="6" s="1"/>
  <c r="AI67" i="6"/>
  <c r="BT21" i="6" s="1"/>
  <c r="AG69" i="6"/>
  <c r="BR23" i="6" s="1"/>
  <c r="BP20" i="6"/>
  <c r="BS20" i="6"/>
  <c r="BB19" i="6"/>
  <c r="BA19" i="6"/>
  <c r="AZ19" i="6"/>
  <c r="AY19" i="6"/>
  <c r="AX19" i="6"/>
  <c r="AW19" i="6"/>
  <c r="AV19" i="6"/>
  <c r="AU19" i="6"/>
  <c r="BB18" i="6"/>
  <c r="BA18" i="6"/>
  <c r="AZ18" i="6"/>
  <c r="AY18" i="6"/>
  <c r="AX18" i="6"/>
  <c r="AW18" i="6"/>
  <c r="AV18" i="6"/>
  <c r="AU18" i="6"/>
  <c r="BB17" i="6"/>
  <c r="BA17" i="6"/>
  <c r="AZ17" i="6"/>
  <c r="AY17" i="6"/>
  <c r="AX17" i="6"/>
  <c r="AW17" i="6"/>
  <c r="AV17" i="6"/>
  <c r="AU17" i="6"/>
  <c r="BB16" i="6"/>
  <c r="BA16" i="6"/>
  <c r="AZ16" i="6"/>
  <c r="AY16" i="6"/>
  <c r="AX16" i="6"/>
  <c r="AW16" i="6"/>
  <c r="AV16" i="6"/>
  <c r="AU16" i="6"/>
  <c r="BB15" i="6"/>
  <c r="BA15" i="6"/>
  <c r="AZ15" i="6"/>
  <c r="AY15" i="6"/>
  <c r="AX15" i="6"/>
  <c r="AW15" i="6"/>
  <c r="AV15" i="6"/>
  <c r="AU15" i="6"/>
  <c r="BH14" i="6"/>
  <c r="BG14" i="6"/>
  <c r="BF14" i="6"/>
  <c r="BE14" i="6"/>
  <c r="BD14" i="6"/>
  <c r="BC14" i="6"/>
  <c r="BB14" i="6"/>
  <c r="BA14" i="6"/>
  <c r="AZ14" i="6"/>
  <c r="AY14" i="6"/>
  <c r="AX14" i="6"/>
  <c r="AW14" i="6"/>
  <c r="AV14" i="6"/>
  <c r="AU14" i="6"/>
  <c r="BB12" i="6"/>
  <c r="BA12" i="6"/>
  <c r="AZ12" i="6"/>
  <c r="AY12" i="6"/>
  <c r="AX12" i="6"/>
  <c r="AW12" i="6"/>
  <c r="AV12" i="6"/>
  <c r="AU12" i="6"/>
  <c r="BB11" i="6"/>
  <c r="BA11" i="6"/>
  <c r="AZ11" i="6"/>
  <c r="AY11" i="6"/>
  <c r="AX11" i="6"/>
  <c r="AW11" i="6"/>
  <c r="AV11" i="6"/>
  <c r="AU11" i="6"/>
  <c r="BB10" i="6"/>
  <c r="BA10" i="6"/>
  <c r="AZ10" i="6"/>
  <c r="AY10" i="6"/>
  <c r="AX10" i="6"/>
  <c r="AW10" i="6"/>
  <c r="AV10" i="6"/>
  <c r="AU10" i="6"/>
  <c r="BB9" i="6"/>
  <c r="BA9" i="6"/>
  <c r="AZ9" i="6"/>
  <c r="AY9" i="6"/>
  <c r="AX9" i="6"/>
  <c r="AW9" i="6"/>
  <c r="AV9" i="6"/>
  <c r="AU9" i="6"/>
  <c r="BH7" i="6"/>
  <c r="BG7" i="6"/>
  <c r="BF7" i="6"/>
  <c r="BE7" i="6"/>
  <c r="BD7" i="6"/>
  <c r="BC7" i="6"/>
  <c r="BB7" i="6"/>
  <c r="BA7" i="6"/>
  <c r="AZ7" i="6"/>
  <c r="AY7" i="6"/>
  <c r="AX7" i="6"/>
  <c r="AW7" i="6"/>
  <c r="AV7" i="6"/>
  <c r="AU7" i="6"/>
  <c r="BB6" i="6"/>
  <c r="BA6" i="6"/>
  <c r="AZ6" i="6"/>
  <c r="AY6" i="6"/>
  <c r="AX6" i="6"/>
  <c r="AW6" i="6"/>
  <c r="AV6" i="6"/>
  <c r="AU6" i="6"/>
  <c r="BB5" i="6"/>
  <c r="BA5" i="6"/>
  <c r="AZ5" i="6"/>
  <c r="AY5" i="6"/>
  <c r="AX5" i="6"/>
  <c r="AW5" i="6"/>
  <c r="AV5" i="6"/>
  <c r="AU5" i="6"/>
  <c r="BH4" i="6"/>
  <c r="BG4" i="6"/>
  <c r="BF4" i="6"/>
  <c r="BE4" i="6"/>
  <c r="BD4" i="6"/>
  <c r="BC4" i="6"/>
  <c r="BB4" i="6"/>
  <c r="BA4" i="6"/>
  <c r="AZ4" i="6"/>
  <c r="AY4" i="6"/>
  <c r="AX4" i="6"/>
  <c r="AW4" i="6"/>
  <c r="AV4" i="6"/>
  <c r="AU4" i="6"/>
  <c r="AT19" i="6"/>
  <c r="AT18" i="6"/>
  <c r="AT17" i="6"/>
  <c r="AT16" i="6"/>
  <c r="AT15" i="6"/>
  <c r="AT14" i="6"/>
  <c r="AO14" i="6"/>
  <c r="AN14" i="6"/>
  <c r="AM14" i="6"/>
  <c r="AL14" i="6"/>
  <c r="AK14" i="6"/>
  <c r="AJ14" i="6"/>
  <c r="AO7" i="6"/>
  <c r="AN7" i="6"/>
  <c r="AM7" i="6"/>
  <c r="AL7" i="6"/>
  <c r="AK7" i="6"/>
  <c r="AJ7" i="6"/>
  <c r="AO4" i="6"/>
  <c r="AN4" i="6"/>
  <c r="AM4" i="6"/>
  <c r="AL4" i="6"/>
  <c r="AK4" i="6"/>
  <c r="AJ4" i="6"/>
  <c r="BC116" i="6"/>
  <c r="BD116" i="6" s="1"/>
  <c r="BC115" i="6"/>
  <c r="BD115" i="6" s="1"/>
  <c r="BC114" i="6"/>
  <c r="BC113" i="6"/>
  <c r="BC112" i="6"/>
  <c r="BC19" i="6" s="1"/>
  <c r="BC111" i="6"/>
  <c r="BD111" i="6" s="1"/>
  <c r="BC110" i="6"/>
  <c r="BD110" i="6" s="1"/>
  <c r="BC109" i="6"/>
  <c r="BC16" i="6" s="1"/>
  <c r="BC108" i="6"/>
  <c r="BD108" i="6" s="1"/>
  <c r="BC106" i="6"/>
  <c r="BD106" i="6" s="1"/>
  <c r="BC105" i="6"/>
  <c r="BC12" i="6" s="1"/>
  <c r="BC104" i="6"/>
  <c r="BD104" i="6" s="1"/>
  <c r="BC103" i="6"/>
  <c r="BD103" i="6" s="1"/>
  <c r="BC102" i="6"/>
  <c r="BC9" i="6" s="1"/>
  <c r="BC101" i="6"/>
  <c r="BC8" i="6" s="1"/>
  <c r="BC99" i="6"/>
  <c r="BD99" i="6" s="1"/>
  <c r="BC98" i="6"/>
  <c r="BC5" i="6" s="1"/>
  <c r="AJ152" i="6"/>
  <c r="AJ151" i="6"/>
  <c r="AK151" i="6" s="1"/>
  <c r="AJ150" i="6"/>
  <c r="AJ149" i="6"/>
  <c r="AK149" i="6" s="1"/>
  <c r="AJ148" i="6"/>
  <c r="AJ19" i="6" s="1"/>
  <c r="AJ147" i="6"/>
  <c r="AK147" i="6" s="1"/>
  <c r="AJ146" i="6"/>
  <c r="AJ17" i="6" s="1"/>
  <c r="AJ145" i="6"/>
  <c r="AK145" i="6" s="1"/>
  <c r="AJ144" i="6"/>
  <c r="AJ15" i="6" s="1"/>
  <c r="AJ142" i="6"/>
  <c r="AJ141" i="6"/>
  <c r="AK141" i="6" s="1"/>
  <c r="AJ140" i="6"/>
  <c r="AJ11" i="6" s="1"/>
  <c r="AJ139" i="6"/>
  <c r="AJ10" i="6" s="1"/>
  <c r="AJ138" i="6"/>
  <c r="AJ9" i="6" s="1"/>
  <c r="AJ137" i="6"/>
  <c r="AK137" i="6" s="1"/>
  <c r="AJ135" i="6"/>
  <c r="AJ6" i="6" s="1"/>
  <c r="AJ134" i="6"/>
  <c r="AJ5" i="6" s="1"/>
  <c r="AF35" i="48" l="1"/>
  <c r="AG35" i="48" s="1"/>
  <c r="K35" i="48"/>
  <c r="L35" i="48" s="1"/>
  <c r="J34" i="48"/>
  <c r="AK148" i="6"/>
  <c r="AL148" i="6" s="1"/>
  <c r="AM148" i="6" s="1"/>
  <c r="AN148" i="6" s="1"/>
  <c r="AO148" i="6" s="1"/>
  <c r="AO19" i="6" s="1"/>
  <c r="AK139" i="6"/>
  <c r="AL139" i="6" s="1"/>
  <c r="AM139" i="6" s="1"/>
  <c r="AN139" i="6" s="1"/>
  <c r="AO139" i="6" s="1"/>
  <c r="AO10" i="6" s="1"/>
  <c r="AJ16" i="6"/>
  <c r="AJ8" i="6"/>
  <c r="AK152" i="6"/>
  <c r="AL152" i="6" s="1"/>
  <c r="AM152" i="6" s="1"/>
  <c r="AN152" i="6" s="1"/>
  <c r="AO152" i="6" s="1"/>
  <c r="BD112" i="6"/>
  <c r="BD19" i="6" s="1"/>
  <c r="AJ12" i="6"/>
  <c r="BD101" i="6"/>
  <c r="AK134" i="6"/>
  <c r="AL134" i="6" s="1"/>
  <c r="AM134" i="6" s="1"/>
  <c r="AN134" i="6" s="1"/>
  <c r="AO134" i="6" s="1"/>
  <c r="AO5" i="6" s="1"/>
  <c r="BD102" i="6"/>
  <c r="BD9" i="6" s="1"/>
  <c r="BC15" i="6"/>
  <c r="BC11" i="6"/>
  <c r="AK144" i="6"/>
  <c r="AL144" i="6" s="1"/>
  <c r="AM144" i="6" s="1"/>
  <c r="AN144" i="6" s="1"/>
  <c r="AO144" i="6" s="1"/>
  <c r="AO15" i="6" s="1"/>
  <c r="BE116" i="6"/>
  <c r="BE99" i="6"/>
  <c r="BD6" i="6"/>
  <c r="BE106" i="6"/>
  <c r="AL149" i="6"/>
  <c r="BE111" i="6"/>
  <c r="BD18" i="6"/>
  <c r="AL147" i="6"/>
  <c r="AK18" i="6"/>
  <c r="BE103" i="6"/>
  <c r="BD10" i="6"/>
  <c r="BE115" i="6"/>
  <c r="AL141" i="6"/>
  <c r="AK12" i="6"/>
  <c r="BE110" i="6"/>
  <c r="BD17" i="6"/>
  <c r="AL137" i="6"/>
  <c r="AK8" i="6"/>
  <c r="AL151" i="6"/>
  <c r="BE104" i="6"/>
  <c r="BD11" i="6"/>
  <c r="BE108" i="6"/>
  <c r="BD15" i="6"/>
  <c r="AL145" i="6"/>
  <c r="AK16" i="6"/>
  <c r="AK135" i="6"/>
  <c r="AK140" i="6"/>
  <c r="BD98" i="6"/>
  <c r="BD113" i="6"/>
  <c r="BC6" i="6"/>
  <c r="BC10" i="6"/>
  <c r="BC18" i="6"/>
  <c r="BD114" i="6"/>
  <c r="AK146" i="6"/>
  <c r="AK150" i="6"/>
  <c r="BD109" i="6"/>
  <c r="AJ18" i="6"/>
  <c r="BC17" i="6"/>
  <c r="AK138" i="6"/>
  <c r="AK142" i="6"/>
  <c r="BD105" i="6"/>
  <c r="Z14" i="6"/>
  <c r="AI19" i="6"/>
  <c r="AH19" i="6"/>
  <c r="AG19" i="6"/>
  <c r="AF19" i="6"/>
  <c r="AE19" i="6"/>
  <c r="AD19" i="6"/>
  <c r="AC19" i="6"/>
  <c r="AB19" i="6"/>
  <c r="AA19" i="6"/>
  <c r="AI182" i="6"/>
  <c r="AH182" i="6"/>
  <c r="AG182" i="6"/>
  <c r="AF182" i="6"/>
  <c r="AE182" i="6"/>
  <c r="AD182" i="6"/>
  <c r="AC182" i="6"/>
  <c r="AB182" i="6"/>
  <c r="AA182" i="6"/>
  <c r="Z182" i="6"/>
  <c r="AI181" i="6"/>
  <c r="AH181" i="6"/>
  <c r="AG181" i="6"/>
  <c r="AF181" i="6"/>
  <c r="AE181" i="6"/>
  <c r="AD181" i="6"/>
  <c r="AC181" i="6"/>
  <c r="AB181" i="6"/>
  <c r="AA181" i="6"/>
  <c r="Z181" i="6"/>
  <c r="AI180" i="6"/>
  <c r="AH180" i="6"/>
  <c r="AG180" i="6"/>
  <c r="AF180" i="6"/>
  <c r="AE180" i="6"/>
  <c r="AD180" i="6"/>
  <c r="AC180" i="6"/>
  <c r="AB180" i="6"/>
  <c r="AA180" i="6"/>
  <c r="Z180" i="6"/>
  <c r="AI179" i="6"/>
  <c r="AH179" i="6"/>
  <c r="AG179" i="6"/>
  <c r="AF179" i="6"/>
  <c r="AE179" i="6"/>
  <c r="AD179" i="6"/>
  <c r="AC179" i="6"/>
  <c r="AB179" i="6"/>
  <c r="AA179" i="6"/>
  <c r="Z179" i="6"/>
  <c r="AK19" i="6" l="1"/>
  <c r="AM19" i="6"/>
  <c r="AL19" i="6"/>
  <c r="BE101" i="6"/>
  <c r="BD8" i="6"/>
  <c r="AK5" i="6"/>
  <c r="BE112" i="6"/>
  <c r="BF112" i="6" s="1"/>
  <c r="AL15" i="6"/>
  <c r="AM15" i="6"/>
  <c r="AN15" i="6"/>
  <c r="AN5" i="6"/>
  <c r="AK10" i="6"/>
  <c r="AN19" i="6"/>
  <c r="AL10" i="6"/>
  <c r="AL5" i="6"/>
  <c r="AM10" i="6"/>
  <c r="AN10" i="6"/>
  <c r="AK15" i="6"/>
  <c r="BE102" i="6"/>
  <c r="BE9" i="6" s="1"/>
  <c r="AM5" i="6"/>
  <c r="BF115" i="6"/>
  <c r="BE114" i="6"/>
  <c r="AM151" i="6"/>
  <c r="BE109" i="6"/>
  <c r="BD16" i="6"/>
  <c r="AM145" i="6"/>
  <c r="AL16" i="6"/>
  <c r="AM137" i="6"/>
  <c r="AL8" i="6"/>
  <c r="BF103" i="6"/>
  <c r="BE10" i="6"/>
  <c r="BF106" i="6"/>
  <c r="AL135" i="6"/>
  <c r="AK6" i="6"/>
  <c r="AM149" i="6"/>
  <c r="BE105" i="6"/>
  <c r="BD12" i="6"/>
  <c r="AL150" i="6"/>
  <c r="AL142" i="6"/>
  <c r="AL146" i="6"/>
  <c r="AK17" i="6"/>
  <c r="BE113" i="6"/>
  <c r="BF108" i="6"/>
  <c r="BE15" i="6"/>
  <c r="BF110" i="6"/>
  <c r="BE17" i="6"/>
  <c r="AM147" i="6"/>
  <c r="AL18" i="6"/>
  <c r="BF99" i="6"/>
  <c r="BE6" i="6"/>
  <c r="AL138" i="6"/>
  <c r="AK9" i="6"/>
  <c r="BE98" i="6"/>
  <c r="BD5" i="6"/>
  <c r="AL140" i="6"/>
  <c r="AK11" i="6"/>
  <c r="BF104" i="6"/>
  <c r="BE11" i="6"/>
  <c r="AM141" i="6"/>
  <c r="AL12" i="6"/>
  <c r="BF111" i="6"/>
  <c r="BE18" i="6"/>
  <c r="BF116" i="6"/>
  <c r="BF101" i="6" l="1"/>
  <c r="BE8" i="6"/>
  <c r="BE19" i="6"/>
  <c r="BF102" i="6"/>
  <c r="BF9" i="6" s="1"/>
  <c r="BF105" i="6"/>
  <c r="BE12" i="6"/>
  <c r="AM146" i="6"/>
  <c r="AL17" i="6"/>
  <c r="BG103" i="6"/>
  <c r="BF10" i="6"/>
  <c r="BF109" i="6"/>
  <c r="BE16" i="6"/>
  <c r="BG111" i="6"/>
  <c r="BF18" i="6"/>
  <c r="BG110" i="6"/>
  <c r="BF17" i="6"/>
  <c r="AM142" i="6"/>
  <c r="AN149" i="6"/>
  <c r="AN137" i="6"/>
  <c r="AM8" i="6"/>
  <c r="AN151" i="6"/>
  <c r="AN147" i="6"/>
  <c r="AM18" i="6"/>
  <c r="BG102" i="6"/>
  <c r="BF98" i="6"/>
  <c r="BE5" i="6"/>
  <c r="AN141" i="6"/>
  <c r="AM12" i="6"/>
  <c r="AM138" i="6"/>
  <c r="AL9" i="6"/>
  <c r="BG108" i="6"/>
  <c r="BF15" i="6"/>
  <c r="AM135" i="6"/>
  <c r="AL6" i="6"/>
  <c r="AN145" i="6"/>
  <c r="AM16" i="6"/>
  <c r="BF114" i="6"/>
  <c r="AM140" i="6"/>
  <c r="AL11" i="6"/>
  <c r="BG116" i="6"/>
  <c r="BG104" i="6"/>
  <c r="BF11" i="6"/>
  <c r="BG99" i="6"/>
  <c r="BF6" i="6"/>
  <c r="BF113" i="6"/>
  <c r="AM150" i="6"/>
  <c r="BG106" i="6"/>
  <c r="BG112" i="6"/>
  <c r="BF19" i="6"/>
  <c r="BG115" i="6"/>
  <c r="H42" i="36"/>
  <c r="H41" i="36"/>
  <c r="B48" i="36"/>
  <c r="B45" i="36"/>
  <c r="B47" i="36"/>
  <c r="B44" i="36"/>
  <c r="B43" i="36"/>
  <c r="B41" i="36"/>
  <c r="B40" i="36"/>
  <c r="BG101" i="6" l="1"/>
  <c r="BF8" i="6"/>
  <c r="AN140" i="6"/>
  <c r="AM11" i="6"/>
  <c r="AO149" i="6"/>
  <c r="BG114" i="6"/>
  <c r="BG113" i="6"/>
  <c r="BG109" i="6"/>
  <c r="BF16" i="6"/>
  <c r="AN138" i="6"/>
  <c r="AM9" i="6"/>
  <c r="BH103" i="6"/>
  <c r="BH10" i="6" s="1"/>
  <c r="BG10" i="6"/>
  <c r="BH106" i="6"/>
  <c r="BH104" i="6"/>
  <c r="BH11" i="6" s="1"/>
  <c r="BG11" i="6"/>
  <c r="AO145" i="6"/>
  <c r="AO16" i="6" s="1"/>
  <c r="AN16" i="6"/>
  <c r="AO141" i="6"/>
  <c r="AO12" i="6" s="1"/>
  <c r="AN12" i="6"/>
  <c r="AO151" i="6"/>
  <c r="BH110" i="6"/>
  <c r="BH17" i="6" s="1"/>
  <c r="BG17" i="6"/>
  <c r="AN146" i="6"/>
  <c r="AM17" i="6"/>
  <c r="BH108" i="6"/>
  <c r="BH15" i="6" s="1"/>
  <c r="BG15" i="6"/>
  <c r="BH99" i="6"/>
  <c r="BH6" i="6" s="1"/>
  <c r="BG6" i="6"/>
  <c r="AN142" i="6"/>
  <c r="BH115" i="6"/>
  <c r="BH102" i="6"/>
  <c r="BH9" i="6" s="1"/>
  <c r="BG9" i="6"/>
  <c r="BH112" i="6"/>
  <c r="BH19" i="6" s="1"/>
  <c r="BG19" i="6"/>
  <c r="AO147" i="6"/>
  <c r="AO18" i="6" s="1"/>
  <c r="AN18" i="6"/>
  <c r="AN150" i="6"/>
  <c r="BH116" i="6"/>
  <c r="AN135" i="6"/>
  <c r="AM6" i="6"/>
  <c r="BG98" i="6"/>
  <c r="BF5" i="6"/>
  <c r="AO137" i="6"/>
  <c r="AO8" i="6" s="1"/>
  <c r="AN8" i="6"/>
  <c r="BH111" i="6"/>
  <c r="BH18" i="6" s="1"/>
  <c r="BG18" i="6"/>
  <c r="BG105" i="6"/>
  <c r="BF12" i="6"/>
  <c r="BS37" i="23"/>
  <c r="BS36" i="23"/>
  <c r="BS34" i="23"/>
  <c r="BS35" i="23"/>
  <c r="BS30" i="23"/>
  <c r="BQ25" i="23"/>
  <c r="BS29" i="23" s="1"/>
  <c r="BQ26" i="23"/>
  <c r="BS31" i="23" l="1"/>
  <c r="BH101" i="6"/>
  <c r="BH8" i="6" s="1"/>
  <c r="BG8" i="6"/>
  <c r="BH113" i="6"/>
  <c r="BH114" i="6"/>
  <c r="AO135" i="6"/>
  <c r="AO6" i="6" s="1"/>
  <c r="AN6" i="6"/>
  <c r="AO150" i="6"/>
  <c r="AO146" i="6"/>
  <c r="AO17" i="6" s="1"/>
  <c r="AN17" i="6"/>
  <c r="AO138" i="6"/>
  <c r="AO9" i="6" s="1"/>
  <c r="AN9" i="6"/>
  <c r="BH105" i="6"/>
  <c r="BH12" i="6" s="1"/>
  <c r="BG12" i="6"/>
  <c r="BH98" i="6"/>
  <c r="BH5" i="6" s="1"/>
  <c r="BG5" i="6"/>
  <c r="AO142" i="6"/>
  <c r="BH109" i="6"/>
  <c r="BH16" i="6" s="1"/>
  <c r="BG16" i="6"/>
  <c r="AO140" i="6"/>
  <c r="AO11" i="6" s="1"/>
  <c r="AN11" i="6"/>
  <c r="BS38" i="23"/>
  <c r="BQ13" i="23"/>
  <c r="BQ12" i="23"/>
  <c r="BS28" i="23" s="1"/>
  <c r="BS32" i="23" l="1"/>
  <c r="AB59" i="6"/>
  <c r="BM13" i="6" s="1"/>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S99" i="6"/>
  <c r="S98" i="6"/>
  <c r="S97" i="6"/>
  <c r="S96" i="6"/>
  <c r="S95" i="6"/>
  <c r="S94" i="6"/>
  <c r="S93" i="6"/>
  <c r="S92" i="6"/>
  <c r="S91" i="6"/>
  <c r="S90" i="6"/>
  <c r="S89" i="6"/>
  <c r="S88" i="6"/>
  <c r="S87" i="6"/>
  <c r="S86" i="6"/>
  <c r="S85" i="6"/>
  <c r="S84" i="6"/>
  <c r="S83" i="6"/>
  <c r="S82" i="6"/>
  <c r="S81" i="6"/>
  <c r="S80" i="6"/>
  <c r="S79" i="6"/>
  <c r="S78" i="6"/>
  <c r="S77" i="6"/>
  <c r="S76" i="6"/>
  <c r="S75" i="6"/>
  <c r="S74" i="6"/>
  <c r="S73" i="6"/>
  <c r="S72" i="6"/>
  <c r="S71" i="6"/>
  <c r="S70" i="6"/>
  <c r="S69" i="6"/>
  <c r="S68" i="6"/>
  <c r="S67" i="6"/>
  <c r="S66" i="6"/>
  <c r="S65" i="6"/>
  <c r="S64" i="6"/>
  <c r="S63" i="6"/>
  <c r="S62" i="6"/>
  <c r="S61" i="6"/>
  <c r="S60" i="6"/>
  <c r="S59" i="6"/>
  <c r="S58" i="6"/>
  <c r="S57" i="6"/>
  <c r="S56" i="6"/>
  <c r="S55" i="6"/>
  <c r="S54" i="6"/>
  <c r="S53" i="6"/>
  <c r="S52" i="6"/>
  <c r="S51" i="6"/>
  <c r="S50" i="6"/>
  <c r="S49" i="6"/>
  <c r="S48" i="6"/>
  <c r="S47" i="6"/>
  <c r="S46" i="6"/>
  <c r="S45" i="6"/>
  <c r="S44" i="6"/>
  <c r="S43" i="6"/>
  <c r="S42" i="6"/>
  <c r="S41" i="6"/>
  <c r="S40" i="6"/>
  <c r="S39" i="6"/>
  <c r="S38" i="6"/>
  <c r="S37" i="6"/>
  <c r="S36" i="6"/>
  <c r="S35" i="6"/>
  <c r="S34" i="6"/>
  <c r="S33" i="6"/>
  <c r="S32" i="6"/>
  <c r="S31" i="6"/>
  <c r="S30" i="6"/>
  <c r="S29" i="6"/>
  <c r="S28" i="6"/>
  <c r="S27" i="6"/>
  <c r="S26" i="6"/>
  <c r="S25" i="6"/>
  <c r="S24" i="6"/>
  <c r="S23" i="6"/>
  <c r="S22" i="6"/>
  <c r="S21" i="6"/>
  <c r="S20" i="6"/>
  <c r="S19" i="6"/>
  <c r="S18" i="6"/>
  <c r="S17" i="6"/>
  <c r="S16" i="6"/>
  <c r="S15" i="6"/>
  <c r="S14" i="6"/>
  <c r="S13" i="6"/>
  <c r="S12" i="6"/>
  <c r="S11" i="6"/>
  <c r="S10" i="6"/>
  <c r="S9" i="6"/>
  <c r="S8" i="6"/>
  <c r="S7" i="6"/>
  <c r="S6" i="6"/>
  <c r="S5" i="6"/>
  <c r="S4" i="6"/>
  <c r="M82" i="31" l="1"/>
  <c r="N35" i="27" l="1"/>
  <c r="V1" i="30" s="1"/>
  <c r="V19" i="30" s="1"/>
  <c r="V22" i="30" l="1"/>
  <c r="U9" i="30"/>
  <c r="V9" i="30" s="1"/>
  <c r="V12" i="30" s="1"/>
  <c r="A10" i="30" l="1"/>
  <c r="B10" i="30" s="1"/>
  <c r="V39" i="21" l="1"/>
  <c r="V38" i="21"/>
  <c r="V37" i="21"/>
  <c r="V36" i="21"/>
  <c r="V35" i="21"/>
  <c r="V34" i="21"/>
  <c r="V33" i="21"/>
  <c r="V32" i="21"/>
  <c r="V31" i="21"/>
  <c r="V30" i="21"/>
  <c r="V29" i="21"/>
  <c r="V28" i="21"/>
  <c r="V27" i="21"/>
  <c r="V26" i="21"/>
  <c r="V25" i="21"/>
  <c r="V24" i="21"/>
  <c r="V23" i="21"/>
  <c r="V22" i="21"/>
  <c r="V21" i="21"/>
  <c r="V20" i="21"/>
  <c r="V19" i="21"/>
  <c r="V18" i="21"/>
  <c r="V17" i="21"/>
  <c r="V16" i="21"/>
  <c r="V15" i="21"/>
  <c r="V14" i="21"/>
  <c r="V13" i="21"/>
  <c r="V12" i="21"/>
  <c r="V11" i="21"/>
  <c r="V10" i="21"/>
  <c r="A2" i="37"/>
  <c r="A500" i="37"/>
  <c r="A499" i="37"/>
  <c r="A498" i="37"/>
  <c r="A497" i="37"/>
  <c r="A496" i="37"/>
  <c r="A495" i="37"/>
  <c r="A494" i="37"/>
  <c r="A493" i="37"/>
  <c r="A492" i="37"/>
  <c r="A491" i="37"/>
  <c r="A490" i="37"/>
  <c r="A489" i="37"/>
  <c r="A488" i="37"/>
  <c r="A487" i="37"/>
  <c r="A486" i="37"/>
  <c r="A485" i="37"/>
  <c r="A484" i="37"/>
  <c r="A483" i="37"/>
  <c r="A482" i="37"/>
  <c r="A481" i="37"/>
  <c r="A480" i="37"/>
  <c r="A479" i="37"/>
  <c r="A478" i="37"/>
  <c r="A477" i="37"/>
  <c r="A476" i="37"/>
  <c r="A475" i="37"/>
  <c r="A474" i="37"/>
  <c r="A473" i="37"/>
  <c r="A472" i="37"/>
  <c r="A471" i="37"/>
  <c r="A470" i="37"/>
  <c r="A469" i="37"/>
  <c r="A468" i="37"/>
  <c r="A467" i="37"/>
  <c r="A466" i="37"/>
  <c r="A465" i="37"/>
  <c r="A464" i="37"/>
  <c r="A463" i="37"/>
  <c r="A462" i="37"/>
  <c r="A461" i="37"/>
  <c r="A460" i="37"/>
  <c r="A459" i="37"/>
  <c r="A458" i="37"/>
  <c r="A457" i="37"/>
  <c r="A456" i="37"/>
  <c r="A455" i="37"/>
  <c r="A454" i="37"/>
  <c r="A453" i="37"/>
  <c r="A452" i="37"/>
  <c r="A451" i="37"/>
  <c r="A450" i="37"/>
  <c r="A449" i="37"/>
  <c r="A448" i="37"/>
  <c r="A447" i="37"/>
  <c r="A446" i="37"/>
  <c r="A445" i="37"/>
  <c r="A444" i="37"/>
  <c r="A443" i="37"/>
  <c r="A442" i="37"/>
  <c r="A441" i="37"/>
  <c r="A440" i="37"/>
  <c r="A439" i="37"/>
  <c r="A438" i="37"/>
  <c r="A437" i="37"/>
  <c r="A436" i="37"/>
  <c r="A435" i="37"/>
  <c r="A434" i="37"/>
  <c r="A433" i="37"/>
  <c r="A432" i="37"/>
  <c r="A431" i="37"/>
  <c r="A430" i="37"/>
  <c r="A429" i="37"/>
  <c r="A428" i="37"/>
  <c r="A427" i="37"/>
  <c r="A426" i="37"/>
  <c r="A425" i="37"/>
  <c r="A424" i="37"/>
  <c r="A423" i="37"/>
  <c r="A422" i="37"/>
  <c r="A421" i="37"/>
  <c r="A420" i="37"/>
  <c r="A419" i="37"/>
  <c r="A418" i="37"/>
  <c r="A417" i="37"/>
  <c r="A416" i="37"/>
  <c r="A415" i="37"/>
  <c r="A414" i="37"/>
  <c r="A413" i="37"/>
  <c r="A412" i="37"/>
  <c r="A411" i="37"/>
  <c r="A410" i="37"/>
  <c r="A409" i="37"/>
  <c r="A408" i="37"/>
  <c r="A407" i="37"/>
  <c r="A406" i="37"/>
  <c r="A405" i="37"/>
  <c r="A404" i="37"/>
  <c r="A403" i="37"/>
  <c r="A402" i="37"/>
  <c r="A401" i="37"/>
  <c r="A400" i="37"/>
  <c r="A399" i="37"/>
  <c r="A398" i="37"/>
  <c r="A397" i="37"/>
  <c r="A396" i="37"/>
  <c r="A395" i="37"/>
  <c r="A394" i="37"/>
  <c r="A393" i="37"/>
  <c r="A392" i="37"/>
  <c r="A391" i="37"/>
  <c r="A390" i="37"/>
  <c r="A389" i="37"/>
  <c r="A388" i="37"/>
  <c r="A387" i="37"/>
  <c r="A386" i="37"/>
  <c r="A385" i="37"/>
  <c r="A384" i="37"/>
  <c r="A383" i="37"/>
  <c r="A382" i="37"/>
  <c r="A381" i="37"/>
  <c r="A380" i="37"/>
  <c r="A379" i="37"/>
  <c r="A378" i="37"/>
  <c r="A377" i="37"/>
  <c r="A376" i="37"/>
  <c r="A375" i="37"/>
  <c r="A374" i="37"/>
  <c r="A373" i="37"/>
  <c r="A372" i="37"/>
  <c r="A371" i="37"/>
  <c r="A370" i="37"/>
  <c r="A369" i="37"/>
  <c r="A368" i="37"/>
  <c r="A367" i="37"/>
  <c r="A366" i="37"/>
  <c r="A365" i="37"/>
  <c r="A364" i="37"/>
  <c r="A363" i="37"/>
  <c r="A362" i="37"/>
  <c r="A361" i="37"/>
  <c r="A360" i="37"/>
  <c r="A359" i="37"/>
  <c r="A358" i="37"/>
  <c r="A357" i="37"/>
  <c r="A356" i="37"/>
  <c r="A355" i="37"/>
  <c r="A354" i="37"/>
  <c r="A353" i="37"/>
  <c r="A352" i="37"/>
  <c r="A351" i="37"/>
  <c r="A350" i="37"/>
  <c r="A349" i="37"/>
  <c r="A348" i="37"/>
  <c r="A347" i="37"/>
  <c r="A346" i="37"/>
  <c r="A345" i="37"/>
  <c r="A344" i="37"/>
  <c r="A343" i="37"/>
  <c r="A342" i="37"/>
  <c r="A341" i="37"/>
  <c r="A340" i="37"/>
  <c r="A339" i="37"/>
  <c r="A338" i="37"/>
  <c r="A337" i="37"/>
  <c r="A336" i="37"/>
  <c r="A335" i="37"/>
  <c r="A334" i="37"/>
  <c r="A333" i="37"/>
  <c r="A332" i="37"/>
  <c r="A331" i="37"/>
  <c r="A330" i="37"/>
  <c r="A329" i="37"/>
  <c r="A328" i="37"/>
  <c r="A327" i="37"/>
  <c r="A326" i="37"/>
  <c r="A325" i="37"/>
  <c r="A324" i="37"/>
  <c r="A323" i="37"/>
  <c r="A322" i="37"/>
  <c r="A321" i="37"/>
  <c r="A320" i="37"/>
  <c r="A319" i="37"/>
  <c r="A318" i="37"/>
  <c r="A317" i="37"/>
  <c r="A316" i="37"/>
  <c r="A315" i="37"/>
  <c r="A314" i="37"/>
  <c r="A313" i="37"/>
  <c r="A312" i="37"/>
  <c r="A311" i="37"/>
  <c r="A310" i="37"/>
  <c r="A309" i="37"/>
  <c r="A308" i="37"/>
  <c r="A307" i="37"/>
  <c r="A306" i="37"/>
  <c r="A305" i="37"/>
  <c r="A304" i="37"/>
  <c r="A303" i="37"/>
  <c r="A302" i="37"/>
  <c r="A301" i="37"/>
  <c r="A300" i="37"/>
  <c r="A299" i="37"/>
  <c r="A298" i="37"/>
  <c r="A297" i="37"/>
  <c r="A296" i="37"/>
  <c r="A295" i="37"/>
  <c r="A294" i="37"/>
  <c r="A293" i="37"/>
  <c r="A292" i="37"/>
  <c r="A291" i="37"/>
  <c r="A290" i="37"/>
  <c r="A289" i="37"/>
  <c r="A288" i="37"/>
  <c r="A287" i="37"/>
  <c r="A286" i="37"/>
  <c r="A285" i="37"/>
  <c r="A284" i="37"/>
  <c r="A283" i="37"/>
  <c r="A282" i="37"/>
  <c r="A281" i="37"/>
  <c r="A280" i="37"/>
  <c r="A279" i="37"/>
  <c r="A278" i="37"/>
  <c r="A277" i="37"/>
  <c r="A276" i="37"/>
  <c r="A275" i="37"/>
  <c r="A274" i="37"/>
  <c r="A273" i="37"/>
  <c r="A272" i="37"/>
  <c r="A271" i="37"/>
  <c r="A270" i="37"/>
  <c r="A269" i="37"/>
  <c r="A268" i="37"/>
  <c r="A267" i="37"/>
  <c r="A266" i="37"/>
  <c r="A265" i="37"/>
  <c r="A264" i="37"/>
  <c r="A263" i="37"/>
  <c r="A262" i="37"/>
  <c r="A261" i="37"/>
  <c r="A260" i="37"/>
  <c r="A259" i="37"/>
  <c r="A258" i="37"/>
  <c r="A257" i="37"/>
  <c r="A256" i="37"/>
  <c r="A255" i="37"/>
  <c r="A254" i="37"/>
  <c r="A253" i="37"/>
  <c r="A252" i="37"/>
  <c r="A251" i="37"/>
  <c r="A250" i="37"/>
  <c r="A249" i="37"/>
  <c r="A248" i="37"/>
  <c r="A247" i="37"/>
  <c r="A246" i="37"/>
  <c r="A245" i="37"/>
  <c r="A244" i="37"/>
  <c r="A243" i="37"/>
  <c r="A242" i="37"/>
  <c r="A241" i="37"/>
  <c r="A240" i="37"/>
  <c r="A239" i="37"/>
  <c r="A238" i="37"/>
  <c r="A237" i="37"/>
  <c r="A236" i="37"/>
  <c r="A235" i="37"/>
  <c r="A234" i="37"/>
  <c r="A233" i="37"/>
  <c r="A232" i="37"/>
  <c r="A231" i="37"/>
  <c r="A230" i="37"/>
  <c r="A229" i="37"/>
  <c r="A228" i="37"/>
  <c r="A227" i="37"/>
  <c r="A226" i="37"/>
  <c r="A225" i="37"/>
  <c r="A224" i="37"/>
  <c r="A223" i="37"/>
  <c r="A222" i="37"/>
  <c r="A221" i="37"/>
  <c r="A220" i="37"/>
  <c r="A219" i="37"/>
  <c r="A218" i="37"/>
  <c r="A217" i="37"/>
  <c r="A216" i="37"/>
  <c r="A215" i="37"/>
  <c r="A214" i="37"/>
  <c r="A213" i="37"/>
  <c r="A212" i="37"/>
  <c r="A211" i="37"/>
  <c r="A210" i="37"/>
  <c r="A209" i="37"/>
  <c r="A208" i="37"/>
  <c r="A207" i="37"/>
  <c r="A206" i="37"/>
  <c r="A205" i="37"/>
  <c r="A204" i="37"/>
  <c r="A203" i="37"/>
  <c r="A202" i="37"/>
  <c r="A201" i="37"/>
  <c r="A200" i="37"/>
  <c r="A199" i="37"/>
  <c r="A198" i="37"/>
  <c r="A197" i="37"/>
  <c r="A196" i="37"/>
  <c r="A195" i="37"/>
  <c r="A194" i="37"/>
  <c r="A193" i="37"/>
  <c r="A192" i="37"/>
  <c r="A191" i="37"/>
  <c r="A190" i="37"/>
  <c r="A189" i="37"/>
  <c r="A188" i="37"/>
  <c r="A187" i="37"/>
  <c r="A186" i="37"/>
  <c r="A185" i="37"/>
  <c r="A184" i="37"/>
  <c r="A183" i="37"/>
  <c r="A182" i="37"/>
  <c r="A181" i="37"/>
  <c r="A180" i="37"/>
  <c r="A179" i="37"/>
  <c r="A178" i="37"/>
  <c r="A177" i="37"/>
  <c r="A176" i="37"/>
  <c r="A175" i="37"/>
  <c r="A174" i="37"/>
  <c r="A173" i="37"/>
  <c r="A172" i="37"/>
  <c r="A171" i="37"/>
  <c r="A170" i="37"/>
  <c r="A169" i="37"/>
  <c r="A168" i="37"/>
  <c r="A167" i="37"/>
  <c r="A166" i="37"/>
  <c r="A165" i="37"/>
  <c r="A164" i="37"/>
  <c r="A163" i="37"/>
  <c r="A162" i="37"/>
  <c r="A161" i="37"/>
  <c r="A160" i="37"/>
  <c r="A159" i="37"/>
  <c r="A158" i="37"/>
  <c r="A157" i="37"/>
  <c r="A156" i="37"/>
  <c r="A155" i="37"/>
  <c r="A154" i="37"/>
  <c r="A153" i="37"/>
  <c r="A152" i="37"/>
  <c r="A151" i="37"/>
  <c r="A150" i="37"/>
  <c r="A149" i="37"/>
  <c r="A148" i="37"/>
  <c r="A147" i="37"/>
  <c r="A146" i="37"/>
  <c r="A145" i="37"/>
  <c r="A144" i="37"/>
  <c r="A143" i="37"/>
  <c r="A142" i="37"/>
  <c r="A141" i="37"/>
  <c r="A140" i="37"/>
  <c r="A139" i="37"/>
  <c r="A138" i="37"/>
  <c r="A137" i="37"/>
  <c r="A136" i="37"/>
  <c r="A135" i="37"/>
  <c r="A134" i="37"/>
  <c r="A133" i="37"/>
  <c r="A132" i="37"/>
  <c r="A131" i="37"/>
  <c r="A130" i="37"/>
  <c r="A129" i="37"/>
  <c r="A128" i="37"/>
  <c r="A127" i="37"/>
  <c r="A126" i="37"/>
  <c r="A125" i="37"/>
  <c r="A124" i="37"/>
  <c r="A123" i="37"/>
  <c r="A122" i="37"/>
  <c r="A121" i="37"/>
  <c r="A120" i="37"/>
  <c r="A119" i="37"/>
  <c r="A118" i="37"/>
  <c r="A117" i="37"/>
  <c r="A116" i="37"/>
  <c r="A115" i="37"/>
  <c r="A114" i="37"/>
  <c r="A113" i="37"/>
  <c r="A112" i="37"/>
  <c r="A111" i="37"/>
  <c r="A110" i="37"/>
  <c r="A109" i="37"/>
  <c r="A108" i="37"/>
  <c r="A107" i="37"/>
  <c r="A106" i="37"/>
  <c r="A105" i="37"/>
  <c r="A104" i="37"/>
  <c r="A103" i="37"/>
  <c r="A102" i="37"/>
  <c r="A101" i="37"/>
  <c r="A100" i="37"/>
  <c r="A99" i="37"/>
  <c r="A98" i="37"/>
  <c r="A97" i="37"/>
  <c r="A96" i="37"/>
  <c r="A95" i="37"/>
  <c r="A94" i="37"/>
  <c r="A93" i="37"/>
  <c r="A92" i="37"/>
  <c r="A91" i="37"/>
  <c r="A90" i="37"/>
  <c r="A89" i="37"/>
  <c r="A88" i="37"/>
  <c r="A87" i="37"/>
  <c r="A86" i="37"/>
  <c r="A85" i="37"/>
  <c r="A84" i="37"/>
  <c r="A83" i="37"/>
  <c r="A82" i="37"/>
  <c r="A81" i="37"/>
  <c r="A80" i="37"/>
  <c r="A79" i="37"/>
  <c r="A78" i="37"/>
  <c r="A77" i="37"/>
  <c r="A76" i="37"/>
  <c r="A75" i="37"/>
  <c r="A74" i="37"/>
  <c r="A73" i="37"/>
  <c r="A72" i="37"/>
  <c r="A71" i="37"/>
  <c r="A70" i="37"/>
  <c r="A69" i="37"/>
  <c r="A68" i="37"/>
  <c r="A67" i="37"/>
  <c r="A66" i="37"/>
  <c r="A65" i="37"/>
  <c r="A64" i="37"/>
  <c r="A63" i="37"/>
  <c r="A62" i="37"/>
  <c r="A61" i="37"/>
  <c r="A60" i="37"/>
  <c r="A59" i="37"/>
  <c r="A58" i="37"/>
  <c r="A57" i="37"/>
  <c r="A56" i="37"/>
  <c r="A55" i="37"/>
  <c r="A54" i="37"/>
  <c r="A53" i="37"/>
  <c r="A52" i="37"/>
  <c r="A51" i="37"/>
  <c r="A50" i="37"/>
  <c r="A49" i="37"/>
  <c r="A48" i="37"/>
  <c r="A47" i="37"/>
  <c r="A46" i="37"/>
  <c r="A45" i="37"/>
  <c r="A44" i="37"/>
  <c r="A43" i="37"/>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17" i="37"/>
  <c r="A16" i="37"/>
  <c r="A15" i="37"/>
  <c r="A14" i="37"/>
  <c r="A13" i="37"/>
  <c r="A12" i="37"/>
  <c r="A11" i="37"/>
  <c r="A10" i="37"/>
  <c r="A9" i="37"/>
  <c r="A8" i="37"/>
  <c r="A7" i="37"/>
  <c r="A6" i="37"/>
  <c r="A5" i="37"/>
  <c r="A4" i="37"/>
  <c r="A3" i="37"/>
  <c r="G7" i="26" l="1"/>
  <c r="AI65" i="6" l="1"/>
  <c r="BT19" i="6" s="1"/>
  <c r="AH65" i="6"/>
  <c r="BS19" i="6" s="1"/>
  <c r="AG65" i="6"/>
  <c r="BR19" i="6" s="1"/>
  <c r="AF65" i="6"/>
  <c r="BQ19" i="6" s="1"/>
  <c r="AE65" i="6"/>
  <c r="BP19" i="6" s="1"/>
  <c r="AD65" i="6"/>
  <c r="BO19" i="6" s="1"/>
  <c r="AC65" i="6"/>
  <c r="BN19" i="6" s="1"/>
  <c r="AB65" i="6"/>
  <c r="BM19" i="6" s="1"/>
  <c r="AA65" i="6"/>
  <c r="BL19" i="6" s="1"/>
  <c r="Z65" i="6"/>
  <c r="BK19" i="6" s="1"/>
  <c r="AI64" i="6"/>
  <c r="BT18" i="6" s="1"/>
  <c r="AH64" i="6"/>
  <c r="BS18" i="6" s="1"/>
  <c r="AG64" i="6"/>
  <c r="BR18" i="6" s="1"/>
  <c r="AF64" i="6"/>
  <c r="BQ18" i="6" s="1"/>
  <c r="AE64" i="6"/>
  <c r="BP18" i="6" s="1"/>
  <c r="AD64" i="6"/>
  <c r="BO18" i="6" s="1"/>
  <c r="AC64" i="6"/>
  <c r="BN18" i="6" s="1"/>
  <c r="AB64" i="6"/>
  <c r="BM18" i="6" s="1"/>
  <c r="AA64" i="6"/>
  <c r="BL18" i="6" s="1"/>
  <c r="Z64" i="6"/>
  <c r="BK18" i="6" s="1"/>
  <c r="AI63" i="6"/>
  <c r="BT17" i="6" s="1"/>
  <c r="AH63" i="6"/>
  <c r="BS17" i="6" s="1"/>
  <c r="AG63" i="6"/>
  <c r="BR17" i="6" s="1"/>
  <c r="AF63" i="6"/>
  <c r="BQ17" i="6" s="1"/>
  <c r="AE63" i="6"/>
  <c r="BP17" i="6" s="1"/>
  <c r="AD63" i="6"/>
  <c r="BO17" i="6" s="1"/>
  <c r="AC63" i="6"/>
  <c r="BN17" i="6" s="1"/>
  <c r="AB63" i="6"/>
  <c r="BM17" i="6" s="1"/>
  <c r="AA63" i="6"/>
  <c r="BL17" i="6" s="1"/>
  <c r="Z63" i="6"/>
  <c r="BK17" i="6" s="1"/>
  <c r="AI62" i="6"/>
  <c r="BT16" i="6" s="1"/>
  <c r="AH62" i="6"/>
  <c r="BS16" i="6" s="1"/>
  <c r="AG62" i="6"/>
  <c r="BR16" i="6" s="1"/>
  <c r="AF62" i="6"/>
  <c r="BQ16" i="6" s="1"/>
  <c r="AE62" i="6"/>
  <c r="BP16" i="6" s="1"/>
  <c r="AD62" i="6"/>
  <c r="BO16" i="6" s="1"/>
  <c r="AC62" i="6"/>
  <c r="BN16" i="6" s="1"/>
  <c r="AB62" i="6"/>
  <c r="BM16" i="6" s="1"/>
  <c r="AA62" i="6"/>
  <c r="BL16" i="6" s="1"/>
  <c r="Z62" i="6"/>
  <c r="BK16" i="6" s="1"/>
  <c r="AI61" i="6"/>
  <c r="BT15" i="6" s="1"/>
  <c r="AH61" i="6"/>
  <c r="BS15" i="6" s="1"/>
  <c r="AG61" i="6"/>
  <c r="BR15" i="6" s="1"/>
  <c r="AF61" i="6"/>
  <c r="BQ15" i="6" s="1"/>
  <c r="AE61" i="6"/>
  <c r="BP15" i="6" s="1"/>
  <c r="AD61" i="6"/>
  <c r="BO15" i="6" s="1"/>
  <c r="AC61" i="6"/>
  <c r="BN15" i="6" s="1"/>
  <c r="AB61" i="6"/>
  <c r="BM15" i="6" s="1"/>
  <c r="AA61" i="6"/>
  <c r="BL15" i="6" s="1"/>
  <c r="Z61" i="6"/>
  <c r="BK15" i="6" s="1"/>
  <c r="AI60" i="6"/>
  <c r="BT14" i="6" s="1"/>
  <c r="AH60" i="6"/>
  <c r="BS14" i="6" s="1"/>
  <c r="AG60" i="6"/>
  <c r="BR14" i="6" s="1"/>
  <c r="AF60" i="6"/>
  <c r="BQ14" i="6" s="1"/>
  <c r="AE60" i="6"/>
  <c r="BP14" i="6" s="1"/>
  <c r="AD60" i="6"/>
  <c r="BO14" i="6" s="1"/>
  <c r="AC60" i="6"/>
  <c r="BN14" i="6" s="1"/>
  <c r="AB60" i="6"/>
  <c r="BM14" i="6" s="1"/>
  <c r="AA60" i="6"/>
  <c r="BL14" i="6" s="1"/>
  <c r="Z60" i="6"/>
  <c r="BK14" i="6" s="1"/>
  <c r="AI59" i="6"/>
  <c r="BT13" i="6" s="1"/>
  <c r="AH59" i="6"/>
  <c r="BS13" i="6" s="1"/>
  <c r="AG59" i="6"/>
  <c r="BR13" i="6" s="1"/>
  <c r="AF59" i="6"/>
  <c r="BQ13" i="6" s="1"/>
  <c r="AE59" i="6"/>
  <c r="BP13" i="6" s="1"/>
  <c r="AD59" i="6"/>
  <c r="BO13" i="6" s="1"/>
  <c r="AC59" i="6"/>
  <c r="BN13" i="6" s="1"/>
  <c r="Z59" i="6"/>
  <c r="BK13" i="6" s="1"/>
  <c r="AI58" i="6"/>
  <c r="BT12" i="6" s="1"/>
  <c r="AH58" i="6"/>
  <c r="BS12" i="6" s="1"/>
  <c r="AG58" i="6"/>
  <c r="BR12" i="6" s="1"/>
  <c r="AF58" i="6"/>
  <c r="BQ12" i="6" s="1"/>
  <c r="AE58" i="6"/>
  <c r="BP12" i="6" s="1"/>
  <c r="AD58" i="6"/>
  <c r="BO12" i="6" s="1"/>
  <c r="AC58" i="6"/>
  <c r="BN12" i="6" s="1"/>
  <c r="AB58" i="6"/>
  <c r="BM12" i="6" s="1"/>
  <c r="AA58" i="6"/>
  <c r="BL12" i="6" s="1"/>
  <c r="Z58" i="6"/>
  <c r="BK12" i="6" s="1"/>
  <c r="AI57" i="6"/>
  <c r="BT11" i="6" s="1"/>
  <c r="AH57" i="6"/>
  <c r="BS11" i="6" s="1"/>
  <c r="AG57" i="6"/>
  <c r="BR11" i="6" s="1"/>
  <c r="AF57" i="6"/>
  <c r="BQ11" i="6" s="1"/>
  <c r="AE57" i="6"/>
  <c r="BP11" i="6" s="1"/>
  <c r="AD57" i="6"/>
  <c r="BO11" i="6" s="1"/>
  <c r="AC57" i="6"/>
  <c r="BN11" i="6" s="1"/>
  <c r="AB57" i="6"/>
  <c r="BM11" i="6" s="1"/>
  <c r="AA57" i="6"/>
  <c r="BL11" i="6" s="1"/>
  <c r="Z57" i="6"/>
  <c r="BK11" i="6" s="1"/>
  <c r="AI56" i="6"/>
  <c r="BT10" i="6" s="1"/>
  <c r="AH56" i="6"/>
  <c r="BS10" i="6" s="1"/>
  <c r="AG56" i="6"/>
  <c r="BR10" i="6" s="1"/>
  <c r="AF56" i="6"/>
  <c r="BQ10" i="6" s="1"/>
  <c r="AE56" i="6"/>
  <c r="BP10" i="6" s="1"/>
  <c r="AD56" i="6"/>
  <c r="BO10" i="6" s="1"/>
  <c r="AC56" i="6"/>
  <c r="BN10" i="6" s="1"/>
  <c r="AB56" i="6"/>
  <c r="BM10" i="6" s="1"/>
  <c r="AA56" i="6"/>
  <c r="BL10" i="6" s="1"/>
  <c r="Z56" i="6"/>
  <c r="BK10" i="6" s="1"/>
  <c r="AI55" i="6"/>
  <c r="BT9" i="6" s="1"/>
  <c r="AH55" i="6"/>
  <c r="BS9" i="6" s="1"/>
  <c r="AG55" i="6"/>
  <c r="BR9" i="6" s="1"/>
  <c r="AF55" i="6"/>
  <c r="BQ9" i="6" s="1"/>
  <c r="AE55" i="6"/>
  <c r="BP9" i="6" s="1"/>
  <c r="AD55" i="6"/>
  <c r="BO9" i="6" s="1"/>
  <c r="AC55" i="6"/>
  <c r="BN9" i="6" s="1"/>
  <c r="AB55" i="6"/>
  <c r="BM9" i="6" s="1"/>
  <c r="AA55" i="6"/>
  <c r="BL9" i="6" s="1"/>
  <c r="Z55" i="6"/>
  <c r="BK9" i="6" s="1"/>
  <c r="AI54" i="6"/>
  <c r="BT8" i="6" s="1"/>
  <c r="AH54" i="6"/>
  <c r="BS8" i="6" s="1"/>
  <c r="AG54" i="6"/>
  <c r="BR8" i="6" s="1"/>
  <c r="AF54" i="6"/>
  <c r="BQ8" i="6" s="1"/>
  <c r="AE54" i="6"/>
  <c r="BP8" i="6" s="1"/>
  <c r="AD54" i="6"/>
  <c r="BO8" i="6" s="1"/>
  <c r="AC54" i="6"/>
  <c r="BN8" i="6" s="1"/>
  <c r="AB54" i="6"/>
  <c r="BM8" i="6" s="1"/>
  <c r="AA54" i="6"/>
  <c r="BL8" i="6" s="1"/>
  <c r="Z54" i="6"/>
  <c r="BK8" i="6" s="1"/>
  <c r="AI53" i="6"/>
  <c r="BT7" i="6" s="1"/>
  <c r="AH53" i="6"/>
  <c r="BS7" i="6" s="1"/>
  <c r="AG53" i="6"/>
  <c r="BR7" i="6" s="1"/>
  <c r="AF53" i="6"/>
  <c r="BQ7" i="6" s="1"/>
  <c r="AE53" i="6"/>
  <c r="BP7" i="6" s="1"/>
  <c r="AD53" i="6"/>
  <c r="BO7" i="6" s="1"/>
  <c r="AC53" i="6"/>
  <c r="BN7" i="6" s="1"/>
  <c r="AB53" i="6"/>
  <c r="BM7" i="6" s="1"/>
  <c r="AA53" i="6"/>
  <c r="BL7" i="6" s="1"/>
  <c r="Z53" i="6"/>
  <c r="BK7" i="6" s="1"/>
  <c r="AI52" i="6"/>
  <c r="BT6" i="6" s="1"/>
  <c r="AH52" i="6"/>
  <c r="BS6" i="6" s="1"/>
  <c r="AG52" i="6"/>
  <c r="BR6" i="6" s="1"/>
  <c r="AF52" i="6"/>
  <c r="BQ6" i="6" s="1"/>
  <c r="AE52" i="6"/>
  <c r="BP6" i="6" s="1"/>
  <c r="AD52" i="6"/>
  <c r="BO6" i="6" s="1"/>
  <c r="AC52" i="6"/>
  <c r="BN6" i="6" s="1"/>
  <c r="AB52" i="6"/>
  <c r="BM6" i="6" s="1"/>
  <c r="AA52" i="6"/>
  <c r="BL6" i="6" s="1"/>
  <c r="Z52" i="6"/>
  <c r="BK6" i="6" s="1"/>
  <c r="AI51" i="6"/>
  <c r="BT5" i="6" s="1"/>
  <c r="AH51" i="6"/>
  <c r="BS5" i="6" s="1"/>
  <c r="AG51" i="6"/>
  <c r="BR5" i="6" s="1"/>
  <c r="AF51" i="6"/>
  <c r="BQ5" i="6" s="1"/>
  <c r="AE51" i="6"/>
  <c r="BP5" i="6" s="1"/>
  <c r="AD51" i="6"/>
  <c r="BO5" i="6" s="1"/>
  <c r="AC51" i="6"/>
  <c r="BN5" i="6" s="1"/>
  <c r="AB51" i="6"/>
  <c r="BM5" i="6" s="1"/>
  <c r="AA51" i="6"/>
  <c r="BL5" i="6" s="1"/>
  <c r="Z51" i="6"/>
  <c r="BK5" i="6" s="1"/>
  <c r="AI50" i="6"/>
  <c r="BT4" i="6" s="1"/>
  <c r="AH50" i="6"/>
  <c r="BS4" i="6" s="1"/>
  <c r="AG50" i="6"/>
  <c r="BR4" i="6" s="1"/>
  <c r="AF50" i="6"/>
  <c r="BQ4" i="6" s="1"/>
  <c r="AE50" i="6"/>
  <c r="BP4" i="6" s="1"/>
  <c r="AD50" i="6"/>
  <c r="BO4" i="6" s="1"/>
  <c r="AC50" i="6"/>
  <c r="BN4" i="6" s="1"/>
  <c r="AB50" i="6"/>
  <c r="BM4" i="6" s="1"/>
  <c r="AA50" i="6"/>
  <c r="BL4" i="6" s="1"/>
  <c r="Z50" i="6"/>
  <c r="BK4" i="6" s="1"/>
  <c r="R239" i="6"/>
  <c r="R238" i="6"/>
  <c r="R237" i="6"/>
  <c r="R236" i="6"/>
  <c r="R235" i="6"/>
  <c r="R234" i="6"/>
  <c r="R233" i="6"/>
  <c r="R232" i="6"/>
  <c r="R231" i="6"/>
  <c r="R230" i="6"/>
  <c r="R229" i="6"/>
  <c r="R228" i="6"/>
  <c r="R227" i="6"/>
  <c r="R226" i="6"/>
  <c r="R225" i="6"/>
  <c r="R224" i="6"/>
  <c r="R223" i="6"/>
  <c r="R222" i="6"/>
  <c r="R221" i="6"/>
  <c r="R220" i="6"/>
  <c r="R219" i="6"/>
  <c r="R218" i="6"/>
  <c r="R217" i="6"/>
  <c r="R216" i="6"/>
  <c r="R215" i="6"/>
  <c r="R214" i="6"/>
  <c r="R213" i="6"/>
  <c r="R212" i="6"/>
  <c r="R211" i="6"/>
  <c r="R210" i="6"/>
  <c r="R209" i="6"/>
  <c r="R208" i="6"/>
  <c r="R207" i="6"/>
  <c r="R206" i="6"/>
  <c r="R205" i="6"/>
  <c r="R204" i="6"/>
  <c r="R203" i="6"/>
  <c r="R202" i="6"/>
  <c r="R201" i="6"/>
  <c r="R200" i="6"/>
  <c r="R199" i="6"/>
  <c r="R198" i="6"/>
  <c r="R197" i="6"/>
  <c r="R196" i="6"/>
  <c r="R195" i="6"/>
  <c r="R194" i="6"/>
  <c r="R193" i="6"/>
  <c r="R192" i="6"/>
  <c r="R191" i="6"/>
  <c r="R190" i="6"/>
  <c r="R189" i="6"/>
  <c r="R188" i="6"/>
  <c r="R187" i="6"/>
  <c r="R186" i="6"/>
  <c r="R185" i="6"/>
  <c r="R184" i="6"/>
  <c r="R183" i="6"/>
  <c r="R182" i="6"/>
  <c r="R181" i="6"/>
  <c r="R180" i="6"/>
  <c r="R179" i="6"/>
  <c r="R178" i="6"/>
  <c r="R177" i="6"/>
  <c r="R176" i="6"/>
  <c r="R175" i="6"/>
  <c r="R174" i="6"/>
  <c r="R173" i="6"/>
  <c r="R172" i="6"/>
  <c r="R171" i="6"/>
  <c r="R170" i="6"/>
  <c r="R169" i="6"/>
  <c r="R168" i="6"/>
  <c r="R167" i="6"/>
  <c r="R166" i="6"/>
  <c r="R165" i="6"/>
  <c r="R164" i="6"/>
  <c r="R163" i="6"/>
  <c r="R162" i="6"/>
  <c r="R161" i="6"/>
  <c r="R160" i="6"/>
  <c r="R159" i="6"/>
  <c r="R158" i="6"/>
  <c r="R157" i="6"/>
  <c r="R156" i="6"/>
  <c r="R155" i="6"/>
  <c r="R154" i="6"/>
  <c r="R153" i="6"/>
  <c r="R152" i="6"/>
  <c r="R151" i="6"/>
  <c r="R150" i="6"/>
  <c r="R149" i="6"/>
  <c r="R148" i="6"/>
  <c r="R147" i="6"/>
  <c r="R146" i="6"/>
  <c r="R145" i="6"/>
  <c r="R144" i="6"/>
  <c r="R143" i="6"/>
  <c r="R142" i="6"/>
  <c r="R141" i="6"/>
  <c r="R140" i="6"/>
  <c r="R139" i="6"/>
  <c r="R138" i="6"/>
  <c r="R137" i="6"/>
  <c r="R136" i="6"/>
  <c r="R135" i="6"/>
  <c r="R134" i="6"/>
  <c r="R133" i="6"/>
  <c r="R132" i="6"/>
  <c r="R131" i="6"/>
  <c r="R130" i="6"/>
  <c r="R129" i="6"/>
  <c r="R128" i="6"/>
  <c r="R127" i="6"/>
  <c r="R126" i="6"/>
  <c r="R125" i="6"/>
  <c r="R124" i="6"/>
  <c r="R123" i="6"/>
  <c r="R122" i="6"/>
  <c r="R121" i="6"/>
  <c r="R120" i="6"/>
  <c r="R119" i="6"/>
  <c r="R118" i="6"/>
  <c r="R117" i="6"/>
  <c r="O303" i="6"/>
  <c r="O302" i="6"/>
  <c r="O301" i="6"/>
  <c r="O300" i="6"/>
  <c r="O299" i="6"/>
  <c r="O298" i="6"/>
  <c r="O297" i="6"/>
  <c r="O296" i="6"/>
  <c r="O295" i="6"/>
  <c r="O294" i="6"/>
  <c r="O293" i="6"/>
  <c r="O292" i="6"/>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AT12" i="6" l="1"/>
  <c r="AT11" i="6"/>
  <c r="AT10" i="6"/>
  <c r="AT9" i="6"/>
  <c r="AT7" i="6"/>
  <c r="AS7" i="6"/>
  <c r="AT6" i="6"/>
  <c r="AS6" i="6"/>
  <c r="AT5" i="6"/>
  <c r="AS5" i="6"/>
  <c r="AT4" i="6"/>
  <c r="AS4" i="6"/>
  <c r="AI18" i="6"/>
  <c r="AH18" i="6"/>
  <c r="AG18" i="6"/>
  <c r="AF18" i="6"/>
  <c r="AE18" i="6"/>
  <c r="AD18" i="6"/>
  <c r="AC18" i="6"/>
  <c r="AB18" i="6"/>
  <c r="AA18" i="6"/>
  <c r="AI17" i="6"/>
  <c r="AH17" i="6"/>
  <c r="AG17" i="6"/>
  <c r="AF17" i="6"/>
  <c r="AE17" i="6"/>
  <c r="AD17" i="6"/>
  <c r="AC17" i="6"/>
  <c r="AB17" i="6"/>
  <c r="AA17" i="6"/>
  <c r="AI16" i="6"/>
  <c r="AH16" i="6"/>
  <c r="AG16" i="6"/>
  <c r="AF16" i="6"/>
  <c r="AE16" i="6"/>
  <c r="AD16" i="6"/>
  <c r="AC16" i="6"/>
  <c r="AB16" i="6"/>
  <c r="AA16" i="6"/>
  <c r="AI15" i="6"/>
  <c r="AH15" i="6"/>
  <c r="AG15" i="6"/>
  <c r="AF15" i="6"/>
  <c r="AE15" i="6"/>
  <c r="AD15" i="6"/>
  <c r="AC15" i="6"/>
  <c r="AB15" i="6"/>
  <c r="AA15" i="6"/>
  <c r="AI14" i="6"/>
  <c r="AH14" i="6"/>
  <c r="AG14" i="6"/>
  <c r="AF14" i="6"/>
  <c r="AE14" i="6"/>
  <c r="AD14" i="6"/>
  <c r="AC14" i="6"/>
  <c r="AB14" i="6"/>
  <c r="AA14" i="6"/>
  <c r="AI12" i="6"/>
  <c r="AH12" i="6"/>
  <c r="AG12" i="6"/>
  <c r="AF12" i="6"/>
  <c r="AE12" i="6"/>
  <c r="AD12" i="6"/>
  <c r="AC12" i="6"/>
  <c r="AB12" i="6"/>
  <c r="AA12" i="6"/>
  <c r="AI11" i="6"/>
  <c r="AH11" i="6"/>
  <c r="AG11" i="6"/>
  <c r="AF11" i="6"/>
  <c r="AE11" i="6"/>
  <c r="AD11" i="6"/>
  <c r="AC11" i="6"/>
  <c r="AB11" i="6"/>
  <c r="AA11" i="6"/>
  <c r="AI10" i="6"/>
  <c r="AH10" i="6"/>
  <c r="AG10" i="6"/>
  <c r="AF10" i="6"/>
  <c r="AE10" i="6"/>
  <c r="AD10" i="6"/>
  <c r="AC10" i="6"/>
  <c r="AB10" i="6"/>
  <c r="AA10" i="6"/>
  <c r="AI9" i="6"/>
  <c r="AH9" i="6"/>
  <c r="AG9" i="6"/>
  <c r="AF9" i="6"/>
  <c r="AE9" i="6"/>
  <c r="AD9" i="6"/>
  <c r="AC9" i="6"/>
  <c r="AB9" i="6"/>
  <c r="AA9" i="6"/>
  <c r="AI8" i="6"/>
  <c r="AH8" i="6"/>
  <c r="AG8" i="6"/>
  <c r="AF8" i="6"/>
  <c r="AE8" i="6"/>
  <c r="AD8" i="6"/>
  <c r="AC8" i="6"/>
  <c r="AB8" i="6"/>
  <c r="AA8" i="6"/>
  <c r="AI7" i="6"/>
  <c r="AH7" i="6"/>
  <c r="AG7" i="6"/>
  <c r="AF7" i="6"/>
  <c r="AE7" i="6"/>
  <c r="AD7" i="6"/>
  <c r="AC7" i="6"/>
  <c r="AB7" i="6"/>
  <c r="AA7" i="6"/>
  <c r="AI6" i="6"/>
  <c r="AH6" i="6"/>
  <c r="AG6" i="6"/>
  <c r="AF6" i="6"/>
  <c r="AE6" i="6"/>
  <c r="AD6" i="6"/>
  <c r="AC6" i="6"/>
  <c r="AB6" i="6"/>
  <c r="AA6" i="6"/>
  <c r="Z6" i="6"/>
  <c r="AI5" i="6"/>
  <c r="AH5" i="6"/>
  <c r="AG5" i="6"/>
  <c r="AF5" i="6"/>
  <c r="AE5" i="6"/>
  <c r="AD5" i="6"/>
  <c r="AC5" i="6"/>
  <c r="AB5" i="6"/>
  <c r="AA5" i="6"/>
  <c r="Z5" i="6"/>
  <c r="AI4" i="6"/>
  <c r="AH4" i="6"/>
  <c r="AG4" i="6"/>
  <c r="AF4" i="6"/>
  <c r="AE4" i="6"/>
  <c r="AD4" i="6"/>
  <c r="AC4" i="6"/>
  <c r="AB4" i="6"/>
  <c r="AA4" i="6"/>
  <c r="Z4" i="6"/>
  <c r="B101" i="22" l="1"/>
  <c r="B102" i="22"/>
  <c r="B100" i="22"/>
  <c r="T12" i="11" l="1"/>
  <c r="B96" i="22"/>
  <c r="C96" i="22" s="1"/>
  <c r="D96" i="22" s="1"/>
  <c r="G97" i="22"/>
  <c r="B93" i="22"/>
  <c r="F93" i="22"/>
  <c r="E97" i="22"/>
  <c r="D93" i="22" l="1"/>
  <c r="AJ37" i="22"/>
  <c r="AK37" i="22"/>
  <c r="AK36" i="22"/>
  <c r="AJ36" i="22"/>
  <c r="L17" i="36" l="1"/>
  <c r="J17" i="36"/>
  <c r="L16" i="36"/>
  <c r="J16" i="36"/>
  <c r="L15" i="36"/>
  <c r="J15" i="36"/>
  <c r="L14" i="36"/>
  <c r="J14" i="36"/>
  <c r="L13" i="36"/>
  <c r="J13" i="36"/>
  <c r="D6" i="36"/>
  <c r="B5" i="36"/>
  <c r="J5" i="36"/>
  <c r="K11" i="19" l="1"/>
  <c r="A14" i="28" l="1"/>
  <c r="A11" i="28"/>
  <c r="A17" i="28"/>
  <c r="B17" i="28" s="1"/>
  <c r="A16" i="28"/>
  <c r="B16" i="28" s="1"/>
  <c r="A15" i="28"/>
  <c r="A13" i="28"/>
  <c r="A12" i="28"/>
  <c r="A8" i="28"/>
  <c r="A7" i="28"/>
  <c r="A6" i="28"/>
  <c r="A5" i="28"/>
  <c r="A4" i="28"/>
  <c r="A3" i="28"/>
  <c r="A2" i="28"/>
  <c r="A18" i="28" l="1"/>
  <c r="A40" i="33"/>
  <c r="H34" i="35" l="1"/>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H6" i="35"/>
  <c r="H5" i="35"/>
  <c r="H4" i="35"/>
  <c r="H3" i="35"/>
  <c r="G34" i="35"/>
  <c r="G33" i="35"/>
  <c r="G32" i="35"/>
  <c r="G31" i="35"/>
  <c r="G30" i="35"/>
  <c r="G29" i="35"/>
  <c r="G28" i="35"/>
  <c r="G27" i="35"/>
  <c r="G26" i="35"/>
  <c r="G25" i="35"/>
  <c r="G24" i="35"/>
  <c r="G23" i="35"/>
  <c r="G22" i="35"/>
  <c r="G21" i="35"/>
  <c r="G20" i="35"/>
  <c r="G19" i="35"/>
  <c r="G18" i="35"/>
  <c r="G17" i="35"/>
  <c r="G16" i="35"/>
  <c r="G15" i="35"/>
  <c r="G14" i="35"/>
  <c r="G13" i="35"/>
  <c r="G12" i="35"/>
  <c r="G11" i="35"/>
  <c r="G10" i="35"/>
  <c r="G9" i="35"/>
  <c r="G8" i="35"/>
  <c r="G7" i="35"/>
  <c r="G6" i="35"/>
  <c r="G5" i="35"/>
  <c r="G4" i="35"/>
  <c r="G3" i="35"/>
  <c r="B98" i="33" l="1"/>
  <c r="G4" i="26"/>
  <c r="G2" i="26"/>
  <c r="A14" i="26"/>
  <c r="E16" i="33" s="1"/>
  <c r="E9" i="26"/>
  <c r="D9" i="26"/>
  <c r="A22" i="32" s="1"/>
  <c r="A9" i="26"/>
  <c r="A6" i="26"/>
  <c r="E15" i="33"/>
  <c r="C9" i="33"/>
  <c r="G19" i="33"/>
  <c r="G20" i="33"/>
  <c r="G21" i="33"/>
  <c r="G22" i="33"/>
  <c r="G23" i="33"/>
  <c r="G25" i="33"/>
  <c r="G26" i="33"/>
  <c r="G27" i="33"/>
  <c r="G29" i="33"/>
  <c r="G30" i="33"/>
  <c r="G31" i="33"/>
  <c r="G32" i="33"/>
  <c r="D42" i="33"/>
  <c r="A46" i="33"/>
  <c r="G68" i="33"/>
  <c r="B71" i="33"/>
  <c r="B92" i="33"/>
  <c r="B89" i="33" s="1"/>
  <c r="B93" i="33"/>
  <c r="M16" i="32"/>
  <c r="I33" i="33" s="1"/>
  <c r="C31" i="32"/>
  <c r="J4" i="31"/>
  <c r="L4" i="31" s="1"/>
  <c r="L5" i="30" s="1"/>
  <c r="B5" i="30"/>
  <c r="R8" i="30"/>
  <c r="T6" i="30" s="1"/>
  <c r="P5" i="30" s="1"/>
  <c r="V15" i="30" s="1"/>
  <c r="R9" i="30"/>
  <c r="R10" i="30"/>
  <c r="R12" i="30"/>
  <c r="H11" i="30"/>
  <c r="R13" i="30"/>
  <c r="R14" i="30"/>
  <c r="R17" i="30"/>
  <c r="R18" i="30"/>
  <c r="R19" i="30"/>
  <c r="R20" i="30"/>
  <c r="R23" i="30"/>
  <c r="R24" i="30"/>
  <c r="R25" i="30"/>
  <c r="R26" i="30"/>
  <c r="R29" i="30"/>
  <c r="R30" i="30"/>
  <c r="R31" i="30"/>
  <c r="R32" i="30"/>
  <c r="R35" i="30"/>
  <c r="R36" i="30"/>
  <c r="R37" i="30"/>
  <c r="R38" i="30"/>
  <c r="R41" i="30"/>
  <c r="R42" i="30"/>
  <c r="R43" i="30"/>
  <c r="R44" i="30"/>
  <c r="R45" i="30"/>
  <c r="R46" i="30"/>
  <c r="R48" i="30"/>
  <c r="R51" i="30"/>
  <c r="R52" i="30"/>
  <c r="R54" i="30"/>
  <c r="R56" i="30"/>
  <c r="R58" i="30"/>
  <c r="R60" i="30"/>
  <c r="R62" i="30"/>
  <c r="H7" i="29"/>
  <c r="I5" i="29" s="1"/>
  <c r="H9" i="29"/>
  <c r="H11" i="29"/>
  <c r="H13" i="29"/>
  <c r="H15" i="29"/>
  <c r="H17" i="29"/>
  <c r="H19" i="29"/>
  <c r="H21" i="29"/>
  <c r="H29" i="29"/>
  <c r="M30" i="29"/>
  <c r="H31" i="29" s="1"/>
  <c r="H33" i="29"/>
  <c r="H35" i="29"/>
  <c r="M36" i="29"/>
  <c r="F38" i="29" s="1"/>
  <c r="M44" i="29"/>
  <c r="H45" i="29"/>
  <c r="H47" i="29"/>
  <c r="M48" i="29"/>
  <c r="H49" i="29"/>
  <c r="H51" i="29"/>
  <c r="H53" i="29"/>
  <c r="O59" i="29"/>
  <c r="H65" i="29" s="1"/>
  <c r="H60" i="29"/>
  <c r="H62" i="29"/>
  <c r="H67" i="29"/>
  <c r="H69" i="29"/>
  <c r="H71" i="29"/>
  <c r="H73" i="29"/>
  <c r="H75" i="29"/>
  <c r="B2" i="28"/>
  <c r="B3" i="28"/>
  <c r="B4" i="28"/>
  <c r="B5" i="28"/>
  <c r="B6" i="28"/>
  <c r="B7" i="28"/>
  <c r="B8" i="28"/>
  <c r="B9" i="28"/>
  <c r="B10" i="28"/>
  <c r="B11" i="28"/>
  <c r="B12" i="28"/>
  <c r="B13" i="28"/>
  <c r="B14" i="28"/>
  <c r="B15" i="28"/>
  <c r="F27" i="28"/>
  <c r="F28" i="28"/>
  <c r="A29" i="28"/>
  <c r="F29" i="28" s="1"/>
  <c r="A30" i="28"/>
  <c r="F30" i="28" s="1"/>
  <c r="A31" i="28"/>
  <c r="F31" i="28" s="1"/>
  <c r="A32" i="28"/>
  <c r="F32" i="28" s="1"/>
  <c r="A33" i="28"/>
  <c r="F33" i="28" s="1"/>
  <c r="A35" i="28"/>
  <c r="F35" i="28" s="1"/>
  <c r="A36" i="28"/>
  <c r="F36" i="28" s="1"/>
  <c r="A37" i="28"/>
  <c r="F37" i="28" s="1"/>
  <c r="A38" i="28"/>
  <c r="F38" i="28" s="1"/>
  <c r="A39" i="28"/>
  <c r="F39" i="28" s="1"/>
  <c r="A40" i="28"/>
  <c r="F40" i="28" s="1"/>
  <c r="D13" i="27"/>
  <c r="H13" i="27"/>
  <c r="I23" i="33" s="1"/>
  <c r="Q51" i="27"/>
  <c r="Q52" i="27"/>
  <c r="Q53" i="27"/>
  <c r="Q54" i="27"/>
  <c r="Q55" i="27"/>
  <c r="Q56" i="27"/>
  <c r="Q57" i="27"/>
  <c r="Q58" i="27"/>
  <c r="Q59" i="27"/>
  <c r="Q60" i="27"/>
  <c r="Q61" i="27"/>
  <c r="Q62" i="27"/>
  <c r="Q63" i="27"/>
  <c r="Q64" i="27"/>
  <c r="Q65" i="27"/>
  <c r="R64" i="27" s="1"/>
  <c r="I14" i="30" l="1"/>
  <c r="H11" i="27" s="1"/>
  <c r="I21" i="33" s="1"/>
  <c r="I22" i="30"/>
  <c r="H12" i="27" s="1"/>
  <c r="I22" i="33" s="1"/>
  <c r="I58" i="29"/>
  <c r="I26" i="29"/>
  <c r="X26" i="33"/>
  <c r="T26" i="33"/>
  <c r="V26" i="33"/>
  <c r="Z26" i="33"/>
  <c r="G31" i="30"/>
  <c r="B20" i="30" s="1"/>
  <c r="G16" i="33"/>
  <c r="C5" i="30"/>
  <c r="D5" i="30" s="1"/>
  <c r="E5" i="30" s="1"/>
  <c r="R63" i="27"/>
  <c r="V17" i="30"/>
  <c r="V24" i="30" s="1"/>
  <c r="M10" i="30"/>
  <c r="M12" i="30" s="1"/>
  <c r="H21" i="27" s="1"/>
  <c r="J44" i="29" s="1"/>
  <c r="B19" i="30"/>
  <c r="R59" i="27"/>
  <c r="R55" i="27"/>
  <c r="R51" i="27"/>
  <c r="R62" i="27"/>
  <c r="R58" i="27"/>
  <c r="R54" i="27"/>
  <c r="R50" i="27"/>
  <c r="R61" i="27"/>
  <c r="R57" i="27"/>
  <c r="R53" i="27"/>
  <c r="R60" i="27"/>
  <c r="R56" i="27"/>
  <c r="R52" i="27"/>
  <c r="D10" i="28"/>
  <c r="D11" i="28"/>
  <c r="D8" i="28"/>
  <c r="D5" i="28"/>
  <c r="D2" i="28"/>
  <c r="D7" i="28"/>
  <c r="D16" i="28"/>
  <c r="D13" i="28"/>
  <c r="D15" i="28"/>
  <c r="D12" i="28"/>
  <c r="D9" i="28"/>
  <c r="D4" i="28"/>
  <c r="D14" i="28"/>
  <c r="D6" i="28"/>
  <c r="D3" i="28"/>
  <c r="A26" i="28"/>
  <c r="F26" i="28" s="1"/>
  <c r="J35" i="33"/>
  <c r="A25" i="28"/>
  <c r="F25" i="28" s="1"/>
  <c r="O35" i="33"/>
  <c r="S2" i="26"/>
  <c r="B11" i="33" s="1"/>
  <c r="A24" i="28"/>
  <c r="F24" i="28" s="1"/>
  <c r="A23" i="28"/>
  <c r="Q66" i="27" l="1"/>
  <c r="B59" i="33" s="1"/>
  <c r="B58" i="33" s="1"/>
  <c r="B22" i="30"/>
  <c r="D26" i="30" s="1"/>
  <c r="M35" i="33"/>
  <c r="I35" i="33" s="1"/>
  <c r="I29" i="33"/>
  <c r="B18" i="28"/>
  <c r="B53" i="33" s="1"/>
  <c r="F20" i="28"/>
  <c r="E94" i="33" s="1"/>
  <c r="F23" i="28"/>
  <c r="H16" i="27" l="1"/>
  <c r="J59" i="29" s="1"/>
  <c r="B52" i="33"/>
  <c r="A34" i="28"/>
  <c r="F34" i="28" s="1"/>
  <c r="F45" i="28" s="1"/>
  <c r="B78" i="33" s="1"/>
  <c r="H9" i="27"/>
  <c r="I19" i="33" s="1"/>
  <c r="I24" i="33" l="1"/>
  <c r="I36" i="33" s="1"/>
  <c r="J7" i="29"/>
  <c r="J27" i="29"/>
  <c r="H25" i="27"/>
  <c r="J75" i="29" s="1"/>
  <c r="BH3" i="20"/>
  <c r="D9" i="19" l="1"/>
  <c r="I10" i="4"/>
  <c r="D7" i="19"/>
  <c r="BM38" i="23"/>
  <c r="BM37" i="23"/>
  <c r="BM36" i="23"/>
  <c r="BM35" i="23"/>
  <c r="BO35" i="23" s="1"/>
  <c r="F20" i="50" l="1"/>
  <c r="C9" i="52"/>
  <c r="B11" i="36"/>
  <c r="B11" i="45"/>
  <c r="B11" i="46"/>
  <c r="A11" i="11"/>
  <c r="BO38" i="23" l="1"/>
  <c r="BO37" i="23"/>
  <c r="BM34" i="23"/>
  <c r="BO34" i="23" s="1"/>
  <c r="BH269" i="22"/>
  <c r="BG269" i="22"/>
  <c r="BH268" i="22"/>
  <c r="BG268" i="22"/>
  <c r="BH267" i="22"/>
  <c r="BG267" i="22"/>
  <c r="BH266" i="22"/>
  <c r="BG266" i="22"/>
  <c r="BH265" i="22"/>
  <c r="BG265" i="22"/>
  <c r="BH264" i="22"/>
  <c r="BG264" i="22"/>
  <c r="BH263" i="22"/>
  <c r="BG263" i="22"/>
  <c r="BH262" i="22"/>
  <c r="BG262" i="22"/>
  <c r="BH261" i="22"/>
  <c r="BG261" i="22"/>
  <c r="BH260" i="22"/>
  <c r="BG260" i="22"/>
  <c r="BH259" i="22"/>
  <c r="BG259" i="22"/>
  <c r="BH258" i="22"/>
  <c r="BG258" i="22"/>
  <c r="BH257" i="22"/>
  <c r="BG257" i="22"/>
  <c r="BH256" i="22"/>
  <c r="BG256" i="22"/>
  <c r="BH255" i="22"/>
  <c r="BG255" i="22"/>
  <c r="BH254" i="22"/>
  <c r="BG254" i="22"/>
  <c r="BH253" i="22"/>
  <c r="BG253" i="22"/>
  <c r="BH252" i="22"/>
  <c r="BG252" i="22"/>
  <c r="BH251" i="22"/>
  <c r="BG251" i="22"/>
  <c r="BH250" i="22"/>
  <c r="BG250" i="22"/>
  <c r="BH249" i="22"/>
  <c r="BG249" i="22"/>
  <c r="BH248" i="22"/>
  <c r="BG248" i="22"/>
  <c r="BH247" i="22"/>
  <c r="BG247" i="22"/>
  <c r="BH246" i="22"/>
  <c r="BG246" i="22"/>
  <c r="BH245" i="22"/>
  <c r="BG245" i="22"/>
  <c r="BH244" i="22"/>
  <c r="BG244" i="22"/>
  <c r="BH243" i="22"/>
  <c r="BG243" i="22"/>
  <c r="BH242" i="22"/>
  <c r="BG242" i="22"/>
  <c r="BH241" i="22"/>
  <c r="BG241" i="22"/>
  <c r="BH240" i="22"/>
  <c r="BG240" i="22"/>
  <c r="BH239" i="22"/>
  <c r="BG239" i="22"/>
  <c r="BH238" i="22"/>
  <c r="BG238" i="22"/>
  <c r="BH237" i="22"/>
  <c r="BG237" i="22"/>
  <c r="BH236" i="22"/>
  <c r="BG236" i="22"/>
  <c r="BH235" i="22"/>
  <c r="BG235" i="22"/>
  <c r="BH234" i="22"/>
  <c r="BG234" i="22"/>
  <c r="BH233" i="22"/>
  <c r="BG233" i="22"/>
  <c r="BH232" i="22"/>
  <c r="BG232" i="22"/>
  <c r="BH231" i="22"/>
  <c r="BG231" i="22"/>
  <c r="BH230" i="22"/>
  <c r="BG230" i="22"/>
  <c r="BH229" i="22"/>
  <c r="BG229" i="22"/>
  <c r="BH228" i="22"/>
  <c r="BG228" i="22"/>
  <c r="BH227" i="22"/>
  <c r="BG227" i="22"/>
  <c r="BH226" i="22"/>
  <c r="BG226" i="22"/>
  <c r="BH225" i="22"/>
  <c r="BG225" i="22"/>
  <c r="BH224" i="22"/>
  <c r="BG224" i="22"/>
  <c r="BH223" i="22"/>
  <c r="BG223" i="22"/>
  <c r="BH222" i="22"/>
  <c r="BG222" i="22"/>
  <c r="BH221" i="22"/>
  <c r="BG221" i="22"/>
  <c r="BH220" i="22"/>
  <c r="BG220" i="22"/>
  <c r="BH219" i="22"/>
  <c r="BG219" i="22"/>
  <c r="BH218" i="22"/>
  <c r="BG218" i="22"/>
  <c r="BH217" i="22"/>
  <c r="BG217" i="22"/>
  <c r="BH216" i="22"/>
  <c r="BG216" i="22"/>
  <c r="BH215" i="22"/>
  <c r="BG215" i="22"/>
  <c r="BH214" i="22"/>
  <c r="BG214" i="22"/>
  <c r="BH213" i="22"/>
  <c r="BG213" i="22"/>
  <c r="BH212" i="22"/>
  <c r="BG212" i="22"/>
  <c r="BH211" i="22"/>
  <c r="BG211" i="22"/>
  <c r="BH210" i="22"/>
  <c r="BG210" i="22"/>
  <c r="BH209" i="22"/>
  <c r="BG209" i="22"/>
  <c r="BH208" i="22"/>
  <c r="BG208" i="22"/>
  <c r="BH207" i="22"/>
  <c r="BG207" i="22"/>
  <c r="BH206" i="22"/>
  <c r="BG206" i="22"/>
  <c r="BH205" i="22"/>
  <c r="BG205" i="22"/>
  <c r="BH204" i="22"/>
  <c r="BG204" i="22"/>
  <c r="BH203" i="22"/>
  <c r="BG203" i="22"/>
  <c r="BH202" i="22"/>
  <c r="BG202" i="22"/>
  <c r="BH201" i="22"/>
  <c r="BG201" i="22"/>
  <c r="BH200" i="22"/>
  <c r="BG200" i="22"/>
  <c r="BH199" i="22"/>
  <c r="BG199" i="22"/>
  <c r="BH198" i="22"/>
  <c r="BG198" i="22"/>
  <c r="BH197" i="22"/>
  <c r="BG197" i="22"/>
  <c r="BH196" i="22"/>
  <c r="BG196" i="22"/>
  <c r="BH195" i="22"/>
  <c r="BG195" i="22"/>
  <c r="BH194" i="22"/>
  <c r="BG194" i="22"/>
  <c r="BH193" i="22"/>
  <c r="BG193" i="22"/>
  <c r="BH192" i="22"/>
  <c r="BG192" i="22"/>
  <c r="BH191" i="22"/>
  <c r="BG191" i="22"/>
  <c r="BH190" i="22"/>
  <c r="BG190" i="22"/>
  <c r="BH189" i="22"/>
  <c r="BG189" i="22"/>
  <c r="BH188" i="22"/>
  <c r="BG188" i="22"/>
  <c r="BH187" i="22"/>
  <c r="BG187" i="22"/>
  <c r="BH186" i="22"/>
  <c r="BG186" i="22"/>
  <c r="BH185" i="22"/>
  <c r="BG185" i="22"/>
  <c r="BH184" i="22"/>
  <c r="BG184" i="22"/>
  <c r="BH183" i="22"/>
  <c r="BG183" i="22"/>
  <c r="BH182" i="22"/>
  <c r="BG182" i="22"/>
  <c r="BH181" i="22"/>
  <c r="BG181" i="22"/>
  <c r="BH180" i="22"/>
  <c r="BG180" i="22"/>
  <c r="BH179" i="22"/>
  <c r="BG179" i="22"/>
  <c r="BH178" i="22"/>
  <c r="BG178" i="22"/>
  <c r="BH177" i="22"/>
  <c r="BG177" i="22"/>
  <c r="BH176" i="22"/>
  <c r="BG176" i="22"/>
  <c r="BH175" i="22"/>
  <c r="BG175" i="22"/>
  <c r="BH174" i="22"/>
  <c r="BG174" i="22"/>
  <c r="BH173" i="22"/>
  <c r="BG173" i="22"/>
  <c r="BH172" i="22"/>
  <c r="BG172" i="22"/>
  <c r="BH171" i="22"/>
  <c r="BG171" i="22"/>
  <c r="BH170" i="22"/>
  <c r="BG170" i="22"/>
  <c r="BH169" i="22"/>
  <c r="BG169" i="22"/>
  <c r="BH168" i="22"/>
  <c r="BG168" i="22"/>
  <c r="BH167" i="22"/>
  <c r="BG167" i="22"/>
  <c r="BH166" i="22"/>
  <c r="BG166" i="22"/>
  <c r="BH165" i="22"/>
  <c r="BG165" i="22"/>
  <c r="BH164" i="22"/>
  <c r="BG164" i="22"/>
  <c r="BH163" i="22"/>
  <c r="BG163" i="22"/>
  <c r="BH162" i="22"/>
  <c r="BG162" i="22"/>
  <c r="BH161" i="22"/>
  <c r="BG161" i="22"/>
  <c r="BH160" i="22"/>
  <c r="BG160" i="22"/>
  <c r="BH159" i="22"/>
  <c r="BG159" i="22"/>
  <c r="BH158" i="22"/>
  <c r="BG158" i="22"/>
  <c r="BH157" i="22"/>
  <c r="BG157" i="22"/>
  <c r="BH156" i="22"/>
  <c r="BG156" i="22"/>
  <c r="BH155" i="22"/>
  <c r="BG155" i="22"/>
  <c r="BH154" i="22"/>
  <c r="BG154" i="22"/>
  <c r="BH153" i="22"/>
  <c r="BG153" i="22"/>
  <c r="BH152" i="22"/>
  <c r="BG152" i="22"/>
  <c r="BH151" i="22"/>
  <c r="BG151" i="22"/>
  <c r="BH150" i="22"/>
  <c r="BG150" i="22"/>
  <c r="BH149" i="22"/>
  <c r="BG149" i="22"/>
  <c r="BH148" i="22"/>
  <c r="BG148" i="22"/>
  <c r="BH147" i="22"/>
  <c r="BG147" i="22"/>
  <c r="BH146" i="22"/>
  <c r="BG146" i="22"/>
  <c r="BH145" i="22"/>
  <c r="BG145" i="22"/>
  <c r="BH144" i="22"/>
  <c r="BG144" i="22"/>
  <c r="BH143" i="22"/>
  <c r="BG143" i="22"/>
  <c r="BH142" i="22"/>
  <c r="BG142" i="22"/>
  <c r="BH141" i="22"/>
  <c r="BG141" i="22"/>
  <c r="BH140" i="22"/>
  <c r="BG140" i="22"/>
  <c r="BH139" i="22"/>
  <c r="BG139" i="22"/>
  <c r="BH138" i="22"/>
  <c r="BG138" i="22"/>
  <c r="BH137" i="22"/>
  <c r="BG137" i="22"/>
  <c r="BH136" i="22"/>
  <c r="BG136" i="22"/>
  <c r="BH135" i="22"/>
  <c r="BG135" i="22"/>
  <c r="BH134" i="22"/>
  <c r="BG134" i="22"/>
  <c r="BH133" i="22"/>
  <c r="BG133" i="22"/>
  <c r="BH132" i="22"/>
  <c r="BG132" i="22"/>
  <c r="BH131" i="22"/>
  <c r="BG131" i="22"/>
  <c r="BH130" i="22"/>
  <c r="BG130" i="22"/>
  <c r="BH129" i="22"/>
  <c r="BG129" i="22"/>
  <c r="BH128" i="22"/>
  <c r="BG128" i="22"/>
  <c r="BH127" i="22"/>
  <c r="BG127" i="22"/>
  <c r="BH126" i="22"/>
  <c r="BG126" i="22"/>
  <c r="BH125" i="22"/>
  <c r="BG125" i="22"/>
  <c r="BH124" i="22"/>
  <c r="BG124" i="22"/>
  <c r="BH123" i="22"/>
  <c r="BG123" i="22"/>
  <c r="BH122" i="22"/>
  <c r="BG122" i="22"/>
  <c r="BH121" i="22"/>
  <c r="BG121" i="22"/>
  <c r="BH120" i="22"/>
  <c r="BG120" i="22"/>
  <c r="BH119" i="22"/>
  <c r="BG119" i="22"/>
  <c r="BH118" i="22"/>
  <c r="BG118" i="22"/>
  <c r="BH117" i="22"/>
  <c r="BG117" i="22"/>
  <c r="BH116" i="22"/>
  <c r="BG116" i="22"/>
  <c r="BH115" i="22"/>
  <c r="BG115" i="22"/>
  <c r="BH114" i="22"/>
  <c r="BG114" i="22"/>
  <c r="BH113" i="22"/>
  <c r="BG113" i="22"/>
  <c r="BH112" i="22"/>
  <c r="BG112" i="22"/>
  <c r="BH111" i="22"/>
  <c r="BG111" i="22"/>
  <c r="BH110" i="22"/>
  <c r="BG110" i="22"/>
  <c r="BH109" i="22"/>
  <c r="BG109" i="22"/>
  <c r="BH108" i="22"/>
  <c r="BG108" i="22"/>
  <c r="BH107" i="22"/>
  <c r="BG107" i="22"/>
  <c r="BH106" i="22"/>
  <c r="BG106" i="22"/>
  <c r="BH105" i="22"/>
  <c r="BG105" i="22"/>
  <c r="BH104" i="22"/>
  <c r="BG104" i="22"/>
  <c r="BH103" i="22"/>
  <c r="BG103" i="22"/>
  <c r="BH102" i="22"/>
  <c r="BG102" i="22"/>
  <c r="BH101" i="22"/>
  <c r="BG101" i="22"/>
  <c r="BH100" i="22"/>
  <c r="BG100" i="22"/>
  <c r="BH99" i="22"/>
  <c r="BG99" i="22"/>
  <c r="BH98" i="22"/>
  <c r="BG98" i="22"/>
  <c r="BH97" i="22"/>
  <c r="BG97" i="22"/>
  <c r="BH96" i="22"/>
  <c r="BG96" i="22"/>
  <c r="BH95" i="22"/>
  <c r="BG95" i="22"/>
  <c r="BH94" i="22"/>
  <c r="BG94" i="22"/>
  <c r="BH93" i="22"/>
  <c r="BG93" i="22"/>
  <c r="BH92" i="22"/>
  <c r="BG92" i="22"/>
  <c r="BH91" i="22"/>
  <c r="BG91" i="22"/>
  <c r="BH90" i="22"/>
  <c r="BG90" i="22"/>
  <c r="BH89" i="22"/>
  <c r="BG89" i="22"/>
  <c r="BH88" i="22"/>
  <c r="BG88" i="22"/>
  <c r="BH87" i="22"/>
  <c r="BG87" i="22"/>
  <c r="BH86" i="22"/>
  <c r="BG86" i="22"/>
  <c r="BH85" i="22"/>
  <c r="BG85" i="22"/>
  <c r="BH84" i="22"/>
  <c r="BG84" i="22"/>
  <c r="BH83" i="22"/>
  <c r="BG83" i="22"/>
  <c r="BH82" i="22"/>
  <c r="BG82" i="22"/>
  <c r="BH81" i="22"/>
  <c r="BG81" i="22"/>
  <c r="BH80" i="22"/>
  <c r="BG80" i="22"/>
  <c r="BH79" i="22"/>
  <c r="BG79" i="22"/>
  <c r="BH78" i="22"/>
  <c r="BG78" i="22"/>
  <c r="BH77" i="22"/>
  <c r="BG77" i="22"/>
  <c r="BH76" i="22"/>
  <c r="BG76" i="22"/>
  <c r="BH75" i="22"/>
  <c r="BG75" i="22"/>
  <c r="BH74" i="22"/>
  <c r="BG74" i="22"/>
  <c r="BH73" i="22"/>
  <c r="BG73" i="22"/>
  <c r="BH72" i="22"/>
  <c r="BG72" i="22"/>
  <c r="BH71" i="22"/>
  <c r="BG71" i="22"/>
  <c r="BH70" i="22"/>
  <c r="BG70" i="22"/>
  <c r="BH69" i="22"/>
  <c r="BG69" i="22"/>
  <c r="BH68" i="22"/>
  <c r="BG68" i="22"/>
  <c r="BH67" i="22"/>
  <c r="BG67" i="22"/>
  <c r="BH66" i="22"/>
  <c r="BG66" i="22"/>
  <c r="BH65" i="22"/>
  <c r="BG65" i="22"/>
  <c r="BH64" i="22"/>
  <c r="BG64" i="22"/>
  <c r="BH63" i="22"/>
  <c r="BG63" i="22"/>
  <c r="BH62" i="22"/>
  <c r="BG62" i="22"/>
  <c r="BH61" i="22"/>
  <c r="BG61" i="22"/>
  <c r="BH60" i="22"/>
  <c r="BG60" i="22"/>
  <c r="BH59" i="22"/>
  <c r="BG59" i="22"/>
  <c r="BH58" i="22"/>
  <c r="BG58" i="22"/>
  <c r="BH57" i="22"/>
  <c r="BG57" i="22"/>
  <c r="BH56" i="22"/>
  <c r="BG56" i="22"/>
  <c r="BH55" i="22"/>
  <c r="BG55" i="22"/>
  <c r="BH54" i="22"/>
  <c r="BG54" i="22"/>
  <c r="BH53" i="22"/>
  <c r="BG53" i="22"/>
  <c r="BH52" i="22"/>
  <c r="BG52" i="22"/>
  <c r="BH51" i="22"/>
  <c r="BG51" i="22"/>
  <c r="BH50" i="22"/>
  <c r="BG50" i="22"/>
  <c r="BH49" i="22"/>
  <c r="BG49" i="22"/>
  <c r="BH48" i="22"/>
  <c r="BG48" i="22"/>
  <c r="BH47" i="22"/>
  <c r="BG47" i="22"/>
  <c r="BH46" i="22"/>
  <c r="BG46" i="22"/>
  <c r="BH45" i="22"/>
  <c r="BG45" i="22"/>
  <c r="BI44" i="22"/>
  <c r="BH44" i="22"/>
  <c r="BH43" i="22"/>
  <c r="BG43" i="22"/>
  <c r="BH42" i="22"/>
  <c r="BG42" i="22"/>
  <c r="BH41" i="22"/>
  <c r="BG41" i="22"/>
  <c r="BH40" i="22"/>
  <c r="BG40" i="22"/>
  <c r="BH39" i="22"/>
  <c r="BG39" i="22"/>
  <c r="BH38" i="22"/>
  <c r="BG38" i="22"/>
  <c r="BH37" i="22"/>
  <c r="BG37" i="22"/>
  <c r="BH36" i="22"/>
  <c r="BG36" i="22"/>
  <c r="BH35" i="22"/>
  <c r="BG35" i="22"/>
  <c r="AT35" i="22"/>
  <c r="AW35" i="22" s="1"/>
  <c r="BH34" i="22" s="1"/>
  <c r="AT34" i="22"/>
  <c r="AU34" i="22" s="1"/>
  <c r="BG33" i="22" s="1"/>
  <c r="AT33" i="22"/>
  <c r="AU33" i="22" s="1"/>
  <c r="BG32" i="22" s="1"/>
  <c r="AT32" i="22"/>
  <c r="AW32" i="22" s="1"/>
  <c r="BH31" i="22" s="1"/>
  <c r="AT31" i="22"/>
  <c r="AW31" i="22" s="1"/>
  <c r="BH30" i="22" s="1"/>
  <c r="AT30" i="22"/>
  <c r="AU30" i="22" s="1"/>
  <c r="BG29" i="22" s="1"/>
  <c r="AT29" i="22"/>
  <c r="AW29" i="22" s="1"/>
  <c r="BH28" i="22" s="1"/>
  <c r="AT28" i="22"/>
  <c r="AU28" i="22" s="1"/>
  <c r="BG27" i="22" s="1"/>
  <c r="AT27" i="22"/>
  <c r="AW27" i="22" s="1"/>
  <c r="BH26" i="22" s="1"/>
  <c r="AT26" i="22"/>
  <c r="AU26" i="22" s="1"/>
  <c r="BG25" i="22" s="1"/>
  <c r="AT25" i="22"/>
  <c r="AW25" i="22" s="1"/>
  <c r="BH24" i="22" s="1"/>
  <c r="AT24" i="22"/>
  <c r="AU24" i="22" s="1"/>
  <c r="BG23" i="22" s="1"/>
  <c r="AT23" i="22"/>
  <c r="AW23" i="22" s="1"/>
  <c r="BH22" i="22" s="1"/>
  <c r="AT22" i="22"/>
  <c r="AU22" i="22" s="1"/>
  <c r="BG21" i="22" s="1"/>
  <c r="AT21" i="22"/>
  <c r="AU21" i="22" s="1"/>
  <c r="BG20" i="22" s="1"/>
  <c r="AT20" i="22"/>
  <c r="AU20" i="22" s="1"/>
  <c r="BG19" i="22" s="1"/>
  <c r="AT19" i="22"/>
  <c r="AW19" i="22" s="1"/>
  <c r="BH18" i="22" s="1"/>
  <c r="AT18" i="22"/>
  <c r="AU18" i="22" s="1"/>
  <c r="BG17" i="22" s="1"/>
  <c r="AT17" i="22"/>
  <c r="AW17" i="22" s="1"/>
  <c r="BH16" i="22" s="1"/>
  <c r="AT16" i="22"/>
  <c r="AU16" i="22" s="1"/>
  <c r="BG15" i="22" s="1"/>
  <c r="AT15" i="22"/>
  <c r="AW15" i="22" s="1"/>
  <c r="BH14" i="22" s="1"/>
  <c r="AT14" i="22"/>
  <c r="AU14" i="22" s="1"/>
  <c r="BG13" i="22" s="1"/>
  <c r="AT13" i="22"/>
  <c r="AU13" i="22" s="1"/>
  <c r="BG12" i="22" s="1"/>
  <c r="AT12" i="22"/>
  <c r="AW12" i="22" s="1"/>
  <c r="BH11" i="22" s="1"/>
  <c r="AT11" i="22"/>
  <c r="AW11" i="22" s="1"/>
  <c r="BH10" i="22" s="1"/>
  <c r="AT10" i="22"/>
  <c r="AU10" i="22" s="1"/>
  <c r="BG9" i="22" s="1"/>
  <c r="AT9" i="22"/>
  <c r="AW9" i="22" s="1"/>
  <c r="BH8" i="22" s="1"/>
  <c r="AT8" i="22"/>
  <c r="AU8" i="22" s="1"/>
  <c r="BG7" i="22" s="1"/>
  <c r="AT7" i="22"/>
  <c r="AW7" i="22" s="1"/>
  <c r="BH6" i="22" s="1"/>
  <c r="AT6" i="22"/>
  <c r="AW6" i="22" s="1"/>
  <c r="AX6" i="22" s="1"/>
  <c r="AV8" i="22" l="1"/>
  <c r="AV16" i="22"/>
  <c r="AV20" i="22"/>
  <c r="AV24" i="22"/>
  <c r="AV28" i="22"/>
  <c r="AX7" i="22"/>
  <c r="AX11" i="22"/>
  <c r="AX15" i="22"/>
  <c r="AX19" i="22"/>
  <c r="AX23" i="22"/>
  <c r="AX27" i="22"/>
  <c r="AX31" i="22"/>
  <c r="AX35" i="22"/>
  <c r="AV13" i="22"/>
  <c r="AV21" i="22"/>
  <c r="AV33" i="22"/>
  <c r="AX12" i="22"/>
  <c r="AX32" i="22"/>
  <c r="AV10" i="22"/>
  <c r="AV14" i="22"/>
  <c r="AV18" i="22"/>
  <c r="AV22" i="22"/>
  <c r="AV26" i="22"/>
  <c r="AV30" i="22"/>
  <c r="AV34" i="22"/>
  <c r="AX9" i="22"/>
  <c r="AX17" i="22"/>
  <c r="AX25" i="22"/>
  <c r="AX29" i="22"/>
  <c r="AW16" i="22"/>
  <c r="AW20" i="22"/>
  <c r="AW8" i="22"/>
  <c r="AW24" i="22"/>
  <c r="AU17" i="22"/>
  <c r="AW28" i="22"/>
  <c r="AU29" i="22"/>
  <c r="AW13" i="22"/>
  <c r="AW21" i="22"/>
  <c r="AW33" i="22"/>
  <c r="AW10" i="22"/>
  <c r="AW14" i="22"/>
  <c r="AW18" i="22"/>
  <c r="AW22" i="22"/>
  <c r="AW26" i="22"/>
  <c r="AW30" i="22"/>
  <c r="AW34" i="22"/>
  <c r="AU9" i="22"/>
  <c r="AU25" i="22"/>
  <c r="AU6" i="22"/>
  <c r="AV6" i="22" s="1"/>
  <c r="AY6" i="22" s="1"/>
  <c r="AU12" i="22"/>
  <c r="AU32" i="22"/>
  <c r="AU7" i="22"/>
  <c r="AU11" i="22"/>
  <c r="AU15" i="22"/>
  <c r="AU19" i="22"/>
  <c r="AU23" i="22"/>
  <c r="AU27" i="22"/>
  <c r="AU31" i="22"/>
  <c r="AU35" i="22"/>
  <c r="BH25" i="22" l="1"/>
  <c r="AX26" i="22"/>
  <c r="AY26" i="22" s="1"/>
  <c r="BG34" i="22"/>
  <c r="AV35" i="22"/>
  <c r="AY35" i="22" s="1"/>
  <c r="BH21" i="22"/>
  <c r="AX22" i="22"/>
  <c r="AY22" i="22" s="1"/>
  <c r="BH19" i="22"/>
  <c r="AX20" i="22"/>
  <c r="AY20" i="22" s="1"/>
  <c r="BG22" i="22"/>
  <c r="AV23" i="22"/>
  <c r="AY23" i="22" s="1"/>
  <c r="BG24" i="22"/>
  <c r="AV25" i="22"/>
  <c r="AY25" i="22" s="1"/>
  <c r="BG28" i="22"/>
  <c r="AV29" i="22"/>
  <c r="AY29" i="22" s="1"/>
  <c r="BG18" i="22"/>
  <c r="AV19" i="22"/>
  <c r="AY19" i="22" s="1"/>
  <c r="BG8" i="22"/>
  <c r="AV9" i="22"/>
  <c r="AY9" i="22" s="1"/>
  <c r="BH27" i="22"/>
  <c r="AX28" i="22"/>
  <c r="AY28" i="22" s="1"/>
  <c r="BG30" i="22"/>
  <c r="AV31" i="22"/>
  <c r="AY31" i="22" s="1"/>
  <c r="BG14" i="22"/>
  <c r="AV15" i="22"/>
  <c r="AY15" i="22" s="1"/>
  <c r="BG11" i="22"/>
  <c r="AV12" i="22"/>
  <c r="AY12" i="22" s="1"/>
  <c r="BH33" i="22"/>
  <c r="AX34" i="22"/>
  <c r="AY34" i="22" s="1"/>
  <c r="BH17" i="22"/>
  <c r="AX18" i="22"/>
  <c r="AY18" i="22" s="1"/>
  <c r="BH20" i="22"/>
  <c r="AX21" i="22"/>
  <c r="AY21" i="22" s="1"/>
  <c r="BG16" i="22"/>
  <c r="AV17" i="22"/>
  <c r="AY17" i="22" s="1"/>
  <c r="BH15" i="22"/>
  <c r="AX16" i="22"/>
  <c r="AY16" i="22" s="1"/>
  <c r="BG6" i="22"/>
  <c r="AV7" i="22"/>
  <c r="AY7" i="22" s="1"/>
  <c r="BH9" i="22"/>
  <c r="AX10" i="22"/>
  <c r="AY10" i="22" s="1"/>
  <c r="BH7" i="22"/>
  <c r="AX8" i="22"/>
  <c r="AY8" i="22" s="1"/>
  <c r="BG31" i="22"/>
  <c r="AV32" i="22"/>
  <c r="AY32" i="22" s="1"/>
  <c r="BH32" i="22"/>
  <c r="AX33" i="22"/>
  <c r="AY33" i="22" s="1"/>
  <c r="BG26" i="22"/>
  <c r="AV27" i="22"/>
  <c r="AY27" i="22" s="1"/>
  <c r="BG10" i="22"/>
  <c r="AV11" i="22"/>
  <c r="AY11" i="22" s="1"/>
  <c r="BH29" i="22"/>
  <c r="AX30" i="22"/>
  <c r="AY30" i="22" s="1"/>
  <c r="BH13" i="22"/>
  <c r="AX14" i="22"/>
  <c r="AY14" i="22" s="1"/>
  <c r="BH12" i="22"/>
  <c r="AX13" i="22"/>
  <c r="AY13" i="22" s="1"/>
  <c r="BH23" i="22"/>
  <c r="AX24" i="22"/>
  <c r="AY24" i="22" s="1"/>
  <c r="C33" i="35"/>
  <c r="C34" i="35"/>
  <c r="C32" i="35"/>
  <c r="C38" i="21"/>
  <c r="C37" i="21"/>
  <c r="C36" i="21"/>
  <c r="C35" i="21"/>
  <c r="C34" i="21"/>
  <c r="B35" i="19" s="1"/>
  <c r="C33" i="21"/>
  <c r="C32" i="21"/>
  <c r="C31" i="21"/>
  <c r="C30" i="21"/>
  <c r="C29" i="21"/>
  <c r="C28" i="21"/>
  <c r="C27" i="21"/>
  <c r="C26" i="21"/>
  <c r="B27" i="19" s="1"/>
  <c r="C25" i="21"/>
  <c r="C24" i="21"/>
  <c r="C23" i="21"/>
  <c r="C22" i="21"/>
  <c r="C21" i="21"/>
  <c r="B22" i="19" s="1"/>
  <c r="C20" i="21"/>
  <c r="B21" i="19" s="1"/>
  <c r="C19" i="21"/>
  <c r="B20" i="19" s="1"/>
  <c r="C18" i="21"/>
  <c r="C17" i="21"/>
  <c r="B18" i="19" s="1"/>
  <c r="C10" i="35" s="1"/>
  <c r="C16" i="21"/>
  <c r="C15" i="21"/>
  <c r="C14" i="21"/>
  <c r="C13" i="21"/>
  <c r="C12" i="21"/>
  <c r="C11" i="21"/>
  <c r="C10" i="21"/>
  <c r="A58" i="50" l="1"/>
  <c r="B13" i="36"/>
  <c r="C13" i="36" s="1"/>
  <c r="A75" i="50"/>
  <c r="B30" i="19"/>
  <c r="B31" i="19"/>
  <c r="C23" i="35" s="1"/>
  <c r="B24" i="19"/>
  <c r="B32" i="19"/>
  <c r="B38" i="19"/>
  <c r="B23" i="19"/>
  <c r="C15" i="35" s="1"/>
  <c r="C31" i="35"/>
  <c r="B39" i="19"/>
  <c r="B25" i="19"/>
  <c r="C17" i="35" s="1"/>
  <c r="B33" i="19"/>
  <c r="B26" i="19"/>
  <c r="C18" i="35" s="1"/>
  <c r="C27" i="19"/>
  <c r="C35" i="19"/>
  <c r="C27" i="35"/>
  <c r="C22" i="19"/>
  <c r="B34" i="19"/>
  <c r="B28" i="19"/>
  <c r="B36" i="19"/>
  <c r="C28" i="35" s="1"/>
  <c r="C19" i="35"/>
  <c r="C21" i="19"/>
  <c r="B29" i="19"/>
  <c r="B37" i="19"/>
  <c r="C29" i="35" s="1"/>
  <c r="C20" i="19"/>
  <c r="B19" i="19"/>
  <c r="C18" i="19"/>
  <c r="B17" i="19"/>
  <c r="B16" i="36"/>
  <c r="C16" i="36" s="1"/>
  <c r="B14" i="19"/>
  <c r="B17" i="36"/>
  <c r="C17" i="36" s="1"/>
  <c r="B15" i="19"/>
  <c r="C7" i="35" s="1"/>
  <c r="B16" i="19"/>
  <c r="B15" i="36"/>
  <c r="B22" i="36" s="1"/>
  <c r="B13" i="19"/>
  <c r="C5" i="35" s="1"/>
  <c r="B14" i="36"/>
  <c r="AZ70" i="23" s="1"/>
  <c r="B12" i="19"/>
  <c r="C4" i="35" s="1"/>
  <c r="C14" i="35"/>
  <c r="C13" i="35"/>
  <c r="C12" i="35"/>
  <c r="B11" i="19"/>
  <c r="I11" i="19"/>
  <c r="H11" i="19"/>
  <c r="G22" i="36" l="1"/>
  <c r="F22" i="36"/>
  <c r="H22" i="36"/>
  <c r="E58" i="50"/>
  <c r="G58" i="50" s="1"/>
  <c r="F58" i="50"/>
  <c r="B58" i="50"/>
  <c r="D75" i="50"/>
  <c r="C33" i="19"/>
  <c r="C34" i="19"/>
  <c r="C32" i="19"/>
  <c r="C26" i="35"/>
  <c r="C24" i="35"/>
  <c r="C39" i="19"/>
  <c r="C24" i="19"/>
  <c r="C28" i="19"/>
  <c r="C25" i="19"/>
  <c r="C16" i="35"/>
  <c r="C37" i="19"/>
  <c r="C36" i="19"/>
  <c r="C26" i="19"/>
  <c r="C23" i="19"/>
  <c r="C31" i="19"/>
  <c r="C29" i="19"/>
  <c r="C38" i="19"/>
  <c r="C30" i="19"/>
  <c r="C21" i="35"/>
  <c r="C20" i="35"/>
  <c r="C25" i="35"/>
  <c r="C30" i="35"/>
  <c r="C22" i="35"/>
  <c r="C19" i="19"/>
  <c r="C11" i="35"/>
  <c r="C17" i="19"/>
  <c r="C9" i="35"/>
  <c r="C3" i="35"/>
  <c r="AZ72" i="23"/>
  <c r="B23" i="36"/>
  <c r="AZ73" i="23"/>
  <c r="B21" i="36"/>
  <c r="C14" i="36"/>
  <c r="C14" i="19"/>
  <c r="C6" i="35"/>
  <c r="B24" i="36"/>
  <c r="C15" i="19"/>
  <c r="C16" i="19"/>
  <c r="C8" i="35"/>
  <c r="C15" i="36"/>
  <c r="AZ71" i="23"/>
  <c r="C13" i="19"/>
  <c r="C12" i="19"/>
  <c r="B20" i="36"/>
  <c r="AZ69" i="23"/>
  <c r="BC43" i="23" l="1"/>
  <c r="AZ43" i="23"/>
  <c r="BL22" i="23"/>
  <c r="BK22" i="23"/>
  <c r="BL21" i="23"/>
  <c r="BK21" i="23"/>
  <c r="BL20" i="23"/>
  <c r="BK20" i="23"/>
  <c r="BK19" i="23"/>
  <c r="BB43" i="23" l="1"/>
  <c r="BA43" i="23"/>
  <c r="AZ31" i="23"/>
  <c r="AZ30" i="23"/>
  <c r="AZ29" i="23"/>
  <c r="AZ28" i="23"/>
  <c r="BD17" i="23"/>
  <c r="BD18" i="23"/>
  <c r="BF47" i="23" s="1"/>
  <c r="BF52" i="23" s="1"/>
  <c r="BJ14" i="23" s="1"/>
  <c r="BJ20" i="23" s="1"/>
  <c r="BD19" i="23"/>
  <c r="BG48" i="23" s="1"/>
  <c r="BG53" i="23" s="1"/>
  <c r="BD20" i="23"/>
  <c r="BF49" i="23" s="1"/>
  <c r="BF54" i="23" s="1"/>
  <c r="BJ16" i="23" s="1"/>
  <c r="BJ22" i="23" s="1"/>
  <c r="AZ34" i="23"/>
  <c r="BA34" i="23"/>
  <c r="BB34" i="23"/>
  <c r="BC34" i="23"/>
  <c r="AZ38" i="23"/>
  <c r="BA38" i="23"/>
  <c r="BB38" i="23"/>
  <c r="BC38" i="23"/>
  <c r="A36" i="23"/>
  <c r="A37" i="23" s="1"/>
  <c r="AZ44" i="23"/>
  <c r="BA44" i="23"/>
  <c r="BB44" i="23"/>
  <c r="BC44" i="23"/>
  <c r="A43" i="23"/>
  <c r="A44" i="23" s="1"/>
  <c r="A50" i="23"/>
  <c r="A51" i="23" s="1"/>
  <c r="A57" i="23"/>
  <c r="A58" i="23" s="1"/>
  <c r="BC58" i="23" l="1"/>
  <c r="BO36" i="23"/>
  <c r="BL47" i="23" s="1"/>
  <c r="BG46" i="23"/>
  <c r="BG51" i="23" s="1"/>
  <c r="BM13" i="23" s="1"/>
  <c r="BM19" i="23" s="1"/>
  <c r="AZ58" i="23"/>
  <c r="BI49" i="23"/>
  <c r="BI54" i="23" s="1"/>
  <c r="BN16" i="23" s="1"/>
  <c r="BN22" i="23" s="1"/>
  <c r="BE49" i="23"/>
  <c r="BE54" i="23" s="1"/>
  <c r="BI16" i="23" s="1"/>
  <c r="BI22" i="23" s="1"/>
  <c r="BH49" i="23"/>
  <c r="BH54" i="23" s="1"/>
  <c r="BM16" i="23" s="1"/>
  <c r="BM22" i="23" s="1"/>
  <c r="BG49" i="23"/>
  <c r="BG54" i="23" s="1"/>
  <c r="BB58" i="23"/>
  <c r="BF48" i="23"/>
  <c r="BF53" i="23" s="1"/>
  <c r="BJ15" i="23" s="1"/>
  <c r="BJ21" i="23" s="1"/>
  <c r="BH47" i="23"/>
  <c r="BH52" i="23" s="1"/>
  <c r="BM14" i="23" s="1"/>
  <c r="BM20" i="23" s="1"/>
  <c r="BG47" i="23"/>
  <c r="BG52" i="23" s="1"/>
  <c r="BI47" i="23"/>
  <c r="BI52" i="23" s="1"/>
  <c r="BN14" i="23" s="1"/>
  <c r="BN20" i="23" s="1"/>
  <c r="BE47" i="23"/>
  <c r="BE52" i="23" s="1"/>
  <c r="BI14" i="23" s="1"/>
  <c r="BI20" i="23" s="1"/>
  <c r="BA58" i="23"/>
  <c r="BI46" i="23"/>
  <c r="BI51" i="23" s="1"/>
  <c r="BH46" i="23"/>
  <c r="BH51" i="23" s="1"/>
  <c r="BL13" i="23" s="1"/>
  <c r="BL19" i="23" s="1"/>
  <c r="BF46" i="23"/>
  <c r="BF51" i="23" s="1"/>
  <c r="G125" i="23"/>
  <c r="G95" i="23"/>
  <c r="BE46" i="23"/>
  <c r="BE51" i="23" s="1"/>
  <c r="Q132" i="23"/>
  <c r="G142" i="23"/>
  <c r="BI48" i="23"/>
  <c r="BI53" i="23" s="1"/>
  <c r="BN15" i="23" s="1"/>
  <c r="BN21" i="23" s="1"/>
  <c r="BE48" i="23"/>
  <c r="BE53" i="23" s="1"/>
  <c r="BI15" i="23" s="1"/>
  <c r="BI21" i="23" s="1"/>
  <c r="S85" i="23"/>
  <c r="BH48" i="23"/>
  <c r="BH53" i="23" s="1"/>
  <c r="BM15" i="23" s="1"/>
  <c r="BM21" i="23" s="1"/>
  <c r="G143" i="23"/>
  <c r="G133" i="23"/>
  <c r="K6" i="22"/>
  <c r="J6" i="22"/>
  <c r="N8" i="19"/>
  <c r="N7" i="19"/>
  <c r="N6" i="19"/>
  <c r="B6" i="19"/>
  <c r="BB42" i="23" l="1"/>
  <c r="BB41" i="23"/>
  <c r="BB40" i="23"/>
  <c r="BB39" i="23"/>
  <c r="BB37" i="23"/>
  <c r="BB36" i="23"/>
  <c r="BA36" i="23"/>
  <c r="BA42" i="23"/>
  <c r="BA41" i="23"/>
  <c r="BA40" i="23"/>
  <c r="BA39" i="23"/>
  <c r="BA37" i="23"/>
  <c r="BA46" i="23" s="1"/>
  <c r="AZ63" i="23" s="1"/>
  <c r="BC42" i="23"/>
  <c r="BC41" i="23"/>
  <c r="BC40" i="23"/>
  <c r="BC39" i="23"/>
  <c r="BC37" i="23"/>
  <c r="BC46" i="23" s="1"/>
  <c r="AZ65" i="23" s="1"/>
  <c r="BC36" i="23"/>
  <c r="BN13" i="23"/>
  <c r="BN19" i="23" s="1"/>
  <c r="BI13" i="23"/>
  <c r="BI19" i="23" s="1"/>
  <c r="BJ13" i="23"/>
  <c r="BJ19" i="23" s="1"/>
  <c r="E126" i="23"/>
  <c r="G134" i="23"/>
  <c r="O132" i="23"/>
  <c r="BB46" i="23"/>
  <c r="AZ64" i="23" s="1"/>
  <c r="AZ42" i="23" l="1"/>
  <c r="AZ41" i="23"/>
  <c r="AZ40" i="23"/>
  <c r="AZ39" i="23"/>
  <c r="AZ37" i="23"/>
  <c r="AZ36" i="23"/>
  <c r="N113" i="23"/>
  <c r="K85" i="23"/>
  <c r="Y141" i="23"/>
  <c r="W122" i="23"/>
  <c r="M92" i="23"/>
  <c r="G115" i="23"/>
  <c r="A123" i="23"/>
  <c r="E96" i="23"/>
  <c r="G144" i="23"/>
  <c r="E116" i="23"/>
  <c r="B34" i="35"/>
  <c r="B33" i="35"/>
  <c r="AC6" i="22"/>
  <c r="AZ46" i="23" l="1"/>
  <c r="AZ62" i="23" s="1"/>
  <c r="BL48" i="23" s="1"/>
  <c r="I33" i="35"/>
  <c r="I34" i="35"/>
  <c r="D33" i="35"/>
  <c r="D34" i="35"/>
  <c r="A11" i="35"/>
  <c r="A23" i="35"/>
  <c r="A31" i="35"/>
  <c r="A4" i="35"/>
  <c r="A8" i="35"/>
  <c r="A12" i="35"/>
  <c r="A16" i="35"/>
  <c r="A20" i="35"/>
  <c r="A24" i="35"/>
  <c r="A28" i="35"/>
  <c r="A32" i="35"/>
  <c r="C11" i="19"/>
  <c r="A3" i="35" s="1"/>
  <c r="A7" i="35"/>
  <c r="A15" i="35"/>
  <c r="A19" i="35"/>
  <c r="A27" i="35"/>
  <c r="A5" i="35"/>
  <c r="A9" i="35"/>
  <c r="A13" i="35"/>
  <c r="A17" i="35"/>
  <c r="A21" i="35"/>
  <c r="A25" i="35"/>
  <c r="A29" i="35"/>
  <c r="A33" i="35"/>
  <c r="A6" i="35"/>
  <c r="A10" i="35"/>
  <c r="A14" i="35"/>
  <c r="A18" i="35"/>
  <c r="A22" i="35"/>
  <c r="A26" i="35"/>
  <c r="A30" i="35"/>
  <c r="A34" i="35"/>
  <c r="AK32" i="22"/>
  <c r="AK31" i="22"/>
  <c r="AJ32" i="22"/>
  <c r="AJ31" i="22"/>
  <c r="AK26" i="22"/>
  <c r="AK25" i="22"/>
  <c r="AJ26" i="22"/>
  <c r="AJ25" i="22"/>
  <c r="AK20" i="22"/>
  <c r="AK19" i="22"/>
  <c r="AJ20" i="22"/>
  <c r="AJ19" i="22"/>
  <c r="AK14" i="22"/>
  <c r="AK13" i="22"/>
  <c r="AJ14" i="22"/>
  <c r="AJ13" i="22"/>
  <c r="AK8" i="22"/>
  <c r="AJ8" i="22"/>
  <c r="AK7" i="22"/>
  <c r="AJ7" i="22"/>
  <c r="AB6" i="22"/>
  <c r="F97" i="22"/>
  <c r="E93" i="22"/>
  <c r="H97" i="22" l="1"/>
  <c r="I97" i="22" s="1"/>
  <c r="B38" i="11" s="1"/>
  <c r="G93" i="22"/>
  <c r="H93" i="22" s="1"/>
  <c r="B37" i="11" s="1"/>
  <c r="F34" i="35"/>
  <c r="E34" i="35"/>
  <c r="F33" i="35"/>
  <c r="E33" i="35"/>
  <c r="B97" i="19" l="1"/>
  <c r="B54" i="45"/>
  <c r="B65" i="11"/>
  <c r="Q91" i="19" s="1"/>
  <c r="T10" i="19"/>
  <c r="N4" i="19"/>
  <c r="C27" i="11"/>
  <c r="C26" i="11"/>
  <c r="C25" i="11"/>
  <c r="C24" i="11"/>
  <c r="C22" i="11"/>
  <c r="C21" i="11"/>
  <c r="C20" i="11"/>
  <c r="C19" i="11"/>
  <c r="C18" i="11"/>
  <c r="C16" i="11"/>
  <c r="C15" i="11"/>
  <c r="C14" i="11"/>
  <c r="C13" i="11"/>
  <c r="C12" i="11"/>
  <c r="C11" i="11"/>
  <c r="C10" i="11"/>
  <c r="C9" i="11"/>
  <c r="C8" i="11"/>
  <c r="C7" i="11"/>
  <c r="C6" i="11"/>
  <c r="C5" i="11"/>
  <c r="C4" i="11"/>
  <c r="C3" i="11"/>
  <c r="AI124" i="6"/>
  <c r="AH124" i="6"/>
  <c r="AG124" i="6"/>
  <c r="AF124" i="6"/>
  <c r="AE124" i="6"/>
  <c r="AD124" i="6"/>
  <c r="AC124" i="6"/>
  <c r="AB124" i="6"/>
  <c r="AI123" i="6"/>
  <c r="AH123" i="6"/>
  <c r="AG123" i="6"/>
  <c r="AF123" i="6"/>
  <c r="AE123" i="6"/>
  <c r="AD123" i="6"/>
  <c r="AC123" i="6"/>
  <c r="AB123" i="6"/>
  <c r="AI122" i="6"/>
  <c r="AH122" i="6"/>
  <c r="AG122" i="6"/>
  <c r="AF122" i="6"/>
  <c r="AE122" i="6"/>
  <c r="AD122" i="6"/>
  <c r="AC122" i="6"/>
  <c r="AB122" i="6"/>
  <c r="AI121" i="6"/>
  <c r="AH121" i="6"/>
  <c r="AG121" i="6"/>
  <c r="AF121" i="6"/>
  <c r="AE121" i="6"/>
  <c r="AD121" i="6"/>
  <c r="AC121" i="6"/>
  <c r="AB121" i="6"/>
  <c r="AI120" i="6"/>
  <c r="AH120" i="6"/>
  <c r="AG120" i="6"/>
  <c r="AF120" i="6"/>
  <c r="AE120" i="6"/>
  <c r="AD120" i="6"/>
  <c r="AC120" i="6"/>
  <c r="AB120" i="6"/>
  <c r="AI119" i="6"/>
  <c r="AH119" i="6"/>
  <c r="AG119" i="6"/>
  <c r="AF119" i="6"/>
  <c r="AE119" i="6"/>
  <c r="AD119" i="6"/>
  <c r="AC119" i="6"/>
  <c r="AB119" i="6"/>
  <c r="AI117" i="6"/>
  <c r="AH117" i="6"/>
  <c r="AG117" i="6"/>
  <c r="AF117" i="6"/>
  <c r="AE117" i="6"/>
  <c r="AD117" i="6"/>
  <c r="AC117" i="6"/>
  <c r="AB117" i="6"/>
  <c r="AI116" i="6"/>
  <c r="AH116" i="6"/>
  <c r="AG116" i="6"/>
  <c r="AF116" i="6"/>
  <c r="AE116" i="6"/>
  <c r="AD116" i="6"/>
  <c r="AC116" i="6"/>
  <c r="AB116" i="6"/>
  <c r="AI115" i="6"/>
  <c r="AH115" i="6"/>
  <c r="AG115" i="6"/>
  <c r="AF115" i="6"/>
  <c r="AE115" i="6"/>
  <c r="AD115" i="6"/>
  <c r="AC115" i="6"/>
  <c r="AB115" i="6"/>
  <c r="AI114" i="6"/>
  <c r="AH114" i="6"/>
  <c r="AG114" i="6"/>
  <c r="AF114" i="6"/>
  <c r="AE114" i="6"/>
  <c r="AD114" i="6"/>
  <c r="AC114" i="6"/>
  <c r="AB114" i="6"/>
  <c r="AI113" i="6"/>
  <c r="AH113" i="6"/>
  <c r="AG113" i="6"/>
  <c r="AF113" i="6"/>
  <c r="AE113" i="6"/>
  <c r="AD113" i="6"/>
  <c r="AC113" i="6"/>
  <c r="AB113" i="6"/>
  <c r="AI112" i="6"/>
  <c r="AH112" i="6"/>
  <c r="AG112" i="6"/>
  <c r="AF112" i="6"/>
  <c r="AE112" i="6"/>
  <c r="AD112" i="6"/>
  <c r="AC112" i="6"/>
  <c r="AB112" i="6"/>
  <c r="AI110" i="6"/>
  <c r="BA75" i="6" s="1"/>
  <c r="AZ93" i="6" s="1"/>
  <c r="AH110" i="6"/>
  <c r="AZ75" i="6" s="1"/>
  <c r="AY93" i="6" s="1"/>
  <c r="AG110" i="6"/>
  <c r="AY75" i="6" s="1"/>
  <c r="AX93" i="6" s="1"/>
  <c r="AF110" i="6"/>
  <c r="AX75" i="6" s="1"/>
  <c r="AW93" i="6" s="1"/>
  <c r="AE110" i="6"/>
  <c r="AW75" i="6" s="1"/>
  <c r="AV93" i="6" s="1"/>
  <c r="AD110" i="6"/>
  <c r="AV75" i="6" s="1"/>
  <c r="AU93" i="6" s="1"/>
  <c r="AC110" i="6"/>
  <c r="AU75" i="6" s="1"/>
  <c r="AT93" i="6" s="1"/>
  <c r="AB110" i="6"/>
  <c r="AT75" i="6" s="1"/>
  <c r="AS94" i="6"/>
  <c r="AI109" i="6"/>
  <c r="BA74" i="6" s="1"/>
  <c r="AH109" i="6"/>
  <c r="AZ74" i="6" s="1"/>
  <c r="AG109" i="6"/>
  <c r="AY74" i="6" s="1"/>
  <c r="AF109" i="6"/>
  <c r="AX74" i="6" s="1"/>
  <c r="AE109" i="6"/>
  <c r="AW74" i="6" s="1"/>
  <c r="AD109" i="6"/>
  <c r="AV74" i="6" s="1"/>
  <c r="AC109" i="6"/>
  <c r="AU74" i="6" s="1"/>
  <c r="AB109" i="6"/>
  <c r="AT74" i="6" s="1"/>
  <c r="BC88" i="6"/>
  <c r="BB93" i="6"/>
  <c r="AS93" i="6"/>
  <c r="BB75" i="6"/>
  <c r="BA93" i="6" s="1"/>
  <c r="AS75" i="6"/>
  <c r="BB74" i="6"/>
  <c r="AS74" i="6"/>
  <c r="B47" i="3"/>
  <c r="B28" i="3"/>
  <c r="B23" i="3"/>
  <c r="H25" i="36" l="1"/>
  <c r="P91" i="19"/>
  <c r="C31" i="20"/>
  <c r="E37" i="21" s="1"/>
  <c r="C28" i="20"/>
  <c r="E34" i="21" s="1"/>
  <c r="C33" i="20"/>
  <c r="C20" i="20"/>
  <c r="C13" i="20"/>
  <c r="C6" i="20"/>
  <c r="C14" i="20"/>
  <c r="C23" i="20"/>
  <c r="C32" i="20"/>
  <c r="E38" i="21" s="1"/>
  <c r="C9" i="20"/>
  <c r="C17" i="20"/>
  <c r="AX17" i="20" s="1"/>
  <c r="C25" i="20"/>
  <c r="C12" i="20"/>
  <c r="C7" i="20"/>
  <c r="C15" i="20"/>
  <c r="C8" i="20"/>
  <c r="C16" i="20"/>
  <c r="C24" i="20"/>
  <c r="C10" i="20"/>
  <c r="C18" i="20"/>
  <c r="C26" i="20"/>
  <c r="E32" i="21" s="1"/>
  <c r="C21" i="20"/>
  <c r="C11" i="20"/>
  <c r="C19" i="20"/>
  <c r="C27" i="20"/>
  <c r="E33" i="21" s="1"/>
  <c r="C4" i="20"/>
  <c r="C5" i="20"/>
  <c r="C29" i="20"/>
  <c r="E35" i="21" s="1"/>
  <c r="C30" i="20"/>
  <c r="E36" i="21" s="1"/>
  <c r="C22" i="20"/>
  <c r="D40" i="19" l="1"/>
  <c r="G40" i="19" s="1"/>
  <c r="E39" i="21"/>
  <c r="S29" i="22"/>
  <c r="W29" i="22"/>
  <c r="X29" i="22"/>
  <c r="BF27" i="20"/>
  <c r="BE27" i="20"/>
  <c r="BC27" i="20"/>
  <c r="X24" i="22"/>
  <c r="W24" i="22"/>
  <c r="S24" i="22"/>
  <c r="BE22" i="20"/>
  <c r="BF22" i="20"/>
  <c r="BC22" i="20"/>
  <c r="AO22" i="20" s="1"/>
  <c r="S9" i="22"/>
  <c r="W9" i="22"/>
  <c r="X9" i="22"/>
  <c r="BF7" i="20"/>
  <c r="BE7" i="20"/>
  <c r="BC7" i="20"/>
  <c r="AO7" i="20" s="1"/>
  <c r="X32" i="22"/>
  <c r="W32" i="22"/>
  <c r="S32" i="22"/>
  <c r="BF30" i="20"/>
  <c r="BE30" i="20"/>
  <c r="BC30" i="20"/>
  <c r="X28" i="22"/>
  <c r="W28" i="22"/>
  <c r="S28" i="22"/>
  <c r="BC26" i="20"/>
  <c r="BE26" i="20"/>
  <c r="BF26" i="20"/>
  <c r="AE12" i="20"/>
  <c r="V19" i="19" s="1"/>
  <c r="E19" i="19" s="1"/>
  <c r="X14" i="22"/>
  <c r="S14" i="22"/>
  <c r="W14" i="22"/>
  <c r="BC12" i="20"/>
  <c r="BF12" i="20"/>
  <c r="BE12" i="20"/>
  <c r="AK13" i="20"/>
  <c r="Y15" i="22" s="1"/>
  <c r="X15" i="22"/>
  <c r="W15" i="22"/>
  <c r="S15" i="22"/>
  <c r="BE13" i="20"/>
  <c r="BC13" i="20"/>
  <c r="BF13" i="20"/>
  <c r="X26" i="22"/>
  <c r="W26" i="22"/>
  <c r="S26" i="22"/>
  <c r="BF24" i="20"/>
  <c r="BE24" i="20"/>
  <c r="BC24" i="20"/>
  <c r="X23" i="22"/>
  <c r="W23" i="22"/>
  <c r="S23" i="22"/>
  <c r="BF21" i="20"/>
  <c r="BE21" i="20"/>
  <c r="BC21" i="20"/>
  <c r="X31" i="22"/>
  <c r="W31" i="22"/>
  <c r="S31" i="22"/>
  <c r="BF29" i="20"/>
  <c r="BE29" i="20"/>
  <c r="BC29" i="20"/>
  <c r="X20" i="22"/>
  <c r="W20" i="22"/>
  <c r="S20" i="22"/>
  <c r="BE18" i="20"/>
  <c r="BF18" i="20"/>
  <c r="BC18" i="20"/>
  <c r="X27" i="22"/>
  <c r="W27" i="22"/>
  <c r="S27" i="22"/>
  <c r="BF25" i="20"/>
  <c r="BE25" i="20"/>
  <c r="BC25" i="20"/>
  <c r="X22" i="22"/>
  <c r="S22" i="22"/>
  <c r="W22" i="22"/>
  <c r="BF20" i="20"/>
  <c r="BC20" i="20"/>
  <c r="BE20" i="20"/>
  <c r="X12" i="22"/>
  <c r="W12" i="22"/>
  <c r="S12" i="22"/>
  <c r="BE10" i="20"/>
  <c r="BF10" i="20"/>
  <c r="BC10" i="20"/>
  <c r="X19" i="22"/>
  <c r="W19" i="22"/>
  <c r="S19" i="22"/>
  <c r="BF17" i="20"/>
  <c r="BE17" i="20"/>
  <c r="BC17" i="20"/>
  <c r="X35" i="22"/>
  <c r="W35" i="22"/>
  <c r="S35" i="22"/>
  <c r="BF33" i="20"/>
  <c r="BE33" i="20"/>
  <c r="BC33" i="20"/>
  <c r="X30" i="22"/>
  <c r="W30" i="22"/>
  <c r="S30" i="22"/>
  <c r="BF28" i="20"/>
  <c r="BE28" i="20"/>
  <c r="BC28" i="20"/>
  <c r="X18" i="22"/>
  <c r="S18" i="22"/>
  <c r="W18" i="22"/>
  <c r="BF16" i="20"/>
  <c r="BE16" i="20"/>
  <c r="BC16" i="20"/>
  <c r="S33" i="22"/>
  <c r="W33" i="22"/>
  <c r="X33" i="22"/>
  <c r="BF31" i="20"/>
  <c r="BE31" i="20"/>
  <c r="BC31" i="20"/>
  <c r="AO31" i="20" s="1"/>
  <c r="X11" i="22"/>
  <c r="W11" i="22"/>
  <c r="S11" i="22"/>
  <c r="BF9" i="20"/>
  <c r="BE9" i="20"/>
  <c r="Q9" i="20" s="1"/>
  <c r="BC9" i="20"/>
  <c r="AO9" i="20" s="1"/>
  <c r="X34" i="22"/>
  <c r="W34" i="22"/>
  <c r="S34" i="22"/>
  <c r="BF32" i="20"/>
  <c r="BE32" i="20"/>
  <c r="BC32" i="20"/>
  <c r="S21" i="22"/>
  <c r="X21" i="22"/>
  <c r="W21" i="22"/>
  <c r="BF19" i="20"/>
  <c r="BE19" i="20"/>
  <c r="BC19" i="20"/>
  <c r="X10" i="22"/>
  <c r="S10" i="22"/>
  <c r="W10" i="22"/>
  <c r="BF8" i="20"/>
  <c r="BC8" i="20"/>
  <c r="AO8" i="20" s="1"/>
  <c r="BE8" i="20"/>
  <c r="W25" i="22"/>
  <c r="S25" i="22"/>
  <c r="X25" i="22"/>
  <c r="BF23" i="20"/>
  <c r="BE23" i="20"/>
  <c r="BC23" i="20"/>
  <c r="S13" i="22"/>
  <c r="X13" i="22"/>
  <c r="W13" i="22"/>
  <c r="BE11" i="20"/>
  <c r="BC11" i="20"/>
  <c r="BF11" i="20"/>
  <c r="S17" i="22"/>
  <c r="X17" i="22"/>
  <c r="W17" i="22"/>
  <c r="BF15" i="20"/>
  <c r="BE15" i="20"/>
  <c r="BC15" i="20"/>
  <c r="X16" i="22"/>
  <c r="W16" i="22"/>
  <c r="S16" i="22"/>
  <c r="BE14" i="20"/>
  <c r="BF14" i="20"/>
  <c r="BC14" i="20"/>
  <c r="X7" i="22"/>
  <c r="W7" i="22"/>
  <c r="S7" i="22"/>
  <c r="BF5" i="20"/>
  <c r="BE5" i="20"/>
  <c r="BC5" i="20"/>
  <c r="AO5" i="20" s="1"/>
  <c r="X8" i="22"/>
  <c r="W8" i="22"/>
  <c r="S8" i="22"/>
  <c r="BE6" i="20"/>
  <c r="Q6" i="20" s="1"/>
  <c r="BF6" i="20"/>
  <c r="BC6" i="20"/>
  <c r="AO6" i="20" s="1"/>
  <c r="G25" i="36"/>
  <c r="E10" i="21"/>
  <c r="E20" i="21"/>
  <c r="D21" i="19" s="1"/>
  <c r="AX14" i="20"/>
  <c r="AE14" i="20"/>
  <c r="V21" i="19" s="1"/>
  <c r="E21" i="19" s="1"/>
  <c r="AK14" i="20"/>
  <c r="Y16" i="22" s="1"/>
  <c r="E28" i="21"/>
  <c r="D29" i="19" s="1"/>
  <c r="AX22" i="20"/>
  <c r="AE22" i="20"/>
  <c r="V29" i="19" s="1"/>
  <c r="E29" i="19" s="1"/>
  <c r="AK22" i="20"/>
  <c r="Y24" i="22" s="1"/>
  <c r="E27" i="21"/>
  <c r="D28" i="19" s="1"/>
  <c r="AE21" i="20"/>
  <c r="V28" i="19" s="1"/>
  <c r="E28" i="19" s="1"/>
  <c r="AK21" i="20"/>
  <c r="Y23" i="22" s="1"/>
  <c r="AX21" i="20"/>
  <c r="AY21" i="20" s="1"/>
  <c r="E13" i="21"/>
  <c r="D14" i="19" s="1"/>
  <c r="AX7" i="20"/>
  <c r="AE7" i="20"/>
  <c r="V14" i="19" s="1"/>
  <c r="E14" i="19" s="1"/>
  <c r="AK7" i="20"/>
  <c r="Y9" i="22" s="1"/>
  <c r="E12" i="21"/>
  <c r="D13" i="19" s="1"/>
  <c r="AX6" i="20"/>
  <c r="V13" i="19"/>
  <c r="E13" i="19" s="1"/>
  <c r="AK6" i="20"/>
  <c r="Y8" i="22" s="1"/>
  <c r="AX30" i="20"/>
  <c r="AE30" i="20"/>
  <c r="V37" i="19" s="1"/>
  <c r="E37" i="19" s="1"/>
  <c r="AK30" i="20"/>
  <c r="Y32" i="22" s="1"/>
  <c r="D33" i="19"/>
  <c r="AK26" i="20"/>
  <c r="Y28" i="22" s="1"/>
  <c r="AE26" i="20"/>
  <c r="V33" i="19" s="1"/>
  <c r="E33" i="19" s="1"/>
  <c r="AX26" i="20"/>
  <c r="E18" i="21"/>
  <c r="D19" i="19" s="1"/>
  <c r="AK12" i="20"/>
  <c r="Y14" i="22" s="1"/>
  <c r="AX12" i="20"/>
  <c r="AO12" i="20"/>
  <c r="E19" i="21"/>
  <c r="D20" i="19" s="1"/>
  <c r="AX13" i="20"/>
  <c r="AE13" i="20"/>
  <c r="V20" i="19" s="1"/>
  <c r="E20" i="19" s="1"/>
  <c r="Q15" i="20"/>
  <c r="E21" i="21"/>
  <c r="D22" i="19" s="1"/>
  <c r="AX15" i="20"/>
  <c r="AE15" i="20"/>
  <c r="V22" i="19" s="1"/>
  <c r="E22" i="19" s="1"/>
  <c r="AK15" i="20"/>
  <c r="Y17" i="22" s="1"/>
  <c r="D37" i="19"/>
  <c r="D36" i="19"/>
  <c r="AX29" i="20"/>
  <c r="AE29" i="20"/>
  <c r="V36" i="19" s="1"/>
  <c r="E36" i="19" s="1"/>
  <c r="AO29" i="20"/>
  <c r="AK29" i="20"/>
  <c r="Y31" i="22" s="1"/>
  <c r="Q18" i="20"/>
  <c r="E24" i="21"/>
  <c r="D25" i="19" s="1"/>
  <c r="AO18" i="20"/>
  <c r="AK18" i="20"/>
  <c r="Y20" i="22" s="1"/>
  <c r="AX18" i="20"/>
  <c r="AE18" i="20"/>
  <c r="V25" i="19" s="1"/>
  <c r="E25" i="19" s="1"/>
  <c r="E31" i="21"/>
  <c r="D32" i="19" s="1"/>
  <c r="AE25" i="20"/>
  <c r="V32" i="19" s="1"/>
  <c r="E32" i="19" s="1"/>
  <c r="AK25" i="20"/>
  <c r="Y27" i="22" s="1"/>
  <c r="AX25" i="20"/>
  <c r="E26" i="21"/>
  <c r="D27" i="19" s="1"/>
  <c r="AK20" i="20"/>
  <c r="Y22" i="22" s="1"/>
  <c r="AX20" i="20"/>
  <c r="AE20" i="20"/>
  <c r="V27" i="19" s="1"/>
  <c r="E27" i="19" s="1"/>
  <c r="V12" i="19"/>
  <c r="E12" i="19" s="1"/>
  <c r="E11" i="21"/>
  <c r="D12" i="19" s="1"/>
  <c r="AX5" i="20"/>
  <c r="AY5" i="20" s="1"/>
  <c r="AK5" i="20"/>
  <c r="Y7" i="22" s="1"/>
  <c r="E16" i="21"/>
  <c r="D17" i="19" s="1"/>
  <c r="AO10" i="20"/>
  <c r="AK10" i="20"/>
  <c r="Y12" i="22" s="1"/>
  <c r="AE10" i="20"/>
  <c r="V17" i="19" s="1"/>
  <c r="E17" i="19" s="1"/>
  <c r="AX10" i="20"/>
  <c r="E23" i="21"/>
  <c r="D24" i="19" s="1"/>
  <c r="AE17" i="20"/>
  <c r="V24" i="19" s="1"/>
  <c r="E24" i="19" s="1"/>
  <c r="AK17" i="20"/>
  <c r="Y19" i="22" s="1"/>
  <c r="AE33" i="20"/>
  <c r="V40" i="19" s="1"/>
  <c r="E40" i="19" s="1"/>
  <c r="AK33" i="20"/>
  <c r="Y35" i="22" s="1"/>
  <c r="AX33" i="20"/>
  <c r="E30" i="21"/>
  <c r="D31" i="19" s="1"/>
  <c r="AE24" i="20"/>
  <c r="V31" i="19" s="1"/>
  <c r="E31" i="19" s="1"/>
  <c r="AK24" i="20"/>
  <c r="Y26" i="22" s="1"/>
  <c r="AX24" i="20"/>
  <c r="E15" i="21"/>
  <c r="D16" i="19" s="1"/>
  <c r="AE9" i="20"/>
  <c r="V16" i="19" s="1"/>
  <c r="E16" i="19" s="1"/>
  <c r="AK9" i="20"/>
  <c r="Y11" i="22" s="1"/>
  <c r="AX9" i="20"/>
  <c r="Q28" i="20"/>
  <c r="D35" i="19"/>
  <c r="AK28" i="20"/>
  <c r="Y30" i="22" s="1"/>
  <c r="AX28" i="20"/>
  <c r="AE28" i="20"/>
  <c r="V35" i="19" s="1"/>
  <c r="E35" i="19" s="1"/>
  <c r="D34" i="19"/>
  <c r="AK27" i="20"/>
  <c r="Y29" i="22" s="1"/>
  <c r="AX27" i="20"/>
  <c r="AE27" i="20"/>
  <c r="V34" i="19" s="1"/>
  <c r="E34" i="19" s="1"/>
  <c r="E22" i="21"/>
  <c r="D23" i="19" s="1"/>
  <c r="AE16" i="20"/>
  <c r="V23" i="19" s="1"/>
  <c r="E23" i="19" s="1"/>
  <c r="AK16" i="20"/>
  <c r="Y18" i="22" s="1"/>
  <c r="AO16" i="20"/>
  <c r="AY17" i="20"/>
  <c r="AX16" i="20"/>
  <c r="D39" i="19"/>
  <c r="AE32" i="20"/>
  <c r="V39" i="19" s="1"/>
  <c r="E39" i="19" s="1"/>
  <c r="AK32" i="20"/>
  <c r="Y34" i="22" s="1"/>
  <c r="AO32" i="20"/>
  <c r="AX32" i="20"/>
  <c r="D38" i="19"/>
  <c r="AX31" i="20"/>
  <c r="AE31" i="20"/>
  <c r="V38" i="19" s="1"/>
  <c r="E38" i="19" s="1"/>
  <c r="AK31" i="20"/>
  <c r="Y33" i="22" s="1"/>
  <c r="Q11" i="20"/>
  <c r="E17" i="21"/>
  <c r="D18" i="19" s="1"/>
  <c r="AK11" i="20"/>
  <c r="Y13" i="22" s="1"/>
  <c r="AX11" i="20"/>
  <c r="AE11" i="20"/>
  <c r="V18" i="19" s="1"/>
  <c r="E18" i="19" s="1"/>
  <c r="E25" i="21"/>
  <c r="D26" i="19" s="1"/>
  <c r="AX19" i="20"/>
  <c r="AK19" i="20"/>
  <c r="Y21" i="22" s="1"/>
  <c r="AE19" i="20"/>
  <c r="V26" i="19" s="1"/>
  <c r="E26" i="19" s="1"/>
  <c r="AO19" i="20"/>
  <c r="E14" i="21"/>
  <c r="D15" i="19" s="1"/>
  <c r="AK8" i="20"/>
  <c r="Y10" i="22" s="1"/>
  <c r="AE8" i="20"/>
  <c r="V15" i="19" s="1"/>
  <c r="E15" i="19" s="1"/>
  <c r="AX8" i="20"/>
  <c r="E29" i="21"/>
  <c r="D30" i="19" s="1"/>
  <c r="AX23" i="20"/>
  <c r="AE23" i="20"/>
  <c r="V30" i="19" s="1"/>
  <c r="E30" i="19" s="1"/>
  <c r="AK23" i="20"/>
  <c r="Y25" i="22" s="1"/>
  <c r="S6" i="22"/>
  <c r="W6" i="22"/>
  <c r="AX4" i="20"/>
  <c r="AY4" i="20" s="1"/>
  <c r="BC4" i="20"/>
  <c r="AO4" i="20" s="1"/>
  <c r="BJ4" i="20" s="1"/>
  <c r="AE4" i="20"/>
  <c r="X6" i="22"/>
  <c r="BE4" i="20"/>
  <c r="BF4" i="20"/>
  <c r="AK4" i="20"/>
  <c r="Y6" i="22" s="1"/>
  <c r="Q16" i="20"/>
  <c r="AO30" i="20"/>
  <c r="Q30" i="20"/>
  <c r="AO27" i="20"/>
  <c r="AO23" i="20"/>
  <c r="AO24" i="20"/>
  <c r="Q24" i="20"/>
  <c r="AO28" i="20"/>
  <c r="Q19" i="20"/>
  <c r="AO26" i="20"/>
  <c r="Q26" i="20"/>
  <c r="Q10" i="20"/>
  <c r="Q20" i="20"/>
  <c r="AO25" i="20"/>
  <c r="AO17" i="20"/>
  <c r="AO21" i="20"/>
  <c r="Q22" i="20"/>
  <c r="Q21" i="20"/>
  <c r="Q7" i="20"/>
  <c r="AO33" i="20"/>
  <c r="Q32" i="20"/>
  <c r="Q31" i="20"/>
  <c r="Q17" i="20"/>
  <c r="Q29" i="20"/>
  <c r="Q33" i="20"/>
  <c r="AO20" i="20"/>
  <c r="Q25" i="20"/>
  <c r="Q27" i="20"/>
  <c r="AO14" i="20"/>
  <c r="Q14" i="20"/>
  <c r="Q8" i="20"/>
  <c r="Q23" i="20"/>
  <c r="AO15" i="20"/>
  <c r="AO11" i="20"/>
  <c r="Q12" i="20"/>
  <c r="AO13" i="20"/>
  <c r="Q13" i="20"/>
  <c r="D14" i="36"/>
  <c r="I14" i="36" s="1"/>
  <c r="F10" i="3"/>
  <c r="Q5" i="20"/>
  <c r="AY19" i="20"/>
  <c r="AY23" i="20"/>
  <c r="AY22" i="20"/>
  <c r="AY18" i="20"/>
  <c r="AY20" i="20"/>
  <c r="C23" i="11"/>
  <c r="C30" i="22"/>
  <c r="C35" i="22"/>
  <c r="C31" i="22"/>
  <c r="C34" i="22"/>
  <c r="C32" i="22"/>
  <c r="C33" i="22"/>
  <c r="C24" i="22"/>
  <c r="C28" i="22"/>
  <c r="C27" i="22"/>
  <c r="C29" i="22"/>
  <c r="C26" i="22"/>
  <c r="C25" i="22"/>
  <c r="C22" i="22"/>
  <c r="C23" i="22"/>
  <c r="C20" i="22"/>
  <c r="C18" i="22"/>
  <c r="C21" i="22"/>
  <c r="C19" i="22"/>
  <c r="C14" i="22"/>
  <c r="C17" i="22"/>
  <c r="C12" i="22"/>
  <c r="C16" i="22"/>
  <c r="C13" i="22"/>
  <c r="C15" i="22"/>
  <c r="C11" i="22"/>
  <c r="C10" i="22"/>
  <c r="Z11" i="22"/>
  <c r="T13" i="22"/>
  <c r="U22" i="22"/>
  <c r="Z20" i="22"/>
  <c r="T10" i="22"/>
  <c r="V20" i="22"/>
  <c r="Z7" i="22"/>
  <c r="U24" i="22"/>
  <c r="T25" i="22"/>
  <c r="T26" i="22"/>
  <c r="V25" i="22"/>
  <c r="U19" i="22"/>
  <c r="Z22" i="22"/>
  <c r="T8" i="22"/>
  <c r="T29" i="22"/>
  <c r="T18" i="22"/>
  <c r="T9" i="22"/>
  <c r="T30" i="22"/>
  <c r="U20" i="22"/>
  <c r="V22" i="22"/>
  <c r="Z14" i="22"/>
  <c r="T22" i="22"/>
  <c r="AA19" i="22"/>
  <c r="T27" i="22"/>
  <c r="AA17" i="22"/>
  <c r="AA18" i="22"/>
  <c r="T34" i="22"/>
  <c r="AA8" i="22"/>
  <c r="AA10" i="22"/>
  <c r="U6" i="22"/>
  <c r="T20" i="22"/>
  <c r="Z35" i="22"/>
  <c r="U21" i="22"/>
  <c r="Z15" i="22"/>
  <c r="C9" i="22"/>
  <c r="AA30" i="22"/>
  <c r="T28" i="22"/>
  <c r="T15" i="22"/>
  <c r="T14" i="22"/>
  <c r="C7" i="22"/>
  <c r="AA29" i="22"/>
  <c r="AA26" i="22"/>
  <c r="Z32" i="22"/>
  <c r="Z27" i="22"/>
  <c r="T23" i="22"/>
  <c r="T35" i="22"/>
  <c r="AA13" i="22"/>
  <c r="T6" i="22"/>
  <c r="AA9" i="22"/>
  <c r="Z16" i="22"/>
  <c r="AA12" i="22"/>
  <c r="Z19" i="22"/>
  <c r="Z30" i="22"/>
  <c r="AA15" i="22"/>
  <c r="Z31" i="22"/>
  <c r="AA32" i="22"/>
  <c r="T19" i="22"/>
  <c r="Z12" i="22"/>
  <c r="Z34" i="22"/>
  <c r="Z25" i="22"/>
  <c r="V23" i="22"/>
  <c r="AA28" i="22"/>
  <c r="AA33" i="22"/>
  <c r="AA16" i="22"/>
  <c r="Z8" i="22"/>
  <c r="Z13" i="22"/>
  <c r="C8" i="22"/>
  <c r="Z24" i="22"/>
  <c r="AA21" i="22"/>
  <c r="V19" i="22"/>
  <c r="AA7" i="22"/>
  <c r="U7" i="22"/>
  <c r="AA23" i="22"/>
  <c r="Z9" i="22"/>
  <c r="T12" i="22"/>
  <c r="V21" i="22"/>
  <c r="AA25" i="22"/>
  <c r="V6" i="22"/>
  <c r="AA20" i="22"/>
  <c r="T33" i="22"/>
  <c r="Z18" i="22"/>
  <c r="Z21" i="22"/>
  <c r="AA35" i="22"/>
  <c r="T7" i="22"/>
  <c r="Z6" i="22"/>
  <c r="U25" i="22"/>
  <c r="Z26" i="22"/>
  <c r="AA11" i="22"/>
  <c r="V24" i="22"/>
  <c r="T17" i="22"/>
  <c r="AA14" i="22"/>
  <c r="Z17" i="22"/>
  <c r="T32" i="22"/>
  <c r="T21" i="22"/>
  <c r="Z23" i="22"/>
  <c r="Z29" i="22"/>
  <c r="T31" i="22"/>
  <c r="V7" i="22"/>
  <c r="AA24" i="22"/>
  <c r="Z10" i="22"/>
  <c r="T24" i="22"/>
  <c r="U23" i="22"/>
  <c r="Z33" i="22"/>
  <c r="AA22" i="22"/>
  <c r="AA27" i="22"/>
  <c r="AA34" i="22"/>
  <c r="T16" i="22"/>
  <c r="T11" i="22"/>
  <c r="Z28" i="22"/>
  <c r="AA31" i="22"/>
  <c r="D13" i="36" l="1"/>
  <c r="C58" i="50"/>
  <c r="V11" i="19"/>
  <c r="E11" i="19" s="1"/>
  <c r="B75" i="50" s="1"/>
  <c r="F19" i="52" s="1"/>
  <c r="AE84" i="20"/>
  <c r="AI85" i="20" s="1"/>
  <c r="F40" i="19"/>
  <c r="J40" i="19"/>
  <c r="J35" i="19"/>
  <c r="F35" i="19"/>
  <c r="E27" i="35" s="1"/>
  <c r="G35" i="19"/>
  <c r="I27" i="35" s="1"/>
  <c r="G36" i="19"/>
  <c r="I28" i="35" s="1"/>
  <c r="F36" i="19"/>
  <c r="E28" i="35" s="1"/>
  <c r="J36" i="19"/>
  <c r="F38" i="19"/>
  <c r="E30" i="35" s="1"/>
  <c r="J38" i="19"/>
  <c r="L38" i="19"/>
  <c r="AI37" i="21" s="1"/>
  <c r="G38" i="19"/>
  <c r="I30" i="35" s="1"/>
  <c r="F39" i="19"/>
  <c r="G39" i="19"/>
  <c r="J39" i="19"/>
  <c r="G37" i="19"/>
  <c r="I29" i="35" s="1"/>
  <c r="F37" i="19"/>
  <c r="E29" i="35" s="1"/>
  <c r="J37" i="19"/>
  <c r="L40" i="19"/>
  <c r="AI39" i="21" s="1"/>
  <c r="F32" i="19"/>
  <c r="G32" i="19"/>
  <c r="I24" i="35" s="1"/>
  <c r="J32" i="19"/>
  <c r="J31" i="19"/>
  <c r="G31" i="19"/>
  <c r="I23" i="35" s="1"/>
  <c r="F31" i="19"/>
  <c r="E23" i="35" s="1"/>
  <c r="G30" i="19"/>
  <c r="I22" i="35" s="1"/>
  <c r="F30" i="19"/>
  <c r="J30" i="19"/>
  <c r="J34" i="19"/>
  <c r="G34" i="19"/>
  <c r="I26" i="35" s="1"/>
  <c r="F34" i="19"/>
  <c r="E26" i="35" s="1"/>
  <c r="J33" i="19"/>
  <c r="F33" i="19"/>
  <c r="E25" i="35" s="1"/>
  <c r="G33" i="19"/>
  <c r="I25" i="35" s="1"/>
  <c r="J29" i="19"/>
  <c r="G29" i="19"/>
  <c r="I21" i="35" s="1"/>
  <c r="F29" i="19"/>
  <c r="E21" i="35" s="1"/>
  <c r="L29" i="19"/>
  <c r="AI28" i="21" s="1"/>
  <c r="G23" i="19"/>
  <c r="I15" i="35" s="1"/>
  <c r="F23" i="19"/>
  <c r="E15" i="35" s="1"/>
  <c r="J23" i="19"/>
  <c r="G24" i="19"/>
  <c r="I16" i="35" s="1"/>
  <c r="F24" i="19"/>
  <c r="J24" i="19"/>
  <c r="J28" i="19"/>
  <c r="G28" i="19"/>
  <c r="I20" i="35" s="1"/>
  <c r="F28" i="19"/>
  <c r="F27" i="19"/>
  <c r="E19" i="35" s="1"/>
  <c r="J27" i="19"/>
  <c r="G27" i="19"/>
  <c r="I19" i="35" s="1"/>
  <c r="F26" i="19"/>
  <c r="G26" i="19"/>
  <c r="I18" i="35" s="1"/>
  <c r="J26" i="19"/>
  <c r="L25" i="19"/>
  <c r="AI24" i="21" s="1"/>
  <c r="G25" i="19"/>
  <c r="I17" i="35" s="1"/>
  <c r="J25" i="19"/>
  <c r="F25" i="19"/>
  <c r="E17" i="35" s="1"/>
  <c r="F22" i="19"/>
  <c r="E14" i="35" s="1"/>
  <c r="J22" i="19"/>
  <c r="G22" i="19"/>
  <c r="I14" i="35" s="1"/>
  <c r="G19" i="19"/>
  <c r="I11" i="35" s="1"/>
  <c r="F19" i="19"/>
  <c r="J19" i="19"/>
  <c r="J21" i="19"/>
  <c r="F21" i="19"/>
  <c r="L21" i="19" s="1"/>
  <c r="AI20" i="21" s="1"/>
  <c r="G21" i="19"/>
  <c r="I13" i="35" s="1"/>
  <c r="J17" i="19"/>
  <c r="G17" i="19"/>
  <c r="I9" i="35" s="1"/>
  <c r="F17" i="19"/>
  <c r="F20" i="19"/>
  <c r="E12" i="35" s="1"/>
  <c r="G20" i="19"/>
  <c r="I12" i="35" s="1"/>
  <c r="L20" i="19"/>
  <c r="AI19" i="21" s="1"/>
  <c r="J20" i="19"/>
  <c r="G18" i="19"/>
  <c r="I10" i="35" s="1"/>
  <c r="J18" i="19"/>
  <c r="F18" i="19"/>
  <c r="J16" i="19"/>
  <c r="G16" i="19"/>
  <c r="I8" i="35" s="1"/>
  <c r="F16" i="19"/>
  <c r="E8" i="35" s="1"/>
  <c r="G15" i="19"/>
  <c r="J15" i="19"/>
  <c r="F15" i="19"/>
  <c r="J14" i="19"/>
  <c r="G14" i="19"/>
  <c r="F14" i="19"/>
  <c r="J13" i="19"/>
  <c r="F13" i="19"/>
  <c r="G13" i="19"/>
  <c r="F12" i="19"/>
  <c r="L12" i="19" s="1"/>
  <c r="AI11" i="21" s="1"/>
  <c r="G12" i="19"/>
  <c r="I4" i="35" s="1"/>
  <c r="J12" i="19"/>
  <c r="BB4" i="20"/>
  <c r="BB70" i="23"/>
  <c r="BD70" i="23" s="1"/>
  <c r="BJ13" i="20"/>
  <c r="D15" i="22"/>
  <c r="BJ17" i="20"/>
  <c r="D19" i="22"/>
  <c r="BJ28" i="20"/>
  <c r="D30" i="22"/>
  <c r="BJ16" i="20"/>
  <c r="D18" i="22"/>
  <c r="BB28" i="20"/>
  <c r="D27" i="35"/>
  <c r="BB9" i="20"/>
  <c r="BB33" i="20"/>
  <c r="D32" i="35"/>
  <c r="BJ10" i="20"/>
  <c r="D12" i="22"/>
  <c r="BJ22" i="20"/>
  <c r="D24" i="22"/>
  <c r="BJ18" i="20"/>
  <c r="D20" i="22"/>
  <c r="BJ24" i="20"/>
  <c r="D26" i="22"/>
  <c r="BB23" i="20"/>
  <c r="D22" i="35"/>
  <c r="BJ19" i="20"/>
  <c r="D21" i="22"/>
  <c r="BJ32" i="20"/>
  <c r="D34" i="22"/>
  <c r="BB16" i="20"/>
  <c r="D15" i="35"/>
  <c r="BJ12" i="20"/>
  <c r="D14" i="22"/>
  <c r="BB7" i="20"/>
  <c r="BB22" i="20"/>
  <c r="D21" i="35"/>
  <c r="BJ11" i="20"/>
  <c r="D13" i="22"/>
  <c r="BJ5" i="20"/>
  <c r="D7" i="22"/>
  <c r="BJ33" i="20"/>
  <c r="D35" i="22"/>
  <c r="BJ23" i="20"/>
  <c r="D25" i="22"/>
  <c r="BB19" i="20"/>
  <c r="D18" i="35"/>
  <c r="BB17" i="20"/>
  <c r="D16" i="35"/>
  <c r="BB15" i="20"/>
  <c r="D14" i="35"/>
  <c r="BB30" i="20"/>
  <c r="D29" i="35"/>
  <c r="BJ15" i="20"/>
  <c r="D17" i="22"/>
  <c r="BJ27" i="20"/>
  <c r="D29" i="22"/>
  <c r="BB32" i="20"/>
  <c r="D31" i="35"/>
  <c r="BB27" i="20"/>
  <c r="D26" i="35"/>
  <c r="BB24" i="20"/>
  <c r="D23" i="35"/>
  <c r="BB25" i="20"/>
  <c r="D24" i="35"/>
  <c r="BB12" i="20"/>
  <c r="D11" i="35"/>
  <c r="BJ14" i="20"/>
  <c r="D16" i="22"/>
  <c r="BJ6" i="20"/>
  <c r="D8" i="22"/>
  <c r="BJ31" i="20"/>
  <c r="D33" i="22"/>
  <c r="BB5" i="20"/>
  <c r="BJ29" i="20"/>
  <c r="D31" i="22"/>
  <c r="BJ25" i="20"/>
  <c r="D27" i="22"/>
  <c r="BJ20" i="20"/>
  <c r="D22" i="22"/>
  <c r="BJ26" i="20"/>
  <c r="D28" i="22"/>
  <c r="BJ30" i="20"/>
  <c r="D32" i="22"/>
  <c r="BJ8" i="20"/>
  <c r="D10" i="22"/>
  <c r="BB31" i="20"/>
  <c r="D30" i="35"/>
  <c r="BB10" i="20"/>
  <c r="D9" i="35"/>
  <c r="BB20" i="20"/>
  <c r="D19" i="35"/>
  <c r="BB18" i="20"/>
  <c r="D17" i="35"/>
  <c r="BB29" i="20"/>
  <c r="D28" i="35"/>
  <c r="BB6" i="20"/>
  <c r="E8" i="22" s="1"/>
  <c r="BB14" i="20"/>
  <c r="D13" i="35"/>
  <c r="BJ7" i="20"/>
  <c r="D9" i="22"/>
  <c r="M9" i="22" s="1"/>
  <c r="P9" i="22" s="1"/>
  <c r="BJ21" i="20"/>
  <c r="D23" i="22"/>
  <c r="BB8" i="20"/>
  <c r="BB11" i="20"/>
  <c r="D10" i="35"/>
  <c r="BJ9" i="20"/>
  <c r="D11" i="22"/>
  <c r="BB13" i="20"/>
  <c r="D12" i="35"/>
  <c r="BB26" i="20"/>
  <c r="D25" i="35"/>
  <c r="BB21" i="20"/>
  <c r="D20" i="35"/>
  <c r="G21" i="22"/>
  <c r="F21" i="22"/>
  <c r="G7" i="22"/>
  <c r="L7" i="22" s="1"/>
  <c r="N7" i="22" s="1"/>
  <c r="O7" i="22" s="1"/>
  <c r="F7" i="22"/>
  <c r="G23" i="22"/>
  <c r="F23" i="22"/>
  <c r="F22" i="22"/>
  <c r="G22" i="22"/>
  <c r="F20" i="22"/>
  <c r="G20" i="22"/>
  <c r="G19" i="22"/>
  <c r="F19" i="22"/>
  <c r="F24" i="22"/>
  <c r="G24" i="22"/>
  <c r="G25" i="22"/>
  <c r="F25" i="22"/>
  <c r="AZ19" i="20"/>
  <c r="AZ21" i="20"/>
  <c r="AZ20" i="20"/>
  <c r="AZ18" i="20"/>
  <c r="AZ17" i="20"/>
  <c r="AZ22" i="20"/>
  <c r="AZ23" i="20"/>
  <c r="AM5" i="20"/>
  <c r="AZ5" i="20"/>
  <c r="B9" i="35"/>
  <c r="B18" i="35"/>
  <c r="B16" i="35"/>
  <c r="D15" i="36"/>
  <c r="I15" i="36" s="1"/>
  <c r="B12" i="35"/>
  <c r="B10" i="35"/>
  <c r="B15" i="35"/>
  <c r="B8" i="35"/>
  <c r="D16" i="36"/>
  <c r="I16" i="36" s="1"/>
  <c r="B28" i="35"/>
  <c r="B22" i="35"/>
  <c r="B26" i="35"/>
  <c r="B23" i="35"/>
  <c r="B19" i="35"/>
  <c r="B29" i="35"/>
  <c r="B20" i="35"/>
  <c r="B30" i="35"/>
  <c r="B25" i="35"/>
  <c r="B17" i="35"/>
  <c r="B32" i="35"/>
  <c r="E32" i="35"/>
  <c r="I32" i="35"/>
  <c r="B24" i="35"/>
  <c r="B14" i="35"/>
  <c r="B21" i="35"/>
  <c r="D17" i="36"/>
  <c r="I17" i="36" s="1"/>
  <c r="B31" i="35"/>
  <c r="E31" i="35"/>
  <c r="I31" i="35"/>
  <c r="B27" i="35"/>
  <c r="B13" i="35"/>
  <c r="B11" i="35"/>
  <c r="Q4" i="20"/>
  <c r="D11" i="19"/>
  <c r="AY7" i="20"/>
  <c r="AY25" i="20"/>
  <c r="AY10" i="20"/>
  <c r="AY31" i="20"/>
  <c r="AY8" i="20"/>
  <c r="AY26" i="20"/>
  <c r="AY30" i="20"/>
  <c r="AY15" i="20"/>
  <c r="AY32" i="20"/>
  <c r="AY13" i="20"/>
  <c r="AY12" i="20"/>
  <c r="AY29" i="20"/>
  <c r="AY6" i="20"/>
  <c r="AY16" i="20"/>
  <c r="AY27" i="20"/>
  <c r="AY33" i="20"/>
  <c r="AY28" i="20"/>
  <c r="AY9" i="20"/>
  <c r="AY14" i="20"/>
  <c r="AY24" i="20"/>
  <c r="AY11" i="20"/>
  <c r="B4" i="35"/>
  <c r="H14" i="36"/>
  <c r="G14" i="36"/>
  <c r="G13" i="36"/>
  <c r="I39" i="52" s="1"/>
  <c r="AM23" i="20"/>
  <c r="AM18" i="20"/>
  <c r="AM21" i="20"/>
  <c r="AM19" i="20"/>
  <c r="AM20" i="20"/>
  <c r="AM22" i="20"/>
  <c r="AM17" i="20"/>
  <c r="AM4" i="20"/>
  <c r="AZ4" i="20"/>
  <c r="V35" i="22"/>
  <c r="C6" i="22"/>
  <c r="V11" i="22"/>
  <c r="V29" i="22"/>
  <c r="U14" i="22"/>
  <c r="V33" i="22"/>
  <c r="V13" i="22"/>
  <c r="V31" i="22"/>
  <c r="U18" i="22"/>
  <c r="U17" i="22"/>
  <c r="U10" i="22"/>
  <c r="U27" i="22"/>
  <c r="AA6" i="22"/>
  <c r="V9" i="22"/>
  <c r="U16" i="22"/>
  <c r="U28" i="22"/>
  <c r="U33" i="22"/>
  <c r="U12" i="22"/>
  <c r="V26" i="22"/>
  <c r="U9" i="22"/>
  <c r="V27" i="22"/>
  <c r="U26" i="22"/>
  <c r="V30" i="22"/>
  <c r="U30" i="22"/>
  <c r="V28" i="22"/>
  <c r="U35" i="22"/>
  <c r="V10" i="22"/>
  <c r="V12" i="22"/>
  <c r="V34" i="22"/>
  <c r="U13" i="22"/>
  <c r="U11" i="22"/>
  <c r="U34" i="22"/>
  <c r="U29" i="22"/>
  <c r="V18" i="22"/>
  <c r="V16" i="22"/>
  <c r="U15" i="22"/>
  <c r="V8" i="22"/>
  <c r="V14" i="22"/>
  <c r="V32" i="22"/>
  <c r="V17" i="22"/>
  <c r="U8" i="22"/>
  <c r="U31" i="22"/>
  <c r="V15" i="22"/>
  <c r="U32" i="22"/>
  <c r="M7" i="22" l="1"/>
  <c r="P7" i="22" s="1"/>
  <c r="N12" i="19" s="1"/>
  <c r="O12" i="19"/>
  <c r="E7" i="22"/>
  <c r="B3" i="35"/>
  <c r="BB69" i="23"/>
  <c r="BD69" i="23" s="1"/>
  <c r="BH69" i="23" s="1"/>
  <c r="BH73" i="23" s="1"/>
  <c r="CB82" i="23" s="1"/>
  <c r="B246" i="50" s="1"/>
  <c r="I13" i="36"/>
  <c r="D6" i="22"/>
  <c r="E6" i="22"/>
  <c r="Q6" i="22" s="1"/>
  <c r="S60" i="51" s="1"/>
  <c r="U60" i="51" s="1"/>
  <c r="H13" i="36"/>
  <c r="E13" i="35"/>
  <c r="O34" i="19"/>
  <c r="AB33" i="21"/>
  <c r="O37" i="19"/>
  <c r="AB36" i="21"/>
  <c r="O29" i="19"/>
  <c r="AB28" i="21"/>
  <c r="O35" i="19"/>
  <c r="AB34" i="21"/>
  <c r="O27" i="19"/>
  <c r="AB26" i="21"/>
  <c r="O22" i="19"/>
  <c r="AB21" i="21"/>
  <c r="O25" i="19"/>
  <c r="AB24" i="21"/>
  <c r="O21" i="19"/>
  <c r="AB20" i="21"/>
  <c r="O19" i="19"/>
  <c r="AB18" i="21"/>
  <c r="O28" i="19"/>
  <c r="AB27" i="21"/>
  <c r="O18" i="19"/>
  <c r="AB17" i="21"/>
  <c r="O17" i="19"/>
  <c r="AB16" i="21"/>
  <c r="O30" i="19"/>
  <c r="AB29" i="21"/>
  <c r="O20" i="19"/>
  <c r="AB19" i="21"/>
  <c r="O39" i="19"/>
  <c r="AB38" i="21"/>
  <c r="O32" i="19"/>
  <c r="AB31" i="21"/>
  <c r="O24" i="19"/>
  <c r="AB23" i="21"/>
  <c r="O33" i="19"/>
  <c r="AB32" i="21"/>
  <c r="O36" i="19"/>
  <c r="AB35" i="21"/>
  <c r="O38" i="19"/>
  <c r="AB37" i="21"/>
  <c r="O23" i="19"/>
  <c r="AB22" i="21"/>
  <c r="O40" i="19"/>
  <c r="AB39" i="21"/>
  <c r="O31" i="19"/>
  <c r="AB30" i="21"/>
  <c r="O26" i="19"/>
  <c r="AB25" i="21"/>
  <c r="N30" i="19"/>
  <c r="N28" i="19"/>
  <c r="AB15" i="21"/>
  <c r="O16" i="19"/>
  <c r="N26" i="19"/>
  <c r="N29" i="19"/>
  <c r="N27" i="19"/>
  <c r="N24" i="19"/>
  <c r="N25" i="19"/>
  <c r="M26" i="19"/>
  <c r="P30" i="19"/>
  <c r="P27" i="19"/>
  <c r="M30" i="19"/>
  <c r="L26" i="19"/>
  <c r="AI25" i="21" s="1"/>
  <c r="L30" i="19"/>
  <c r="AI29" i="21" s="1"/>
  <c r="P28" i="19"/>
  <c r="P25" i="19"/>
  <c r="P26" i="19"/>
  <c r="L28" i="19"/>
  <c r="AI27" i="21" s="1"/>
  <c r="P29" i="19"/>
  <c r="E24" i="35"/>
  <c r="E22" i="35"/>
  <c r="E10" i="35"/>
  <c r="L27" i="19"/>
  <c r="AI26" i="21" s="1"/>
  <c r="P24" i="19"/>
  <c r="L39" i="19"/>
  <c r="AI38" i="21" s="1"/>
  <c r="L35" i="19"/>
  <c r="AI34" i="21" s="1"/>
  <c r="L36" i="19"/>
  <c r="AI35" i="21" s="1"/>
  <c r="L37" i="19"/>
  <c r="AI36" i="21" s="1"/>
  <c r="L34" i="19"/>
  <c r="AI33" i="21" s="1"/>
  <c r="L31" i="19"/>
  <c r="AI30" i="21" s="1"/>
  <c r="L33" i="19"/>
  <c r="AI32" i="21" s="1"/>
  <c r="M29" i="19"/>
  <c r="L32" i="19"/>
  <c r="AI31" i="21" s="1"/>
  <c r="M27" i="19"/>
  <c r="L24" i="19"/>
  <c r="AI23" i="21" s="1"/>
  <c r="M24" i="19"/>
  <c r="E16" i="35"/>
  <c r="M25" i="19"/>
  <c r="M28" i="19"/>
  <c r="L23" i="19"/>
  <c r="AI22" i="21" s="1"/>
  <c r="L19" i="19"/>
  <c r="AI18" i="21" s="1"/>
  <c r="E9" i="35"/>
  <c r="L18" i="19"/>
  <c r="AI17" i="21" s="1"/>
  <c r="L17" i="19"/>
  <c r="AI16" i="21" s="1"/>
  <c r="L22" i="19"/>
  <c r="AI21" i="21" s="1"/>
  <c r="O15" i="19"/>
  <c r="AB14" i="21"/>
  <c r="O13" i="19"/>
  <c r="AB12" i="21"/>
  <c r="O14" i="19"/>
  <c r="AB13" i="21"/>
  <c r="L14" i="19"/>
  <c r="AI13" i="21" s="1"/>
  <c r="L16" i="19"/>
  <c r="AI15" i="21" s="1"/>
  <c r="L15" i="19"/>
  <c r="AI14" i="21" s="1"/>
  <c r="L13" i="19"/>
  <c r="AI12" i="21" s="1"/>
  <c r="F13" i="36"/>
  <c r="F17" i="36"/>
  <c r="F15" i="36"/>
  <c r="F14" i="36"/>
  <c r="F16" i="36"/>
  <c r="G6" i="22"/>
  <c r="L6" i="22" s="1"/>
  <c r="D7" i="35"/>
  <c r="D8" i="35"/>
  <c r="BB72" i="23"/>
  <c r="BD72" i="23" s="1"/>
  <c r="D23" i="36"/>
  <c r="BB71" i="23"/>
  <c r="BD71" i="23" s="1"/>
  <c r="D22" i="36"/>
  <c r="BB73" i="23"/>
  <c r="BD73" i="23" s="1"/>
  <c r="D24" i="36"/>
  <c r="D6" i="35"/>
  <c r="D5" i="35"/>
  <c r="G17" i="22"/>
  <c r="P22" i="19" s="1"/>
  <c r="F17" i="22"/>
  <c r="N22" i="19" s="1"/>
  <c r="F29" i="22"/>
  <c r="N34" i="19" s="1"/>
  <c r="G29" i="22"/>
  <c r="P34" i="19" s="1"/>
  <c r="F32" i="22"/>
  <c r="N37" i="19" s="1"/>
  <c r="G32" i="22"/>
  <c r="P37" i="19" s="1"/>
  <c r="F28" i="22"/>
  <c r="N33" i="19" s="1"/>
  <c r="G28" i="22"/>
  <c r="P33" i="19" s="1"/>
  <c r="G10" i="22"/>
  <c r="F10" i="22"/>
  <c r="G35" i="22"/>
  <c r="F35" i="22"/>
  <c r="G18" i="22"/>
  <c r="F18" i="22"/>
  <c r="N23" i="19" s="1"/>
  <c r="F13" i="22"/>
  <c r="N18" i="19" s="1"/>
  <c r="G13" i="22"/>
  <c r="P18" i="19" s="1"/>
  <c r="F8" i="22"/>
  <c r="M8" i="22" s="1"/>
  <c r="P8" i="22" s="1"/>
  <c r="G8" i="22"/>
  <c r="L8" i="22" s="1"/>
  <c r="N8" i="22" s="1"/>
  <c r="O8" i="22" s="1"/>
  <c r="G26" i="22"/>
  <c r="P31" i="19" s="1"/>
  <c r="F26" i="22"/>
  <c r="N31" i="19" s="1"/>
  <c r="F31" i="22"/>
  <c r="N36" i="19" s="1"/>
  <c r="G31" i="22"/>
  <c r="P36" i="19" s="1"/>
  <c r="G33" i="22"/>
  <c r="F33" i="22"/>
  <c r="N38" i="19" s="1"/>
  <c r="F14" i="22"/>
  <c r="N19" i="19" s="1"/>
  <c r="G14" i="22"/>
  <c r="P19" i="19" s="1"/>
  <c r="F16" i="22"/>
  <c r="N21" i="19" s="1"/>
  <c r="G16" i="22"/>
  <c r="P21" i="19" s="1"/>
  <c r="G12" i="22"/>
  <c r="P17" i="19" s="1"/>
  <c r="F12" i="22"/>
  <c r="N17" i="19" s="1"/>
  <c r="G11" i="22"/>
  <c r="F11" i="22"/>
  <c r="N16" i="19" s="1"/>
  <c r="F15" i="22"/>
  <c r="N20" i="19" s="1"/>
  <c r="G15" i="22"/>
  <c r="F27" i="22"/>
  <c r="N32" i="19" s="1"/>
  <c r="G27" i="22"/>
  <c r="P32" i="19" s="1"/>
  <c r="G30" i="22"/>
  <c r="F30" i="22"/>
  <c r="N35" i="19" s="1"/>
  <c r="G34" i="22"/>
  <c r="P39" i="19" s="1"/>
  <c r="F34" i="22"/>
  <c r="G9" i="22"/>
  <c r="L9" i="22" s="1"/>
  <c r="N9" i="22" s="1"/>
  <c r="O9" i="22" s="1"/>
  <c r="F9" i="22"/>
  <c r="AZ15" i="20"/>
  <c r="AZ27" i="20"/>
  <c r="AZ30" i="20"/>
  <c r="AZ26" i="20"/>
  <c r="AZ8" i="20"/>
  <c r="AZ33" i="20"/>
  <c r="AZ16" i="20"/>
  <c r="AZ11" i="20"/>
  <c r="AZ6" i="20"/>
  <c r="AZ24" i="20"/>
  <c r="AZ29" i="20"/>
  <c r="AZ31" i="20"/>
  <c r="AZ12" i="20"/>
  <c r="AZ14" i="20"/>
  <c r="AZ10" i="20"/>
  <c r="AZ9" i="20"/>
  <c r="AZ13" i="20"/>
  <c r="AZ25" i="20"/>
  <c r="AZ28" i="20"/>
  <c r="AZ32" i="20"/>
  <c r="AZ7" i="20"/>
  <c r="F6" i="22"/>
  <c r="B5" i="35"/>
  <c r="E5" i="35"/>
  <c r="I5" i="35"/>
  <c r="G15" i="36"/>
  <c r="H15" i="36"/>
  <c r="B6" i="35"/>
  <c r="E6" i="35"/>
  <c r="I6" i="35"/>
  <c r="B7" i="35"/>
  <c r="I7" i="35"/>
  <c r="E7" i="35"/>
  <c r="H16" i="36"/>
  <c r="G16" i="36"/>
  <c r="G17" i="36"/>
  <c r="H17" i="36"/>
  <c r="E20" i="35"/>
  <c r="E18" i="35"/>
  <c r="AB11" i="21"/>
  <c r="D21" i="36"/>
  <c r="E11" i="35"/>
  <c r="G11" i="19"/>
  <c r="I3" i="35" s="1"/>
  <c r="J11" i="19"/>
  <c r="F11" i="19"/>
  <c r="E3" i="35" s="1"/>
  <c r="D4" i="35"/>
  <c r="AM15" i="20"/>
  <c r="AM31" i="20"/>
  <c r="AM30" i="20"/>
  <c r="AM10" i="20"/>
  <c r="AM26" i="20"/>
  <c r="AM25" i="20"/>
  <c r="AM8" i="20"/>
  <c r="AM7" i="20"/>
  <c r="AM24" i="20"/>
  <c r="AM27" i="20"/>
  <c r="AM12" i="20"/>
  <c r="AM32" i="20"/>
  <c r="AM14" i="20"/>
  <c r="AM16" i="20"/>
  <c r="AM13" i="20"/>
  <c r="AM9" i="20"/>
  <c r="AM6" i="20"/>
  <c r="AM11" i="20"/>
  <c r="AM28" i="20"/>
  <c r="AM33" i="20"/>
  <c r="AM29" i="20"/>
  <c r="D3" i="35"/>
  <c r="E4" i="35"/>
  <c r="M6" i="22" l="1"/>
  <c r="L11" i="19"/>
  <c r="BS40" i="23"/>
  <c r="B29" i="36"/>
  <c r="N6" i="22"/>
  <c r="Q25" i="19"/>
  <c r="Q28" i="19"/>
  <c r="L27" i="21"/>
  <c r="L26" i="21"/>
  <c r="Q30" i="19"/>
  <c r="Q26" i="19"/>
  <c r="Q29" i="19"/>
  <c r="Q24" i="19"/>
  <c r="N40" i="19"/>
  <c r="L39" i="21"/>
  <c r="N39" i="19"/>
  <c r="Q39" i="19" s="1"/>
  <c r="L38" i="21"/>
  <c r="Q37" i="19"/>
  <c r="Q36" i="19"/>
  <c r="Q17" i="19"/>
  <c r="Q21" i="19"/>
  <c r="Q34" i="19"/>
  <c r="Q18" i="19"/>
  <c r="Q32" i="19"/>
  <c r="Q31" i="19"/>
  <c r="Q33" i="19"/>
  <c r="Q19" i="19"/>
  <c r="Q22" i="19"/>
  <c r="Q27" i="19"/>
  <c r="M31" i="19"/>
  <c r="M37" i="19"/>
  <c r="P40" i="19"/>
  <c r="M40" i="19"/>
  <c r="M34" i="19"/>
  <c r="M22" i="19"/>
  <c r="P20" i="19"/>
  <c r="Q20" i="19" s="1"/>
  <c r="M20" i="19"/>
  <c r="M18" i="19"/>
  <c r="M33" i="19"/>
  <c r="P38" i="19"/>
  <c r="Q38" i="19" s="1"/>
  <c r="M38" i="19"/>
  <c r="M19" i="19"/>
  <c r="M32" i="19"/>
  <c r="M39" i="19"/>
  <c r="M21" i="19"/>
  <c r="M36" i="19"/>
  <c r="P35" i="19"/>
  <c r="Q35" i="19" s="1"/>
  <c r="M35" i="19"/>
  <c r="P23" i="19"/>
  <c r="Q23" i="19" s="1"/>
  <c r="M23" i="19"/>
  <c r="M17" i="19"/>
  <c r="C23" i="36"/>
  <c r="N14" i="19"/>
  <c r="C24" i="36"/>
  <c r="N15" i="19"/>
  <c r="C22" i="36"/>
  <c r="N13" i="19"/>
  <c r="P12" i="19"/>
  <c r="Q12" i="19" s="1"/>
  <c r="M12" i="19"/>
  <c r="H50" i="45"/>
  <c r="H51" i="45" s="1"/>
  <c r="AB10" i="21"/>
  <c r="AB90" i="21" s="1"/>
  <c r="D50" i="45"/>
  <c r="D51" i="45" s="1"/>
  <c r="I50" i="45"/>
  <c r="I51" i="45" s="1"/>
  <c r="D38" i="43"/>
  <c r="D39" i="43" s="1"/>
  <c r="I38" i="43"/>
  <c r="I39" i="43" s="1"/>
  <c r="L50" i="45"/>
  <c r="L51" i="45" s="1"/>
  <c r="K38" i="43"/>
  <c r="K39" i="43" s="1"/>
  <c r="K50" i="45"/>
  <c r="K51" i="45" s="1"/>
  <c r="L38" i="43"/>
  <c r="L39" i="43" s="1"/>
  <c r="E50" i="45"/>
  <c r="E51" i="45" s="1"/>
  <c r="F38" i="43"/>
  <c r="F39" i="43" s="1"/>
  <c r="E38" i="43"/>
  <c r="E39" i="43" s="1"/>
  <c r="F50" i="45"/>
  <c r="F51" i="45" s="1"/>
  <c r="G38" i="43"/>
  <c r="G39" i="43" s="1"/>
  <c r="G50" i="45"/>
  <c r="G51" i="45" s="1"/>
  <c r="H38" i="43"/>
  <c r="H39" i="43" s="1"/>
  <c r="J50" i="45"/>
  <c r="J51" i="45" s="1"/>
  <c r="J38" i="43"/>
  <c r="J39" i="43" s="1"/>
  <c r="N10" i="21"/>
  <c r="L30" i="21"/>
  <c r="X30" i="21"/>
  <c r="L33" i="21"/>
  <c r="L13" i="21"/>
  <c r="L18" i="21"/>
  <c r="X18" i="21"/>
  <c r="L12" i="21"/>
  <c r="X12" i="21"/>
  <c r="L14" i="21"/>
  <c r="L37" i="21"/>
  <c r="L21" i="21"/>
  <c r="X21" i="21"/>
  <c r="L17" i="21"/>
  <c r="X17" i="21"/>
  <c r="L32" i="21"/>
  <c r="L19" i="21"/>
  <c r="X19" i="21"/>
  <c r="L16" i="21"/>
  <c r="X16" i="21"/>
  <c r="L22" i="21"/>
  <c r="X22" i="21"/>
  <c r="L15" i="21"/>
  <c r="L34" i="21"/>
  <c r="X34" i="21"/>
  <c r="L35" i="21"/>
  <c r="X35" i="21"/>
  <c r="L36" i="21"/>
  <c r="X36" i="21"/>
  <c r="L24" i="21"/>
  <c r="L29" i="21"/>
  <c r="X29" i="21"/>
  <c r="L20" i="21"/>
  <c r="X20" i="21"/>
  <c r="L28" i="21"/>
  <c r="X28" i="21"/>
  <c r="L31" i="21"/>
  <c r="L25" i="21"/>
  <c r="X25" i="21"/>
  <c r="L11" i="21"/>
  <c r="L23" i="21"/>
  <c r="X23" i="21"/>
  <c r="N32" i="43"/>
  <c r="D33" i="43" s="1"/>
  <c r="R32" i="43"/>
  <c r="H33" i="43" s="1"/>
  <c r="O32" i="43"/>
  <c r="E33" i="43" s="1"/>
  <c r="S32" i="43"/>
  <c r="I33" i="43" s="1"/>
  <c r="P32" i="43"/>
  <c r="F33" i="43" s="1"/>
  <c r="T32" i="43"/>
  <c r="J33" i="43" s="1"/>
  <c r="Q32" i="43"/>
  <c r="G33" i="43" s="1"/>
  <c r="R29" i="43"/>
  <c r="O29" i="43"/>
  <c r="Q29" i="43"/>
  <c r="T29" i="43"/>
  <c r="S29" i="43"/>
  <c r="P29" i="43"/>
  <c r="N29" i="43"/>
  <c r="J20" i="43"/>
  <c r="J18" i="43"/>
  <c r="J10" i="43"/>
  <c r="J17" i="43"/>
  <c r="J9" i="43"/>
  <c r="J23" i="45" s="1"/>
  <c r="K23" i="45" s="1"/>
  <c r="J16" i="43"/>
  <c r="J30" i="45" s="1"/>
  <c r="K30" i="45" s="1"/>
  <c r="J8" i="43"/>
  <c r="J22" i="45" s="1"/>
  <c r="K22" i="45" s="1"/>
  <c r="J15" i="43"/>
  <c r="J7" i="43"/>
  <c r="J5" i="43"/>
  <c r="J12" i="43"/>
  <c r="J11" i="43"/>
  <c r="J14" i="43"/>
  <c r="J6" i="43"/>
  <c r="J20" i="45" s="1"/>
  <c r="K20" i="45" s="1"/>
  <c r="J13" i="43"/>
  <c r="J19" i="43"/>
  <c r="J4" i="43"/>
  <c r="E21" i="43"/>
  <c r="E13" i="43"/>
  <c r="E5" i="43"/>
  <c r="E11" i="43"/>
  <c r="E10" i="43"/>
  <c r="E15" i="43"/>
  <c r="E22" i="43"/>
  <c r="E6" i="43"/>
  <c r="E20" i="43"/>
  <c r="E12" i="43"/>
  <c r="E19" i="43"/>
  <c r="E18" i="43"/>
  <c r="E23" i="43"/>
  <c r="E7" i="43"/>
  <c r="E14" i="43"/>
  <c r="E17" i="43"/>
  <c r="E9" i="43"/>
  <c r="E16" i="43"/>
  <c r="E8" i="43"/>
  <c r="E4" i="43"/>
  <c r="A54" i="11"/>
  <c r="C54" i="11" s="1"/>
  <c r="C123" i="11" s="1"/>
  <c r="P34" i="21"/>
  <c r="X15" i="21"/>
  <c r="X13" i="21"/>
  <c r="X32" i="21"/>
  <c r="X26" i="21"/>
  <c r="X14" i="21"/>
  <c r="X27" i="21"/>
  <c r="X24" i="21"/>
  <c r="X33" i="21"/>
  <c r="X37" i="21"/>
  <c r="X31" i="21"/>
  <c r="P37" i="21"/>
  <c r="N37" i="21"/>
  <c r="P32" i="21"/>
  <c r="N32" i="21"/>
  <c r="F11" i="35"/>
  <c r="N31" i="21"/>
  <c r="N16" i="21"/>
  <c r="N39" i="21"/>
  <c r="N23" i="21"/>
  <c r="N33" i="21"/>
  <c r="N30" i="21"/>
  <c r="N36" i="21"/>
  <c r="N21" i="21"/>
  <c r="N17" i="21"/>
  <c r="N19" i="21"/>
  <c r="N25" i="21"/>
  <c r="N20" i="21"/>
  <c r="N27" i="21"/>
  <c r="N34" i="21"/>
  <c r="N18" i="21"/>
  <c r="N35" i="21"/>
  <c r="N24" i="21"/>
  <c r="N22" i="21"/>
  <c r="N28" i="21"/>
  <c r="N38" i="21"/>
  <c r="N26" i="21"/>
  <c r="N29" i="21"/>
  <c r="N11" i="21"/>
  <c r="P39" i="21"/>
  <c r="P38" i="21"/>
  <c r="P36" i="21"/>
  <c r="P35" i="21"/>
  <c r="P33" i="21"/>
  <c r="P31" i="21"/>
  <c r="P30" i="21"/>
  <c r="P28" i="21"/>
  <c r="P29" i="21"/>
  <c r="P27" i="21"/>
  <c r="P26" i="21"/>
  <c r="P25" i="21"/>
  <c r="P24" i="21"/>
  <c r="P23" i="21"/>
  <c r="Z23" i="21"/>
  <c r="P22" i="21"/>
  <c r="P21" i="21"/>
  <c r="P20" i="21"/>
  <c r="P19" i="21"/>
  <c r="P18" i="21"/>
  <c r="Z18" i="21"/>
  <c r="P17" i="21"/>
  <c r="P16" i="21"/>
  <c r="P11" i="21"/>
  <c r="P6" i="22" l="1"/>
  <c r="P86" i="22" s="1"/>
  <c r="U7" i="51" s="1"/>
  <c r="AG18" i="21"/>
  <c r="AG23" i="21"/>
  <c r="X39" i="21"/>
  <c r="AZ30" i="22"/>
  <c r="X38" i="21"/>
  <c r="Q40" i="19"/>
  <c r="N12" i="21"/>
  <c r="F4" i="35"/>
  <c r="N15" i="21"/>
  <c r="N13" i="21"/>
  <c r="AZ10" i="22"/>
  <c r="P14" i="21"/>
  <c r="M15" i="19"/>
  <c r="AZ8" i="22"/>
  <c r="M13" i="19"/>
  <c r="P12" i="21"/>
  <c r="P13" i="21"/>
  <c r="M14" i="19"/>
  <c r="P16" i="19"/>
  <c r="Q16" i="19" s="1"/>
  <c r="P15" i="21"/>
  <c r="M16" i="19"/>
  <c r="E21" i="36"/>
  <c r="Z11" i="21"/>
  <c r="AZ7" i="22"/>
  <c r="L10" i="21"/>
  <c r="O11" i="19"/>
  <c r="D20" i="36"/>
  <c r="M19" i="52" s="1"/>
  <c r="M39" i="52" s="1"/>
  <c r="AZ14" i="22"/>
  <c r="B63" i="36"/>
  <c r="K9" i="43"/>
  <c r="K6" i="43"/>
  <c r="K16" i="43"/>
  <c r="K8" i="43"/>
  <c r="G34" i="43"/>
  <c r="G46" i="45"/>
  <c r="G47" i="45" s="1"/>
  <c r="J34" i="43"/>
  <c r="J46" i="45"/>
  <c r="J47" i="45" s="1"/>
  <c r="F34" i="43"/>
  <c r="F46" i="45"/>
  <c r="F47" i="45" s="1"/>
  <c r="I34" i="43"/>
  <c r="I46" i="45"/>
  <c r="I47" i="45" s="1"/>
  <c r="E34" i="43"/>
  <c r="E46" i="45"/>
  <c r="E47" i="45" s="1"/>
  <c r="H34" i="43"/>
  <c r="H46" i="45"/>
  <c r="H47" i="45" s="1"/>
  <c r="D34" i="43"/>
  <c r="D46" i="45"/>
  <c r="D47" i="45" s="1"/>
  <c r="K5" i="43"/>
  <c r="J19" i="45"/>
  <c r="K19" i="45" s="1"/>
  <c r="K18" i="43"/>
  <c r="J32" i="45"/>
  <c r="K32" i="45" s="1"/>
  <c r="K7" i="43"/>
  <c r="J21" i="45"/>
  <c r="K21" i="45" s="1"/>
  <c r="K20" i="43"/>
  <c r="J34" i="45"/>
  <c r="K34" i="45" s="1"/>
  <c r="K13" i="43"/>
  <c r="J27" i="45"/>
  <c r="K27" i="45" s="1"/>
  <c r="K14" i="43"/>
  <c r="J28" i="45"/>
  <c r="K28" i="45" s="1"/>
  <c r="K15" i="43"/>
  <c r="J29" i="45"/>
  <c r="K29" i="45" s="1"/>
  <c r="K11" i="43"/>
  <c r="J25" i="45"/>
  <c r="K25" i="45" s="1"/>
  <c r="K17" i="43"/>
  <c r="J31" i="45"/>
  <c r="K31" i="45" s="1"/>
  <c r="K19" i="43"/>
  <c r="J33" i="45"/>
  <c r="K33" i="45" s="1"/>
  <c r="K12" i="43"/>
  <c r="J26" i="45"/>
  <c r="K26" i="45" s="1"/>
  <c r="K10" i="43"/>
  <c r="J24" i="45"/>
  <c r="K24" i="45" s="1"/>
  <c r="K4" i="43"/>
  <c r="J18" i="45"/>
  <c r="K18" i="45" s="1"/>
  <c r="F22" i="43"/>
  <c r="E36" i="45"/>
  <c r="F36" i="45" s="1"/>
  <c r="F15" i="43"/>
  <c r="E29" i="45"/>
  <c r="F29" i="45" s="1"/>
  <c r="F13" i="43"/>
  <c r="E27" i="45"/>
  <c r="F27" i="45" s="1"/>
  <c r="F9" i="43"/>
  <c r="E23" i="45"/>
  <c r="F23" i="45" s="1"/>
  <c r="F20" i="43"/>
  <c r="E34" i="45"/>
  <c r="F34" i="45" s="1"/>
  <c r="F21" i="43"/>
  <c r="E35" i="45"/>
  <c r="F35" i="45" s="1"/>
  <c r="F14" i="43"/>
  <c r="E28" i="45"/>
  <c r="F28" i="45" s="1"/>
  <c r="F16" i="43"/>
  <c r="E30" i="45"/>
  <c r="F30" i="45" s="1"/>
  <c r="F12" i="43"/>
  <c r="E26" i="45"/>
  <c r="F26" i="45" s="1"/>
  <c r="F17" i="43"/>
  <c r="E31" i="45"/>
  <c r="F31" i="45" s="1"/>
  <c r="F6" i="43"/>
  <c r="E20" i="45"/>
  <c r="F20" i="45" s="1"/>
  <c r="F10" i="43"/>
  <c r="E24" i="45"/>
  <c r="F24" i="45" s="1"/>
  <c r="F18" i="43"/>
  <c r="E32" i="45"/>
  <c r="F32" i="45" s="1"/>
  <c r="F11" i="43"/>
  <c r="E25" i="45"/>
  <c r="F25" i="45" s="1"/>
  <c r="F7" i="43"/>
  <c r="E21" i="45"/>
  <c r="F21" i="45" s="1"/>
  <c r="F23" i="43"/>
  <c r="E37" i="45"/>
  <c r="F37" i="45" s="1"/>
  <c r="F8" i="43"/>
  <c r="E22" i="45"/>
  <c r="F22" i="45" s="1"/>
  <c r="F19" i="43"/>
  <c r="E33" i="45"/>
  <c r="F33" i="45" s="1"/>
  <c r="F5" i="43"/>
  <c r="E19" i="45"/>
  <c r="F19" i="45" s="1"/>
  <c r="F4" i="43"/>
  <c r="E18" i="45"/>
  <c r="F18" i="45" s="1"/>
  <c r="AI10" i="21"/>
  <c r="C13" i="45"/>
  <c r="P10" i="21"/>
  <c r="E29" i="43"/>
  <c r="F29" i="43"/>
  <c r="G29" i="43"/>
  <c r="H29" i="43"/>
  <c r="J29" i="43"/>
  <c r="I29" i="43"/>
  <c r="D29" i="43"/>
  <c r="AZ31" i="22"/>
  <c r="Z31" i="21"/>
  <c r="AG31" i="21" s="1"/>
  <c r="Z16" i="21"/>
  <c r="AG16" i="21" s="1"/>
  <c r="Z21" i="21"/>
  <c r="AG21" i="21" s="1"/>
  <c r="Z35" i="21"/>
  <c r="AG35" i="21" s="1"/>
  <c r="N14" i="21"/>
  <c r="Z38" i="21"/>
  <c r="AZ16" i="22"/>
  <c r="Z25" i="21"/>
  <c r="AG25" i="21" s="1"/>
  <c r="AZ19" i="22"/>
  <c r="Z20" i="21"/>
  <c r="AG20" i="21" s="1"/>
  <c r="Z34" i="21"/>
  <c r="AG34" i="21" s="1"/>
  <c r="AZ25" i="22"/>
  <c r="Z24" i="21"/>
  <c r="AG24" i="21" s="1"/>
  <c r="AZ34" i="22"/>
  <c r="AZ13" i="22"/>
  <c r="AZ12" i="22"/>
  <c r="AZ27" i="22"/>
  <c r="AZ17" i="22"/>
  <c r="AZ20" i="22"/>
  <c r="Z36" i="21"/>
  <c r="AG36" i="21" s="1"/>
  <c r="Z17" i="21"/>
  <c r="AG17" i="21" s="1"/>
  <c r="AZ32" i="22"/>
  <c r="Z29" i="21"/>
  <c r="AG29" i="21" s="1"/>
  <c r="Z19" i="21"/>
  <c r="AG19" i="21" s="1"/>
  <c r="Z33" i="21"/>
  <c r="AG33" i="21" s="1"/>
  <c r="AZ15" i="22"/>
  <c r="AZ22" i="22"/>
  <c r="AZ26" i="22"/>
  <c r="Z30" i="21"/>
  <c r="AG30" i="21" s="1"/>
  <c r="AZ29" i="22"/>
  <c r="Z26" i="21"/>
  <c r="AG26" i="21" s="1"/>
  <c r="F23" i="35"/>
  <c r="F21" i="35"/>
  <c r="Z28" i="21"/>
  <c r="AG28" i="21" s="1"/>
  <c r="F26" i="35"/>
  <c r="F32" i="35"/>
  <c r="AZ23" i="22"/>
  <c r="AZ35" i="22"/>
  <c r="AZ24" i="22"/>
  <c r="F18" i="35"/>
  <c r="F16" i="35"/>
  <c r="F27" i="35"/>
  <c r="F13" i="35"/>
  <c r="F17" i="35"/>
  <c r="F20" i="35"/>
  <c r="Z22" i="21"/>
  <c r="AG22" i="21" s="1"/>
  <c r="F19" i="35"/>
  <c r="F29" i="35"/>
  <c r="F22" i="35"/>
  <c r="F12" i="35"/>
  <c r="Z27" i="21"/>
  <c r="AG27" i="21" s="1"/>
  <c r="Z39" i="21"/>
  <c r="AZ21" i="22"/>
  <c r="F10" i="35"/>
  <c r="F15" i="35"/>
  <c r="AZ18" i="22"/>
  <c r="F31" i="35"/>
  <c r="F14" i="35"/>
  <c r="F24" i="35"/>
  <c r="F9" i="35"/>
  <c r="F28" i="35"/>
  <c r="C21" i="36"/>
  <c r="X11" i="21"/>
  <c r="X10" i="21" l="1"/>
  <c r="X90" i="21" s="1"/>
  <c r="U64" i="51"/>
  <c r="U65" i="51"/>
  <c r="O40" i="52" s="1"/>
  <c r="H42" i="50" s="1"/>
  <c r="AG11" i="21"/>
  <c r="AG38" i="21"/>
  <c r="AG39" i="21"/>
  <c r="Z12" i="21"/>
  <c r="AG12" i="21" s="1"/>
  <c r="Z14" i="21"/>
  <c r="AG14" i="21" s="1"/>
  <c r="E23" i="36"/>
  <c r="H23" i="36" s="1"/>
  <c r="P14" i="19"/>
  <c r="AZ9" i="22"/>
  <c r="Z13" i="21"/>
  <c r="AG13" i="21" s="1"/>
  <c r="AZ11" i="22"/>
  <c r="E22" i="36"/>
  <c r="P13" i="19"/>
  <c r="F8" i="35"/>
  <c r="Z15" i="21"/>
  <c r="AG15" i="21" s="1"/>
  <c r="E24" i="36"/>
  <c r="H24" i="36" s="1"/>
  <c r="P15" i="19"/>
  <c r="B120" i="19"/>
  <c r="B77" i="45"/>
  <c r="I30" i="43"/>
  <c r="I42" i="45"/>
  <c r="I43" i="45" s="1"/>
  <c r="H30" i="43"/>
  <c r="H42" i="45"/>
  <c r="H43" i="45" s="1"/>
  <c r="E30" i="43"/>
  <c r="E42" i="45"/>
  <c r="E43" i="45" s="1"/>
  <c r="G30" i="43"/>
  <c r="G42" i="45"/>
  <c r="G43" i="45" s="1"/>
  <c r="J30" i="43"/>
  <c r="J42" i="45"/>
  <c r="J43" i="45" s="1"/>
  <c r="F30" i="43"/>
  <c r="F42" i="45"/>
  <c r="F43" i="45" s="1"/>
  <c r="D30" i="43"/>
  <c r="D42" i="45"/>
  <c r="D43" i="45" s="1"/>
  <c r="O6" i="22"/>
  <c r="H19" i="52" s="1"/>
  <c r="M11" i="19"/>
  <c r="C20" i="36"/>
  <c r="K19" i="52" s="1"/>
  <c r="N11" i="19"/>
  <c r="AZ28" i="22"/>
  <c r="Z32" i="21"/>
  <c r="AG32" i="21" s="1"/>
  <c r="AZ33" i="22"/>
  <c r="Z37" i="21"/>
  <c r="AG37" i="21" s="1"/>
  <c r="G20" i="36" l="1"/>
  <c r="F20" i="36" s="1"/>
  <c r="E20" i="36"/>
  <c r="AZ6" i="22"/>
  <c r="AZ36" i="22" s="1"/>
  <c r="Q15" i="19"/>
  <c r="F7" i="35"/>
  <c r="F5" i="35"/>
  <c r="Q13" i="19"/>
  <c r="Q14" i="19"/>
  <c r="F6" i="35"/>
  <c r="Z10" i="21"/>
  <c r="AG10" i="21" s="1"/>
  <c r="AG90" i="21" s="1"/>
  <c r="P11" i="19"/>
  <c r="F30" i="35"/>
  <c r="F25" i="35"/>
  <c r="H20" i="36" l="1"/>
  <c r="H26" i="36" s="1"/>
  <c r="L19" i="52"/>
  <c r="O19" i="52" s="1"/>
  <c r="F3" i="35"/>
  <c r="Q11" i="19"/>
  <c r="Z90" i="21"/>
  <c r="M20" i="52" l="1"/>
  <c r="O20" i="52"/>
  <c r="Q92" i="19"/>
  <c r="Q93" i="19" s="1"/>
  <c r="S15" i="45" s="1"/>
  <c r="B9" i="45" s="1"/>
  <c r="H39" i="52" l="1"/>
  <c r="K39" i="52" l="1"/>
  <c r="M22" i="52" l="1"/>
  <c r="L39" i="52"/>
  <c r="O21" i="52"/>
  <c r="O22" i="52" l="1"/>
  <c r="O39" i="52"/>
  <c r="H40" i="50" s="1"/>
  <c r="H43" i="50" s="1"/>
  <c r="O43" i="5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Lombardo</author>
  </authors>
  <commentList>
    <comment ref="C9" authorId="0" shapeId="0" xr:uid="{5B8DE764-A09F-4E04-946E-11F79F157A0A}">
      <text>
        <r>
          <rPr>
            <b/>
            <sz val="9"/>
            <color indexed="81"/>
            <rFont val="Tahoma"/>
            <family val="2"/>
          </rPr>
          <t xml:space="preserve">Cov 2 Must be selected to provide Cov 3.
</t>
        </r>
        <r>
          <rPr>
            <sz val="9"/>
            <color indexed="81"/>
            <rFont val="Tahoma"/>
            <family val="2"/>
          </rPr>
          <t xml:space="preserve">
</t>
        </r>
      </text>
    </comment>
    <comment ref="N12" authorId="0" shapeId="0" xr:uid="{AF8B6A17-5CC6-49F1-AEF5-A7955441E888}">
      <text>
        <r>
          <rPr>
            <b/>
            <sz val="9"/>
            <color indexed="81"/>
            <rFont val="Tahoma"/>
            <family val="2"/>
          </rPr>
          <t xml:space="preserve">Cannot Exceed Cov 1.
</t>
        </r>
      </text>
    </comment>
    <comment ref="C17" authorId="0" shapeId="0" xr:uid="{302C1408-3ACE-476B-8884-D92886425617}">
      <text>
        <r>
          <rPr>
            <sz val="9"/>
            <color indexed="81"/>
            <rFont val="Tahoma"/>
            <family val="2"/>
          </rPr>
          <t xml:space="preserve">Cov. 8, 10, 11, 12, 17 and 23 - are subject to Coverage 6 being offered. 
</t>
        </r>
      </text>
    </comment>
    <comment ref="N20" authorId="0" shapeId="0" xr:uid="{5EA84053-E28A-4FB3-A2EA-A41BE01AFBB3}">
      <text>
        <r>
          <rPr>
            <b/>
            <sz val="9"/>
            <color indexed="81"/>
            <rFont val="Tahoma"/>
            <family val="2"/>
          </rPr>
          <t xml:space="preserve">Limit Cannot Exceed Cov 1.
</t>
        </r>
        <r>
          <rPr>
            <sz val="9"/>
            <color indexed="81"/>
            <rFont val="Tahoma"/>
            <family val="2"/>
          </rPr>
          <t xml:space="preserve">
</t>
        </r>
      </text>
    </comment>
    <comment ref="N42" authorId="0" shapeId="0" xr:uid="{FA790BA6-71FC-40E8-861E-41560F9993F7}">
      <text>
        <r>
          <rPr>
            <b/>
            <sz val="9"/>
            <color indexed="81"/>
            <rFont val="Tahoma"/>
            <family val="2"/>
          </rPr>
          <t>Limit should not exceed 10mil, unless QS and our portion does not exceed 10mil.</t>
        </r>
      </text>
    </comment>
    <comment ref="N60" authorId="0" shapeId="0" xr:uid="{E7F4A28C-3CDF-49F7-AB48-19989C23D59A}">
      <text>
        <r>
          <rPr>
            <b/>
            <sz val="9"/>
            <color indexed="81"/>
            <rFont val="Tahoma"/>
            <family val="2"/>
          </rPr>
          <t>Max Medical Selected from Aircraft Screen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O40" authorId="0" shapeId="0" xr:uid="{12D4447D-A723-4E2A-AEDE-ECB4EA7488D7}">
      <text>
        <r>
          <rPr>
            <sz val="8"/>
            <color indexed="8"/>
            <rFont val="Times New Roman"/>
            <family val="1"/>
          </rPr>
          <t>Add'l Liability premium less Medpay and PVS to eliminate double counting.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Robert Lombardo</author>
  </authors>
  <commentList>
    <comment ref="B28" authorId="0" shapeId="0" xr:uid="{00000000-0006-0000-1100-000001000000}">
      <text>
        <r>
          <rPr>
            <sz val="9"/>
            <color indexed="81"/>
            <rFont val="Tahoma"/>
            <family val="2"/>
          </rPr>
          <t xml:space="preserve">Sale of Aircraft
</t>
        </r>
      </text>
    </comment>
    <comment ref="D28" authorId="0" shapeId="0" xr:uid="{00000000-0006-0000-1100-000002000000}">
      <text>
        <r>
          <rPr>
            <b/>
            <sz val="9"/>
            <color indexed="81"/>
            <rFont val="Tahoma"/>
            <family val="2"/>
          </rPr>
          <t>Sale of Parts Not Installed</t>
        </r>
        <r>
          <rPr>
            <sz val="9"/>
            <color indexed="81"/>
            <rFont val="Tahoma"/>
            <family val="2"/>
          </rPr>
          <t xml:space="preserve">
</t>
        </r>
      </text>
    </comment>
    <comment ref="F28" authorId="0" shapeId="0" xr:uid="{00000000-0006-0000-1100-000003000000}">
      <text>
        <r>
          <rPr>
            <b/>
            <sz val="9"/>
            <color indexed="81"/>
            <rFont val="Tahoma"/>
            <family val="2"/>
          </rPr>
          <t>Sale of Parts Installed</t>
        </r>
        <r>
          <rPr>
            <sz val="9"/>
            <color indexed="81"/>
            <rFont val="Tahoma"/>
            <family val="2"/>
          </rPr>
          <t xml:space="preserve">
</t>
        </r>
      </text>
    </comment>
    <comment ref="H28" authorId="0" shapeId="0" xr:uid="{00000000-0006-0000-1100-000004000000}">
      <text>
        <r>
          <rPr>
            <b/>
            <sz val="9"/>
            <color indexed="81"/>
            <rFont val="Tahoma"/>
            <family val="2"/>
          </rPr>
          <t>Sale of Fuel &amp; Oil</t>
        </r>
        <r>
          <rPr>
            <sz val="9"/>
            <color indexed="81"/>
            <rFont val="Tahoma"/>
            <family val="2"/>
          </rPr>
          <t xml:space="preserve">
</t>
        </r>
      </text>
    </comment>
    <comment ref="B29" authorId="0" shapeId="0" xr:uid="{00000000-0006-0000-1100-000005000000}">
      <text>
        <r>
          <rPr>
            <b/>
            <sz val="9"/>
            <color indexed="81"/>
            <rFont val="Tahoma"/>
            <family val="2"/>
          </rPr>
          <t>General Maintenance</t>
        </r>
      </text>
    </comment>
    <comment ref="D29" authorId="0" shapeId="0" xr:uid="{00000000-0006-0000-1100-000006000000}">
      <text>
        <r>
          <rPr>
            <b/>
            <sz val="9"/>
            <color indexed="81"/>
            <rFont val="Tahoma"/>
            <family val="2"/>
          </rPr>
          <t>'Heavy Maintenance / ACFT Mod / Engine Removal</t>
        </r>
        <r>
          <rPr>
            <sz val="9"/>
            <color indexed="81"/>
            <rFont val="Tahoma"/>
            <family val="2"/>
          </rPr>
          <t xml:space="preserve">
</t>
        </r>
      </text>
    </comment>
    <comment ref="H29" authorId="0" shapeId="0" xr:uid="{00000000-0006-0000-1100-000007000000}">
      <text>
        <r>
          <rPr>
            <b/>
            <sz val="9"/>
            <color indexed="81"/>
            <rFont val="Tahoma"/>
            <family val="2"/>
          </rPr>
          <t>'Sale of Food &amp; Beverage</t>
        </r>
        <r>
          <rPr>
            <sz val="9"/>
            <color indexed="81"/>
            <rFont val="Tahoma"/>
            <family val="2"/>
          </rPr>
          <t xml:space="preserve">
</t>
        </r>
      </text>
    </comment>
    <comment ref="B30" authorId="0" shapeId="0" xr:uid="{00000000-0006-0000-1100-000008000000}">
      <text>
        <r>
          <rPr>
            <b/>
            <sz val="9"/>
            <color indexed="81"/>
            <rFont val="Tahoma"/>
            <family val="2"/>
          </rPr>
          <t>Aircraft Deicing (GA)</t>
        </r>
        <r>
          <rPr>
            <sz val="9"/>
            <color indexed="81"/>
            <rFont val="Tahoma"/>
            <family val="2"/>
          </rPr>
          <t xml:space="preserve">
</t>
        </r>
      </text>
    </comment>
    <comment ref="D30" authorId="0" shapeId="0" xr:uid="{00000000-0006-0000-1100-000009000000}">
      <text>
        <r>
          <rPr>
            <b/>
            <sz val="9"/>
            <color indexed="81"/>
            <rFont val="Tahoma"/>
            <family val="2"/>
          </rPr>
          <t>R&amp;S Avionics/Interior Cleaning</t>
        </r>
      </text>
    </comment>
    <comment ref="F30" authorId="0" shapeId="0" xr:uid="{00000000-0006-0000-1100-00000A000000}">
      <text>
        <r>
          <rPr>
            <b/>
            <sz val="9"/>
            <color indexed="81"/>
            <rFont val="Tahoma"/>
            <family val="2"/>
          </rPr>
          <t>Arcraft Painting</t>
        </r>
        <r>
          <rPr>
            <sz val="9"/>
            <color indexed="81"/>
            <rFont val="Tahoma"/>
            <family val="2"/>
          </rPr>
          <t xml:space="preserve">
</t>
        </r>
      </text>
    </comment>
    <comment ref="H30" authorId="0" shapeId="0" xr:uid="{00000000-0006-0000-1100-00000B000000}">
      <text>
        <r>
          <rPr>
            <b/>
            <sz val="9"/>
            <color indexed="81"/>
            <rFont val="Tahoma"/>
            <family val="2"/>
          </rPr>
          <t>Sale of Airport Ground Equipmet</t>
        </r>
        <r>
          <rPr>
            <sz val="9"/>
            <color indexed="81"/>
            <rFont val="Tahoma"/>
            <family val="2"/>
          </rPr>
          <t xml:space="preserve">
</t>
        </r>
      </text>
    </comment>
    <comment ref="B31" authorId="0" shapeId="0" xr:uid="{00000000-0006-0000-1100-00000C000000}">
      <text>
        <r>
          <rPr>
            <b/>
            <sz val="9"/>
            <color indexed="81"/>
            <rFont val="Tahoma"/>
            <family val="2"/>
          </rPr>
          <t>Maintenance of Airport Ground Equipment</t>
        </r>
        <r>
          <rPr>
            <sz val="9"/>
            <color indexed="81"/>
            <rFont val="Tahoma"/>
            <family val="2"/>
          </rPr>
          <t xml:space="preserve">
</t>
        </r>
      </text>
    </comment>
    <comment ref="E31" authorId="0" shapeId="0" xr:uid="{00000000-0006-0000-1100-00000D000000}">
      <text>
        <r>
          <rPr>
            <b/>
            <sz val="9"/>
            <color indexed="81"/>
            <rFont val="Tahoma"/>
            <family val="2"/>
          </rPr>
          <t>Employee Leasing</t>
        </r>
        <r>
          <rPr>
            <sz val="9"/>
            <color indexed="81"/>
            <rFont val="Tahoma"/>
            <family val="2"/>
          </rPr>
          <t xml:space="preserve">
</t>
        </r>
      </text>
    </comment>
    <comment ref="G31" authorId="0" shapeId="0" xr:uid="{00000000-0006-0000-1100-00000E000000}">
      <text>
        <r>
          <rPr>
            <b/>
            <sz val="9"/>
            <color indexed="81"/>
            <rFont val="Tahoma"/>
            <family val="2"/>
          </rPr>
          <t>Airport Services/Maintenance</t>
        </r>
        <r>
          <rPr>
            <sz val="9"/>
            <color indexed="81"/>
            <rFont val="Tahoma"/>
            <family val="2"/>
          </rPr>
          <t xml:space="preserve">
</t>
        </r>
      </text>
    </comment>
    <comment ref="B32" authorId="0" shapeId="0" xr:uid="{00000000-0006-0000-1100-00000F000000}">
      <text>
        <r>
          <rPr>
            <b/>
            <sz val="9"/>
            <color indexed="81"/>
            <rFont val="Tahoma"/>
            <family val="2"/>
          </rPr>
          <t>Major Repair / Engine Overhaul. Airframe Modifications</t>
        </r>
        <r>
          <rPr>
            <sz val="9"/>
            <color indexed="81"/>
            <rFont val="Tahoma"/>
            <family val="2"/>
          </rPr>
          <t xml:space="preserve">
</t>
        </r>
      </text>
    </comment>
    <comment ref="F32" authorId="0" shapeId="0" xr:uid="{00000000-0006-0000-1100-000010000000}">
      <text>
        <r>
          <rPr>
            <b/>
            <sz val="9"/>
            <color indexed="81"/>
            <rFont val="Tahoma"/>
            <family val="2"/>
          </rPr>
          <t>Componet Overhaul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<sst xmlns="http://schemas.openxmlformats.org/spreadsheetml/2006/main" count="12939" uniqueCount="4549">
  <si>
    <t>Item #</t>
  </si>
  <si>
    <t>U/W</t>
  </si>
  <si>
    <t>Action</t>
  </si>
  <si>
    <t>Description</t>
  </si>
  <si>
    <t>Effective Date</t>
  </si>
  <si>
    <t>Premium</t>
  </si>
  <si>
    <t>AM/Processor</t>
  </si>
  <si>
    <t>Completed</t>
  </si>
  <si>
    <t>Add</t>
  </si>
  <si>
    <t>Yes</t>
  </si>
  <si>
    <t>Delete</t>
  </si>
  <si>
    <t>No</t>
  </si>
  <si>
    <t>Amend</t>
  </si>
  <si>
    <t>Note</t>
  </si>
  <si>
    <t>Binder</t>
  </si>
  <si>
    <t>Policy Number</t>
  </si>
  <si>
    <t>Midterm Quote?</t>
  </si>
  <si>
    <t>Brokerage:</t>
  </si>
  <si>
    <t>Commission</t>
  </si>
  <si>
    <t>Underwriter</t>
  </si>
  <si>
    <t>Producer Name:</t>
  </si>
  <si>
    <t>Named Insured:</t>
  </si>
  <si>
    <t>Entity Type:</t>
  </si>
  <si>
    <t>Policy Effective Date:</t>
  </si>
  <si>
    <t>To</t>
  </si>
  <si>
    <t>C/O or Address Line 1:</t>
  </si>
  <si>
    <t>Address Line 2:</t>
  </si>
  <si>
    <t>City:</t>
  </si>
  <si>
    <t>State:</t>
  </si>
  <si>
    <t>Zip:</t>
  </si>
  <si>
    <t xml:space="preserve">Midterm Changes check boxes: A/C - new a/c quoted. 
Mod - Modification has been quoted to a/c.  </t>
  </si>
  <si>
    <t>Aircraft Collection</t>
  </si>
  <si>
    <t>Deducts</t>
  </si>
  <si>
    <t>A/C</t>
  </si>
  <si>
    <t>Mod</t>
  </si>
  <si>
    <t>N#</t>
  </si>
  <si>
    <t>Year</t>
  </si>
  <si>
    <t>Make and Model</t>
  </si>
  <si>
    <t>Float</t>
  </si>
  <si>
    <t>Hull Value</t>
  </si>
  <si>
    <t>HV</t>
  </si>
  <si>
    <t>GNIM</t>
  </si>
  <si>
    <t>A/P</t>
  </si>
  <si>
    <t>Liability</t>
  </si>
  <si>
    <t>Medical</t>
  </si>
  <si>
    <t>NIM</t>
  </si>
  <si>
    <t>IM</t>
  </si>
  <si>
    <t>Seats</t>
  </si>
  <si>
    <t>Dual Crew</t>
  </si>
  <si>
    <t>Seat Overide</t>
  </si>
  <si>
    <t>AW</t>
  </si>
  <si>
    <t>Gear</t>
  </si>
  <si>
    <t>Aircraft</t>
  </si>
  <si>
    <t>Response</t>
  </si>
  <si>
    <t>Gear Basic</t>
  </si>
  <si>
    <t>Gear Easy</t>
  </si>
  <si>
    <t>Seat Revision</t>
  </si>
  <si>
    <t>Rate Table`</t>
  </si>
  <si>
    <t>N</t>
  </si>
  <si>
    <t>/</t>
  </si>
  <si>
    <t>$500,000/EX</t>
  </si>
  <si>
    <t>$500,000/$50,000</t>
  </si>
  <si>
    <t>$500,000/$100,000</t>
  </si>
  <si>
    <t>$1,000,000/EX</t>
  </si>
  <si>
    <t>$1,000,000/$100,000.</t>
  </si>
  <si>
    <t>$1,000,000/$200,000</t>
  </si>
  <si>
    <t>$1,000,000/$250,000.</t>
  </si>
  <si>
    <t>$1,000,000/$300,000.</t>
  </si>
  <si>
    <t>$1,000,000/$500,000.</t>
  </si>
  <si>
    <t>$1,000,000 CSL</t>
  </si>
  <si>
    <t>$2,000,000/EX</t>
  </si>
  <si>
    <t>$2,000,000/$100,000</t>
  </si>
  <si>
    <t>$2,000,000/$200,000</t>
  </si>
  <si>
    <t>$50/$250</t>
  </si>
  <si>
    <t>$2,000,000/$250,000</t>
  </si>
  <si>
    <t>$100/$500</t>
  </si>
  <si>
    <t>$2,000,000/$300,000</t>
  </si>
  <si>
    <t>$100/$1,000.</t>
  </si>
  <si>
    <t>$2,000,000/$500,000</t>
  </si>
  <si>
    <t>$100/$2,500.</t>
  </si>
  <si>
    <t>$2,000,000 CSL</t>
  </si>
  <si>
    <t>$100/$5,000.</t>
  </si>
  <si>
    <t>$3,000,000 CSL</t>
  </si>
  <si>
    <t>$100/10%</t>
  </si>
  <si>
    <t>$5,000,000 CSL</t>
  </si>
  <si>
    <t>$1,000/10%</t>
  </si>
  <si>
    <t>$10,000,000 CSL</t>
  </si>
  <si>
    <t>$15,000,000 CSL</t>
  </si>
  <si>
    <t>$20,000,000 CSL</t>
  </si>
  <si>
    <t>Loc</t>
  </si>
  <si>
    <t>Drop Down Selection</t>
  </si>
  <si>
    <t>Manufacturer</t>
  </si>
  <si>
    <t>Model</t>
  </si>
  <si>
    <t>Alt Model</t>
  </si>
  <si>
    <t>BeginYear</t>
  </si>
  <si>
    <t>EndYear</t>
  </si>
  <si>
    <t>LowValue</t>
  </si>
  <si>
    <t>HighValue</t>
  </si>
  <si>
    <t>Crew</t>
  </si>
  <si>
    <t>Pax</t>
  </si>
  <si>
    <t>AW Cert</t>
  </si>
  <si>
    <t>AircraftClass</t>
  </si>
  <si>
    <t>EngineType</t>
  </si>
  <si>
    <t>T-O PWR</t>
  </si>
  <si>
    <t>AC_Category</t>
  </si>
  <si>
    <t>Hull Mod</t>
  </si>
  <si>
    <t>Liab Mod</t>
  </si>
  <si>
    <t>OPC</t>
  </si>
  <si>
    <t>AnnualSchool</t>
  </si>
  <si>
    <t>NIM Deduct</t>
  </si>
  <si>
    <t>In Motion Deduct</t>
  </si>
  <si>
    <t>UW_Only</t>
  </si>
  <si>
    <t>Availabe</t>
  </si>
  <si>
    <t>BroadCoverage</t>
  </si>
  <si>
    <t>Database ID</t>
  </si>
  <si>
    <t>Notes</t>
  </si>
  <si>
    <t>Short Name</t>
  </si>
  <si>
    <t>AERMACCHI AM3C</t>
  </si>
  <si>
    <t>AERMACCHI</t>
  </si>
  <si>
    <t>AM3C</t>
  </si>
  <si>
    <t>BOSBOK</t>
  </si>
  <si>
    <t>MSP</t>
  </si>
  <si>
    <t>P</t>
  </si>
  <si>
    <t>C</t>
  </si>
  <si>
    <t>M</t>
  </si>
  <si>
    <t>Y</t>
  </si>
  <si>
    <t>MILITARY SURPLUS, L-19 REPLACEMENT</t>
  </si>
  <si>
    <t>AERMACCHI MB326M/Impala Mk I</t>
  </si>
  <si>
    <t>MB326M/Impala Mk I</t>
  </si>
  <si>
    <t>MSX</t>
  </si>
  <si>
    <t>T</t>
  </si>
  <si>
    <t>3000LBS</t>
  </si>
  <si>
    <t>R</t>
  </si>
  <si>
    <t>H</t>
  </si>
  <si>
    <t>Military Surplus, 5 in the US, jet upset training www.flightresearch.com, Rick Searfoss</t>
  </si>
  <si>
    <t>AERO L-29</t>
  </si>
  <si>
    <t>AERO</t>
  </si>
  <si>
    <t>L-29</t>
  </si>
  <si>
    <t>DELFIN</t>
  </si>
  <si>
    <t>1960LBS</t>
  </si>
  <si>
    <t>MILITARY SURPLUS</t>
  </si>
  <si>
    <t>AERO L-39</t>
  </si>
  <si>
    <t>L-39</t>
  </si>
  <si>
    <t>ALBATROSS</t>
  </si>
  <si>
    <t>3792LBS</t>
  </si>
  <si>
    <t>AERO PEGASO M-100S</t>
  </si>
  <si>
    <t>PEGASO M-100S</t>
  </si>
  <si>
    <t>STD</t>
  </si>
  <si>
    <t>F</t>
  </si>
  <si>
    <t>L</t>
  </si>
  <si>
    <t>B</t>
  </si>
  <si>
    <t>AEROTREK A220 TW</t>
  </si>
  <si>
    <t>AEROTREK</t>
  </si>
  <si>
    <t>A220 TW</t>
  </si>
  <si>
    <t>LSA</t>
  </si>
  <si>
    <t>AERONCA 65</t>
  </si>
  <si>
    <t>AERONCA</t>
  </si>
  <si>
    <t>AERONCA 11AC</t>
  </si>
  <si>
    <t>11AC</t>
  </si>
  <si>
    <t>Chief</t>
  </si>
  <si>
    <t>AERONCA 11CC</t>
  </si>
  <si>
    <t>11CC</t>
  </si>
  <si>
    <t>Super Chief</t>
  </si>
  <si>
    <t>p</t>
  </si>
  <si>
    <t>l</t>
  </si>
  <si>
    <t>AERONCA 15AC</t>
  </si>
  <si>
    <t>15AC</t>
  </si>
  <si>
    <t>Sedan</t>
  </si>
  <si>
    <t>May be equipped with 165hp Franklin</t>
  </si>
  <si>
    <t>AERONCA 7AC</t>
  </si>
  <si>
    <t>7AC</t>
  </si>
  <si>
    <t>L-16</t>
  </si>
  <si>
    <t>AERONCA 7BCM</t>
  </si>
  <si>
    <t>7BCM</t>
  </si>
  <si>
    <t>L-16A</t>
  </si>
  <si>
    <t>AERONCA 7CCM</t>
  </si>
  <si>
    <t>7CCM</t>
  </si>
  <si>
    <t>L-16B</t>
  </si>
  <si>
    <t>AERONCA 7DC</t>
  </si>
  <si>
    <t>7DC</t>
  </si>
  <si>
    <t>AERONCA 7EC</t>
  </si>
  <si>
    <t>7EC</t>
  </si>
  <si>
    <t>Traveler</t>
  </si>
  <si>
    <t>AERONCA C3</t>
  </si>
  <si>
    <t>C3</t>
  </si>
  <si>
    <t>AERONCA L3</t>
  </si>
  <si>
    <t>L3</t>
  </si>
  <si>
    <t>AEROPILOT LTD LEGEND 600</t>
  </si>
  <si>
    <t>AEROPILOT LTD</t>
  </si>
  <si>
    <t>LEGEND 600</t>
  </si>
  <si>
    <t>AEROPILOT LTD LEGEND 600 AMPHIB</t>
  </si>
  <si>
    <t>LEGEND 600 AMPHIB</t>
  </si>
  <si>
    <t>A</t>
  </si>
  <si>
    <t>AEROPRAKT A22 LS</t>
  </si>
  <si>
    <t>AEROPRAKT</t>
  </si>
  <si>
    <t>A22 LS</t>
  </si>
  <si>
    <t>AEROPRAKT A22 LS Amphib/Float</t>
  </si>
  <si>
    <t>A22 LS Amphib/Float</t>
  </si>
  <si>
    <t>AEROPRO CZ AEROTREK A220 TW</t>
  </si>
  <si>
    <t>AEROPRO CZ</t>
  </si>
  <si>
    <t>AEROPRO CZ AEROTREK A240 TRI</t>
  </si>
  <si>
    <t>AEROTREK A240 TRI</t>
  </si>
  <si>
    <t>AEROPRO CZ EUROFOX TRI</t>
  </si>
  <si>
    <t>EUROFOX TRI</t>
  </si>
  <si>
    <t>AEROSPATIALE 313B ALOUETTE II</t>
  </si>
  <si>
    <t>AEROSPATIALE</t>
  </si>
  <si>
    <t>313B ALOUETTE II</t>
  </si>
  <si>
    <t>AEROSPATIALE 315B LAMA</t>
  </si>
  <si>
    <t>315B LAMA</t>
  </si>
  <si>
    <t>AEROSPATIALE 316B/319B ALOUETTE III</t>
  </si>
  <si>
    <t>316B/319B ALOUETTE III</t>
  </si>
  <si>
    <t>AEROSPATIALE 318C ALOUETTE II</t>
  </si>
  <si>
    <t>318C ALOUETTE II</t>
  </si>
  <si>
    <t>AEROSPATIALE 341G GAZELLE</t>
  </si>
  <si>
    <t>341G GAZELLE</t>
  </si>
  <si>
    <t>AEROSPATIALE CM.170/175</t>
  </si>
  <si>
    <t>CM.170/175</t>
  </si>
  <si>
    <t>MAGISTER/ZEPHYR</t>
  </si>
  <si>
    <t>880LBS</t>
  </si>
  <si>
    <t>AEROSPOOL WT9 DYNAMIC TRI</t>
  </si>
  <si>
    <t>AEROSPOOL</t>
  </si>
  <si>
    <t>WT9 DYNAMIC TRI</t>
  </si>
  <si>
    <t>AEROSPORT LTD BREEZER TRI</t>
  </si>
  <si>
    <t>AEROSPORT LTD</t>
  </si>
  <si>
    <t>BREEZER TRI</t>
  </si>
  <si>
    <t>AEROSPORT LTD C42 IKARUS TRI</t>
  </si>
  <si>
    <t>C42 IKARUS TRI</t>
  </si>
  <si>
    <t>AEROSTAR 601</t>
  </si>
  <si>
    <t>AEROSTAR</t>
  </si>
  <si>
    <t>D</t>
  </si>
  <si>
    <t>TURBO-CHARGED VERSION OF THE 600</t>
  </si>
  <si>
    <t>AEROSTAR 600 / 600A</t>
  </si>
  <si>
    <t>600 / 600A</t>
  </si>
  <si>
    <t>AEROSTAR 601P / PA-60-601P</t>
  </si>
  <si>
    <t>601P / PA-60-601P</t>
  </si>
  <si>
    <t>AEROSTAR 602P / PA-60-602P</t>
  </si>
  <si>
    <t>602P / PA-60-602P</t>
  </si>
  <si>
    <t>AEROSTAR 700P</t>
  </si>
  <si>
    <t>700P</t>
  </si>
  <si>
    <t>ONLY 25 BUILT, SEE ALSO PIPER PA60-700P</t>
  </si>
  <si>
    <t>AEROSTAR-BACAU R40S FESTIVAL</t>
  </si>
  <si>
    <t>AEROSTAR-BACAU</t>
  </si>
  <si>
    <t>R40S FESTIVAL</t>
  </si>
  <si>
    <t>AEROTECHNIK VIVAT L-13 CG</t>
  </si>
  <si>
    <t>AEROTECHNIK</t>
  </si>
  <si>
    <t>VIVAT L-13 CG</t>
  </si>
  <si>
    <t>Motor glider, conventional gear</t>
  </si>
  <si>
    <t>AEROTECHNIK VIVAT L-13 SE/SEH</t>
  </si>
  <si>
    <t>VIVAT L-13 SE/SEH</t>
  </si>
  <si>
    <t>Motor glider, retractable gear</t>
  </si>
  <si>
    <t>A240 TRI</t>
  </si>
  <si>
    <t>AGUSTA A109</t>
  </si>
  <si>
    <t>AGUSTA</t>
  </si>
  <si>
    <t>A109</t>
  </si>
  <si>
    <t>AGUSTA A109 GRAND</t>
  </si>
  <si>
    <t>A109 GRAND</t>
  </si>
  <si>
    <t>Twin turbine</t>
  </si>
  <si>
    <t>AGUSTA A109 GRAND NEW</t>
  </si>
  <si>
    <t>A109 GRAND NEW</t>
  </si>
  <si>
    <t>AGUSTA A109 POWER</t>
  </si>
  <si>
    <t>A109 POWER</t>
  </si>
  <si>
    <t>AGUSTA AW109 POWER</t>
  </si>
  <si>
    <t>AW109 POWER</t>
  </si>
  <si>
    <t>AGUSTA WESTLAND AW139</t>
  </si>
  <si>
    <t>AGUSTA WESTLAND</t>
  </si>
  <si>
    <t>AW139</t>
  </si>
  <si>
    <t>AB139</t>
  </si>
  <si>
    <t>AGUSTA WESTLAND AW169</t>
  </si>
  <si>
    <t>AW169</t>
  </si>
  <si>
    <t>AIR AND SPACE 18A</t>
  </si>
  <si>
    <t>AIR AND SPACE</t>
  </si>
  <si>
    <t>18A</t>
  </si>
  <si>
    <t>AIRCOUPE F-1</t>
  </si>
  <si>
    <t>AIRCOUPE</t>
  </si>
  <si>
    <t>F-1</t>
  </si>
  <si>
    <t>AIRCOUPE F-1 / A2 / 415</t>
  </si>
  <si>
    <t>F-1 / A2 / 415</t>
  </si>
  <si>
    <t>AIRPLANE FACTORY SLING LSA</t>
  </si>
  <si>
    <t>AIRPLANE FACTORY</t>
  </si>
  <si>
    <t>SLING LSA</t>
  </si>
  <si>
    <t>ALON A2</t>
  </si>
  <si>
    <t>ALON</t>
  </si>
  <si>
    <t>A2</t>
  </si>
  <si>
    <t>ALTO ALTO 100</t>
  </si>
  <si>
    <t>ALTO</t>
  </si>
  <si>
    <t>ALTO 100</t>
  </si>
  <si>
    <t>AMD ALARUS CH2000</t>
  </si>
  <si>
    <t>AMD</t>
  </si>
  <si>
    <t>ALARUS CH2000</t>
  </si>
  <si>
    <t>CH2000</t>
  </si>
  <si>
    <t>AMD CH 601</t>
  </si>
  <si>
    <t>CH 601</t>
  </si>
  <si>
    <t>AMD ZODIAC 650LS/I</t>
  </si>
  <si>
    <t>ZODIAC 650LS/I</t>
  </si>
  <si>
    <t>CH650</t>
  </si>
  <si>
    <t>AMERICAN CHAMPION 7EC CHAMP</t>
  </si>
  <si>
    <t>AMERICAN CHAMPION</t>
  </si>
  <si>
    <t>7EC CHAMP</t>
  </si>
  <si>
    <t>LSA COMPLIANT</t>
  </si>
  <si>
    <t>AMERICAN EAGLET 230</t>
  </si>
  <si>
    <t>AMERICAN EAGLET</t>
  </si>
  <si>
    <t>AMERICAN GENERAL AA1 TW</t>
  </si>
  <si>
    <t>AMERICAN GENERAL</t>
  </si>
  <si>
    <t>AA1 TW</t>
  </si>
  <si>
    <t>AMERICAN GENERAL AA1/TR2</t>
  </si>
  <si>
    <t>AA1/TR2</t>
  </si>
  <si>
    <t>AMERICAN GENERAL AA5</t>
  </si>
  <si>
    <t>AA5</t>
  </si>
  <si>
    <t>CHEETAH</t>
  </si>
  <si>
    <t>AMERICAN GENERAL AA5B</t>
  </si>
  <si>
    <t>AA5B</t>
  </si>
  <si>
    <t>TIGER</t>
  </si>
  <si>
    <t>AMERICAN GENERAL AG5B TIGER</t>
  </si>
  <si>
    <t>AG5B TIGER</t>
  </si>
  <si>
    <t>AMERICAN GENERAL GA7</t>
  </si>
  <si>
    <t>GA7</t>
  </si>
  <si>
    <t>COUGAR</t>
  </si>
  <si>
    <t>AMERICAN LEGEND AL11C-100 LEGEND CUB</t>
  </si>
  <si>
    <t>AMERICAN LEGEND</t>
  </si>
  <si>
    <t>AL11C-100 LEGEND CUB</t>
  </si>
  <si>
    <t>AMERICAN LEGEND AL11J-100 LEGENDCUB</t>
  </si>
  <si>
    <t>AL11J-100 LEGENDCUB</t>
  </si>
  <si>
    <t>AMERICAN LEGEND AL18-HP</t>
  </si>
  <si>
    <t>AL18-HP</t>
  </si>
  <si>
    <t>AMERICAN LEGEND AL3C-100</t>
  </si>
  <si>
    <t>AL3C-100</t>
  </si>
  <si>
    <t>ANGEL AIRCRAFT CORP ANGEL 44</t>
  </si>
  <si>
    <t>ANGEL AIRCRAFT CORP</t>
  </si>
  <si>
    <t>ANGEL 44</t>
  </si>
  <si>
    <t>APOLLO FOX</t>
  </si>
  <si>
    <t>APOLLO</t>
  </si>
  <si>
    <t>FOX</t>
  </si>
  <si>
    <t>ARION AIRCRAFT LIGHTNING LS-1</t>
  </si>
  <si>
    <t>ARION AIRCRAFT</t>
  </si>
  <si>
    <t>LIGHTNING LS-1</t>
  </si>
  <si>
    <t>ATEC FAETA</t>
  </si>
  <si>
    <t>ATEC</t>
  </si>
  <si>
    <t>FAETA</t>
  </si>
  <si>
    <t>ATOL 650 LSA</t>
  </si>
  <si>
    <t>ATOL</t>
  </si>
  <si>
    <t>650 LSA</t>
  </si>
  <si>
    <t xml:space="preserve">AUSTER AOP </t>
  </si>
  <si>
    <t>AUSTER</t>
  </si>
  <si>
    <t xml:space="preserve">AOP </t>
  </si>
  <si>
    <t>AVIAT HUSKY</t>
  </si>
  <si>
    <t>AVIAT</t>
  </si>
  <si>
    <t>HUSKY</t>
  </si>
  <si>
    <t>AVIAT PITTS S-1</t>
  </si>
  <si>
    <t>PITTS S-1</t>
  </si>
  <si>
    <t>AVIAT PITTS S-2</t>
  </si>
  <si>
    <t>PITTS S-2</t>
  </si>
  <si>
    <t>AVIONS ROBIN 2160</t>
  </si>
  <si>
    <t>AVIONS</t>
  </si>
  <si>
    <t>ROBIN 2160</t>
  </si>
  <si>
    <t>AVIONS MUDRY CAP 10B</t>
  </si>
  <si>
    <t>AVIONS MUDRY</t>
  </si>
  <si>
    <t>CAP 10B</t>
  </si>
  <si>
    <t>B&amp;F TECHNIK VERTRIEBS FK-9 MK IV</t>
  </si>
  <si>
    <t>B&amp;F TECHNIK VERTRIEBS</t>
  </si>
  <si>
    <t>FK-9 MK IV</t>
  </si>
  <si>
    <t>Variants other than the Mark IV may have unacceptable engines.</t>
  </si>
  <si>
    <t>BAC 167 STRIKEMASTER</t>
  </si>
  <si>
    <t>BAC</t>
  </si>
  <si>
    <t>167 STRIKEMASTER</t>
  </si>
  <si>
    <t>J</t>
  </si>
  <si>
    <t>BEAGLE B.121 PUP 100</t>
  </si>
  <si>
    <t>BEAGLE</t>
  </si>
  <si>
    <t>B.121 PUP 100</t>
  </si>
  <si>
    <t>BEAGLE B.121 PUP 150</t>
  </si>
  <si>
    <t>B.121 PUP 150</t>
  </si>
  <si>
    <t>BEAGLE B.121 PUP 160</t>
  </si>
  <si>
    <t>B.121 PUP 160</t>
  </si>
  <si>
    <t>BEAGLE B.206 BASSET, Series 1</t>
  </si>
  <si>
    <t>B.206 BASSET, Series 1</t>
  </si>
  <si>
    <t>Rare 85 total built, 20 were RAF CC.Mk1</t>
  </si>
  <si>
    <t>BEAGLE B.206 BASSET, Series 2</t>
  </si>
  <si>
    <t>B.206 BASSET, Series 2</t>
  </si>
  <si>
    <t>Rare 85 total built</t>
  </si>
  <si>
    <t>BEECH 17</t>
  </si>
  <si>
    <t>BEECH</t>
  </si>
  <si>
    <t>BEECH 18</t>
  </si>
  <si>
    <t>BEECH 19</t>
  </si>
  <si>
    <t>BEECH 23</t>
  </si>
  <si>
    <t>BEECH 33 (1960-1964) - seats (4)</t>
  </si>
  <si>
    <t>BEECH 33</t>
  </si>
  <si>
    <t>BEECH 33 (1965-1970) - seats (5)</t>
  </si>
  <si>
    <t>BEECH 33 (1971-1979) - seats (6)</t>
  </si>
  <si>
    <t>BEECH 35 (1947-1959) - seats (4)</t>
  </si>
  <si>
    <t>BEECH 35</t>
  </si>
  <si>
    <t>BEECH 35 (1960-1963) - seats (5)</t>
  </si>
  <si>
    <t>BEECH 35 (1964-1969) - seats (6)</t>
  </si>
  <si>
    <t>BEECH 36</t>
  </si>
  <si>
    <t>BEECH 50 (1952-1957) - seats (6)</t>
  </si>
  <si>
    <t>BEECH 50</t>
  </si>
  <si>
    <t>BEECH 50 (1958-1962) - seats (7)</t>
  </si>
  <si>
    <t>BEECH 55</t>
  </si>
  <si>
    <t>BEECH 56</t>
  </si>
  <si>
    <t>BEECH 58 (1970-1979) - seats (6)</t>
  </si>
  <si>
    <t>BEECH 58</t>
  </si>
  <si>
    <t>BEECH 58 (2010-2017) - seats (7)</t>
  </si>
  <si>
    <t>BEECH 60</t>
  </si>
  <si>
    <t>BEECH 76</t>
  </si>
  <si>
    <t>BEECH 77</t>
  </si>
  <si>
    <t>BEECH 95 (1957-1959) - seats (5)</t>
  </si>
  <si>
    <t>BEECH 95</t>
  </si>
  <si>
    <t>BEECH 95 (1960-1968) - seats (6)</t>
  </si>
  <si>
    <t xml:space="preserve">BEECH 200 KING AIR </t>
  </si>
  <si>
    <t xml:space="preserve">200 KING AIR </t>
  </si>
  <si>
    <t>BEECH 300 SERIES KING AIR</t>
  </si>
  <si>
    <t>300 SERIES KING AIR</t>
  </si>
  <si>
    <t xml:space="preserve">BEECH 300 SERIES KING AIR </t>
  </si>
  <si>
    <t>BEECH 23 - 24 III/SUPER III</t>
  </si>
  <si>
    <t>23 - 24 III/SUPER III</t>
  </si>
  <si>
    <t>BEECH 24 R</t>
  </si>
  <si>
    <t>24 R</t>
  </si>
  <si>
    <t>BEECH 58 PRES</t>
  </si>
  <si>
    <t>58 PRES</t>
  </si>
  <si>
    <t>BEECH 65 / 70</t>
  </si>
  <si>
    <t>65 / 70</t>
  </si>
  <si>
    <t>BEECH 80 / 88</t>
  </si>
  <si>
    <t>80 / 88</t>
  </si>
  <si>
    <t>BEECH 90 KING AIR</t>
  </si>
  <si>
    <t>90 KING AIR</t>
  </si>
  <si>
    <t>BEECH 90 KING AIR A/B</t>
  </si>
  <si>
    <t>90 KING AIR A/B</t>
  </si>
  <si>
    <t>BEECH 90 KING AIR B/C</t>
  </si>
  <si>
    <t>90 KING AIR B/C</t>
  </si>
  <si>
    <t>BEECH 90 KING AIR C</t>
  </si>
  <si>
    <t>90 KING AIR C</t>
  </si>
  <si>
    <t>BEECH 90 KING AIR C SE</t>
  </si>
  <si>
    <t>90 KING AIR C SE</t>
  </si>
  <si>
    <t>BEECH 90 KING AIR E</t>
  </si>
  <si>
    <t>90 KING AIR E</t>
  </si>
  <si>
    <t>BEECH 90 KING AIR F</t>
  </si>
  <si>
    <t>90 KING AIR F</t>
  </si>
  <si>
    <t>BEECH/HAWKER 400</t>
  </si>
  <si>
    <t>BEECH 400</t>
  </si>
  <si>
    <t>BEECH/HAWKER 800</t>
  </si>
  <si>
    <t>BEECH 800</t>
  </si>
  <si>
    <t>BEECH PREMIER 1/1A</t>
  </si>
  <si>
    <t>PREMIER 1/1A</t>
  </si>
  <si>
    <t>BEECH T 34</t>
  </si>
  <si>
    <t>T 34</t>
  </si>
  <si>
    <t>BEECH T 34C TURBINE MENTOR</t>
  </si>
  <si>
    <t>T 34C TURBINE MENTOR</t>
  </si>
  <si>
    <t>BEECH/TRADEWINDS 36 TURBINE</t>
  </si>
  <si>
    <t>BEECH/TRADEWINDS</t>
  </si>
  <si>
    <t>36 TURBINE</t>
  </si>
  <si>
    <t>BELL 47</t>
  </si>
  <si>
    <t>BELL</t>
  </si>
  <si>
    <t>BELL 212</t>
  </si>
  <si>
    <t>MSH</t>
  </si>
  <si>
    <t>FEW ARE STANDARD AIRWORTHINESS</t>
  </si>
  <si>
    <t>BELL 222</t>
  </si>
  <si>
    <t>BELL 230</t>
  </si>
  <si>
    <t>BELL 407</t>
  </si>
  <si>
    <t>BELL 427</t>
  </si>
  <si>
    <t>BELL 429</t>
  </si>
  <si>
    <t>BELL 430</t>
  </si>
  <si>
    <t>BELL 206 L-3</t>
  </si>
  <si>
    <t>206 L-3</t>
  </si>
  <si>
    <t>BELL 206 L-4</t>
  </si>
  <si>
    <t>206 L-4</t>
  </si>
  <si>
    <t>BELL 206A</t>
  </si>
  <si>
    <t>206A</t>
  </si>
  <si>
    <t>BELL 206B</t>
  </si>
  <si>
    <t>206B</t>
  </si>
  <si>
    <t>BELL 206L LONG RANGER</t>
  </si>
  <si>
    <t>206L LONG RANGER</t>
  </si>
  <si>
    <t>BELL 222 UTILITY</t>
  </si>
  <si>
    <t>222 UTILITY</t>
  </si>
  <si>
    <t>BELL 505 JET RANGER X</t>
  </si>
  <si>
    <t>505 JET RANGER X</t>
  </si>
  <si>
    <t>BELLANCA 14-13</t>
  </si>
  <si>
    <t>BELLANCA</t>
  </si>
  <si>
    <t>14-13</t>
  </si>
  <si>
    <t>BELLANCA 14-19/14-19-2</t>
  </si>
  <si>
    <t>14-19/14-19-2</t>
  </si>
  <si>
    <t>BELLANCA 14-19-3</t>
  </si>
  <si>
    <t>14-19-3</t>
  </si>
  <si>
    <t>BELLANCA ARIES T-250</t>
  </si>
  <si>
    <t>ARIES T-250</t>
  </si>
  <si>
    <t xml:space="preserve">Only 4 flying. Nearly bankrupted Bellanca.  Now Factory Support. </t>
  </si>
  <si>
    <t>BELLANCA CH-200/300/400 SKYROCKET</t>
  </si>
  <si>
    <t>CH-200/300/400 SKYROCKET</t>
  </si>
  <si>
    <t>BELLANCA VIKING 17-30,31</t>
  </si>
  <si>
    <t>VIKING 17-30,31</t>
  </si>
  <si>
    <t>BOMBARDIER CHALLENGER 600 SERIES</t>
  </si>
  <si>
    <t>BOMBARDIER</t>
  </si>
  <si>
    <t>CHALLENGER 600 SERIES</t>
  </si>
  <si>
    <t>BILSAM AVIATION SKY CRUISER TRI</t>
  </si>
  <si>
    <t>BILSAM AVIATION</t>
  </si>
  <si>
    <t>SKY CRUISER TRI</t>
  </si>
  <si>
    <t>BIRD CK/BW</t>
  </si>
  <si>
    <t>BIRD</t>
  </si>
  <si>
    <t>CK/BW</t>
  </si>
  <si>
    <t>BOEING 40</t>
  </si>
  <si>
    <t>BOEING</t>
  </si>
  <si>
    <t>40</t>
  </si>
  <si>
    <t>BOEING STEARMAN MDL 4</t>
  </si>
  <si>
    <t>STEARMAN MDL 4</t>
  </si>
  <si>
    <t>BOEING STEARMAN MDL 75</t>
  </si>
  <si>
    <t>STEARMAN MDL 75</t>
  </si>
  <si>
    <t>1948-1955 are certified military surplus with Standard Airworthiness</t>
  </si>
  <si>
    <t>BRANTLY-HYNES 305</t>
  </si>
  <si>
    <t>BRANTLY-HYNES</t>
  </si>
  <si>
    <t>No Hull Coverage</t>
  </si>
  <si>
    <t>BRANTLY-HYNES B2</t>
  </si>
  <si>
    <t>B2</t>
  </si>
  <si>
    <t>BRM AERO BRISTELL NG5 LSA</t>
  </si>
  <si>
    <t>BRM AERO</t>
  </si>
  <si>
    <t>BRISTELL NG5 LSA</t>
  </si>
  <si>
    <t>BUCKER 180 STUDENT</t>
  </si>
  <si>
    <t>BUCKER</t>
  </si>
  <si>
    <t>180 STUDENT</t>
  </si>
  <si>
    <t>BUSHCADDY BUSHCADDY TW</t>
  </si>
  <si>
    <t>BUSHCADDY</t>
  </si>
  <si>
    <t>BUSHCADDY TW</t>
  </si>
  <si>
    <t>CESSNA 120</t>
  </si>
  <si>
    <t>CESSNA</t>
  </si>
  <si>
    <t>CESSNA 140</t>
  </si>
  <si>
    <t>CESSNA 150</t>
  </si>
  <si>
    <t>CESSNA 152</t>
  </si>
  <si>
    <t>CESSNA 162</t>
  </si>
  <si>
    <t>CESSNA 170</t>
  </si>
  <si>
    <t>CESSNA 172</t>
  </si>
  <si>
    <t>CESSNA 175</t>
  </si>
  <si>
    <t>CESSNA 177</t>
  </si>
  <si>
    <t>CESSNA 180 (1953-1959) - seats (4)</t>
  </si>
  <si>
    <t>CESSNA 180</t>
  </si>
  <si>
    <t>CESSNA 180 (1965-1969) - seats (6)</t>
  </si>
  <si>
    <t>CESSNA 182</t>
  </si>
  <si>
    <t>CESSNA 185</t>
  </si>
  <si>
    <t>CESSNA 188</t>
  </si>
  <si>
    <t>No agricultural operations</t>
  </si>
  <si>
    <t>CESSNA 205</t>
  </si>
  <si>
    <t>CESSNA 206</t>
  </si>
  <si>
    <t>CESSNA 207</t>
  </si>
  <si>
    <t>CESSNA 208</t>
  </si>
  <si>
    <t>CESSNA 210 (1960-1963) - seats (4)</t>
  </si>
  <si>
    <t>CESSNA 210</t>
  </si>
  <si>
    <t>CESSNA 210 (1964-1969) - seats (6)</t>
  </si>
  <si>
    <t>CESSNA 303</t>
  </si>
  <si>
    <t>CESSNA 310 (1954-1962) - seats (5)</t>
  </si>
  <si>
    <t>CESSNA 310</t>
  </si>
  <si>
    <t>CESSNA 310 (1963-1969) - seats (6)</t>
  </si>
  <si>
    <t>CESSNA 320</t>
  </si>
  <si>
    <t>CESSNA 335</t>
  </si>
  <si>
    <t>CESSNA 336</t>
  </si>
  <si>
    <t>CESSNA 337</t>
  </si>
  <si>
    <t>CESSNA 340</t>
  </si>
  <si>
    <t>CESSNA 401</t>
  </si>
  <si>
    <t>CESSNA 402 (1967-1969) - seats (9)</t>
  </si>
  <si>
    <t>CESSNA 402</t>
  </si>
  <si>
    <t>CESSNA 402 (1970-1974) - seats (10)</t>
  </si>
  <si>
    <t>CESSNA 404</t>
  </si>
  <si>
    <t>CESSNA 414</t>
  </si>
  <si>
    <t>CESSNA 421 (1968-1969) - seats (7)</t>
  </si>
  <si>
    <t>CESSNA 421</t>
  </si>
  <si>
    <t>CESSNA 421 (1970-1974) - seats (8)</t>
  </si>
  <si>
    <t>CESSNA 150 TW</t>
  </si>
  <si>
    <t>150 TW</t>
  </si>
  <si>
    <t>CESSNA 152 TW</t>
  </si>
  <si>
    <t>152 TW</t>
  </si>
  <si>
    <t>CESSNA 172 RG</t>
  </si>
  <si>
    <t>172 RG</t>
  </si>
  <si>
    <t>CESSNA 172 TW</t>
  </si>
  <si>
    <t>172 TW</t>
  </si>
  <si>
    <t>CESSNA 172 XP</t>
  </si>
  <si>
    <t>172 XP</t>
  </si>
  <si>
    <t>CESSNA 175 TW</t>
  </si>
  <si>
    <t>175 TW</t>
  </si>
  <si>
    <t>CESSNA 177RG</t>
  </si>
  <si>
    <t>177RG</t>
  </si>
  <si>
    <t>CESSNA 182 RG</t>
  </si>
  <si>
    <t>182 RG</t>
  </si>
  <si>
    <t>CESSNA 182 TW</t>
  </si>
  <si>
    <t>182 TW</t>
  </si>
  <si>
    <t>CESSNA 190 / 195</t>
  </si>
  <si>
    <t>190 / 195</t>
  </si>
  <si>
    <t>CESSNA 210 PRES</t>
  </si>
  <si>
    <t>210 PRES</t>
  </si>
  <si>
    <t>CESSNA 210 TURBOPROP</t>
  </si>
  <si>
    <t>210 TURBOPROP</t>
  </si>
  <si>
    <t>SILVER EAGLE</t>
  </si>
  <si>
    <t>CESSNA 300 LC-40 (COLUMBIA)</t>
  </si>
  <si>
    <t>300 LC-40 (COLUMBIA)</t>
  </si>
  <si>
    <t>CESSNA 305 BIRDDOG / ECTOR</t>
  </si>
  <si>
    <t>305 BIRDDOG / ECTOR</t>
  </si>
  <si>
    <t>CESSNA 337 PRES</t>
  </si>
  <si>
    <t>337 PRES</t>
  </si>
  <si>
    <t>CESSNA 34 AIRMASTER</t>
  </si>
  <si>
    <t>34 AIRMASTER</t>
  </si>
  <si>
    <t>CESSNA 350 LC-42</t>
  </si>
  <si>
    <t>350 LC-42</t>
  </si>
  <si>
    <t>CESSNA 350 LC-42 CORVALIS</t>
  </si>
  <si>
    <t>350 LC-42 CORVALIS</t>
  </si>
  <si>
    <t>CESSNA 400 LC-41</t>
  </si>
  <si>
    <t>400 LC-41</t>
  </si>
  <si>
    <t>CESSNA 400 LC-41 CORVALIS TT</t>
  </si>
  <si>
    <t>400 LC-41 CORVALIS TT</t>
  </si>
  <si>
    <t>CESSNA 414A</t>
  </si>
  <si>
    <t>414A</t>
  </si>
  <si>
    <t>CESSNA 425 CORSAIR / CONQUEST I</t>
  </si>
  <si>
    <t>425 CORSAIR / CONQUEST I</t>
  </si>
  <si>
    <t>CESSNA 441 CONQUEST II</t>
  </si>
  <si>
    <t>441 CONQUEST II</t>
  </si>
  <si>
    <t>CESSNA CITATION 500</t>
  </si>
  <si>
    <t>CITATION 500</t>
  </si>
  <si>
    <t>CESSNA CITATION I/SP</t>
  </si>
  <si>
    <t>CITATION I/SP</t>
  </si>
  <si>
    <t>CESSNA CIATION V ULTRA</t>
  </si>
  <si>
    <t>CITATION V ULTRA</t>
  </si>
  <si>
    <t>CESSNA CITATION V ULTRA</t>
  </si>
  <si>
    <t>CESSNA 510 MUSTANG</t>
  </si>
  <si>
    <t>510 MUSTANG</t>
  </si>
  <si>
    <t>CESSNA 510 Mustang</t>
  </si>
  <si>
    <t>CESSNA 525</t>
  </si>
  <si>
    <t>CESSNA 525/CJ1</t>
  </si>
  <si>
    <t>525/CJ1</t>
  </si>
  <si>
    <t>CESSNA 525A/CJ2/CJ2+</t>
  </si>
  <si>
    <t>525A/CJ2/CJ2+</t>
  </si>
  <si>
    <t>CESSNA 525B/CJ3/CJ3+</t>
  </si>
  <si>
    <t>525B/CJ3/CJ3+</t>
  </si>
  <si>
    <t>CESSNA 525BC/CJ4</t>
  </si>
  <si>
    <t>525C/CJ4</t>
  </si>
  <si>
    <t>CESSNA CITATION BRAVO 550</t>
  </si>
  <si>
    <t>CITATION BRAVO 550</t>
  </si>
  <si>
    <t>CESSNA CIATION 560</t>
  </si>
  <si>
    <t>CIATION 560</t>
  </si>
  <si>
    <t>CIATION 560-XL</t>
  </si>
  <si>
    <t>CESSNA CIATION 650</t>
  </si>
  <si>
    <t>CIATION 650</t>
  </si>
  <si>
    <t>CESSNA CIATION LATITUDE</t>
  </si>
  <si>
    <t>CIATION LATITUDE</t>
  </si>
  <si>
    <t>CESSNA M2</t>
  </si>
  <si>
    <t>M2</t>
  </si>
  <si>
    <t>CESSNA CIATION SOVEREIGN</t>
  </si>
  <si>
    <t>CIATION SOVEREIGN</t>
  </si>
  <si>
    <t>CESSNA J182T TURBO SKYLANE</t>
  </si>
  <si>
    <t>J182T TURBO SKYLANE</t>
  </si>
  <si>
    <t>SMA DIESEL ENGINE</t>
  </si>
  <si>
    <t>CESSNA T-37/AT-37 (318)</t>
  </si>
  <si>
    <t>T-37/AT-37 (318)</t>
  </si>
  <si>
    <t>AEA required for operations</t>
  </si>
  <si>
    <t>CESSNA T-50</t>
  </si>
  <si>
    <t>T-50</t>
  </si>
  <si>
    <t>CESSNA TTx</t>
  </si>
  <si>
    <t>TTx</t>
  </si>
  <si>
    <t>CHAMPION 7ACA</t>
  </si>
  <si>
    <t>CHAMPION</t>
  </si>
  <si>
    <t>7ACA</t>
  </si>
  <si>
    <t>CHAMPION 7EC</t>
  </si>
  <si>
    <t>CHAMP</t>
  </si>
  <si>
    <t>CHAMPION 7ECA</t>
  </si>
  <si>
    <t>7ECA</t>
  </si>
  <si>
    <t>AURORA</t>
  </si>
  <si>
    <t>CHAMPION 7FC</t>
  </si>
  <si>
    <t>7FC</t>
  </si>
  <si>
    <t>TRI-CHAMP</t>
  </si>
  <si>
    <t>CHAMPION 7GCAA</t>
  </si>
  <si>
    <t>7GCAA</t>
  </si>
  <si>
    <t>ADVENTURE</t>
  </si>
  <si>
    <t>CHAMPION 7GCBC</t>
  </si>
  <si>
    <t>7GCBC</t>
  </si>
  <si>
    <t>EXPLORER</t>
  </si>
  <si>
    <t>CHAMPION 7KCAB</t>
  </si>
  <si>
    <t>7KCAB</t>
  </si>
  <si>
    <t>CITABRIA</t>
  </si>
  <si>
    <t>AEROBATIC</t>
  </si>
  <si>
    <t>CHAMPION 8GCBC</t>
  </si>
  <si>
    <t>8GCBC</t>
  </si>
  <si>
    <t>SCOUT</t>
  </si>
  <si>
    <t>CHAMPION 8KCAB</t>
  </si>
  <si>
    <t>8KCAB</t>
  </si>
  <si>
    <t>DECATHLON</t>
  </si>
  <si>
    <t>CIRRUS SF50</t>
  </si>
  <si>
    <t>CIRRUS</t>
  </si>
  <si>
    <t>SF50</t>
  </si>
  <si>
    <t>VISION</t>
  </si>
  <si>
    <t>Single engine jet, negligible ingestion exposure</t>
  </si>
  <si>
    <t>CIRRUS SR20</t>
  </si>
  <si>
    <t>SR20</t>
  </si>
  <si>
    <t>CIRRUS SR22 (2001-2004) - seats (4)</t>
  </si>
  <si>
    <t>SR22</t>
  </si>
  <si>
    <t>CIRRUS SR22</t>
  </si>
  <si>
    <t>CIRRUS SR22 (2012-2020) - seats (5)</t>
  </si>
  <si>
    <t>COLUMBIA 300</t>
  </si>
  <si>
    <t>COLUMBIA</t>
  </si>
  <si>
    <t>COLUMBIA 350</t>
  </si>
  <si>
    <t>COLUMBIA 400</t>
  </si>
  <si>
    <t>COLYAER S100 FREEDOM SEA</t>
  </si>
  <si>
    <t>COLYAER</t>
  </si>
  <si>
    <t>S100 FREEDOM SEA</t>
  </si>
  <si>
    <t>COMMAND AIRE 5C3/C3C-T</t>
  </si>
  <si>
    <t>COMMAND AIRE</t>
  </si>
  <si>
    <t>5C3/C3C-T</t>
  </si>
  <si>
    <t>COMMANDER 112</t>
  </si>
  <si>
    <t>COMMANDER</t>
  </si>
  <si>
    <t>COMMANDER 114</t>
  </si>
  <si>
    <t>COMMANDER 112TC</t>
  </si>
  <si>
    <t>112TC</t>
  </si>
  <si>
    <t>COMMANDER 114TC</t>
  </si>
  <si>
    <t>114TC</t>
  </si>
  <si>
    <t>COMMANDER 115/115TC</t>
  </si>
  <si>
    <t>115/115TC</t>
  </si>
  <si>
    <t>CUB CRAFTERS CARBON CUB SS</t>
  </si>
  <si>
    <t>CUB CRAFTERS</t>
  </si>
  <si>
    <t>CARBON CUB SS</t>
  </si>
  <si>
    <t>CUB CRAFTERS SPORT CUB</t>
  </si>
  <si>
    <t>SPORT CUB</t>
  </si>
  <si>
    <t>CUB CRAFTERS SPORT CUB S2</t>
  </si>
  <si>
    <t>SPORT CUB S2</t>
  </si>
  <si>
    <t>CUB CRAFTERS TOP CUB</t>
  </si>
  <si>
    <t>TOP CUB</t>
  </si>
  <si>
    <t>CUB CRAFTERS XCUB CC19-180</t>
  </si>
  <si>
    <t>XCUB CC19-180</t>
  </si>
  <si>
    <t>CULVER CADET/PQ-14</t>
  </si>
  <si>
    <t>CULVER</t>
  </si>
  <si>
    <t>CADET/PQ-14</t>
  </si>
  <si>
    <t>CULVER LCA</t>
  </si>
  <si>
    <t>LCA</t>
  </si>
  <si>
    <t>CULVER V</t>
  </si>
  <si>
    <t>V</t>
  </si>
  <si>
    <t>CURTISS JN4</t>
  </si>
  <si>
    <t>CURTISS</t>
  </si>
  <si>
    <t>JN4</t>
  </si>
  <si>
    <t>13 flyable in the US</t>
  </si>
  <si>
    <t>CURTISS ROBIN</t>
  </si>
  <si>
    <t>ROBIN</t>
  </si>
  <si>
    <t>CURTISS- WRIGHT 19/23</t>
  </si>
  <si>
    <t>CURTISS- WRIGHT</t>
  </si>
  <si>
    <t>19/23</t>
  </si>
  <si>
    <t>CZECH AIRCRAFT WORKS MERMAID SEA</t>
  </si>
  <si>
    <t>CZECH AIRCRAFT WORKS</t>
  </si>
  <si>
    <t>MERMAID SEA</t>
  </si>
  <si>
    <t>CZECH AIRCRAFT WORKS PARROT</t>
  </si>
  <si>
    <t>PARROT</t>
  </si>
  <si>
    <t>CZECH AIRCRAFT WORKS SPORT CRUISER</t>
  </si>
  <si>
    <t>SPORT CRUISER</t>
  </si>
  <si>
    <t>DASSAULT FALCON 10</t>
  </si>
  <si>
    <t>DASSAULT</t>
  </si>
  <si>
    <t>FALCON 10</t>
  </si>
  <si>
    <t>DASSAULT FALCON 20</t>
  </si>
  <si>
    <t>FALCON 20</t>
  </si>
  <si>
    <t>DAVIS D1-K/W</t>
  </si>
  <si>
    <t>DAVIS</t>
  </si>
  <si>
    <t>D1-K/W</t>
  </si>
  <si>
    <t>DEHAVILLAND DHC-2 TURBINE BEAVER</t>
  </si>
  <si>
    <t>DEHAVILLAND</t>
  </si>
  <si>
    <t>DHC-2 TURBINE BEAVER</t>
  </si>
  <si>
    <t>DEHAVILLAND DH 82 TIGERMOTH</t>
  </si>
  <si>
    <t>DH 82 TIGERMOTH</t>
  </si>
  <si>
    <t>O</t>
  </si>
  <si>
    <t>DEHAVILLAND DHC-1 CHIPMUNK</t>
  </si>
  <si>
    <t>DHC-1 CHIPMUNK</t>
  </si>
  <si>
    <t>DEHAVILLAND DHC-2 BEAVER</t>
  </si>
  <si>
    <t>DHC-2 BEAVER</t>
  </si>
  <si>
    <t>DIAMOND DA20</t>
  </si>
  <si>
    <t>DIAMOND</t>
  </si>
  <si>
    <t>DA20</t>
  </si>
  <si>
    <t>DIAMOND DA40</t>
  </si>
  <si>
    <t>DA40</t>
  </si>
  <si>
    <t>DIAMOND DA42</t>
  </si>
  <si>
    <t>DA42</t>
  </si>
  <si>
    <t>DIAMOND DA50 RG</t>
  </si>
  <si>
    <t>DA50 RG</t>
  </si>
  <si>
    <t>DIAMOND DA62</t>
  </si>
  <si>
    <t>DA62</t>
  </si>
  <si>
    <t>Diesel version of the DA42, European version only has 5 seats</t>
  </si>
  <si>
    <t>DORNIER DO 27</t>
  </si>
  <si>
    <t>DORNIER</t>
  </si>
  <si>
    <t>DO 27</t>
  </si>
  <si>
    <t>DOUGLAS A-26</t>
  </si>
  <si>
    <t>DOUGLAS</t>
  </si>
  <si>
    <t>A-26</t>
  </si>
  <si>
    <t>DOVA DV-1 SKYLARK TRI</t>
  </si>
  <si>
    <t>DOVA</t>
  </si>
  <si>
    <t>DV-1 SKYLARK TRI</t>
  </si>
  <si>
    <t>EAGLE AIRCRAFT 150B</t>
  </si>
  <si>
    <t>EAGLE AIRCRAFT</t>
  </si>
  <si>
    <t>150B</t>
  </si>
  <si>
    <t>EAGLE AVIATION EA-100</t>
  </si>
  <si>
    <t>EAGLE AVIATION</t>
  </si>
  <si>
    <t>EA-100</t>
  </si>
  <si>
    <t>ECLIPSE 500</t>
  </si>
  <si>
    <t>ECLIPSE</t>
  </si>
  <si>
    <t>EMBRAER EMB-312 TUCANO</t>
  </si>
  <si>
    <t>EMBRAER</t>
  </si>
  <si>
    <t>EMB-312 TUCANO</t>
  </si>
  <si>
    <t>NOT VALID WITH GARRETT TPE331-12B 1,100shp ENGINE: MANAGER ONLYWITH GARRETT</t>
  </si>
  <si>
    <t>EMBRAER PHENOM 100</t>
  </si>
  <si>
    <t>PHENOM 100</t>
  </si>
  <si>
    <t>EMBRAER PHENOM 300</t>
  </si>
  <si>
    <t>PHENOM 300</t>
  </si>
  <si>
    <t>ENSTROM 480</t>
  </si>
  <si>
    <t>ENSTROM</t>
  </si>
  <si>
    <t>ENSTROM 28/280</t>
  </si>
  <si>
    <t>28/280</t>
  </si>
  <si>
    <t>EPIC AIRCRAFT E1000</t>
  </si>
  <si>
    <t>EPIC AIRCRAFT</t>
  </si>
  <si>
    <t>E1000</t>
  </si>
  <si>
    <t>Management Only</t>
  </si>
  <si>
    <t>EPIC AIRCRAFT LT</t>
  </si>
  <si>
    <t>LT</t>
  </si>
  <si>
    <t>EXP</t>
  </si>
  <si>
    <t>ERCOUPE 415</t>
  </si>
  <si>
    <t>ERCOUPE</t>
  </si>
  <si>
    <t>EUROCOPTER AS 355</t>
  </si>
  <si>
    <t>EUROCOPTER</t>
  </si>
  <si>
    <t>AS 355</t>
  </si>
  <si>
    <t>EUROCOPTER AS 355N</t>
  </si>
  <si>
    <t>AS 355N</t>
  </si>
  <si>
    <t>EUROCOPTER AS350</t>
  </si>
  <si>
    <t>AS350</t>
  </si>
  <si>
    <t>EUROCOPTER AS350D</t>
  </si>
  <si>
    <t>AS350D</t>
  </si>
  <si>
    <t>EUROCOPTER EC120</t>
  </si>
  <si>
    <t>EC120</t>
  </si>
  <si>
    <t>EUROCOPTER EC130</t>
  </si>
  <si>
    <t>EC130</t>
  </si>
  <si>
    <t>EVEKTOR AEROTECHNIK SPORT STAR</t>
  </si>
  <si>
    <t>EVEKTOR AEROTECHNIK</t>
  </si>
  <si>
    <t>SPORT STAR</t>
  </si>
  <si>
    <t>EXTRA 300L</t>
  </si>
  <si>
    <t>EXTRA</t>
  </si>
  <si>
    <t>300L</t>
  </si>
  <si>
    <t>Standard - Aerobatic</t>
  </si>
  <si>
    <t>FAIRCHILD 22</t>
  </si>
  <si>
    <t>FAIRCHILD</t>
  </si>
  <si>
    <t>FAIRCHILD 24</t>
  </si>
  <si>
    <t>FAIRCHILD 71</t>
  </si>
  <si>
    <t>FAIRCHILD F-23</t>
  </si>
  <si>
    <t>F-23</t>
  </si>
  <si>
    <t>FAIRCHILD KR-21</t>
  </si>
  <si>
    <t>KR-21</t>
  </si>
  <si>
    <t>FAIRCHILD PT19 / 23 / 26 / M62</t>
  </si>
  <si>
    <t>PT19 / 23 / 26 / M62</t>
  </si>
  <si>
    <t>FANTASY AIR ALLEGRO 2000</t>
  </si>
  <si>
    <t>FANTASY AIR</t>
  </si>
  <si>
    <t>ALLEGRO 2000</t>
  </si>
  <si>
    <t>FIAT G.46</t>
  </si>
  <si>
    <t>FIAT</t>
  </si>
  <si>
    <t>G.46</t>
  </si>
  <si>
    <t>FK LIGHTPLANES FK-12 COMET</t>
  </si>
  <si>
    <t>FK LIGHTPLANES</t>
  </si>
  <si>
    <t>FK-12 COMET</t>
  </si>
  <si>
    <t>FK LIGHTPLANES FK-9 ELA</t>
  </si>
  <si>
    <t>FK-9 ELA</t>
  </si>
  <si>
    <t>FK LIGHTPLANES FK-9 MK IV</t>
  </si>
  <si>
    <t>FLEET BI PLANE</t>
  </si>
  <si>
    <t>FLEET</t>
  </si>
  <si>
    <t>BI PLANE</t>
  </si>
  <si>
    <t>FLIGHT DESIGN CT</t>
  </si>
  <si>
    <t>FLIGHT DESIGN</t>
  </si>
  <si>
    <t>CT</t>
  </si>
  <si>
    <t>FLYING LEGEND TUCANO S-LSA</t>
  </si>
  <si>
    <t>FLYING LEGEND</t>
  </si>
  <si>
    <t>TUCANO S-LSA</t>
  </si>
  <si>
    <t>FOCKE-WULF 149D</t>
  </si>
  <si>
    <t>FOCKE-WULF</t>
  </si>
  <si>
    <t>149D</t>
  </si>
  <si>
    <t>FOUND AIRCRAFT BUSH HAWK-XP</t>
  </si>
  <si>
    <t>FOUND AIRCRAFT</t>
  </si>
  <si>
    <t>BUSH HAWK-XP</t>
  </si>
  <si>
    <t>FPNA A-22 VALOR</t>
  </si>
  <si>
    <t>FPNA</t>
  </si>
  <si>
    <t>A-22 VALOR</t>
  </si>
  <si>
    <t>FUNK MODEL B</t>
  </si>
  <si>
    <t>FUNK</t>
  </si>
  <si>
    <t>MODEL B</t>
  </si>
  <si>
    <t>GIPPSLAND GA8</t>
  </si>
  <si>
    <t>GIPPSLAND</t>
  </si>
  <si>
    <t>GA8</t>
  </si>
  <si>
    <t>GLASAIR MERLIN LSA</t>
  </si>
  <si>
    <t>GLASAIR</t>
  </si>
  <si>
    <t>MERLIN LSA</t>
  </si>
  <si>
    <t>GOBOSH 800XP TRI</t>
  </si>
  <si>
    <t>GOBOSH</t>
  </si>
  <si>
    <t>800XP TRI</t>
  </si>
  <si>
    <t>GOBOSH G700</t>
  </si>
  <si>
    <t>G700</t>
  </si>
  <si>
    <t>GOLDEN EAGLE CHIEF</t>
  </si>
  <si>
    <t>GOLDEN EAGLE</t>
  </si>
  <si>
    <t>CHIEF</t>
  </si>
  <si>
    <t>GREAT LAKES 2T-1</t>
  </si>
  <si>
    <t>GREAT LAKES</t>
  </si>
  <si>
    <t>2T-1</t>
  </si>
  <si>
    <t>GREAT LAKES SPORT TRAIN</t>
  </si>
  <si>
    <t>SPORT TRAIN</t>
  </si>
  <si>
    <t>GREAT LAKES 2T-1A BY WACO</t>
  </si>
  <si>
    <t>2T-1A BY WACO</t>
  </si>
  <si>
    <t>GROB 115C</t>
  </si>
  <si>
    <t>GROB</t>
  </si>
  <si>
    <t>115C</t>
  </si>
  <si>
    <t>GRUMMAN AF-2 GUARDIAN</t>
  </si>
  <si>
    <t>GRUMMAN</t>
  </si>
  <si>
    <t>AF-2 GUARDIAN</t>
  </si>
  <si>
    <t>Manager Only</t>
  </si>
  <si>
    <t>GRUMMAN G-21A GOOSE</t>
  </si>
  <si>
    <t>G-21A GOOSE</t>
  </si>
  <si>
    <t>GRUMMAN G-21C/D/G TURBO-GOOSE</t>
  </si>
  <si>
    <t>G-21C/D/G TURBO-GOOSE</t>
  </si>
  <si>
    <t>GRUMMAN G-44</t>
  </si>
  <si>
    <t>G-44</t>
  </si>
  <si>
    <t>GRUMMAN HU-16 ALBATROSS</t>
  </si>
  <si>
    <t>HU-16 ALBATROSS</t>
  </si>
  <si>
    <t>Manager only, Don't exceed 10 total seats, may have STD AW cert, turboprop conversions are flying.</t>
  </si>
  <si>
    <t>GRUMMAN TBF / TBM</t>
  </si>
  <si>
    <t>TBF / TBM</t>
  </si>
  <si>
    <t>AVENGER</t>
  </si>
  <si>
    <t>Rated GTOW is over 12,500 lbs for war conditions, with a 5 ton torpedo. Lower In-Motion deductibles can be considered for market conditions.</t>
  </si>
  <si>
    <t>GRYF AIRCRAFT MD3 RIDER</t>
  </si>
  <si>
    <t>GRYF AIRCRAFT</t>
  </si>
  <si>
    <t>MD3 RIDER</t>
  </si>
  <si>
    <t>GULFSTREAM G100</t>
  </si>
  <si>
    <t>GULFSTREAM</t>
  </si>
  <si>
    <t>G100</t>
  </si>
  <si>
    <t>ASTRA SPX</t>
  </si>
  <si>
    <t>Gulfstream G100</t>
  </si>
  <si>
    <t>GYRO-KOPP-TERS MIDNIGHT HAWK</t>
  </si>
  <si>
    <t>GYRO-KOPP-TERS</t>
  </si>
  <si>
    <t>MIDNIGHT HAWK</t>
  </si>
  <si>
    <t>HARLOW PJC</t>
  </si>
  <si>
    <t>HARLOW</t>
  </si>
  <si>
    <t>PJC</t>
  </si>
  <si>
    <t xml:space="preserve">HAWKER FB-11 SEA FURY / FURY </t>
  </si>
  <si>
    <t>HAWKER</t>
  </si>
  <si>
    <t xml:space="preserve">FB-11 SEA FURY / FURY </t>
  </si>
  <si>
    <t>Authorized Experimental Endosement H-FB-11, may have one seat</t>
  </si>
  <si>
    <t>HAWKER T-20 SEA FURY TRAINIER</t>
  </si>
  <si>
    <t>T-20 SEA FURY TRAINIER</t>
  </si>
  <si>
    <t>Authorized Experimental Endosement H-FB-11, always has two seats</t>
  </si>
  <si>
    <t>HELICOPTERES GUIMBAL CABRI G2</t>
  </si>
  <si>
    <t>HELICOPTERES GUIMBAL</t>
  </si>
  <si>
    <t>CABRI G2</t>
  </si>
  <si>
    <t>INEFFECTIVE TAIL ROTOR - DO NOT WRITE</t>
  </si>
  <si>
    <t>HELIO COURIER</t>
  </si>
  <si>
    <t>HELIO</t>
  </si>
  <si>
    <t>COURIER</t>
  </si>
  <si>
    <t>HELIO COURIER - FTRI</t>
  </si>
  <si>
    <t>COURIER - FTRI</t>
  </si>
  <si>
    <t>HGL AERO EAGLE 150</t>
  </si>
  <si>
    <t>HGL AERO</t>
  </si>
  <si>
    <t>EAGLE 150</t>
  </si>
  <si>
    <t>HIGHER CLASS SPORT HORNET</t>
  </si>
  <si>
    <t>HIGHER CLASS</t>
  </si>
  <si>
    <t>SPORT HORNET</t>
  </si>
  <si>
    <t>HILLER 12</t>
  </si>
  <si>
    <t>HILLER</t>
  </si>
  <si>
    <t>HILLER FH-1100</t>
  </si>
  <si>
    <t>FH-1100</t>
  </si>
  <si>
    <t>HONDA HA-420</t>
  </si>
  <si>
    <t>HONDA</t>
  </si>
  <si>
    <t>HA-420</t>
  </si>
  <si>
    <t>HOWARD DGA-15</t>
  </si>
  <si>
    <t>HOWARD</t>
  </si>
  <si>
    <t>DGA-15</t>
  </si>
  <si>
    <t>IIIA SKY ARROW 600 SPORT</t>
  </si>
  <si>
    <t>IIIA</t>
  </si>
  <si>
    <t>SKY ARROW 600 SPORT</t>
  </si>
  <si>
    <t>INDUS AVIATION T211 THORPEDO</t>
  </si>
  <si>
    <t>INDUS AVIATION</t>
  </si>
  <si>
    <t>T211 THORPEDO</t>
  </si>
  <si>
    <t>INTERPLANE MYSTIQUE</t>
  </si>
  <si>
    <t>INTERPLANE</t>
  </si>
  <si>
    <t>MYSTIQUE</t>
  </si>
  <si>
    <t>INTERPLANE SKYBOY</t>
  </si>
  <si>
    <t>SKYBOY</t>
  </si>
  <si>
    <t>INTERSTATE S-1 / L-6</t>
  </si>
  <si>
    <t>INTERSTATE</t>
  </si>
  <si>
    <t>S-1 / L-6</t>
  </si>
  <si>
    <t>INTERSTATE S-1B2  ARCTIC TERN</t>
  </si>
  <si>
    <t>S-1B2  ARCTIC TERN</t>
  </si>
  <si>
    <t>JABIRU CALYPSO SP</t>
  </si>
  <si>
    <t>JABIRU</t>
  </si>
  <si>
    <t>CALYPSO SP</t>
  </si>
  <si>
    <t>JABIRU J170-SP</t>
  </si>
  <si>
    <t>J170-SP</t>
  </si>
  <si>
    <t>JABIRU J230-SP</t>
  </si>
  <si>
    <t>J230-SP</t>
  </si>
  <si>
    <t>JABIRU J250-SP</t>
  </si>
  <si>
    <t>J250-SP</t>
  </si>
  <si>
    <t>JIHLAVAN AIRPLANES KP-5 KAPPA</t>
  </si>
  <si>
    <t>JIHLAVAN AIRPLANES</t>
  </si>
  <si>
    <t>KP-5 KAPPA</t>
  </si>
  <si>
    <t>JMB VL3-FT</t>
  </si>
  <si>
    <t>JMB</t>
  </si>
  <si>
    <t>VL3-FT</t>
  </si>
  <si>
    <t>JMB VL3-RG</t>
  </si>
  <si>
    <t>VL3-RG</t>
  </si>
  <si>
    <t>JOHNSON ROCKET</t>
  </si>
  <si>
    <t>JOHNSON</t>
  </si>
  <si>
    <t>ROCKET</t>
  </si>
  <si>
    <t>JOHNSON ROCKET CG</t>
  </si>
  <si>
    <t>ROCKET CG</t>
  </si>
  <si>
    <t>POSSIBLY ONLY ONE HAS CONVENTIONAL GEAR</t>
  </si>
  <si>
    <t>JOHNSON ROCKET RG</t>
  </si>
  <si>
    <t>ROCKET RG</t>
  </si>
  <si>
    <t>JUST AIRCRAFT ESCAPADE TRI</t>
  </si>
  <si>
    <t>JUST AIRCRAFT</t>
  </si>
  <si>
    <t>ESCAPADE TRI</t>
  </si>
  <si>
    <t>JUST AIRCRAFT ESCAPADE TW</t>
  </si>
  <si>
    <t>ESCAPADE TW</t>
  </si>
  <si>
    <t>JUST AIRCRAFT HIGHLANDER TW</t>
  </si>
  <si>
    <t>HIGHLANDER TW</t>
  </si>
  <si>
    <t>KAPPA KP-5</t>
  </si>
  <si>
    <t>KAPPA</t>
  </si>
  <si>
    <t>KP-5</t>
  </si>
  <si>
    <t>KINNER SPORTSTER</t>
  </si>
  <si>
    <t>KINNER</t>
  </si>
  <si>
    <t>SPORTSTER</t>
  </si>
  <si>
    <t>KITFOX SUPER SPORT</t>
  </si>
  <si>
    <t>KITFOX</t>
  </si>
  <si>
    <t>SUPER SPORT</t>
  </si>
  <si>
    <t>KOLB FLYER SS</t>
  </si>
  <si>
    <t>KOLB</t>
  </si>
  <si>
    <t>FLYER SS</t>
  </si>
  <si>
    <t>LAKE C-1/2</t>
  </si>
  <si>
    <t>LAKE</t>
  </si>
  <si>
    <t>C-1/2</t>
  </si>
  <si>
    <t>LAKE LA-250</t>
  </si>
  <si>
    <t>LA-250</t>
  </si>
  <si>
    <t>SEAWOLF</t>
  </si>
  <si>
    <t>LAKE LA-270</t>
  </si>
  <si>
    <t>LA-270</t>
  </si>
  <si>
    <t>RENEGADE/SEAFURY</t>
  </si>
  <si>
    <t>LAKE LA-4</t>
  </si>
  <si>
    <t>LA-4</t>
  </si>
  <si>
    <t>LAKE LA-4 200</t>
  </si>
  <si>
    <t>LA-4 200</t>
  </si>
  <si>
    <t>LEAR 24</t>
  </si>
  <si>
    <t>LEAR</t>
  </si>
  <si>
    <t>LEAR 25</t>
  </si>
  <si>
    <t>LEAR 29</t>
  </si>
  <si>
    <t>LEAR 31</t>
  </si>
  <si>
    <t>LEAR 35/36</t>
  </si>
  <si>
    <t>35/36</t>
  </si>
  <si>
    <t>LEGEND CUB</t>
  </si>
  <si>
    <t>LEGEND</t>
  </si>
  <si>
    <t>CUB</t>
  </si>
  <si>
    <t>LIBERTY AEROSPACE XL-2</t>
  </si>
  <si>
    <t>LIBERTY AEROSPACE</t>
  </si>
  <si>
    <t>XL-2</t>
  </si>
  <si>
    <t>LINCOLN PAGE LP3</t>
  </si>
  <si>
    <t>LINCOLN PAGE</t>
  </si>
  <si>
    <t>LP3</t>
  </si>
  <si>
    <t>LOCKHEED 12</t>
  </si>
  <si>
    <t>LOCKHEED</t>
  </si>
  <si>
    <t>LOCKWOOD AIRCAM</t>
  </si>
  <si>
    <t>LOCKWOOD</t>
  </si>
  <si>
    <t>AIRCAM</t>
  </si>
  <si>
    <t>LUSCOMBE 8</t>
  </si>
  <si>
    <t>LUSCOMBE</t>
  </si>
  <si>
    <t>LUSCOMBE 11</t>
  </si>
  <si>
    <t>LUSCOMBE SILVAIRE R8F</t>
  </si>
  <si>
    <t>LUSCOMBE SILVAIRE</t>
  </si>
  <si>
    <t>R8F</t>
  </si>
  <si>
    <t>LUSCOMBE SILVAIRE SILVAIRE 8</t>
  </si>
  <si>
    <t>SILVAIRE 8</t>
  </si>
  <si>
    <t>MAGNI USA M16 LSA</t>
  </si>
  <si>
    <t>MAGNI USA</t>
  </si>
  <si>
    <t>M16 LSA</t>
  </si>
  <si>
    <t>SPT</t>
  </si>
  <si>
    <t>MAGNUS EFUSION</t>
  </si>
  <si>
    <t>MAGNUS</t>
  </si>
  <si>
    <t>EFUSION</t>
  </si>
  <si>
    <t>ELECTRIC/DIESEL</t>
  </si>
  <si>
    <t>MAGNUS FUSION 212</t>
  </si>
  <si>
    <t>FUSION 212</t>
  </si>
  <si>
    <t>Martin B-57 Canberra</t>
  </si>
  <si>
    <t>Martin</t>
  </si>
  <si>
    <t>B-57 Canberra</t>
  </si>
  <si>
    <t>MARTIN B-57 CANBERRA</t>
  </si>
  <si>
    <t>MAULE M-4</t>
  </si>
  <si>
    <t>MAULE</t>
  </si>
  <si>
    <t>M-4</t>
  </si>
  <si>
    <t>MAULE M-4-180V</t>
  </si>
  <si>
    <t>M-4-180V</t>
  </si>
  <si>
    <t>MAULE M-5</t>
  </si>
  <si>
    <t>M-5</t>
  </si>
  <si>
    <t>MAULE M-6</t>
  </si>
  <si>
    <t>M-6</t>
  </si>
  <si>
    <t>MAULE M-7-250 TUROPROP</t>
  </si>
  <si>
    <t>M-7-250 TUROPROP</t>
  </si>
  <si>
    <t>MAULE MX-7</t>
  </si>
  <si>
    <t>MX-7</t>
  </si>
  <si>
    <t>MAULE MXT-7</t>
  </si>
  <si>
    <t>MXT-7</t>
  </si>
  <si>
    <t>MBB BO105</t>
  </si>
  <si>
    <t>MBB</t>
  </si>
  <si>
    <t>BO105</t>
  </si>
  <si>
    <t>MBB BO-209</t>
  </si>
  <si>
    <t>BO-209</t>
  </si>
  <si>
    <t>MCCULOCH J-2</t>
  </si>
  <si>
    <t>MCCULOCH</t>
  </si>
  <si>
    <t>J-2</t>
  </si>
  <si>
    <t>MCDONNELL 369/500</t>
  </si>
  <si>
    <t>MCDONNELL</t>
  </si>
  <si>
    <t>369/500</t>
  </si>
  <si>
    <t>MCDONNELL 500/MD500 (369D/E)</t>
  </si>
  <si>
    <t>500/MD500 (369D/E)</t>
  </si>
  <si>
    <t>MCDONNELL MD500E</t>
  </si>
  <si>
    <t>MD500E</t>
  </si>
  <si>
    <t>MCDONNELL MD500N NOTAR</t>
  </si>
  <si>
    <t>MD500N NOTAR</t>
  </si>
  <si>
    <t>MCDONNELL MD520</t>
  </si>
  <si>
    <t>MD520</t>
  </si>
  <si>
    <t>MCDONNELL MD530</t>
  </si>
  <si>
    <t>MD530</t>
  </si>
  <si>
    <t>MCDONNELL MD600</t>
  </si>
  <si>
    <t>MD600</t>
  </si>
  <si>
    <t>MD3</t>
  </si>
  <si>
    <t>RIDER</t>
  </si>
  <si>
    <t>MEYERS 0TW</t>
  </si>
  <si>
    <t>MEYERS</t>
  </si>
  <si>
    <t>0TW</t>
  </si>
  <si>
    <t>MEYERS 200 series</t>
  </si>
  <si>
    <t>200 series</t>
  </si>
  <si>
    <t>MEYERS MAC-145</t>
  </si>
  <si>
    <t>MAC-145</t>
  </si>
  <si>
    <t>MICCO SP20</t>
  </si>
  <si>
    <t>MICCO</t>
  </si>
  <si>
    <t>SP20</t>
  </si>
  <si>
    <t>MICCO SP26</t>
  </si>
  <si>
    <t>SP26</t>
  </si>
  <si>
    <t>Do not write</t>
  </si>
  <si>
    <t>MONOCOUPE MONOCOUPE</t>
  </si>
  <si>
    <t>MONOCOUPE</t>
  </si>
  <si>
    <t>MOONEY 18</t>
  </si>
  <si>
    <t>MOONEY</t>
  </si>
  <si>
    <t>MOONEY 20</t>
  </si>
  <si>
    <t>MOONEY 20D</t>
  </si>
  <si>
    <t>20D</t>
  </si>
  <si>
    <t>MOONEY 20J</t>
  </si>
  <si>
    <t>20J</t>
  </si>
  <si>
    <t>MOONEY 20K</t>
  </si>
  <si>
    <t>20K</t>
  </si>
  <si>
    <t>MOONEY 20L PORSCHE</t>
  </si>
  <si>
    <t>20L PORSCHE</t>
  </si>
  <si>
    <t>MOONEY 20M</t>
  </si>
  <si>
    <t>20M</t>
  </si>
  <si>
    <t>MOONEY 20R</t>
  </si>
  <si>
    <t>20R</t>
  </si>
  <si>
    <t>MOONEY 20S</t>
  </si>
  <si>
    <t>20S</t>
  </si>
  <si>
    <t>MOONEY 20TN</t>
  </si>
  <si>
    <t>20TN</t>
  </si>
  <si>
    <t>MOONEY 20U</t>
  </si>
  <si>
    <t>20U</t>
  </si>
  <si>
    <t>MOONEY 20V</t>
  </si>
  <si>
    <t>20V</t>
  </si>
  <si>
    <t>MOONEY 22 PRESS</t>
  </si>
  <si>
    <t>22 PRESS</t>
  </si>
  <si>
    <t>MOONEY M10/ A-2 CADET</t>
  </si>
  <si>
    <t>M10/ A-2 CADET</t>
  </si>
  <si>
    <t>MORAINE SAULNIER MS893</t>
  </si>
  <si>
    <t>MORAINE SAULNIER</t>
  </si>
  <si>
    <t>MS893</t>
  </si>
  <si>
    <t>MORRISEY SHINN</t>
  </si>
  <si>
    <t>MORRISEY</t>
  </si>
  <si>
    <t>SHINN</t>
  </si>
  <si>
    <t>MOTH MAJOR</t>
  </si>
  <si>
    <t>MOTH</t>
  </si>
  <si>
    <t>MAJOR</t>
  </si>
  <si>
    <t>MUDRY CAP 10</t>
  </si>
  <si>
    <t>MUDRY</t>
  </si>
  <si>
    <t>CAP 10</t>
  </si>
  <si>
    <t>MUDRY CAP 20 / 21</t>
  </si>
  <si>
    <t>CAP 20 / 21</t>
  </si>
  <si>
    <t>MUDRY CAP 231 / 232</t>
  </si>
  <si>
    <t>CAP 231 / 232</t>
  </si>
  <si>
    <t>NANCHANG  CJ-6</t>
  </si>
  <si>
    <t xml:space="preserve">NANCHANG </t>
  </si>
  <si>
    <t>CJ-6</t>
  </si>
  <si>
    <t>Be careful with the Housai engine.  If new overhaul increase deducts to 10% (but not less than 5k)</t>
  </si>
  <si>
    <t>NAVION 185 / 260 HP</t>
  </si>
  <si>
    <t>NAVION</t>
  </si>
  <si>
    <t>185 / 260 HP</t>
  </si>
  <si>
    <t>NAVION 240 / 285 HP</t>
  </si>
  <si>
    <t>240 / 285 HP</t>
  </si>
  <si>
    <t>NAVY N3N</t>
  </si>
  <si>
    <t>NAVY</t>
  </si>
  <si>
    <t>N3N</t>
  </si>
  <si>
    <t>NORD STAMPE</t>
  </si>
  <si>
    <t>NORD</t>
  </si>
  <si>
    <t>STAMPE</t>
  </si>
  <si>
    <t>NORTH AMERICAN BT-9/BT-14/NA-64 YALE</t>
  </si>
  <si>
    <t>NORTH AMERICAN</t>
  </si>
  <si>
    <t>BT-9/BT-14/NA-64 YALE</t>
  </si>
  <si>
    <t>Lower hp, but harder to fly than T-6. Nasty stalls.</t>
  </si>
  <si>
    <t>NORTH AMERICAN NA-50/P-64/NA-68</t>
  </si>
  <si>
    <t>NA-50/P-64/NA-68</t>
  </si>
  <si>
    <t>Single seat version of the AT-6. Various model names for different customer countires - Must Have Authorized Experimental Endorsement</t>
  </si>
  <si>
    <t>NORTH AMERICAN P-51 MUSTANG</t>
  </si>
  <si>
    <t>P-51 MUSTANG</t>
  </si>
  <si>
    <t>Authorized Experimental Aircraft Endorsement</t>
  </si>
  <si>
    <t>NORTH AMERICAN OV-10</t>
  </si>
  <si>
    <t>OV-10</t>
  </si>
  <si>
    <t>NORTH AMERICAN T-28 B/C/D</t>
  </si>
  <si>
    <t>T-28 B/C/D</t>
  </si>
  <si>
    <t>NORTH AMERICAN T-28A</t>
  </si>
  <si>
    <t>T-28A</t>
  </si>
  <si>
    <t>NORTH AMERICAN T-6/SNJ/HARVARD</t>
  </si>
  <si>
    <t>T-6/SNJ/HARVARD</t>
  </si>
  <si>
    <t>OMF SYMPHONY 160</t>
  </si>
  <si>
    <t>OMF</t>
  </si>
  <si>
    <t>SYMPHONY 160</t>
  </si>
  <si>
    <t>OPUS AIRCRAFT SUPER 2</t>
  </si>
  <si>
    <t>OPUS AIRCRAFT</t>
  </si>
  <si>
    <t>SUPER 2</t>
  </si>
  <si>
    <t>PARADISE P-1</t>
  </si>
  <si>
    <t>PARADISE</t>
  </si>
  <si>
    <t>P-1</t>
  </si>
  <si>
    <t>PARTENAVIA AP68TP-300 SPARTICUS</t>
  </si>
  <si>
    <t>PARTENAVIA</t>
  </si>
  <si>
    <t>AP68TP-300 SPARTICUS</t>
  </si>
  <si>
    <t>PARTENAVIA AP68TP-600 VIATOR</t>
  </si>
  <si>
    <t>AP68TP-600 VIATOR</t>
  </si>
  <si>
    <t>PARTENAVIA P 68</t>
  </si>
  <si>
    <t>P 68</t>
  </si>
  <si>
    <t>PASPED SKYLARK</t>
  </si>
  <si>
    <t>PASPED</t>
  </si>
  <si>
    <t>SKYLARK</t>
  </si>
  <si>
    <t>PERCIVAL P-56 PROVOST 5 MK.1</t>
  </si>
  <si>
    <t>PERCIVAL</t>
  </si>
  <si>
    <t>P-56 PROVOST 5 MK.1</t>
  </si>
  <si>
    <t>PHOENIX AIR SRO PHOENIX LSA</t>
  </si>
  <si>
    <t>PHOENIX AIR SRO</t>
  </si>
  <si>
    <t>PHOENIX LSA</t>
  </si>
  <si>
    <t>PIAGGIO P180 AVANTI</t>
  </si>
  <si>
    <t>PIAGGIO</t>
  </si>
  <si>
    <t>P180 AVANTI</t>
  </si>
  <si>
    <t>PILATUS P3</t>
  </si>
  <si>
    <t>PILATUS</t>
  </si>
  <si>
    <t>P3</t>
  </si>
  <si>
    <t>PILATUS PC-6</t>
  </si>
  <si>
    <t>PC-6</t>
  </si>
  <si>
    <t>PORTER</t>
  </si>
  <si>
    <t>May have O-540 piston, upto 11 total seats, some are military surplus, acceptable turbines TPE331 or PT-6A, NO Turbomeca. Use judgement on deductibles or ask manager</t>
  </si>
  <si>
    <t>PILATUS PC-12</t>
  </si>
  <si>
    <t>PC-12</t>
  </si>
  <si>
    <t>10 total seats max!</t>
  </si>
  <si>
    <t>PIPER J3 / J4</t>
  </si>
  <si>
    <t>PIPER</t>
  </si>
  <si>
    <t>J3 / J4</t>
  </si>
  <si>
    <t>PIPER L4 / J5</t>
  </si>
  <si>
    <t>L4 / J5</t>
  </si>
  <si>
    <t>PIPER M350</t>
  </si>
  <si>
    <t>M350</t>
  </si>
  <si>
    <t>Still just a PA46-350</t>
  </si>
  <si>
    <t>PIPER M500</t>
  </si>
  <si>
    <t>M500</t>
  </si>
  <si>
    <t>PIPER M600</t>
  </si>
  <si>
    <t>M600</t>
  </si>
  <si>
    <t>PIPER M700</t>
  </si>
  <si>
    <t>M700</t>
  </si>
  <si>
    <t>PIPER PA 11</t>
  </si>
  <si>
    <t>PA 11</t>
  </si>
  <si>
    <t>PIPER PA 12</t>
  </si>
  <si>
    <t>PA 12</t>
  </si>
  <si>
    <t>PIPER PA 14</t>
  </si>
  <si>
    <t>PA 14</t>
  </si>
  <si>
    <t>PIPER PA 15</t>
  </si>
  <si>
    <t>PA 15</t>
  </si>
  <si>
    <t>PIPER PA 16</t>
  </si>
  <si>
    <t>PA 16</t>
  </si>
  <si>
    <t>PIPER PA 17</t>
  </si>
  <si>
    <t>PA 17</t>
  </si>
  <si>
    <t>PIPER PA 18</t>
  </si>
  <si>
    <t>PA 18</t>
  </si>
  <si>
    <t>PIPER PA 20</t>
  </si>
  <si>
    <t>PA 20</t>
  </si>
  <si>
    <t>PIPER PA 20/22</t>
  </si>
  <si>
    <t>PA 20/22</t>
  </si>
  <si>
    <t>PIPER PA 22</t>
  </si>
  <si>
    <t>PA 22</t>
  </si>
  <si>
    <t>PIPER PA 22/20</t>
  </si>
  <si>
    <t>PA 22/20</t>
  </si>
  <si>
    <t>PIPER PA 22-108</t>
  </si>
  <si>
    <t>PA 22-108</t>
  </si>
  <si>
    <t>PIPER PA 23-150 / 160</t>
  </si>
  <si>
    <t>PA 23-150 / 160</t>
  </si>
  <si>
    <t>PIPER PA 23-235</t>
  </si>
  <si>
    <t>PA 23-235</t>
  </si>
  <si>
    <t>PIPER PA 23-250</t>
  </si>
  <si>
    <t>PA 23-250</t>
  </si>
  <si>
    <t>PIPER PA 24-180</t>
  </si>
  <si>
    <t>PA 24-180</t>
  </si>
  <si>
    <t>PIPER PA 24-250</t>
  </si>
  <si>
    <t>PA 24-250</t>
  </si>
  <si>
    <t>PIPER PA 24-260 (1964-1965) - seats (4)</t>
  </si>
  <si>
    <t>PA 24-260</t>
  </si>
  <si>
    <t>PIPER PA 24-260</t>
  </si>
  <si>
    <t>PIPER PA 24-260 (1966-1972) - seats (6)</t>
  </si>
  <si>
    <t>PIPER PA 24-400</t>
  </si>
  <si>
    <t>PA 24-400</t>
  </si>
  <si>
    <t>PIPER PA 25 PAWNEE</t>
  </si>
  <si>
    <t>PA 25 PAWNEE</t>
  </si>
  <si>
    <t>PIPER PA 28-140</t>
  </si>
  <si>
    <t>PA 28-140</t>
  </si>
  <si>
    <t>PIPER PA 28-150</t>
  </si>
  <si>
    <t>PA 28-150</t>
  </si>
  <si>
    <t>PIPER PA 28-151</t>
  </si>
  <si>
    <t>PA 28-151</t>
  </si>
  <si>
    <t>PIPER PA 28-160</t>
  </si>
  <si>
    <t>PA 28-160</t>
  </si>
  <si>
    <t>PIPER PA 28-161</t>
  </si>
  <si>
    <t>PA 28-161</t>
  </si>
  <si>
    <t>PIPER PA 28-180</t>
  </si>
  <si>
    <t>PA 28-180</t>
  </si>
  <si>
    <t>PIPER PA 28-181</t>
  </si>
  <si>
    <t>PA 28-181</t>
  </si>
  <si>
    <t>PIPER PA 28-201T DAKOTA</t>
  </si>
  <si>
    <t>PA 28-201T DAKOTA</t>
  </si>
  <si>
    <t>PIPER PA 28-235</t>
  </si>
  <si>
    <t>PA 28-235</t>
  </si>
  <si>
    <t>PIPER PA 28-236</t>
  </si>
  <si>
    <t>PA 28-236</t>
  </si>
  <si>
    <t>PIPER PA 28R ARROW</t>
  </si>
  <si>
    <t>PA 28R ARROW</t>
  </si>
  <si>
    <t>PIPER PA 30</t>
  </si>
  <si>
    <t>PA 30</t>
  </si>
  <si>
    <t>PIPER PA 31-300 / 310</t>
  </si>
  <si>
    <t>PA 31-300 / 310</t>
  </si>
  <si>
    <t>PIPER PA 31-310 / 325</t>
  </si>
  <si>
    <t>PA 31-310 / 325</t>
  </si>
  <si>
    <t>PIPER PA 31-350</t>
  </si>
  <si>
    <t>PA 31-350</t>
  </si>
  <si>
    <t>PIPER PA 31-350 PRESS</t>
  </si>
  <si>
    <t>PA 31-350 PRESS</t>
  </si>
  <si>
    <t>PIPER PA 31P  PRESS</t>
  </si>
  <si>
    <t>PA 31P  PRESS</t>
  </si>
  <si>
    <t>PIPER PA 31T-500 CHEYENNE</t>
  </si>
  <si>
    <t>PA 31T-500 CHEYENNE</t>
  </si>
  <si>
    <t>PIPER PA 31T-620 CHEYENNE II</t>
  </si>
  <si>
    <t>PA 31T-620 CHEYENNE II</t>
  </si>
  <si>
    <t>PIPER PA 31T-620XL CHEYENNE II</t>
  </si>
  <si>
    <t>PA 31T-620XL CHEYENNE II</t>
  </si>
  <si>
    <t>PIPER PA 32</t>
  </si>
  <si>
    <t>PA 32</t>
  </si>
  <si>
    <t>PIPER PA 32/6X</t>
  </si>
  <si>
    <t>PA 32/6X</t>
  </si>
  <si>
    <t>PIPER PA 32R</t>
  </si>
  <si>
    <t>PA 32R</t>
  </si>
  <si>
    <t>PIPER PA 34 (1971-1974) - seats (6)</t>
  </si>
  <si>
    <t>PA 34</t>
  </si>
  <si>
    <t>PIPER PA 34</t>
  </si>
  <si>
    <t>PIPER PA 34 (1975-1979) - seats (7)</t>
  </si>
  <si>
    <t>PIPER PA 38</t>
  </si>
  <si>
    <t>PA 38</t>
  </si>
  <si>
    <t>PIPER PA 39</t>
  </si>
  <si>
    <t>PA 39</t>
  </si>
  <si>
    <t>PIPER PA 44</t>
  </si>
  <si>
    <t>PA 44</t>
  </si>
  <si>
    <t>PIPER PA 46 JETPROP</t>
  </si>
  <si>
    <t>PA 46 JETPROP</t>
  </si>
  <si>
    <t>PIPER PA 46 MALIBU/MIRAGE</t>
  </si>
  <si>
    <t>PA 46 MALIBU/MIRAGE</t>
  </si>
  <si>
    <t>PIPER PA 46-500TP MERIDIAN</t>
  </si>
  <si>
    <t>PA 46-500TP MERIDIAN</t>
  </si>
  <si>
    <t>PIPER PA 46R-350 MATRIX</t>
  </si>
  <si>
    <t>PA 46R-350 MATRIX</t>
  </si>
  <si>
    <t>PIPER PA 60-700P</t>
  </si>
  <si>
    <t>PA 60-700P</t>
  </si>
  <si>
    <t>PIPER PA-60-600</t>
  </si>
  <si>
    <t>PA-60-600</t>
  </si>
  <si>
    <t>PIPER PA-60-601</t>
  </si>
  <si>
    <t>PA-60-601</t>
  </si>
  <si>
    <t>PIPER PA 42 Cheyenne III</t>
  </si>
  <si>
    <t>PA 42 Cheyenne III</t>
  </si>
  <si>
    <t>PIPER / AEROSTAR PA-60-602P</t>
  </si>
  <si>
    <t>PIPER / AEROSTAR</t>
  </si>
  <si>
    <t>PA-60-602P</t>
  </si>
  <si>
    <t>PIPISTREL ALPHA ELECTRO</t>
  </si>
  <si>
    <t>PIPISTREL</t>
  </si>
  <si>
    <t>ALPHA ELECTRO</t>
  </si>
  <si>
    <t>50KW 2100 to 2400 RPM</t>
  </si>
  <si>
    <t>PIPISTREL ALPHA TRAINER</t>
  </si>
  <si>
    <t>ALPHA TRAINER</t>
  </si>
  <si>
    <t>PORTERFIELD 35/65</t>
  </si>
  <si>
    <t>PORTERFIELD</t>
  </si>
  <si>
    <t>35/65</t>
  </si>
  <si>
    <t>PROGRESSIVE AERO SEAREY ELITE</t>
  </si>
  <si>
    <t>PROGRESSIVE AERO</t>
  </si>
  <si>
    <t>SEAREY ELITE</t>
  </si>
  <si>
    <t>PROGRESSIVE AERO SEAREY SPORT</t>
  </si>
  <si>
    <t>SEAREY SPORT</t>
  </si>
  <si>
    <t>PZL 104 WILGA</t>
  </si>
  <si>
    <t>PZL</t>
  </si>
  <si>
    <t>104 WILGA</t>
  </si>
  <si>
    <t>PZL KOLIBER 150</t>
  </si>
  <si>
    <t>KOLIBER 150</t>
  </si>
  <si>
    <t>PZL M26 ISKIERKA / AIRWOLF</t>
  </si>
  <si>
    <t>M26 ISKIERKA / AIRWOLF</t>
  </si>
  <si>
    <t>M2601</t>
  </si>
  <si>
    <t>2 SEAT POLISH TRAINER BASED ON PIPER SENECA, STANDARD AIRWORTHINESS</t>
  </si>
  <si>
    <t>QUASAR AIRCRAFT 214SL QUASAR</t>
  </si>
  <si>
    <t>QUASAR AIRCRAFT</t>
  </si>
  <si>
    <t>214SL QUASAR</t>
  </si>
  <si>
    <t>QUEST KODIAK 100</t>
  </si>
  <si>
    <t>QUEST</t>
  </si>
  <si>
    <t>KODIAK 100</t>
  </si>
  <si>
    <t>RANS S-19LS</t>
  </si>
  <si>
    <t>RANS</t>
  </si>
  <si>
    <t>S-19LS</t>
  </si>
  <si>
    <t>RANS S-20LS RAVEN CG</t>
  </si>
  <si>
    <t>S-20LS RAVEN CG</t>
  </si>
  <si>
    <t>RANS S-20LS RAVEN FG</t>
  </si>
  <si>
    <t>S-20LS RAVEN FG</t>
  </si>
  <si>
    <t>RANS S-20LSM TITAN CG</t>
  </si>
  <si>
    <t>S-20LSM TITAN CG</t>
  </si>
  <si>
    <t>RANS S-6 LS</t>
  </si>
  <si>
    <t>S-6 LS</t>
  </si>
  <si>
    <t>RANS S-7 LS FG</t>
  </si>
  <si>
    <t>S-7 LS FG</t>
  </si>
  <si>
    <t>RANS S-7C</t>
  </si>
  <si>
    <t>S-7C</t>
  </si>
  <si>
    <t>RANS S-7LS CG</t>
  </si>
  <si>
    <t>S-7LS CG</t>
  </si>
  <si>
    <t>RANS S-7S COURIER LSA</t>
  </si>
  <si>
    <t>S-7S COURIER LSA</t>
  </si>
  <si>
    <t>REARWIN CLOUDSTER</t>
  </si>
  <si>
    <t>REARWIN</t>
  </si>
  <si>
    <t>CLOUDSTER</t>
  </si>
  <si>
    <t>REARWIN SKYRANGER 185</t>
  </si>
  <si>
    <t>SKYRANGER 185</t>
  </si>
  <si>
    <t>REMOS G-3 MIRAGE</t>
  </si>
  <si>
    <t>REMOS</t>
  </si>
  <si>
    <t>G-3 MIRAGE</t>
  </si>
  <si>
    <t>REMOS G-3/600 &amp; GX</t>
  </si>
  <si>
    <t>G-3/600 &amp; GX</t>
  </si>
  <si>
    <t>RENEGADE FALCON LS</t>
  </si>
  <si>
    <t>RENEGADE</t>
  </si>
  <si>
    <t>FALCON LS</t>
  </si>
  <si>
    <t>DO NOT WRITE, SERIOUS LEGAL BATTLE IN PROGRESS</t>
  </si>
  <si>
    <t>RENEGADE FALCON LS 2.0 MIZZOURA</t>
  </si>
  <si>
    <t>FALCON LS 2.0 MIZZOURA</t>
  </si>
  <si>
    <t>DO NOT WRITE, SERIOUS LEGAL BATTLE IN PROGRESS, GEAR CAN BE CONVERTED</t>
  </si>
  <si>
    <t>RENEGADE FALCON T</t>
  </si>
  <si>
    <t>FALCON T</t>
  </si>
  <si>
    <t>REPUBLIC RC-3 SEABEE</t>
  </si>
  <si>
    <t>REPUBLIC</t>
  </si>
  <si>
    <t>RC-3 SEABEE</t>
  </si>
  <si>
    <t>ROBINSON R-22</t>
  </si>
  <si>
    <t>ROBINSON</t>
  </si>
  <si>
    <t>R-22</t>
  </si>
  <si>
    <t>ROBINSON R-44</t>
  </si>
  <si>
    <t>R-44</t>
  </si>
  <si>
    <t>ROBINSON R-66</t>
  </si>
  <si>
    <t>R-66</t>
  </si>
  <si>
    <t>ROCKWELL 100</t>
  </si>
  <si>
    <t>ROCKWELL</t>
  </si>
  <si>
    <t>DARTER</t>
  </si>
  <si>
    <t>ROCKWELL 100-180</t>
  </si>
  <si>
    <t>100-180</t>
  </si>
  <si>
    <t>LARK</t>
  </si>
  <si>
    <t>ROSE PARAKEET</t>
  </si>
  <si>
    <t>ROSE</t>
  </si>
  <si>
    <t>PARAKEET</t>
  </si>
  <si>
    <t>RYAN M1</t>
  </si>
  <si>
    <t>RYAN</t>
  </si>
  <si>
    <t>M1</t>
  </si>
  <si>
    <t>RYAN SCW</t>
  </si>
  <si>
    <t>SCW</t>
  </si>
  <si>
    <t>RYAN ST/PT SERIES</t>
  </si>
  <si>
    <t>ST/PT SERIES</t>
  </si>
  <si>
    <t>RYAN TWIN NAVION</t>
  </si>
  <si>
    <t>TWIN NAVION</t>
  </si>
  <si>
    <t>SAMARA VVV-AVIA ELITAR-SIGMA</t>
  </si>
  <si>
    <t>SAMARA VVV-AVIA</t>
  </si>
  <si>
    <t>ELITAR-SIGMA</t>
  </si>
  <si>
    <t>SCHWEIZER 330</t>
  </si>
  <si>
    <t>SCHWEIZER</t>
  </si>
  <si>
    <t>SCHWEIZER 333</t>
  </si>
  <si>
    <t>SCHWEIZER 269/300 (1961-1969) - seats (2)</t>
  </si>
  <si>
    <t>269/300</t>
  </si>
  <si>
    <t>SCHWEIZER 269/300</t>
  </si>
  <si>
    <t>SCHWEIZER 269/300 (1970-1981) - seats (3)</t>
  </si>
  <si>
    <t>SCODA AERONAUTICA SUPER PETREL LS</t>
  </si>
  <si>
    <t>SCODA AERONAUTICA</t>
  </si>
  <si>
    <t>SUPER PETREL LS</t>
  </si>
  <si>
    <t>CHECK FAA: SOME ARE EXPERIMENTAL</t>
  </si>
  <si>
    <t>SEAMAX USA M-22 SEA</t>
  </si>
  <si>
    <t>SEAMAX USA</t>
  </si>
  <si>
    <t>M-22 SEA</t>
  </si>
  <si>
    <t>SIAI-MARCHETTI 205/208</t>
  </si>
  <si>
    <t>SIAI-MARCHETTI</t>
  </si>
  <si>
    <t>205/208</t>
  </si>
  <si>
    <t>SIAI-MARCHETTI S 211</t>
  </si>
  <si>
    <t>S 211</t>
  </si>
  <si>
    <t>3190lbs</t>
  </si>
  <si>
    <t>y</t>
  </si>
  <si>
    <t>SIAI-MARCHETTI SF 260</t>
  </si>
  <si>
    <t>SF 260</t>
  </si>
  <si>
    <t>SIAI-MARCHETTI SM 1019</t>
  </si>
  <si>
    <t>SM 1019</t>
  </si>
  <si>
    <t>TURBOPROP BASED ON CESSNA BIRDOG O-1/305</t>
  </si>
  <si>
    <t>SKYKITS SAVANNAH</t>
  </si>
  <si>
    <t>SKYKITS</t>
  </si>
  <si>
    <t>SAVANNAH</t>
  </si>
  <si>
    <t>Rotax 912 to 915 or Jabiru 2200 and 3300 only, ADV XL and S versions</t>
  </si>
  <si>
    <t>SKYKITS SAVANNAH T</t>
  </si>
  <si>
    <t>SAVANNAH T</t>
  </si>
  <si>
    <t>Tailwheel version, Rotax 912 to 915 or Jabiru 2200 and 3300 only</t>
  </si>
  <si>
    <t>SKYKITS VIMANA</t>
  </si>
  <si>
    <t>VIMANA</t>
  </si>
  <si>
    <t>STOL version of the Savannah, may be a kit version, Rotax 900 series or Jabiru engines only</t>
  </si>
  <si>
    <t>SKYREACH BUSHCAT CG (LSA)</t>
  </si>
  <si>
    <t>SKYREACH</t>
  </si>
  <si>
    <t>BUSHCAT CG (LSA)</t>
  </si>
  <si>
    <t>DECLINE ROTAX 582 ENGINES</t>
  </si>
  <si>
    <t>SKYREACH BUSHCAT TRI (LSA)</t>
  </si>
  <si>
    <t>BUSHCAT TRI (LSA)</t>
  </si>
  <si>
    <t>SOCATA RALLYE</t>
  </si>
  <si>
    <t>SOCATA</t>
  </si>
  <si>
    <t>RALLYE</t>
  </si>
  <si>
    <t>SOCATA TB10</t>
  </si>
  <si>
    <t>TB10</t>
  </si>
  <si>
    <t>SOCATA TB20 (1984-1987) - seats (4)</t>
  </si>
  <si>
    <t>TB20</t>
  </si>
  <si>
    <t>SOCATA TB20</t>
  </si>
  <si>
    <t>SOCATA TB20 (1993-1994) - seats (5)</t>
  </si>
  <si>
    <t>SOCATA TB200XL</t>
  </si>
  <si>
    <t>TB200XL</t>
  </si>
  <si>
    <t>SOCATA TB21TC (1986-1989) - seats (5)</t>
  </si>
  <si>
    <t>TB21TC</t>
  </si>
  <si>
    <t>SOCATA TB21TC</t>
  </si>
  <si>
    <t>SOCATA TB21TC (2001-2005) - seats (4)</t>
  </si>
  <si>
    <t xml:space="preserve">SOCATA TB30 </t>
  </si>
  <si>
    <t xml:space="preserve">TB30 </t>
  </si>
  <si>
    <t>EPSILON</t>
  </si>
  <si>
    <t>TYPICAL PISTON MILITARY TRAINER - FRENCH VERSION OF THE BEECH T34C</t>
  </si>
  <si>
    <t>SOCATA TB9</t>
  </si>
  <si>
    <t>TB9</t>
  </si>
  <si>
    <t>SOCATA TBM 700</t>
  </si>
  <si>
    <t>TBM 700</t>
  </si>
  <si>
    <t>SOCATA TBM 850</t>
  </si>
  <si>
    <t>TBM 850</t>
  </si>
  <si>
    <t>SOCATA/DAHER TBM 900</t>
  </si>
  <si>
    <t>SOCATA/DAHER</t>
  </si>
  <si>
    <t>TBM 900</t>
  </si>
  <si>
    <t>SOCATA/DAHER TBM 910</t>
  </si>
  <si>
    <t>TBM 910</t>
  </si>
  <si>
    <t>SOCATA/DAHER TBM 930</t>
  </si>
  <si>
    <t>TBM 930</t>
  </si>
  <si>
    <t>SOCATA/DAHER TBM 940</t>
  </si>
  <si>
    <t>TBM 940</t>
  </si>
  <si>
    <t>SOCATA/DAHER TBM 960</t>
  </si>
  <si>
    <t>TBM 960</t>
  </si>
  <si>
    <t>SPARTAN 7W EXEC</t>
  </si>
  <si>
    <t>SPARTAN</t>
  </si>
  <si>
    <t>7W EXEC</t>
  </si>
  <si>
    <t>SPORT PERFORMANCE AVN PANTHER LSA CG</t>
  </si>
  <si>
    <t>SPORT PERFORMANCE AVN</t>
  </si>
  <si>
    <t>PANTHER LSA CG</t>
  </si>
  <si>
    <t>SPORT PERFORMANCE AVN PANTHER LSA FT</t>
  </si>
  <si>
    <t>PANTHER LSA FT</t>
  </si>
  <si>
    <t>STAMPE S.V.4</t>
  </si>
  <si>
    <t>S.V.4</t>
  </si>
  <si>
    <t>STINSON 108</t>
  </si>
  <si>
    <t>STINSON</t>
  </si>
  <si>
    <t>STINSON DETROITER</t>
  </si>
  <si>
    <t>DETROITER</t>
  </si>
  <si>
    <t>STINSON L-5 / 10</t>
  </si>
  <si>
    <t>L-5 / 10</t>
  </si>
  <si>
    <t>STINSON SM8A</t>
  </si>
  <si>
    <t>SM8A</t>
  </si>
  <si>
    <t>STINSON SR / RELIANT</t>
  </si>
  <si>
    <t>SR / RELIANT</t>
  </si>
  <si>
    <t>STINSON V77</t>
  </si>
  <si>
    <t>V77</t>
  </si>
  <si>
    <t>STOL AIRCRAFT UC-1 TWIN BEE</t>
  </si>
  <si>
    <t>STOL AIRCRAFT</t>
  </si>
  <si>
    <t>UC-1 TWIN BEE</t>
  </si>
  <si>
    <t>TWIN SEABEE</t>
  </si>
  <si>
    <t>United Consultants sold to STOL aircraft, Standard Airworthiness conversion of Republic RC-3</t>
  </si>
  <si>
    <t>STORM AIRCRAFT RALLY</t>
  </si>
  <si>
    <t>STORM AIRCRAFT</t>
  </si>
  <si>
    <t>RALLY</t>
  </si>
  <si>
    <t>STUDENT PRINCE X</t>
  </si>
  <si>
    <t>STUDENT</t>
  </si>
  <si>
    <t>PRINCE X</t>
  </si>
  <si>
    <t>6 built by Adcox aviation School, 2 remain: Warner Scarab 110hp, Continental E225 220hp</t>
  </si>
  <si>
    <t>SUPER PETREL SPORT</t>
  </si>
  <si>
    <t>SUPER PETREL</t>
  </si>
  <si>
    <t>SPORT</t>
  </si>
  <si>
    <t>SUPER PETREL TURBO SPORT</t>
  </si>
  <si>
    <t>TURBO SPORT</t>
  </si>
  <si>
    <t>SWALLOW SWALLOW BI PLANE</t>
  </si>
  <si>
    <t>SWALLOW</t>
  </si>
  <si>
    <t>SWALLOW BI PLANE</t>
  </si>
  <si>
    <t>SWIFT GC-1A</t>
  </si>
  <si>
    <t>SWIFT</t>
  </si>
  <si>
    <t>GC-1A</t>
  </si>
  <si>
    <t>Check the Engine -Watch out for O-360 or Larger.  Must be a good pilot with +50 Debit H/L (hull over 1.5)</t>
  </si>
  <si>
    <t>SWIFT GC-1B</t>
  </si>
  <si>
    <t>GC-1B</t>
  </si>
  <si>
    <t>SWIFT T35 BUCKAROO</t>
  </si>
  <si>
    <t>T35 BUCKAROO</t>
  </si>
  <si>
    <t>S-WING AIRCRAFT SWING 06</t>
  </si>
  <si>
    <t>S-WING AIRCRAFT</t>
  </si>
  <si>
    <t>SWING 06</t>
  </si>
  <si>
    <t>SYMPHONY SA-160</t>
  </si>
  <si>
    <t>SYMPHONY</t>
  </si>
  <si>
    <t>SA-160</t>
  </si>
  <si>
    <t>T AND T AVIATION FALCON LS</t>
  </si>
  <si>
    <t>T AND T AVIATION</t>
  </si>
  <si>
    <t>CAUTION: T&amp;T WAS BOUGHT BY RENEGADE, LEGAL BATTLE WITH SEVERAL COMPANIES</t>
  </si>
  <si>
    <t>T L  ULTRALIGHT SRO STINGSPORT</t>
  </si>
  <si>
    <t>T L  ULTRALIGHT SRO</t>
  </si>
  <si>
    <t>STINGSPORT</t>
  </si>
  <si>
    <t>T L  ULTRALIGHT SRO STINGSPORT 3</t>
  </si>
  <si>
    <t>STINGSPORT 3</t>
  </si>
  <si>
    <t>T L  ULTRALIGHT SRO STINGSPORT 4</t>
  </si>
  <si>
    <t>STINGSPORT 4</t>
  </si>
  <si>
    <t>T L  ULTRALIGHT SRO TL-2000 STING S-4</t>
  </si>
  <si>
    <t>TL-2000 STING S-4</t>
  </si>
  <si>
    <t xml:space="preserve">T L  ULTRALIGHT SRO TL-3000 SIRIUS </t>
  </si>
  <si>
    <t xml:space="preserve">TL-3000 SIRIUS </t>
  </si>
  <si>
    <t>GLIDER TOW CAPABLE</t>
  </si>
  <si>
    <t>TAYLOR CHUMMY / CUB</t>
  </si>
  <si>
    <t>TAYLOR</t>
  </si>
  <si>
    <t>CHUMMY / CUB</t>
  </si>
  <si>
    <t>TAYLORCRAFT 15-A</t>
  </si>
  <si>
    <t>TAYLORCRAFT</t>
  </si>
  <si>
    <t>15-A</t>
  </si>
  <si>
    <t>TAYLORCRAFT CONV GEAR MODELS</t>
  </si>
  <si>
    <t>CONV GEAR MODELS</t>
  </si>
  <si>
    <t>TAYLORCRAFT F22 CONV GEAR</t>
  </si>
  <si>
    <t>F22 CONV GEAR</t>
  </si>
  <si>
    <t>TAYLORCRAFT F-22A TRI GEAR</t>
  </si>
  <si>
    <t>F-22A TRI GEAR</t>
  </si>
  <si>
    <t>TAYLORCRAFT TAYLOR SPORT CG</t>
  </si>
  <si>
    <t>TAYLOR SPORT CG</t>
  </si>
  <si>
    <t>TAYLORCRAFT TS1  F19</t>
  </si>
  <si>
    <t>TS1  F19</t>
  </si>
  <si>
    <t>TECNAM ASTORE</t>
  </si>
  <si>
    <t>TECNAM</t>
  </si>
  <si>
    <t>ASTORE</t>
  </si>
  <si>
    <t>TECNAM BRAVO</t>
  </si>
  <si>
    <t>BRAVO</t>
  </si>
  <si>
    <t>TECNAM ECHO CLASSIC</t>
  </si>
  <si>
    <t>ECHO CLASSIC</t>
  </si>
  <si>
    <t>TECNAM P MANTOR</t>
  </si>
  <si>
    <t>P MENTOR</t>
  </si>
  <si>
    <t>TECNAM P MENTOR</t>
  </si>
  <si>
    <t>TECNAM P2002 SIERRA</t>
  </si>
  <si>
    <t>P2002 SIERRA</t>
  </si>
  <si>
    <t>TECNAM P2006T</t>
  </si>
  <si>
    <t>P2006T</t>
  </si>
  <si>
    <t>TECNAM P2008</t>
  </si>
  <si>
    <t>P2008</t>
  </si>
  <si>
    <t>TECNAM P2010-2B</t>
  </si>
  <si>
    <t>P2010-2B</t>
  </si>
  <si>
    <t>TECNAM P2010-3B</t>
  </si>
  <si>
    <t>P2010-3B</t>
  </si>
  <si>
    <t>TECNAM P92 SUPER ECHO</t>
  </si>
  <si>
    <t>P92 SUPER ECHO</t>
  </si>
  <si>
    <t>TECNAM P92/G5 EAGLET</t>
  </si>
  <si>
    <t>P92/G5 EAGLET</t>
  </si>
  <si>
    <t>TECNAM SIERRA</t>
  </si>
  <si>
    <t>SIERRA</t>
  </si>
  <si>
    <t>TEXAS AIRCRAFT BULLET</t>
  </si>
  <si>
    <t>TEXAS AIRCRAFT</t>
  </si>
  <si>
    <t>BULLET</t>
  </si>
  <si>
    <t>THORP T-211</t>
  </si>
  <si>
    <t>THORP</t>
  </si>
  <si>
    <t>T-211</t>
  </si>
  <si>
    <t>THURSTON AIRCRAFT TSC-1 TEAL</t>
  </si>
  <si>
    <t>THURSTON AIRCRAFT</t>
  </si>
  <si>
    <t>TSC-1 TEAL</t>
  </si>
  <si>
    <t>PRODUCED BY THURSTON, SCHWEIZER AND TEAL AIRCRAFT</t>
  </si>
  <si>
    <t>TIGER AIRCRAFT AG-5</t>
  </si>
  <si>
    <t>TIGER AIRCRAFT</t>
  </si>
  <si>
    <t>AG-5</t>
  </si>
  <si>
    <t>TIGER AIRCRAFT AG5B TIGER</t>
  </si>
  <si>
    <t>TOXO SPORTSTER</t>
  </si>
  <si>
    <t>TOXO</t>
  </si>
  <si>
    <t>TRAVEL AIR</t>
  </si>
  <si>
    <t>TRAVEL</t>
  </si>
  <si>
    <t>AIR</t>
  </si>
  <si>
    <t>TRENDAK TERCEL</t>
  </si>
  <si>
    <t>TRENDAK</t>
  </si>
  <si>
    <t>TERCEL</t>
  </si>
  <si>
    <t>Dual seating enclosed cockpit</t>
  </si>
  <si>
    <t>TRENDAK TWISTAIR 2.0</t>
  </si>
  <si>
    <t>TWISTAIR 2.0</t>
  </si>
  <si>
    <t>Tandem seating. Do not write the original open cockpit Twistair</t>
  </si>
  <si>
    <t>TWIN COMMANDER 690</t>
  </si>
  <si>
    <t>TWIN COMMANDER</t>
  </si>
  <si>
    <t>TWIN COMMANDER 500 / A</t>
  </si>
  <si>
    <t>500 / A</t>
  </si>
  <si>
    <t>TWIN COMMANDER 500B/U</t>
  </si>
  <si>
    <t>500B/U</t>
  </si>
  <si>
    <t>TWIN COMMANDER 500S</t>
  </si>
  <si>
    <t>500S</t>
  </si>
  <si>
    <t>TWIN COMMANDER 680 FL P (PISTON)</t>
  </si>
  <si>
    <t>680 FL P (PISTON)</t>
  </si>
  <si>
    <t>TWIN COMMANDER 690A</t>
  </si>
  <si>
    <t>690A</t>
  </si>
  <si>
    <t>UTVA 66 (V-51)</t>
  </si>
  <si>
    <t>UTVA</t>
  </si>
  <si>
    <t>66 (V-51)</t>
  </si>
  <si>
    <t>STOL Yugoslavian military utility aircraft, may have up to 5 total seats</t>
  </si>
  <si>
    <t>VANS RV-12 S-LSA</t>
  </si>
  <si>
    <t>VANS</t>
  </si>
  <si>
    <t>RV-12 S-LSA</t>
  </si>
  <si>
    <t>Factory built LSA</t>
  </si>
  <si>
    <t>VARGA KACHINA</t>
  </si>
  <si>
    <t>VARGA</t>
  </si>
  <si>
    <t>KACHINA</t>
  </si>
  <si>
    <t>VASHON R7 RANGER</t>
  </si>
  <si>
    <t>VASHON</t>
  </si>
  <si>
    <t>R7 RANGER</t>
  </si>
  <si>
    <t>VULCANAIR V1.0</t>
  </si>
  <si>
    <t>VULCANAIR</t>
  </si>
  <si>
    <t>V1.0</t>
  </si>
  <si>
    <t>Comparable to Cessna 172</t>
  </si>
  <si>
    <t>VULTEE BT13/BT15</t>
  </si>
  <si>
    <t>VULTEE</t>
  </si>
  <si>
    <t>BT13/BT15</t>
  </si>
  <si>
    <t>VULTEE L-13</t>
  </si>
  <si>
    <t>L-13</t>
  </si>
  <si>
    <t>WACO 2-3 SEAT BIPLANE</t>
  </si>
  <si>
    <t>WACO</t>
  </si>
  <si>
    <t>2-3 SEAT BIPLANE</t>
  </si>
  <si>
    <t>WACO 4-5 SEAT BIPLANE</t>
  </si>
  <si>
    <t>4-5 SEAT BIPLANE</t>
  </si>
  <si>
    <t>WACO AIRCRAFT 2T-1A GREAT LAKES</t>
  </si>
  <si>
    <t>WACO AIRCRAFT</t>
  </si>
  <si>
    <t>2T-1A GREAT LAKES</t>
  </si>
  <si>
    <t>WACO AIRCRAFT YMF-5C</t>
  </si>
  <si>
    <t>YMF-5C</t>
  </si>
  <si>
    <t>WACO AIRCRAFT YMF-5D</t>
  </si>
  <si>
    <t>YMF-5D</t>
  </si>
  <si>
    <t>WACO AIRCRAFT YMF-5F</t>
  </si>
  <si>
    <t>YMF-5F</t>
  </si>
  <si>
    <t>X-AIR XA85</t>
  </si>
  <si>
    <t>X-AIR</t>
  </si>
  <si>
    <t>XA85</t>
  </si>
  <si>
    <t>YAK 3</t>
  </si>
  <si>
    <t>YAK</t>
  </si>
  <si>
    <t>YAK 11</t>
  </si>
  <si>
    <t>Essentially the "Russian T-6"</t>
  </si>
  <si>
    <t>YAK 18</t>
  </si>
  <si>
    <t>YAK 50</t>
  </si>
  <si>
    <t>YAK 52</t>
  </si>
  <si>
    <t>YAK 53</t>
  </si>
  <si>
    <t>YAK 54</t>
  </si>
  <si>
    <t>YAK 55</t>
  </si>
  <si>
    <t xml:space="preserve">World Renowned Aerobatic Aicraft.  Be careful. </t>
  </si>
  <si>
    <t>YAK 18T</t>
  </si>
  <si>
    <t>18T</t>
  </si>
  <si>
    <t>4 seat version</t>
  </si>
  <si>
    <t>YAK 52 TW</t>
  </si>
  <si>
    <t>52 TW</t>
  </si>
  <si>
    <t>ZENITH 601XLi</t>
  </si>
  <si>
    <t>ZENITH</t>
  </si>
  <si>
    <t>601XLi</t>
  </si>
  <si>
    <t>ZENITH CH 2000</t>
  </si>
  <si>
    <t>CH 2000</t>
  </si>
  <si>
    <t>ZLIN 142</t>
  </si>
  <si>
    <t>ZLIN</t>
  </si>
  <si>
    <t>ZLIN 242</t>
  </si>
  <si>
    <t>ZLIN 143L</t>
  </si>
  <si>
    <t>143L</t>
  </si>
  <si>
    <t>ZLIN 50L / 50LS</t>
  </si>
  <si>
    <t>50L / 50LS</t>
  </si>
  <si>
    <t>ZLIN SAVAGE CG</t>
  </si>
  <si>
    <t>SAVAGE CG</t>
  </si>
  <si>
    <t>ZLIN Z-226</t>
  </si>
  <si>
    <t>Z-226</t>
  </si>
  <si>
    <t>Policy Level Mod:</t>
  </si>
  <si>
    <t>Hull</t>
  </si>
  <si>
    <t>Pro Flown</t>
  </si>
  <si>
    <t>U/W Account Details
(not all may apply to each risk)</t>
  </si>
  <si>
    <t>Underwriter Rating
Thought Process</t>
  </si>
  <si>
    <t>Website:</t>
  </si>
  <si>
    <t>AVG LD Factor:</t>
  </si>
  <si>
    <t>AirNav:</t>
  </si>
  <si>
    <t>Exp Annu hrs:</t>
  </si>
  <si>
    <t>BBV:</t>
  </si>
  <si>
    <t>AVG PAX Prf:</t>
  </si>
  <si>
    <t>Losses:</t>
  </si>
  <si>
    <t>(Fam_%,Emp_%,Guest_%}</t>
  </si>
  <si>
    <t>Int'l Esposure:</t>
  </si>
  <si>
    <t>Flight Aware:</t>
  </si>
  <si>
    <t>Business Description:</t>
  </si>
  <si>
    <t>Years in Business:</t>
  </si>
  <si>
    <t>Uses</t>
  </si>
  <si>
    <t>Rate Table</t>
  </si>
  <si>
    <t>Liab Base 
Prem</t>
  </si>
  <si>
    <t>Hull Base 
Rate</t>
  </si>
  <si>
    <t>Hull Revised 
Rate</t>
  </si>
  <si>
    <t>Final Liab
Prem</t>
  </si>
  <si>
    <t>Final Hull 
Prem</t>
  </si>
  <si>
    <t>Medical 
Prem</t>
  </si>
  <si>
    <t>A/C Total
Prem</t>
  </si>
  <si>
    <t>Purpose of Use Full Text Display:</t>
  </si>
  <si>
    <t xml:space="preserve">
</t>
  </si>
  <si>
    <t xml:space="preserve">ID </t>
  </si>
  <si>
    <t>City</t>
  </si>
  <si>
    <t>Coounty</t>
  </si>
  <si>
    <t>Hull Base 
Chart</t>
  </si>
  <si>
    <t>Liability Base</t>
  </si>
  <si>
    <t>Medical Base</t>
  </si>
  <si>
    <t>Default mods
Liab</t>
  </si>
  <si>
    <t>Default mods
Hull</t>
  </si>
  <si>
    <t>Policy Level
Liab Mod</t>
  </si>
  <si>
    <t>Policy Level Hull
Mod</t>
  </si>
  <si>
    <t>Individual Liab 
mod</t>
  </si>
  <si>
    <t>Individual Liab 
Hull</t>
  </si>
  <si>
    <t>Base Hull
Rate</t>
  </si>
  <si>
    <t>Base Liab
Rate</t>
  </si>
  <si>
    <t>Final Hull Rate</t>
  </si>
  <si>
    <t>Final Hull Prem</t>
  </si>
  <si>
    <t>Final Liab Prem</t>
  </si>
  <si>
    <t>Final Medical Prem</t>
  </si>
  <si>
    <t>class</t>
  </si>
  <si>
    <t>Class mod</t>
  </si>
  <si>
    <t>Gear Mod Liab</t>
  </si>
  <si>
    <t>Gear Mod
Hull</t>
  </si>
  <si>
    <t>A/C Spec Liab</t>
  </si>
  <si>
    <t>A/C Spec Hull</t>
  </si>
  <si>
    <t>A/W</t>
  </si>
  <si>
    <t>Use Mod
Liab</t>
  </si>
  <si>
    <t>Use Mod
Hull</t>
  </si>
  <si>
    <t>Liab Only</t>
  </si>
  <si>
    <t>uses</t>
  </si>
  <si>
    <t>IR</t>
  </si>
  <si>
    <t>Taxes</t>
  </si>
  <si>
    <t>KY Tax</t>
  </si>
  <si>
    <t>In KY</t>
  </si>
  <si>
    <t>County</t>
  </si>
  <si>
    <t>TAX on Plane</t>
  </si>
  <si>
    <t>7KY6</t>
  </si>
  <si>
    <t>ALBANY</t>
  </si>
  <si>
    <t>RUSSELL</t>
  </si>
  <si>
    <t>Adairville</t>
  </si>
  <si>
    <t>InstructionRental</t>
  </si>
  <si>
    <t>Liab</t>
  </si>
  <si>
    <t>NJ</t>
  </si>
  <si>
    <t>45KY</t>
  </si>
  <si>
    <t>CLINTON</t>
  </si>
  <si>
    <t>Albany</t>
  </si>
  <si>
    <t>Dual</t>
  </si>
  <si>
    <t>WV</t>
  </si>
  <si>
    <t>8KY0</t>
  </si>
  <si>
    <t>ALBERTA</t>
  </si>
  <si>
    <t>HARRISON</t>
  </si>
  <si>
    <t>Alexandria</t>
  </si>
  <si>
    <t>AerialImaging</t>
  </si>
  <si>
    <t>KY</t>
  </si>
  <si>
    <t>1KT9</t>
  </si>
  <si>
    <t>ANNVILLE</t>
  </si>
  <si>
    <t>JACKSON</t>
  </si>
  <si>
    <t>Allen</t>
  </si>
  <si>
    <t>Sightseeing</t>
  </si>
  <si>
    <t>90KY</t>
  </si>
  <si>
    <t>ASHCAMP</t>
  </si>
  <si>
    <t>PIKE</t>
  </si>
  <si>
    <t>Anchorage</t>
  </si>
  <si>
    <t>Charter</t>
  </si>
  <si>
    <t>DWU</t>
  </si>
  <si>
    <t>ASHLAND</t>
  </si>
  <si>
    <t>GREENUP</t>
  </si>
  <si>
    <t>Anderson County</t>
  </si>
  <si>
    <t>IAOwner_TP</t>
  </si>
  <si>
    <t>State</t>
  </si>
  <si>
    <t>4KY9</t>
  </si>
  <si>
    <t>BOYD</t>
  </si>
  <si>
    <t>Arlington</t>
  </si>
  <si>
    <t>P&amp;B</t>
  </si>
  <si>
    <t>34KY</t>
  </si>
  <si>
    <t>AUBURN</t>
  </si>
  <si>
    <t>LOGAN</t>
  </si>
  <si>
    <t>Ashland</t>
  </si>
  <si>
    <t>7KY5</t>
  </si>
  <si>
    <t>BARBOURVILLE</t>
  </si>
  <si>
    <t>KNOX</t>
  </si>
  <si>
    <t>Auburn</t>
  </si>
  <si>
    <t>5KY1</t>
  </si>
  <si>
    <t>BARDSTOWN</t>
  </si>
  <si>
    <t>NELSON</t>
  </si>
  <si>
    <t>Audubon Park</t>
  </si>
  <si>
    <t>BRY</t>
  </si>
  <si>
    <t>Augusta</t>
  </si>
  <si>
    <t>9KY7</t>
  </si>
  <si>
    <t>BEDFORD</t>
  </si>
  <si>
    <t>ADAIR</t>
  </si>
  <si>
    <t>Bancroft</t>
  </si>
  <si>
    <t>Aerial Imaging</t>
  </si>
  <si>
    <t>57KY</t>
  </si>
  <si>
    <t>BELCHER</t>
  </si>
  <si>
    <t>Barbourmeade</t>
  </si>
  <si>
    <t>18KY</t>
  </si>
  <si>
    <t>BENTON</t>
  </si>
  <si>
    <t>MARSHALL</t>
  </si>
  <si>
    <t>Barbourville</t>
  </si>
  <si>
    <t>42KY</t>
  </si>
  <si>
    <t>Bardwell</t>
  </si>
  <si>
    <t>05KY</t>
  </si>
  <si>
    <t>BEREA</t>
  </si>
  <si>
    <t>GARRARD</t>
  </si>
  <si>
    <t>Barlow</t>
  </si>
  <si>
    <t>3% or 7%</t>
  </si>
  <si>
    <t>5KY3</t>
  </si>
  <si>
    <t>MADISON</t>
  </si>
  <si>
    <t>Beattyville</t>
  </si>
  <si>
    <t>24KY</t>
  </si>
  <si>
    <t>BOWLING GREEN</t>
  </si>
  <si>
    <t>WARREN</t>
  </si>
  <si>
    <t>Beaver Dam</t>
  </si>
  <si>
    <t>BWG</t>
  </si>
  <si>
    <t>Bedford</t>
  </si>
  <si>
    <t>liab</t>
  </si>
  <si>
    <t>0KY5</t>
  </si>
  <si>
    <t>Beechwood Village</t>
  </si>
  <si>
    <t>8KY1</t>
  </si>
  <si>
    <t>Bell County</t>
  </si>
  <si>
    <t>2KY3</t>
  </si>
  <si>
    <t>Bellemeade</t>
  </si>
  <si>
    <t>2KY6</t>
  </si>
  <si>
    <t>Bellevue</t>
  </si>
  <si>
    <t>95KY</t>
  </si>
  <si>
    <t>BRODHEAD</t>
  </si>
  <si>
    <t>ROCKCASTLE</t>
  </si>
  <si>
    <t>Bellewood</t>
  </si>
  <si>
    <t>73KY</t>
  </si>
  <si>
    <t>BROOKS</t>
  </si>
  <si>
    <t>BULLITT</t>
  </si>
  <si>
    <t>Benton</t>
  </si>
  <si>
    <t>8KY4</t>
  </si>
  <si>
    <t>BURKESVILLE</t>
  </si>
  <si>
    <t>CUMBERLAND</t>
  </si>
  <si>
    <t>Berea</t>
  </si>
  <si>
    <t>23KY</t>
  </si>
  <si>
    <t>BURNA</t>
  </si>
  <si>
    <t>LIVINGSTON</t>
  </si>
  <si>
    <t>Berry</t>
  </si>
  <si>
    <t>08KY</t>
  </si>
  <si>
    <t>BURNSIDE</t>
  </si>
  <si>
    <t>PULASKI</t>
  </si>
  <si>
    <t>Blue Ridge Manor</t>
  </si>
  <si>
    <t>1M9</t>
  </si>
  <si>
    <t>CADIZ</t>
  </si>
  <si>
    <t>TRIGG</t>
  </si>
  <si>
    <t>Bonnieville</t>
  </si>
  <si>
    <t>5KY5</t>
  </si>
  <si>
    <t>Bowling Green</t>
  </si>
  <si>
    <t>9KY8</t>
  </si>
  <si>
    <t>Bradfordsville</t>
  </si>
  <si>
    <t>4KY4</t>
  </si>
  <si>
    <t>CALHOUN</t>
  </si>
  <si>
    <t>MC LEAN</t>
  </si>
  <si>
    <t>Brandenburg</t>
  </si>
  <si>
    <t>96KY</t>
  </si>
  <si>
    <t>Breckinridge County</t>
  </si>
  <si>
    <t>AAS</t>
  </si>
  <si>
    <t>CAMPBELLSVILLE</t>
  </si>
  <si>
    <t>Briarwood</t>
  </si>
  <si>
    <t>2KY7</t>
  </si>
  <si>
    <t>Brodhead</t>
  </si>
  <si>
    <t>7KY1</t>
  </si>
  <si>
    <t>CARLISLE</t>
  </si>
  <si>
    <t>NICHOLAS</t>
  </si>
  <si>
    <t>Broeck Pointe</t>
  </si>
  <si>
    <t>3KY5</t>
  </si>
  <si>
    <t>CARROLLTON</t>
  </si>
  <si>
    <t>CARROLL</t>
  </si>
  <si>
    <t>Bromley</t>
  </si>
  <si>
    <t>3KY4</t>
  </si>
  <si>
    <t>Brooksville</t>
  </si>
  <si>
    <t>44KY</t>
  </si>
  <si>
    <t>CHAVIES</t>
  </si>
  <si>
    <t>PERRY</t>
  </si>
  <si>
    <t>Brownsboro Farm</t>
  </si>
  <si>
    <t>66KY</t>
  </si>
  <si>
    <t>CLARKSON</t>
  </si>
  <si>
    <t>GRAYSON</t>
  </si>
  <si>
    <t>Brownsboro Village</t>
  </si>
  <si>
    <t>9KY0</t>
  </si>
  <si>
    <t>CLAY CITY</t>
  </si>
  <si>
    <t>POWELL</t>
  </si>
  <si>
    <t>Brownsville</t>
  </si>
  <si>
    <t>0KY7</t>
  </si>
  <si>
    <t>HICKMAN</t>
  </si>
  <si>
    <t>Bullitt County</t>
  </si>
  <si>
    <t>I96</t>
  </si>
  <si>
    <t>Burgin</t>
  </si>
  <si>
    <t>48KY</t>
  </si>
  <si>
    <t>Burkesville</t>
  </si>
  <si>
    <t>98KY</t>
  </si>
  <si>
    <t>CORBIN</t>
  </si>
  <si>
    <t>WHITLEY</t>
  </si>
  <si>
    <t>Burnside</t>
  </si>
  <si>
    <t>(a)</t>
  </si>
  <si>
    <t>CVG</t>
  </si>
  <si>
    <t>COVINGTON</t>
  </si>
  <si>
    <t>BOONE</t>
  </si>
  <si>
    <t>Butler</t>
  </si>
  <si>
    <t>(b)</t>
  </si>
  <si>
    <t>3KY8</t>
  </si>
  <si>
    <t>KENTON</t>
  </si>
  <si>
    <t>Cadiz</t>
  </si>
  <si>
    <t>(c)</t>
  </si>
  <si>
    <t>82KY</t>
  </si>
  <si>
    <t>CRESTWOOD</t>
  </si>
  <si>
    <t>JEFFERSON</t>
  </si>
  <si>
    <t>Calhoun</t>
  </si>
  <si>
    <t>(d)</t>
  </si>
  <si>
    <t>69KY</t>
  </si>
  <si>
    <t>CUB RUN</t>
  </si>
  <si>
    <t>EDMONSON</t>
  </si>
  <si>
    <t>California</t>
  </si>
  <si>
    <t>1KY9</t>
  </si>
  <si>
    <t>HARLAN</t>
  </si>
  <si>
    <t>Calvert City</t>
  </si>
  <si>
    <t>74KY</t>
  </si>
  <si>
    <t>CUNNINGHAM</t>
  </si>
  <si>
    <t>Cambridge</t>
  </si>
  <si>
    <t>0I8</t>
  </si>
  <si>
    <t>CYNTHIANA</t>
  </si>
  <si>
    <t>Campbell County</t>
  </si>
  <si>
    <t>63KY</t>
  </si>
  <si>
    <t>Campbellsburg</t>
  </si>
  <si>
    <t>1KT8</t>
  </si>
  <si>
    <t>DANVILLE</t>
  </si>
  <si>
    <t>BOYLE</t>
  </si>
  <si>
    <t>Campbellsville</t>
  </si>
  <si>
    <t>99KY</t>
  </si>
  <si>
    <t>Campton</t>
  </si>
  <si>
    <t>DVK</t>
  </si>
  <si>
    <t>Caneyville</t>
  </si>
  <si>
    <t>8M7</t>
  </si>
  <si>
    <t>DAWSON SPRINGS</t>
  </si>
  <si>
    <t>HOPKINS</t>
  </si>
  <si>
    <t>Carlisle</t>
  </si>
  <si>
    <t>59KY</t>
  </si>
  <si>
    <t>DEATSVILLE</t>
  </si>
  <si>
    <t>Carlisle County</t>
  </si>
  <si>
    <t>19KY</t>
  </si>
  <si>
    <t>DRY RIDGE</t>
  </si>
  <si>
    <t>GRANT</t>
  </si>
  <si>
    <t>Carrollton</t>
  </si>
  <si>
    <t>32KY</t>
  </si>
  <si>
    <t>EDGEWOOD</t>
  </si>
  <si>
    <t>Carter County</t>
  </si>
  <si>
    <t>EKX</t>
  </si>
  <si>
    <t>ELIZABETHTOWN</t>
  </si>
  <si>
    <t>HARDIN</t>
  </si>
  <si>
    <t>Casey County</t>
  </si>
  <si>
    <t>1KY1</t>
  </si>
  <si>
    <t>Catlettsburg</t>
  </si>
  <si>
    <t>2KY4</t>
  </si>
  <si>
    <t>Cave City</t>
  </si>
  <si>
    <t>5KY4</t>
  </si>
  <si>
    <t>ELKTON</t>
  </si>
  <si>
    <t>TODD</t>
  </si>
  <si>
    <t>Centertown</t>
  </si>
  <si>
    <t>83KY</t>
  </si>
  <si>
    <t>ERLANGER</t>
  </si>
  <si>
    <t>Central City</t>
  </si>
  <si>
    <t>2I3</t>
  </si>
  <si>
    <t>FALLS-OF-ROUGH</t>
  </si>
  <si>
    <t>Clark County</t>
  </si>
  <si>
    <t>K62</t>
  </si>
  <si>
    <t>FALMOUTH</t>
  </si>
  <si>
    <t>PENDLETON</t>
  </si>
  <si>
    <t>Clarkson</t>
  </si>
  <si>
    <t>58KY</t>
  </si>
  <si>
    <t>FINCHVILLE</t>
  </si>
  <si>
    <t>SHELBY</t>
  </si>
  <si>
    <t>Clay</t>
  </si>
  <si>
    <t>0JY9</t>
  </si>
  <si>
    <t>FLEMINGSBURG</t>
  </si>
  <si>
    <t>FLEMING</t>
  </si>
  <si>
    <t>Clay City</t>
  </si>
  <si>
    <t>FGX</t>
  </si>
  <si>
    <t>MASON</t>
  </si>
  <si>
    <t>Cloverport</t>
  </si>
  <si>
    <t>67KY</t>
  </si>
  <si>
    <t>FLORENCE</t>
  </si>
  <si>
    <t>Coal Run Village</t>
  </si>
  <si>
    <t>HOP</t>
  </si>
  <si>
    <t>FORT CAMPBELL/HOPKINSVILLE</t>
  </si>
  <si>
    <t>CHRISTIAN</t>
  </si>
  <si>
    <t>Cold Spring</t>
  </si>
  <si>
    <t>FTK</t>
  </si>
  <si>
    <t>FORT KNOX</t>
  </si>
  <si>
    <t>Coldstream</t>
  </si>
  <si>
    <t>46KY</t>
  </si>
  <si>
    <t>FORT THOMAS</t>
  </si>
  <si>
    <t>CAMPBELL</t>
  </si>
  <si>
    <t>Columbia</t>
  </si>
  <si>
    <t>6KY4</t>
  </si>
  <si>
    <t>FOUNTAIN RUN</t>
  </si>
  <si>
    <t>BARREN</t>
  </si>
  <si>
    <t>Corbin</t>
  </si>
  <si>
    <t>2KT4</t>
  </si>
  <si>
    <t>Corinth</t>
  </si>
  <si>
    <t>02KY</t>
  </si>
  <si>
    <t>FRANKFORT</t>
  </si>
  <si>
    <t>FRANKLIN</t>
  </si>
  <si>
    <t>Corydon</t>
  </si>
  <si>
    <t>FFT</t>
  </si>
  <si>
    <t>Covington</t>
  </si>
  <si>
    <t>15KY</t>
  </si>
  <si>
    <t>Crab Orchard</t>
  </si>
  <si>
    <t>05KT</t>
  </si>
  <si>
    <t>Creekside</t>
  </si>
  <si>
    <t>0KY1</t>
  </si>
  <si>
    <t>SIMPSON</t>
  </si>
  <si>
    <t>Crescent Springs</t>
  </si>
  <si>
    <t>8KY3</t>
  </si>
  <si>
    <t>Crestview</t>
  </si>
  <si>
    <t>81KY</t>
  </si>
  <si>
    <t>Crestwood</t>
  </si>
  <si>
    <t>35KY</t>
  </si>
  <si>
    <t>Crittenden</t>
  </si>
  <si>
    <t>NonOwned Calculations</t>
  </si>
  <si>
    <t>1M7</t>
  </si>
  <si>
    <t>FULTON</t>
  </si>
  <si>
    <t>Crittenden County</t>
  </si>
  <si>
    <t>8KY8</t>
  </si>
  <si>
    <t>Crofton</t>
  </si>
  <si>
    <t>27K</t>
  </si>
  <si>
    <t>GEORGETOWN</t>
  </si>
  <si>
    <t>SCOTT</t>
  </si>
  <si>
    <t>Crossgate</t>
  </si>
  <si>
    <t>Base</t>
  </si>
  <si>
    <t>Rate Table Factor</t>
  </si>
  <si>
    <t>Policy Level Liab Mod</t>
  </si>
  <si>
    <t>Total Liab</t>
  </si>
  <si>
    <t>Nonliab Premium</t>
  </si>
  <si>
    <t>M34</t>
  </si>
  <si>
    <t>GILBERTSVILLE</t>
  </si>
  <si>
    <t>Cumberland</t>
  </si>
  <si>
    <t>4KY1</t>
  </si>
  <si>
    <t>GLASGOW</t>
  </si>
  <si>
    <t>Cynthiana</t>
  </si>
  <si>
    <t>GLW</t>
  </si>
  <si>
    <t>Danville</t>
  </si>
  <si>
    <t>7KY8</t>
  </si>
  <si>
    <t>Daviess County</t>
  </si>
  <si>
    <t>Chart</t>
  </si>
  <si>
    <t>Use Mod</t>
  </si>
  <si>
    <t>Policy Level mod</t>
  </si>
  <si>
    <t>Total</t>
  </si>
  <si>
    <t>Nonowned Premum</t>
  </si>
  <si>
    <t>2KY0</t>
  </si>
  <si>
    <t>GREENSBURG</t>
  </si>
  <si>
    <t>GREEN</t>
  </si>
  <si>
    <t>Dawson Springs</t>
  </si>
  <si>
    <t>M21</t>
  </si>
  <si>
    <t>GREENVILLE</t>
  </si>
  <si>
    <t>MUHLENBERG</t>
  </si>
  <si>
    <t>Dayton</t>
  </si>
  <si>
    <t>4KY0</t>
  </si>
  <si>
    <t>Dixon</t>
  </si>
  <si>
    <t>9KY2</t>
  </si>
  <si>
    <t>HARDINSBURG</t>
  </si>
  <si>
    <t>BRECKINRIDGE</t>
  </si>
  <si>
    <t>Douglass Hills</t>
  </si>
  <si>
    <t>47KY</t>
  </si>
  <si>
    <t>Dover</t>
  </si>
  <si>
    <t>I93</t>
  </si>
  <si>
    <t>Druid Hills</t>
  </si>
  <si>
    <t>6KY0</t>
  </si>
  <si>
    <t>Dry Ridge</t>
  </si>
  <si>
    <t>Free Flow - Talk to U/W</t>
  </si>
  <si>
    <t>I35</t>
  </si>
  <si>
    <t>Earlington</t>
  </si>
  <si>
    <t>1KY6</t>
  </si>
  <si>
    <t>HARRODSBURG</t>
  </si>
  <si>
    <t>MERCER</t>
  </si>
  <si>
    <t>Eddyville</t>
  </si>
  <si>
    <t>JQD</t>
  </si>
  <si>
    <t>HARTFORD</t>
  </si>
  <si>
    <t>OHIO</t>
  </si>
  <si>
    <t>Edmonton</t>
  </si>
  <si>
    <t>9JY9</t>
  </si>
  <si>
    <t>HAZARD</t>
  </si>
  <si>
    <t>Ekron</t>
  </si>
  <si>
    <t>CPF</t>
  </si>
  <si>
    <t>Elizabethtown</t>
  </si>
  <si>
    <t>1KY2</t>
  </si>
  <si>
    <t>HENDERSON</t>
  </si>
  <si>
    <t>Elkhorn City</t>
  </si>
  <si>
    <t>03KY</t>
  </si>
  <si>
    <t>Elkton</t>
  </si>
  <si>
    <t>EHR</t>
  </si>
  <si>
    <t>Elliott County</t>
  </si>
  <si>
    <t>6KY7</t>
  </si>
  <si>
    <t>Elsmere</t>
  </si>
  <si>
    <t>87KY</t>
  </si>
  <si>
    <t>HIGHLAND HEIGHTS</t>
  </si>
  <si>
    <t>Eminence</t>
  </si>
  <si>
    <t>04KY</t>
  </si>
  <si>
    <t>HISEVILLE</t>
  </si>
  <si>
    <t>Erlanger</t>
  </si>
  <si>
    <t>86KY</t>
  </si>
  <si>
    <t>HODGENVILLE</t>
  </si>
  <si>
    <t>LARUE</t>
  </si>
  <si>
    <t>Evarts</t>
  </si>
  <si>
    <t>21KY</t>
  </si>
  <si>
    <t>Ewing</t>
  </si>
  <si>
    <t>HVC</t>
  </si>
  <si>
    <t>HOPKINSVILLE</t>
  </si>
  <si>
    <t>Falmouth</t>
  </si>
  <si>
    <t>4KY6</t>
  </si>
  <si>
    <t>Ferguson</t>
  </si>
  <si>
    <t>0KY6</t>
  </si>
  <si>
    <t>HORSE CAVE</t>
  </si>
  <si>
    <t>HART</t>
  </si>
  <si>
    <t>Fincastle</t>
  </si>
  <si>
    <t>9KY1</t>
  </si>
  <si>
    <t>HYDEN</t>
  </si>
  <si>
    <t>LESLIE</t>
  </si>
  <si>
    <t>Flatwoods</t>
  </si>
  <si>
    <t>8KY6</t>
  </si>
  <si>
    <t>INDEPENDENCE</t>
  </si>
  <si>
    <t>Fleming County</t>
  </si>
  <si>
    <t>5JY9</t>
  </si>
  <si>
    <t>INEZ</t>
  </si>
  <si>
    <t>MARTIN</t>
  </si>
  <si>
    <t>Fleming-Neon</t>
  </si>
  <si>
    <t>JKL</t>
  </si>
  <si>
    <t>BREATHITT</t>
  </si>
  <si>
    <t>Flemingsburg</t>
  </si>
  <si>
    <t>8KY5</t>
  </si>
  <si>
    <t>Florence</t>
  </si>
  <si>
    <t>K24</t>
  </si>
  <si>
    <t>JAMESTOWN</t>
  </si>
  <si>
    <t>Floyd County</t>
  </si>
  <si>
    <t>0KY4</t>
  </si>
  <si>
    <t>Fordsville</t>
  </si>
  <si>
    <t>6KY8</t>
  </si>
  <si>
    <t>JENKINS</t>
  </si>
  <si>
    <t>LETCHER</t>
  </si>
  <si>
    <t>Forest Hills</t>
  </si>
  <si>
    <t>2KY9</t>
  </si>
  <si>
    <t>LA GRANGE</t>
  </si>
  <si>
    <t>OLDHAM</t>
  </si>
  <si>
    <t>Fort Mitchell</t>
  </si>
  <si>
    <t>91KY</t>
  </si>
  <si>
    <t>LANCASTER</t>
  </si>
  <si>
    <t>Fort Thomas</t>
  </si>
  <si>
    <t>76KY</t>
  </si>
  <si>
    <t>LAWRENCEBURG</t>
  </si>
  <si>
    <t>ANDERSON</t>
  </si>
  <si>
    <t>Fort Wright</t>
  </si>
  <si>
    <t>6KY1</t>
  </si>
  <si>
    <t>LEBANON</t>
  </si>
  <si>
    <t>MARION</t>
  </si>
  <si>
    <t>Fountain Run</t>
  </si>
  <si>
    <t>M20</t>
  </si>
  <si>
    <t>LEITCHFIELD</t>
  </si>
  <si>
    <t>Fox Chase</t>
  </si>
  <si>
    <t>56KY</t>
  </si>
  <si>
    <t>Frankfort</t>
  </si>
  <si>
    <t>KY8</t>
  </si>
  <si>
    <t>LEWISPORT</t>
  </si>
  <si>
    <t>HANCOCK</t>
  </si>
  <si>
    <t>Franklin</t>
  </si>
  <si>
    <t>LEX</t>
  </si>
  <si>
    <t>LEXINGTON</t>
  </si>
  <si>
    <t>FAYETTE</t>
  </si>
  <si>
    <t>Franklin County</t>
  </si>
  <si>
    <t>1KY4</t>
  </si>
  <si>
    <t>Fredonia</t>
  </si>
  <si>
    <t>27KY</t>
  </si>
  <si>
    <t>Frenchburg</t>
  </si>
  <si>
    <t>64KY</t>
  </si>
  <si>
    <t>Fulton</t>
  </si>
  <si>
    <t>82CD</t>
  </si>
  <si>
    <t>Fulton County</t>
  </si>
  <si>
    <t>8KY2</t>
  </si>
  <si>
    <t>Gamaliel</t>
  </si>
  <si>
    <t>49KY</t>
  </si>
  <si>
    <t>Georgetown</t>
  </si>
  <si>
    <t>88KY</t>
  </si>
  <si>
    <t>Ghent</t>
  </si>
  <si>
    <t>37KY</t>
  </si>
  <si>
    <t>Glasgow</t>
  </si>
  <si>
    <t>93KY</t>
  </si>
  <si>
    <t>Glencoe</t>
  </si>
  <si>
    <t>62LS</t>
  </si>
  <si>
    <t>LIBERTY</t>
  </si>
  <si>
    <t>CASEY</t>
  </si>
  <si>
    <t>Glenview</t>
  </si>
  <si>
    <t>53KT</t>
  </si>
  <si>
    <t>Glenview Hills</t>
  </si>
  <si>
    <t>3KY2</t>
  </si>
  <si>
    <t>LONDON</t>
  </si>
  <si>
    <t>LAUREL</t>
  </si>
  <si>
    <t>Glenview Manor</t>
  </si>
  <si>
    <t>LOZ</t>
  </si>
  <si>
    <t>Goose Creek</t>
  </si>
  <si>
    <t>5KY9</t>
  </si>
  <si>
    <t>Goshen</t>
  </si>
  <si>
    <t>9KY4</t>
  </si>
  <si>
    <t>Graymoor-Devondale</t>
  </si>
  <si>
    <t>09KY</t>
  </si>
  <si>
    <t>LOUISVILLE</t>
  </si>
  <si>
    <t>Grayson</t>
  </si>
  <si>
    <t>07KY</t>
  </si>
  <si>
    <t>Green County</t>
  </si>
  <si>
    <t>LOU</t>
  </si>
  <si>
    <t>Green Spring</t>
  </si>
  <si>
    <t>40NK</t>
  </si>
  <si>
    <t>Greensburg</t>
  </si>
  <si>
    <t>22KY</t>
  </si>
  <si>
    <t>Greenup</t>
  </si>
  <si>
    <t>97KY</t>
  </si>
  <si>
    <t>Greenville</t>
  </si>
  <si>
    <t>6KY6</t>
  </si>
  <si>
    <t>Guthrie</t>
  </si>
  <si>
    <t>41KY</t>
  </si>
  <si>
    <t>Hanson</t>
  </si>
  <si>
    <t>SDF</t>
  </si>
  <si>
    <t>Hardinsburg</t>
  </si>
  <si>
    <t>1KY8</t>
  </si>
  <si>
    <t>Harlan</t>
  </si>
  <si>
    <t>9KY5</t>
  </si>
  <si>
    <t>Harrodsburg</t>
  </si>
  <si>
    <t>9KT0</t>
  </si>
  <si>
    <t>Hartford</t>
  </si>
  <si>
    <t>8KT1</t>
  </si>
  <si>
    <t>Hawesville</t>
  </si>
  <si>
    <t>10KY</t>
  </si>
  <si>
    <t>Hazard</t>
  </si>
  <si>
    <t>11KY</t>
  </si>
  <si>
    <t>Hebron Estates</t>
  </si>
  <si>
    <t>26KY</t>
  </si>
  <si>
    <t>Henderson</t>
  </si>
  <si>
    <t>43KY</t>
  </si>
  <si>
    <t>Henderson County</t>
  </si>
  <si>
    <t>60KY</t>
  </si>
  <si>
    <t>MADISONVILLE</t>
  </si>
  <si>
    <t>Heritage Creek</t>
  </si>
  <si>
    <t>2I0</t>
  </si>
  <si>
    <t>Hickman</t>
  </si>
  <si>
    <t>15KT</t>
  </si>
  <si>
    <t>MANCHESTER</t>
  </si>
  <si>
    <t>CLAY</t>
  </si>
  <si>
    <t>Hickory Hill</t>
  </si>
  <si>
    <t>4KY2</t>
  </si>
  <si>
    <t>Highland Heights</t>
  </si>
  <si>
    <t>7KY9</t>
  </si>
  <si>
    <t>Hills And Dales</t>
  </si>
  <si>
    <t>5M9</t>
  </si>
  <si>
    <t>CRITTENDEN</t>
  </si>
  <si>
    <t>Hillview</t>
  </si>
  <si>
    <t>M25</t>
  </si>
  <si>
    <t>MAYFIELD</t>
  </si>
  <si>
    <t>GRAVES</t>
  </si>
  <si>
    <t>Hindman</t>
  </si>
  <si>
    <t>8KY9</t>
  </si>
  <si>
    <t>MAYSVILLE</t>
  </si>
  <si>
    <t>Hodgenville</t>
  </si>
  <si>
    <t>20KT</t>
  </si>
  <si>
    <t>MCDANIELS</t>
  </si>
  <si>
    <t>Hollow Creek</t>
  </si>
  <si>
    <t>9KY6</t>
  </si>
  <si>
    <t>MIDDLESBORO</t>
  </si>
  <si>
    <t>Hopkins County</t>
  </si>
  <si>
    <t>65KY</t>
  </si>
  <si>
    <t>Hopkinsville</t>
  </si>
  <si>
    <t>1A6</t>
  </si>
  <si>
    <t>Horse Cave</t>
  </si>
  <si>
    <t>2KY8</t>
  </si>
  <si>
    <t>MILLVILLE</t>
  </si>
  <si>
    <t>WOODFORD</t>
  </si>
  <si>
    <t>Houston Acres</t>
  </si>
  <si>
    <t>EKQ</t>
  </si>
  <si>
    <t>MONTICELLO</t>
  </si>
  <si>
    <t>WAYNE</t>
  </si>
  <si>
    <t>Hunters Hollow</t>
  </si>
  <si>
    <t>30KY</t>
  </si>
  <si>
    <t>Hurstbourne</t>
  </si>
  <si>
    <t>SYM</t>
  </si>
  <si>
    <t>MOREHEAD</t>
  </si>
  <si>
    <t>ROWAN</t>
  </si>
  <si>
    <t>Hurstbourne Acres</t>
  </si>
  <si>
    <t>02KT</t>
  </si>
  <si>
    <t>Hustonville</t>
  </si>
  <si>
    <t>08KT</t>
  </si>
  <si>
    <t>MORGANFIELD</t>
  </si>
  <si>
    <t>UNION</t>
  </si>
  <si>
    <t>Hyden</t>
  </si>
  <si>
    <t>IOB</t>
  </si>
  <si>
    <t>MOUNT STERLING</t>
  </si>
  <si>
    <t>MONTGOMERY</t>
  </si>
  <si>
    <t>Indian Hills</t>
  </si>
  <si>
    <t>77KY</t>
  </si>
  <si>
    <t>MOUNT STERLING/OWINGSVILLE</t>
  </si>
  <si>
    <t>Irvine</t>
  </si>
  <si>
    <t>9KY3</t>
  </si>
  <si>
    <t>MT STERLING</t>
  </si>
  <si>
    <t>Irvington</t>
  </si>
  <si>
    <t>1KY5</t>
  </si>
  <si>
    <t>MT VERNON</t>
  </si>
  <si>
    <t>Island</t>
  </si>
  <si>
    <t>28KY</t>
  </si>
  <si>
    <t>MURRAY</t>
  </si>
  <si>
    <t>CALLOWAY</t>
  </si>
  <si>
    <t>Jackson</t>
  </si>
  <si>
    <t>CEY</t>
  </si>
  <si>
    <t>Jackson County</t>
  </si>
  <si>
    <t>7KY0</t>
  </si>
  <si>
    <t>Jamestown</t>
  </si>
  <si>
    <t>54KY</t>
  </si>
  <si>
    <t>Jeffersontown</t>
  </si>
  <si>
    <t>85KY</t>
  </si>
  <si>
    <t>NEW CASTLE</t>
  </si>
  <si>
    <t>HENRY</t>
  </si>
  <si>
    <t>Jeffersonville</t>
  </si>
  <si>
    <t>12KY</t>
  </si>
  <si>
    <t>Jenkins</t>
  </si>
  <si>
    <t>79KY</t>
  </si>
  <si>
    <t>NICHOLASVILLE</t>
  </si>
  <si>
    <t>JESSAMINE</t>
  </si>
  <si>
    <t>Jessamine County</t>
  </si>
  <si>
    <t>5KY0</t>
  </si>
  <si>
    <t>Junction City</t>
  </si>
  <si>
    <t>2KY5</t>
  </si>
  <si>
    <t>OLIVE HILL</t>
  </si>
  <si>
    <t>CARTER</t>
  </si>
  <si>
    <t>Kenton County</t>
  </si>
  <si>
    <t>13KY</t>
  </si>
  <si>
    <t>OWENSBORO</t>
  </si>
  <si>
    <t>DAVIESS</t>
  </si>
  <si>
    <t>Kingsley</t>
  </si>
  <si>
    <t>OWB</t>
  </si>
  <si>
    <t>Knott County</t>
  </si>
  <si>
    <t>78KY</t>
  </si>
  <si>
    <t>OWENTON</t>
  </si>
  <si>
    <t>OWEN</t>
  </si>
  <si>
    <t>Kuttawa</t>
  </si>
  <si>
    <t>None</t>
  </si>
  <si>
    <t>0KY0</t>
  </si>
  <si>
    <t>La Center</t>
  </si>
  <si>
    <t>61KY</t>
  </si>
  <si>
    <t>Lafayette</t>
  </si>
  <si>
    <t>PAH</t>
  </si>
  <si>
    <t>PADUCAH</t>
  </si>
  <si>
    <t>MC CRACKEN</t>
  </si>
  <si>
    <t>Lagrange</t>
  </si>
  <si>
    <t>01KY</t>
  </si>
  <si>
    <t>Lakeside Park</t>
  </si>
  <si>
    <t>25KY</t>
  </si>
  <si>
    <t>Lancaster</t>
  </si>
  <si>
    <t>2KY1</t>
  </si>
  <si>
    <t>PAINT LICK</t>
  </si>
  <si>
    <t>Langdon Place</t>
  </si>
  <si>
    <t>9KY9</t>
  </si>
  <si>
    <t>PAINTSVILLE</t>
  </si>
  <si>
    <t>Lawrenceburg</t>
  </si>
  <si>
    <t>52KY</t>
  </si>
  <si>
    <t>PARIS</t>
  </si>
  <si>
    <t>BOURBON</t>
  </si>
  <si>
    <t>Lebanon</t>
  </si>
  <si>
    <t>8JY8</t>
  </si>
  <si>
    <t>Lebanon Junction</t>
  </si>
  <si>
    <t>14KY</t>
  </si>
  <si>
    <t>Leitchfield</t>
  </si>
  <si>
    <t>0KY9</t>
  </si>
  <si>
    <t>Lewis County</t>
  </si>
  <si>
    <t>31KY</t>
  </si>
  <si>
    <t>Lewisburg</t>
  </si>
  <si>
    <t>50KY</t>
  </si>
  <si>
    <t>Lexington-Fayette</t>
  </si>
  <si>
    <t>71KY</t>
  </si>
  <si>
    <t>PETERSBURG</t>
  </si>
  <si>
    <t>Liberty</t>
  </si>
  <si>
    <t>PBX</t>
  </si>
  <si>
    <t>PIKEVILLE</t>
  </si>
  <si>
    <t>Lincolnshire</t>
  </si>
  <si>
    <t>62KY</t>
  </si>
  <si>
    <t>Livermore</t>
  </si>
  <si>
    <t>18I</t>
  </si>
  <si>
    <t>PINE KNOT</t>
  </si>
  <si>
    <t>MC CREARY</t>
  </si>
  <si>
    <t>Livingston</t>
  </si>
  <si>
    <t>7KY2</t>
  </si>
  <si>
    <t>PINEVILLE</t>
  </si>
  <si>
    <t>London</t>
  </si>
  <si>
    <t>8KT8</t>
  </si>
  <si>
    <t>PLEASUREVILLE</t>
  </si>
  <si>
    <t>Loretto</t>
  </si>
  <si>
    <t>SJS</t>
  </si>
  <si>
    <t>PRESTONSBURG</t>
  </si>
  <si>
    <t>Louisa</t>
  </si>
  <si>
    <t>50KT</t>
  </si>
  <si>
    <t>FLOYD</t>
  </si>
  <si>
    <t>Louisville Urban Services</t>
  </si>
  <si>
    <t>6KY5</t>
  </si>
  <si>
    <t>PRINCETON</t>
  </si>
  <si>
    <t>CALDWELL</t>
  </si>
  <si>
    <t>Dist
Louisville-Jefferson</t>
  </si>
  <si>
    <t>2M0</t>
  </si>
  <si>
    <t>Loyall</t>
  </si>
  <si>
    <t>8M9</t>
  </si>
  <si>
    <t>PROVIDENCE</t>
  </si>
  <si>
    <t>WEBSTER</t>
  </si>
  <si>
    <t>Ludlow</t>
  </si>
  <si>
    <t>RGA</t>
  </si>
  <si>
    <t>RICHMOND</t>
  </si>
  <si>
    <t>Lynch</t>
  </si>
  <si>
    <t>1KY7</t>
  </si>
  <si>
    <t>Lyndon</t>
  </si>
  <si>
    <t>1KY0</t>
  </si>
  <si>
    <t>Lynnview</t>
  </si>
  <si>
    <t>94KY</t>
  </si>
  <si>
    <t>RUMSEY</t>
  </si>
  <si>
    <t>Madisonville</t>
  </si>
  <si>
    <t>6KY9</t>
  </si>
  <si>
    <t>Manchester</t>
  </si>
  <si>
    <t>7JY7</t>
  </si>
  <si>
    <t>RUSSELL SPRINGS</t>
  </si>
  <si>
    <t>Manor Creek</t>
  </si>
  <si>
    <t>4M7</t>
  </si>
  <si>
    <t>RUSSELLVILLE</t>
  </si>
  <si>
    <t>Marion</t>
  </si>
  <si>
    <t>80KY</t>
  </si>
  <si>
    <t>SACRAMENTO</t>
  </si>
  <si>
    <t>17KY</t>
  </si>
  <si>
    <t>Maryhill Estates</t>
  </si>
  <si>
    <t>2KY2</t>
  </si>
  <si>
    <t>SALEM</t>
  </si>
  <si>
    <t>Mason County</t>
  </si>
  <si>
    <t>5KY8</t>
  </si>
  <si>
    <t>SALVISA</t>
  </si>
  <si>
    <t>Mayfield</t>
  </si>
  <si>
    <t>6KY3</t>
  </si>
  <si>
    <t>SHELBYVILLE</t>
  </si>
  <si>
    <t>Maysville</t>
  </si>
  <si>
    <t>3KY9</t>
  </si>
  <si>
    <t>Mc Henry</t>
  </si>
  <si>
    <t>40KY</t>
  </si>
  <si>
    <t>McKee</t>
  </si>
  <si>
    <t>4KY8</t>
  </si>
  <si>
    <t>SHEPHERDSVILLE</t>
  </si>
  <si>
    <t>Meade County</t>
  </si>
  <si>
    <t>5KY6</t>
  </si>
  <si>
    <t>SMITHFIELD</t>
  </si>
  <si>
    <t>Meadow Vale</t>
  </si>
  <si>
    <t>39KY</t>
  </si>
  <si>
    <t>SOMERSET</t>
  </si>
  <si>
    <t>Meadowbrook Farm</t>
  </si>
  <si>
    <t>SME</t>
  </si>
  <si>
    <t>Meadowview Estates</t>
  </si>
  <si>
    <t>68KY</t>
  </si>
  <si>
    <t>Melbourne</t>
  </si>
  <si>
    <t>3KY6</t>
  </si>
  <si>
    <t>SOUTH WILLIAMSON</t>
  </si>
  <si>
    <t>Menifee County</t>
  </si>
  <si>
    <t>10KT</t>
  </si>
  <si>
    <t>SPARTA</t>
  </si>
  <si>
    <t>GALLATIN</t>
  </si>
  <si>
    <t>Mentor</t>
  </si>
  <si>
    <t>36KY</t>
  </si>
  <si>
    <t>SPRINGFIELD</t>
  </si>
  <si>
    <t>WASHINGTON</t>
  </si>
  <si>
    <t>Middlesboro</t>
  </si>
  <si>
    <t>6I2</t>
  </si>
  <si>
    <t>Middletown</t>
  </si>
  <si>
    <t>8KY7</t>
  </si>
  <si>
    <t>STANFORD</t>
  </si>
  <si>
    <t>LINCOLN</t>
  </si>
  <si>
    <t>Midway</t>
  </si>
  <si>
    <t>00KY</t>
  </si>
  <si>
    <t>Millersburg</t>
  </si>
  <si>
    <t>I50</t>
  </si>
  <si>
    <t>STANTON</t>
  </si>
  <si>
    <t>Milton</t>
  </si>
  <si>
    <t>TWT</t>
  </si>
  <si>
    <t>STURGIS</t>
  </si>
  <si>
    <t>Mockingbird Valley</t>
  </si>
  <si>
    <t>7KY3</t>
  </si>
  <si>
    <t>TARYLORSVILLE</t>
  </si>
  <si>
    <t>SPENCER</t>
  </si>
  <si>
    <t>Monticello</t>
  </si>
  <si>
    <t>3KY3</t>
  </si>
  <si>
    <t>TAYLORSVILLE</t>
  </si>
  <si>
    <t>Morehead</t>
  </si>
  <si>
    <t>1KY3</t>
  </si>
  <si>
    <t>TOMPKINSVILLE</t>
  </si>
  <si>
    <t>MONROE</t>
  </si>
  <si>
    <t>Morgan County</t>
  </si>
  <si>
    <t>TZV</t>
  </si>
  <si>
    <t>Morganfield</t>
  </si>
  <si>
    <t>33KY</t>
  </si>
  <si>
    <t>UTICA</t>
  </si>
  <si>
    <t>Morgantown</t>
  </si>
  <si>
    <t>3KY1</t>
  </si>
  <si>
    <t>Mortons Gap</t>
  </si>
  <si>
    <t>4KY7</t>
  </si>
  <si>
    <t>VERONA</t>
  </si>
  <si>
    <t>Mount Olivet</t>
  </si>
  <si>
    <t>20KY</t>
  </si>
  <si>
    <t>Mount Sterling</t>
  </si>
  <si>
    <t>70KY</t>
  </si>
  <si>
    <t>VINE GROVE</t>
  </si>
  <si>
    <t>Mount Vernon</t>
  </si>
  <si>
    <t>4KT4</t>
  </si>
  <si>
    <t>WARSAW</t>
  </si>
  <si>
    <t>Mount Washington</t>
  </si>
  <si>
    <t>9I3</t>
  </si>
  <si>
    <t>WEST LIBERTY</t>
  </si>
  <si>
    <t>MORGAN</t>
  </si>
  <si>
    <t>Muldraugh</t>
  </si>
  <si>
    <t>4KY5</t>
  </si>
  <si>
    <t>WEST POINT</t>
  </si>
  <si>
    <t>Munfordville</t>
  </si>
  <si>
    <t>51KY</t>
  </si>
  <si>
    <t>WHITESBURG</t>
  </si>
  <si>
    <t>Murray</t>
  </si>
  <si>
    <t>72KY</t>
  </si>
  <si>
    <t>WILLIAMSBURG</t>
  </si>
  <si>
    <t>Murray Hill</t>
  </si>
  <si>
    <t>BYL</t>
  </si>
  <si>
    <t>Nebo</t>
  </si>
  <si>
    <t>38KY</t>
  </si>
  <si>
    <t>WILLIAMSTOWN</t>
  </si>
  <si>
    <t>New Castle</t>
  </si>
  <si>
    <t>75KY</t>
  </si>
  <si>
    <t>WINCHESTER</t>
  </si>
  <si>
    <t>CLARK</t>
  </si>
  <si>
    <t>New Haven</t>
  </si>
  <si>
    <t>3KY0</t>
  </si>
  <si>
    <t>Newport</t>
  </si>
  <si>
    <t>Nicholas County</t>
  </si>
  <si>
    <t>Nicholasville</t>
  </si>
  <si>
    <t>Norbourne Estates</t>
  </si>
  <si>
    <t>North Middletown</t>
  </si>
  <si>
    <t>Northfield</t>
  </si>
  <si>
    <t>Nortonville</t>
  </si>
  <si>
    <t>Norwood</t>
  </si>
  <si>
    <t>Oak Grove</t>
  </si>
  <si>
    <t>Oakland</t>
  </si>
  <si>
    <t>Old Brownsboro Place</t>
  </si>
  <si>
    <t>Oldham County</t>
  </si>
  <si>
    <t>Olive Hill</t>
  </si>
  <si>
    <t>Orchard Grass Hills</t>
  </si>
  <si>
    <t>Owen County</t>
  </si>
  <si>
    <t>Owensboro</t>
  </si>
  <si>
    <t>Owingsville</t>
  </si>
  <si>
    <t>Owsley County</t>
  </si>
  <si>
    <t>Paducah</t>
  </si>
  <si>
    <t>Paintsville</t>
  </si>
  <si>
    <t>Paris</t>
  </si>
  <si>
    <t>Park City</t>
  </si>
  <si>
    <t>Park Hills</t>
  </si>
  <si>
    <t>Parkway Village</t>
  </si>
  <si>
    <t>Pembroke</t>
  </si>
  <si>
    <t>Perryville</t>
  </si>
  <si>
    <t>Pewee Valley</t>
  </si>
  <si>
    <t>Pineville</t>
  </si>
  <si>
    <t>Pioneer Village</t>
  </si>
  <si>
    <t>Plantation</t>
  </si>
  <si>
    <t>Pleasureville</t>
  </si>
  <si>
    <t>Plum Springs</t>
  </si>
  <si>
    <t>Powderly</t>
  </si>
  <si>
    <t>Powell County</t>
  </si>
  <si>
    <t>Prestonsburg</t>
  </si>
  <si>
    <t>Prestonville</t>
  </si>
  <si>
    <t>Princeton</t>
  </si>
  <si>
    <t>Prospect</t>
  </si>
  <si>
    <t>Providence</t>
  </si>
  <si>
    <t>Pulaski County</t>
  </si>
  <si>
    <t>Raceland</t>
  </si>
  <si>
    <t>Radcliff</t>
  </si>
  <si>
    <t>Ravenna</t>
  </si>
  <si>
    <t>Richlawn</t>
  </si>
  <si>
    <t>Richmond</t>
  </si>
  <si>
    <t>River Bluff</t>
  </si>
  <si>
    <t>Riverwood</t>
  </si>
  <si>
    <t>Robards</t>
  </si>
  <si>
    <t>Robertson County</t>
  </si>
  <si>
    <t>Rockcastle County</t>
  </si>
  <si>
    <t>Rockport</t>
  </si>
  <si>
    <t>Rolling Fields</t>
  </si>
  <si>
    <t>Rolling Hills</t>
  </si>
  <si>
    <t>Russell Springs</t>
  </si>
  <si>
    <t>Russellville</t>
  </si>
  <si>
    <t>Ryland Heights</t>
  </si>
  <si>
    <t>Sacramento</t>
  </si>
  <si>
    <t>Sadieville</t>
  </si>
  <si>
    <t>Salyersville</t>
  </si>
  <si>
    <t>Sanders</t>
  </si>
  <si>
    <t>Sandy Hook</t>
  </si>
  <si>
    <t>Science Hill</t>
  </si>
  <si>
    <t>Scottsville</t>
  </si>
  <si>
    <t>Sebree</t>
  </si>
  <si>
    <t>Seneca Gardens</t>
  </si>
  <si>
    <t>Shelbyville</t>
  </si>
  <si>
    <t>Shepherdsville</t>
  </si>
  <si>
    <t>Shively</t>
  </si>
  <si>
    <t>Silver Grove</t>
  </si>
  <si>
    <t>Simpsonville</t>
  </si>
  <si>
    <t>Slaughters</t>
  </si>
  <si>
    <t>Smithfield</t>
  </si>
  <si>
    <t>Smithland</t>
  </si>
  <si>
    <t>Smiths Grove</t>
  </si>
  <si>
    <t>Somerset</t>
  </si>
  <si>
    <t>South Shore</t>
  </si>
  <si>
    <t>Southgate</t>
  </si>
  <si>
    <t>Sparta</t>
  </si>
  <si>
    <t>Spencer County</t>
  </si>
  <si>
    <t>Spring Valley</t>
  </si>
  <si>
    <t>Springfield</t>
  </si>
  <si>
    <t>St. Charles</t>
  </si>
  <si>
    <t>St. Matthews</t>
  </si>
  <si>
    <t>St. Regis Park</t>
  </si>
  <si>
    <t>Stamping Ground</t>
  </si>
  <si>
    <t>Stanford</t>
  </si>
  <si>
    <t>Stanton</t>
  </si>
  <si>
    <t>Strathmoor Manor</t>
  </si>
  <si>
    <t>Strathmoor Village</t>
  </si>
  <si>
    <t>Sturgis</t>
  </si>
  <si>
    <t>Sycamore</t>
  </si>
  <si>
    <t>Taylor Mill</t>
  </si>
  <si>
    <t>Taylorsville</t>
  </si>
  <si>
    <t>Ten Broeck</t>
  </si>
  <si>
    <t>Thornhill</t>
  </si>
  <si>
    <t>Todd County</t>
  </si>
  <si>
    <t>Tompkinsville</t>
  </si>
  <si>
    <t>Trenton</t>
  </si>
  <si>
    <t>Trigg County</t>
  </si>
  <si>
    <t>Trimble County</t>
  </si>
  <si>
    <t>Uniontown</t>
  </si>
  <si>
    <t>Vanceburg</t>
  </si>
  <si>
    <t>Versailles</t>
  </si>
  <si>
    <t>Vicco</t>
  </si>
  <si>
    <t>Villa Hills</t>
  </si>
  <si>
    <t>Vine Grove</t>
  </si>
  <si>
    <t>Walton</t>
  </si>
  <si>
    <t>Warsaw</t>
  </si>
  <si>
    <t>Washington County</t>
  </si>
  <si>
    <t>Watterson Park</t>
  </si>
  <si>
    <t>Wayland</t>
  </si>
  <si>
    <t>Wayne County</t>
  </si>
  <si>
    <t>Wellington</t>
  </si>
  <si>
    <t>West Buechel</t>
  </si>
  <si>
    <t>West Liberty</t>
  </si>
  <si>
    <t>West Point</t>
  </si>
  <si>
    <t>Westwood</t>
  </si>
  <si>
    <t>Wheatcroft</t>
  </si>
  <si>
    <t>Wheelwright</t>
  </si>
  <si>
    <t>White Plains</t>
  </si>
  <si>
    <t>Whitesburg</t>
  </si>
  <si>
    <t>Whitesville</t>
  </si>
  <si>
    <t>Wickliffe</t>
  </si>
  <si>
    <t>Wilder</t>
  </si>
  <si>
    <t>Wildwood</t>
  </si>
  <si>
    <t>Williamsburg</t>
  </si>
  <si>
    <t>Williamstown</t>
  </si>
  <si>
    <t>Wilmore</t>
  </si>
  <si>
    <t>Winchester</t>
  </si>
  <si>
    <t>Windy Hills</t>
  </si>
  <si>
    <t>Wingo</t>
  </si>
  <si>
    <t>Woodburn</t>
  </si>
  <si>
    <t>Woodbury</t>
  </si>
  <si>
    <t>Woodland Hills</t>
  </si>
  <si>
    <t>Woodlawn</t>
  </si>
  <si>
    <t>Woodlawn Park</t>
  </si>
  <si>
    <t>Worthington</t>
  </si>
  <si>
    <t>Worthington Hills</t>
  </si>
  <si>
    <t>Worthville</t>
  </si>
  <si>
    <t>Wurtland</t>
  </si>
  <si>
    <t>Answer list</t>
  </si>
  <si>
    <t>Medical Limits</t>
  </si>
  <si>
    <t>Gear Type Legend</t>
  </si>
  <si>
    <t>Rate Table Ref</t>
  </si>
  <si>
    <t>Gyro</t>
  </si>
  <si>
    <t>FC</t>
  </si>
  <si>
    <t>Fixed Conventional</t>
  </si>
  <si>
    <t>SE_P</t>
  </si>
  <si>
    <t>FT</t>
  </si>
  <si>
    <t>Fixed Tricycle</t>
  </si>
  <si>
    <t>ME_P</t>
  </si>
  <si>
    <t>RT</t>
  </si>
  <si>
    <t>Retract Tricycle</t>
  </si>
  <si>
    <t>ATC</t>
  </si>
  <si>
    <t>SETP</t>
  </si>
  <si>
    <t>GL</t>
  </si>
  <si>
    <t>Glider</t>
  </si>
  <si>
    <t>No Engine</t>
  </si>
  <si>
    <t>METP</t>
  </si>
  <si>
    <t>RC</t>
  </si>
  <si>
    <t>Retract Conventional</t>
  </si>
  <si>
    <t>Straight Floats</t>
  </si>
  <si>
    <t>RW_P</t>
  </si>
  <si>
    <t>Amphib</t>
  </si>
  <si>
    <t>Amphibious Floats</t>
  </si>
  <si>
    <t>RW_T</t>
  </si>
  <si>
    <t>Sea</t>
  </si>
  <si>
    <t>Flying Boat</t>
  </si>
  <si>
    <t>States</t>
  </si>
  <si>
    <t>AL</t>
  </si>
  <si>
    <t>AK</t>
  </si>
  <si>
    <t>AZ</t>
  </si>
  <si>
    <t>AR</t>
  </si>
  <si>
    <t>CA</t>
  </si>
  <si>
    <t>CO</t>
  </si>
  <si>
    <t>DE</t>
  </si>
  <si>
    <t>DC</t>
  </si>
  <si>
    <t>FL</t>
  </si>
  <si>
    <t>GA</t>
  </si>
  <si>
    <t>HI</t>
  </si>
  <si>
    <t>ID</t>
  </si>
  <si>
    <t>IL</t>
  </si>
  <si>
    <t>IN</t>
  </si>
  <si>
    <t>IA</t>
  </si>
  <si>
    <t>KS</t>
  </si>
  <si>
    <t>LA</t>
  </si>
  <si>
    <t>ME</t>
  </si>
  <si>
    <t>MD</t>
  </si>
  <si>
    <t>MA</t>
  </si>
  <si>
    <t>MI</t>
  </si>
  <si>
    <t>MN</t>
  </si>
  <si>
    <t>MS</t>
  </si>
  <si>
    <t>MO</t>
  </si>
  <si>
    <t>MT</t>
  </si>
  <si>
    <t>NE</t>
  </si>
  <si>
    <t>NV</t>
  </si>
  <si>
    <t>NH</t>
  </si>
  <si>
    <t>NM</t>
  </si>
  <si>
    <t>NY</t>
  </si>
  <si>
    <t>NC</t>
  </si>
  <si>
    <t>ND</t>
  </si>
  <si>
    <t>OH</t>
  </si>
  <si>
    <t>OK</t>
  </si>
  <si>
    <t>OR</t>
  </si>
  <si>
    <t>PA</t>
  </si>
  <si>
    <t>RI</t>
  </si>
  <si>
    <t>SC</t>
  </si>
  <si>
    <t>SD</t>
  </si>
  <si>
    <t>TN</t>
  </si>
  <si>
    <t>TX</t>
  </si>
  <si>
    <t>UT</t>
  </si>
  <si>
    <t>VT</t>
  </si>
  <si>
    <t>VA</t>
  </si>
  <si>
    <t>WA</t>
  </si>
  <si>
    <t>WI</t>
  </si>
  <si>
    <t>WY</t>
  </si>
  <si>
    <t>SEL FW</t>
  </si>
  <si>
    <t>Pax Seats</t>
  </si>
  <si>
    <t>MEL FW</t>
  </si>
  <si>
    <t>COM RW</t>
  </si>
  <si>
    <t>SEL</t>
  </si>
  <si>
    <t>MEL</t>
  </si>
  <si>
    <t>TP</t>
  </si>
  <si>
    <t>RW</t>
  </si>
  <si>
    <t>$1,000,000/$1,000,000</t>
  </si>
  <si>
    <t>$2,000,000/$2,000,000</t>
  </si>
  <si>
    <t>$3,000,000/$3,000,000</t>
  </si>
  <si>
    <t>$5,000,000/$5,000,000</t>
  </si>
  <si>
    <t>$10,000,000/$10,000,000</t>
  </si>
  <si>
    <t>Liability rw</t>
  </si>
  <si>
    <t>Com SEL FW</t>
  </si>
  <si>
    <t>N/A</t>
  </si>
  <si>
    <t>Com ME FW</t>
  </si>
  <si>
    <t>OLD RW RATES</t>
  </si>
  <si>
    <t>OLD ME Rate for 3m+</t>
  </si>
  <si>
    <t>3m</t>
  </si>
  <si>
    <t>5m</t>
  </si>
  <si>
    <t>10m</t>
  </si>
  <si>
    <t>Used for base rate calculatuion</t>
  </si>
  <si>
    <t>Old RW Piston Rate</t>
  </si>
  <si>
    <t>Minimum Hull Rate</t>
  </si>
  <si>
    <t>Single Piston</t>
  </si>
  <si>
    <t>Multi-Piston</t>
  </si>
  <si>
    <t>Equation1</t>
  </si>
  <si>
    <t>Equation2</t>
  </si>
  <si>
    <t>Equation 3</t>
  </si>
  <si>
    <t>Equation 4</t>
  </si>
  <si>
    <t>Yintercept</t>
  </si>
  <si>
    <t>Rate</t>
  </si>
  <si>
    <t>Rquation 1</t>
  </si>
  <si>
    <t>Equiation 3</t>
  </si>
  <si>
    <t xml:space="preserve">Equation 4 </t>
  </si>
  <si>
    <t>ASEL</t>
  </si>
  <si>
    <t>AMEL</t>
  </si>
  <si>
    <t>Value Range</t>
  </si>
  <si>
    <t>Annual Rate</t>
  </si>
  <si>
    <t>Daily Rate</t>
  </si>
  <si>
    <t>SEL Rates</t>
  </si>
  <si>
    <t>MEL Rates</t>
  </si>
  <si>
    <t>average</t>
  </si>
  <si>
    <t>Average</t>
  </si>
  <si>
    <t>Liability 1m/100k</t>
  </si>
  <si>
    <t>RATES, ASEL - Seats</t>
  </si>
  <si>
    <t>SEL 1m/100k</t>
  </si>
  <si>
    <t>Annual</t>
  </si>
  <si>
    <t>Daily</t>
  </si>
  <si>
    <t>Mel 1m/100k</t>
  </si>
  <si>
    <t>RATES, AMEL - Seats</t>
  </si>
  <si>
    <t>Select</t>
  </si>
  <si>
    <t>Form</t>
  </si>
  <si>
    <t>Form Name</t>
  </si>
  <si>
    <t>AVA 00 52</t>
  </si>
  <si>
    <t>Additional Insured</t>
  </si>
  <si>
    <t>Prem %</t>
  </si>
  <si>
    <t>X</t>
  </si>
  <si>
    <t>AVA 00 53</t>
  </si>
  <si>
    <t>Additional Insured - Servicer</t>
  </si>
  <si>
    <t>Nonowned Liability:</t>
  </si>
  <si>
    <t>Rate Table:</t>
  </si>
  <si>
    <t>Policy Lowest Limit:</t>
  </si>
  <si>
    <t>Engine Type:</t>
  </si>
  <si>
    <t>Piston</t>
  </si>
  <si>
    <t>AVA 00 55</t>
  </si>
  <si>
    <t>Aerial Photography</t>
  </si>
  <si>
    <t># of Engines:</t>
  </si>
  <si>
    <t>Single</t>
  </si>
  <si>
    <t># of Seats:</t>
  </si>
  <si>
    <t>AVA 00 56</t>
  </si>
  <si>
    <t>Aerial Surveillance</t>
  </si>
  <si>
    <t>Horsepower:</t>
  </si>
  <si>
    <t>AVA 00 57</t>
  </si>
  <si>
    <t>Air Racing Participation</t>
  </si>
  <si>
    <t>Nonowned Hull</t>
  </si>
  <si>
    <t>AVA 00 58</t>
  </si>
  <si>
    <t>Limit:</t>
  </si>
  <si>
    <t>Deduct:</t>
  </si>
  <si>
    <t>AVA 00 59</t>
  </si>
  <si>
    <t>Aircraft Trailer Physical Damage Coverage</t>
  </si>
  <si>
    <t>AVA 00 60</t>
  </si>
  <si>
    <t>Aircraft Without Physical Damage</t>
  </si>
  <si>
    <t>Coverage Type:</t>
  </si>
  <si>
    <t>AVA 00 61</t>
  </si>
  <si>
    <t>Airport Premises Liability- Personal Injury Protection</t>
  </si>
  <si>
    <t>AVA 00 62</t>
  </si>
  <si>
    <t>Baggage and Personal Effects</t>
  </si>
  <si>
    <t>AVA 00 63</t>
  </si>
  <si>
    <t>Broad Coverage</t>
  </si>
  <si>
    <t>AVA 00 64</t>
  </si>
  <si>
    <t>Cargo Liability</t>
  </si>
  <si>
    <t xml:space="preserve">Additional Insured: </t>
  </si>
  <si>
    <t xml:space="preserve">Only the clause(s) indicated by an "X" shall apply </t>
  </si>
  <si>
    <t>AVA 00 65</t>
  </si>
  <si>
    <t>Component Parts Schedule</t>
  </si>
  <si>
    <t>1. The scheduled person(s) or organization(s) are included as additional insured(s).</t>
  </si>
  <si>
    <t>1.</t>
  </si>
  <si>
    <t>AVA 01 19</t>
  </si>
  <si>
    <t>Directly Related Insured</t>
  </si>
  <si>
    <t>2. The scheduled person(s)/organization(s) are the registered owner the aircraft shown in the Schedule &amp; are incl. as AI(s).</t>
  </si>
  <si>
    <t>2.</t>
  </si>
  <si>
    <t>AVA 00 66</t>
  </si>
  <si>
    <t>Emergency or Unexpected Landing</t>
  </si>
  <si>
    <t>3. The scheduled person(s)/organization(s) are incl. as AI(s) but only under liability coverages.</t>
  </si>
  <si>
    <t>3.</t>
  </si>
  <si>
    <t>AVA 00 67</t>
  </si>
  <si>
    <t>Employee Reimbursement</t>
  </si>
  <si>
    <t xml:space="preserve">4. The sched person(s)/organization(s) are incl. as AI(s) under liability cov., but only w/respect to the operations of the NI. </t>
  </si>
  <si>
    <t>4.</t>
  </si>
  <si>
    <t>AVA 00 68</t>
  </si>
  <si>
    <t>Extra Expense of Temporary Replacement Of Aircraft Parts</t>
  </si>
  <si>
    <t>5. The scheduled person(s)/organization(s) are incl. as AI(s) but only with respect to the operations of the NI.</t>
  </si>
  <si>
    <t>5.</t>
  </si>
  <si>
    <t>AVA 00 69</t>
  </si>
  <si>
    <t>Fellow Employee Coverage</t>
  </si>
  <si>
    <t>However, the insurance extended by this endorsement does not apply to, and no person or organization named in the</t>
  </si>
  <si>
    <t>However</t>
  </si>
  <si>
    <t>AVA 00 70</t>
  </si>
  <si>
    <t>Ferry Flight -Delivery</t>
  </si>
  <si>
    <t>Schedule is an additional 
insured for, loss or damage that arises out of the design, manufacture, modification, repair, sale,</t>
  </si>
  <si>
    <t>AVA 00 71</t>
  </si>
  <si>
    <t>Floats Clause</t>
  </si>
  <si>
    <t xml:space="preserve">or servicing of any aircraft. </t>
  </si>
  <si>
    <t>AVA 00 72</t>
  </si>
  <si>
    <t>Flying Club</t>
  </si>
  <si>
    <t>SCHEDULE</t>
  </si>
  <si>
    <t>AVA 00 73</t>
  </si>
  <si>
    <t>Hangar and Contents Coverage</t>
  </si>
  <si>
    <t>AI</t>
  </si>
  <si>
    <t>FAA Cert No.:</t>
  </si>
  <si>
    <t>Desc</t>
  </si>
  <si>
    <t>FAA</t>
  </si>
  <si>
    <t>AVA 00 74</t>
  </si>
  <si>
    <t>Host Liquor Liability</t>
  </si>
  <si>
    <t>AVA 00 75</t>
  </si>
  <si>
    <t>Human Remains</t>
  </si>
  <si>
    <t>AVA 00 76</t>
  </si>
  <si>
    <t>Hurricane Protection Coverage</t>
  </si>
  <si>
    <t>AVA 00 77</t>
  </si>
  <si>
    <t>Lessor</t>
  </si>
  <si>
    <t>AVA 00 78</t>
  </si>
  <si>
    <t>Student/Renter Pilot Liability:</t>
  </si>
  <si>
    <t>AVA 00 79</t>
  </si>
  <si>
    <t>Lienholders Interest</t>
  </si>
  <si>
    <t>Liability Coverage</t>
  </si>
  <si>
    <t>Limits of Liability</t>
  </si>
  <si>
    <t>AVA 00 80</t>
  </si>
  <si>
    <t>Loss Payable</t>
  </si>
  <si>
    <t>A. Bodily Injury Excluding Passengers</t>
  </si>
  <si>
    <t>Each Person</t>
  </si>
  <si>
    <t>AVA 00 81</t>
  </si>
  <si>
    <t>Malpractice</t>
  </si>
  <si>
    <t>Each Occ</t>
  </si>
  <si>
    <t>AV 00 12</t>
  </si>
  <si>
    <t>Minimum Earned Premium</t>
  </si>
  <si>
    <t>AVA 00 82</t>
  </si>
  <si>
    <t>Mobile Equipment Liability</t>
  </si>
  <si>
    <t>B. Property Damage</t>
  </si>
  <si>
    <t>AVA 00 84</t>
  </si>
  <si>
    <t>Negligent Instruction</t>
  </si>
  <si>
    <t>AVA 00 85</t>
  </si>
  <si>
    <t>Non owned Aircraft - Liability</t>
  </si>
  <si>
    <t>C. Passenger Liability</t>
  </si>
  <si>
    <t>AVA 00 86</t>
  </si>
  <si>
    <t>Non owned Aircraft - Physical Damage</t>
  </si>
  <si>
    <t>AVA 00 87</t>
  </si>
  <si>
    <t>Non-Aviation Liability Clause</t>
  </si>
  <si>
    <t>AVA 00 88</t>
  </si>
  <si>
    <t>Operator Exclusion</t>
  </si>
  <si>
    <t xml:space="preserve">Aerial Surveillance: </t>
  </si>
  <si>
    <t>Subject to the following clauses(s):</t>
  </si>
  <si>
    <t>AVA 00 89</t>
  </si>
  <si>
    <t>Owner-Lessor</t>
  </si>
  <si>
    <t>Animals, including birds</t>
  </si>
  <si>
    <t>AVA 00 90</t>
  </si>
  <si>
    <t>Passenger Voluntary Settlement</t>
  </si>
  <si>
    <t>Areas of smoke or fire</t>
  </si>
  <si>
    <t>Coverage will not apply to property damage to property owned, occupied, rented, or in the care,</t>
  </si>
  <si>
    <t>AVA 00 91</t>
  </si>
  <si>
    <t>Passenger Voluntary Settlement - NY</t>
  </si>
  <si>
    <t>Fish Spotting</t>
  </si>
  <si>
    <t>custody, or control of any person(s) or organization(s) for whom the aerial surveillance is performed.</t>
  </si>
  <si>
    <t>AVA 00 92</t>
  </si>
  <si>
    <t>Physical Damage Coverage</t>
  </si>
  <si>
    <t>Pipelines or pipeline areas</t>
  </si>
  <si>
    <t>x</t>
  </si>
  <si>
    <t>AVA 00 93</t>
  </si>
  <si>
    <t>Pilot Clause</t>
  </si>
  <si>
    <t>Power lines, transmission lines, or other forms of cabling</t>
  </si>
  <si>
    <t>AVA 00 94</t>
  </si>
  <si>
    <t>Pinchhitter</t>
  </si>
  <si>
    <t>Traffic</t>
  </si>
  <si>
    <t xml:space="preserve">This Policy will not cover any claim for damages arising from any indirect or consequential loss. </t>
  </si>
  <si>
    <t>AVA 00 95</t>
  </si>
  <si>
    <t>Policy Territory Extension - With War</t>
  </si>
  <si>
    <t xml:space="preserve">Other, described as: </t>
  </si>
  <si>
    <t>AVA 00 96</t>
  </si>
  <si>
    <t>Policy Territory</t>
  </si>
  <si>
    <t>AVA 00 97</t>
  </si>
  <si>
    <t>Premises Liability</t>
  </si>
  <si>
    <t>AVA 00 98</t>
  </si>
  <si>
    <t>Purpose of Use</t>
  </si>
  <si>
    <t>Aircraft:</t>
  </si>
  <si>
    <t>Quota Share</t>
  </si>
  <si>
    <t>AVA 00 99</t>
  </si>
  <si>
    <t>Referral Liability</t>
  </si>
  <si>
    <t xml:space="preserve">Aerial Photography: </t>
  </si>
  <si>
    <t>Only the clause(s) indicated by an "X" below apply to the policy</t>
  </si>
  <si>
    <t>AVA 01 00</t>
  </si>
  <si>
    <t>Rental</t>
  </si>
  <si>
    <t>Physical damage to photographic equipment is excluded from coverage under the Policy.</t>
  </si>
  <si>
    <t>AVA 01 01</t>
  </si>
  <si>
    <t>Rotorcraft - Limitation of Use</t>
  </si>
  <si>
    <t>Loss or damage arising from any flight requiring a special permit or waiver from the Federal</t>
  </si>
  <si>
    <t>AVA 01 02</t>
  </si>
  <si>
    <t>Runway or Aircraft Foaming - Supplemental Payments</t>
  </si>
  <si>
    <t>Aviation Administration is excluded from coverage under the Policy.</t>
  </si>
  <si>
    <t>AVA 01 03</t>
  </si>
  <si>
    <t>Search &amp; Rescue Wreck Removal Expense Liability Ins. Supplemental Payments</t>
  </si>
  <si>
    <t>Coverage for physical damage to photographic equipment is limited to $</t>
  </si>
  <si>
    <t>each occurrence, subject to a</t>
  </si>
  <si>
    <t>AVA 01 04</t>
  </si>
  <si>
    <t>Spare Parts</t>
  </si>
  <si>
    <t>$</t>
  </si>
  <si>
    <t>deductible each occurrence.</t>
  </si>
  <si>
    <t>AVA 01 05</t>
  </si>
  <si>
    <t>Special Equipment</t>
  </si>
  <si>
    <t>AVA 01 06</t>
  </si>
  <si>
    <t>Student and Renter Pilot Liability</t>
  </si>
  <si>
    <t xml:space="preserve">Baggage And Personal Effects: </t>
  </si>
  <si>
    <t>AVA 01 07</t>
  </si>
  <si>
    <t>Trip Interruption Expense</t>
  </si>
  <si>
    <t>2. LIMIT OF LIABILITY</t>
  </si>
  <si>
    <t>3. DEDUCTIBLE AMOUNT</t>
  </si>
  <si>
    <t>AVA 01 08</t>
  </si>
  <si>
    <t>Unearned Premium Insurance</t>
  </si>
  <si>
    <t>a.     $</t>
  </si>
  <si>
    <t>any one passenger, but not to exceed</t>
  </si>
  <si>
    <t>The Insured shall bear the first $</t>
  </si>
  <si>
    <t>of each loss, each passenger</t>
  </si>
  <si>
    <t>AVA 01 09</t>
  </si>
  <si>
    <t>Unmanned Aerial Vehicle Endorsement</t>
  </si>
  <si>
    <t>b.     $</t>
  </si>
  <si>
    <t>each occurrence</t>
  </si>
  <si>
    <t>AVA 01 10</t>
  </si>
  <si>
    <t>Waiver of Subrogation</t>
  </si>
  <si>
    <t>AVA 01 11</t>
  </si>
  <si>
    <t>Work in Progress</t>
  </si>
  <si>
    <t xml:space="preserve">Cargo Liability: </t>
  </si>
  <si>
    <t>AV 00 09</t>
  </si>
  <si>
    <t>Extended Coverage-Certified Acts of Terrorism Coverage</t>
  </si>
  <si>
    <t>The Named Insured shall bear the first $</t>
  </si>
  <si>
    <t>of each claim, but not to exceed</t>
  </si>
  <si>
    <t>Floats Clause:</t>
  </si>
  <si>
    <t>N#:</t>
  </si>
  <si>
    <t>1. The insured value shall be:</t>
  </si>
  <si>
    <t>When the following equipment is removed from the aircraft, it will have an</t>
  </si>
  <si>
    <t>a. $</t>
  </si>
  <si>
    <t>while the aircraft is equipped with landing gear specifically designed to operate on land</t>
  </si>
  <si>
    <t>Insured Value as shown below, which is in addition to item a. above:</t>
  </si>
  <si>
    <t>only (wheels and struts)</t>
  </si>
  <si>
    <t>b. $</t>
  </si>
  <si>
    <t>while the aircraft is equipped to operate to, from, or on water by any means, wherein</t>
  </si>
  <si>
    <t>for landing gear designed to operate to, from, or on water.</t>
  </si>
  <si>
    <t>the deductible amounts shown on Declaration are deleted and replaced by the following:</t>
  </si>
  <si>
    <t>Not In Motion and while on land</t>
  </si>
  <si>
    <t>Moored or In Motion</t>
  </si>
  <si>
    <t>Flying Club:</t>
  </si>
  <si>
    <t>NI:</t>
  </si>
  <si>
    <t xml:space="preserve">Hurrican Protection Coverage: </t>
  </si>
  <si>
    <t>The Company’s portion of the costs is limited to   $</t>
  </si>
  <si>
    <t xml:space="preserve">of the amount incurred by the Named lnsured to </t>
  </si>
  <si>
    <t xml:space="preserve">relocate each aircraft, for any one occurrence during the policy period. </t>
  </si>
  <si>
    <t>Lessor:</t>
  </si>
  <si>
    <t>LESSOR</t>
  </si>
  <si>
    <t>LEASED AIRCRAFT</t>
  </si>
  <si>
    <t>Lienholder's Interest (IL, WA):</t>
  </si>
  <si>
    <t xml:space="preserve">Loss, if any, under any physical damage coverage provided by this Policy, shall be payable to the Named Insured, and </t>
  </si>
  <si>
    <r>
      <t xml:space="preserve">5. </t>
    </r>
    <r>
      <rPr>
        <sz val="9"/>
        <color theme="1"/>
        <rFont val="Arial"/>
        <family val="2"/>
      </rPr>
      <t>This endorsement shall be applicable only with respect to the aircraft identified below:</t>
    </r>
  </si>
  <si>
    <t xml:space="preserve">Aircraft FAA Reg. No. </t>
  </si>
  <si>
    <t xml:space="preserve">Amount of Lien: </t>
  </si>
  <si>
    <t xml:space="preserve">$Not to exceed 90% of the Insured Value      </t>
  </si>
  <si>
    <t>(hereinafter called the Lienholder) as interest may appear.</t>
  </si>
  <si>
    <t>Loss Payable:</t>
  </si>
  <si>
    <t>Endt Eff Date:</t>
  </si>
  <si>
    <t>Loss Payee:</t>
  </si>
  <si>
    <t>Desc. of Covered Aircraft</t>
  </si>
  <si>
    <t>Insured Value</t>
  </si>
  <si>
    <t>Additional Premium</t>
  </si>
  <si>
    <t>Information required to complete this Schedule, if not shown above, will be shown in the Declarations.</t>
  </si>
  <si>
    <t>Rotorcraft - Limitation of Use:</t>
  </si>
  <si>
    <t xml:space="preserve">Unless checked below, the rotorcraft insured herein will not be used for any Purpose of Use listed, nor is there any coverage for any claims arising out of, </t>
  </si>
  <si>
    <t>or in consequence of, such uses for or relating to:</t>
  </si>
  <si>
    <t>a.</t>
  </si>
  <si>
    <t>Offshore Oil Drilling</t>
  </si>
  <si>
    <t>g.</t>
  </si>
  <si>
    <t>The Carriage of Dangerous, Hazardous or Explosive Cargoes</t>
  </si>
  <si>
    <t>b.</t>
  </si>
  <si>
    <t>Fire Fighting and Fire Support, Fire Starting or Slash Burning</t>
  </si>
  <si>
    <t>h.</t>
  </si>
  <si>
    <t>Aerial Advertising</t>
  </si>
  <si>
    <t>c.</t>
  </si>
  <si>
    <t>The Carriage of External Cargo or Loads</t>
  </si>
  <si>
    <t>i.</t>
  </si>
  <si>
    <t>Glacier Landings</t>
  </si>
  <si>
    <t>d.</t>
  </si>
  <si>
    <t>Construction or Erection</t>
  </si>
  <si>
    <t>j.</t>
  </si>
  <si>
    <t>Towing of any Objects</t>
  </si>
  <si>
    <t>e.</t>
  </si>
  <si>
    <t>Wire Stringing</t>
  </si>
  <si>
    <t>k.</t>
  </si>
  <si>
    <t>Animal Hunting, Roundup or Herding</t>
  </si>
  <si>
    <t>f.</t>
  </si>
  <si>
    <t>Geographic, Geodetic or Geographical Survey</t>
  </si>
  <si>
    <t>l.</t>
  </si>
  <si>
    <t>Discharge or deployment of crew or passengers while the rotorcraft</t>
  </si>
  <si>
    <t xml:space="preserve">is suspended by the main rotor(s)  </t>
  </si>
  <si>
    <t>Runway or Aircraft Foaming - Supplemental Payments:</t>
  </si>
  <si>
    <t>The Company’s Limit of Liability shall not exceed $</t>
  </si>
  <si>
    <t xml:space="preserve">for any one loss or occurrence for such foaming. </t>
  </si>
  <si>
    <t>Search/Rescue Wreck Removal Expenses Liability Ins Supplemental Payments:</t>
  </si>
  <si>
    <t>The Limit of the Company’s Liability for search &amp; rescue operations shall not exceed $</t>
  </si>
  <si>
    <t xml:space="preserve">any one occurrence.  </t>
  </si>
  <si>
    <t>Waiver of Subrogation:</t>
  </si>
  <si>
    <t>FAA Registraion No.</t>
  </si>
  <si>
    <t>Individual or Entity:</t>
  </si>
  <si>
    <t xml:space="preserve"> Broad Form Limits</t>
  </si>
  <si>
    <t>Coverages:</t>
  </si>
  <si>
    <t>A. Automatic Insurance for Increased Inured Value.</t>
  </si>
  <si>
    <t>a. Reported within 30 days</t>
  </si>
  <si>
    <t>b. Max auto increase not to exceed 10% of the I.V. or $</t>
  </si>
  <si>
    <t>whichever is less</t>
  </si>
  <si>
    <t>B. Baggage &amp; Hangar Coverages</t>
  </si>
  <si>
    <t>a. Phys dam to Pax baggage not more than $</t>
  </si>
  <si>
    <t>each occurrence.</t>
  </si>
  <si>
    <t>b. Hangar and Contents $</t>
  </si>
  <si>
    <t xml:space="preserve"> each occurrence.</t>
  </si>
  <si>
    <t>D. HangarKeepers Liability</t>
  </si>
  <si>
    <t>2. Limit of liability each aircraft…..$</t>
  </si>
  <si>
    <t>each occurrence $</t>
  </si>
  <si>
    <t xml:space="preserve">Deduct </t>
  </si>
  <si>
    <t>each aircraft.</t>
  </si>
  <si>
    <t>E. Mobile Equipment</t>
  </si>
  <si>
    <t>4      $</t>
  </si>
  <si>
    <t>each occurremce.</t>
  </si>
  <si>
    <t>F. Physical Damage to Spare Engines, Parts, Avionics and Accessories</t>
  </si>
  <si>
    <t>2     $</t>
  </si>
  <si>
    <t>each and every loss:</t>
  </si>
  <si>
    <t>a. Portable, Avionics, Headsets:</t>
  </si>
  <si>
    <t>b. Safety Equipment</t>
  </si>
  <si>
    <t>c. Aircraft Spare Parts</t>
  </si>
  <si>
    <t>G. Premises Medical Coverages</t>
  </si>
  <si>
    <t>3. Limif of Liability  $</t>
  </si>
  <si>
    <t>each person</t>
  </si>
  <si>
    <t>H. Search and Rescue Expenses</t>
  </si>
  <si>
    <t>a. Foaming $</t>
  </si>
  <si>
    <t>each occurrence for each foaming</t>
  </si>
  <si>
    <t>b. actual expense incurred by the insured,      $</t>
  </si>
  <si>
    <t xml:space="preserve"> any one occurrence.</t>
  </si>
  <si>
    <t>J. Hurricane Relocation</t>
  </si>
  <si>
    <t xml:space="preserve"> </t>
  </si>
  <si>
    <t>2.     $</t>
  </si>
  <si>
    <t>each aircraft, any one occurrence.</t>
  </si>
  <si>
    <t>K 1. Extra Expense for Renting Substitute Aircraft</t>
  </si>
  <si>
    <t>b. 1% of the Insured Value of the damaged aircraft for each day, each aircraft, but not to exceed</t>
  </si>
  <si>
    <t>any one loss or occurrence, each aircraft.</t>
  </si>
  <si>
    <t>K 2. Extra Expense of Temporary Replacement aircraft Parts</t>
  </si>
  <si>
    <t>c. Coverae Shall not Exceed:</t>
  </si>
  <si>
    <t>K 3. Non-owned aircraft physical damage liability coverage</t>
  </si>
  <si>
    <t>b. The Company’s limit of liability for property damage to a non-owned aircraft will not be more than the greatest amount of Physical Damage coverage that applies to an aircraft described in ITEM 5 of the Declarations, or</t>
  </si>
  <si>
    <t>whichever is more.</t>
  </si>
  <si>
    <t>K 5. Trip Interruption Expense</t>
  </si>
  <si>
    <t>b. Not exceed</t>
  </si>
  <si>
    <t>each pax,      $</t>
  </si>
  <si>
    <t>OPC Selection Com</t>
  </si>
  <si>
    <t>OPC Selection IA</t>
  </si>
  <si>
    <t>SEL FT &lt;200hp &amp; &lt;=4 seats</t>
  </si>
  <si>
    <t>SEL RG &gt;250hp</t>
  </si>
  <si>
    <t>Selected OPC</t>
  </si>
  <si>
    <t>TT</t>
  </si>
  <si>
    <t>Turb</t>
  </si>
  <si>
    <t>MM</t>
  </si>
  <si>
    <t>RG</t>
  </si>
  <si>
    <t>TW</t>
  </si>
  <si>
    <t>SEL FT&gt;200hp &amp; &lt; 250HP</t>
  </si>
  <si>
    <t>MEL&lt;450hp &amp; &lt;=4seats</t>
  </si>
  <si>
    <t>As Approved</t>
  </si>
  <si>
    <t>SEL FT &gt;250hp</t>
  </si>
  <si>
    <t>MEL&gt;450hp</t>
  </si>
  <si>
    <t>A/C Specific:</t>
  </si>
  <si>
    <t>Named Pilots Only</t>
  </si>
  <si>
    <t>SEL TW &lt;=200hp</t>
  </si>
  <si>
    <t>RW piston</t>
  </si>
  <si>
    <t>Pilot In Command (PIC):</t>
  </si>
  <si>
    <t>SEL RG&lt;=250hp</t>
  </si>
  <si>
    <t>Drop Down Response</t>
  </si>
  <si>
    <t>Any pilot with an ATP or more advanced pilot certificate, with multiengine and type rating, having a minimum 4000 hours total logged time as Pilot In Command, 2,000 hours in multiengine aircraft, 1,000 hours in aircraft powered with turbine engine(s), and 250 hours in the same make and model aircraft being insured.</t>
  </si>
  <si>
    <t>Cirrus SR20</t>
  </si>
  <si>
    <t>Cirrus SR22</t>
  </si>
  <si>
    <t>Second In Command (SIC):</t>
  </si>
  <si>
    <t>Any pilot with a Commercial or more advanced pilot certificate, with multiengine and instrument rating, having a minimum 2,000 hours total logged time, 1000 hours in multiengine aircraft, 500 hours in aircraft powered with turbine engine(s), and 125 hours in the same make and model aircraft being insured.</t>
  </si>
  <si>
    <t>School:</t>
  </si>
  <si>
    <t>All pilots, whether named or meeting the open pilot clause above, shall have completed a manufacturer’s approved ground and flight training course, or its equivalent course approved by the company, within the 12 months preceding any flight in the insured aircraft, and annually thereafter.</t>
  </si>
  <si>
    <t>Second In Command (SIC)</t>
  </si>
  <si>
    <t>Named Pilots:</t>
  </si>
  <si>
    <t xml:space="preserve">Any pilot properly certificated for the flight involved who has ben approved by the Named Insured's Chief Pilot or his/her designee.
</t>
  </si>
  <si>
    <t>As Approved:</t>
  </si>
  <si>
    <t>Training</t>
  </si>
  <si>
    <t>Manuscript</t>
  </si>
  <si>
    <t>IA OPC 1</t>
  </si>
  <si>
    <t>Pilot Name</t>
  </si>
  <si>
    <t>Type of Training</t>
  </si>
  <si>
    <t>MM Hrs</t>
  </si>
  <si>
    <t>Defaults</t>
  </si>
  <si>
    <t>OPC 1 use:</t>
  </si>
  <si>
    <t>OPW1</t>
  </si>
  <si>
    <t>OPW2</t>
  </si>
  <si>
    <t>OPW3</t>
  </si>
  <si>
    <t>OPW4</t>
  </si>
  <si>
    <t xml:space="preserve">TTL </t>
  </si>
  <si>
    <t>Check Box OPC</t>
  </si>
  <si>
    <t>title OPC</t>
  </si>
  <si>
    <t>Any pilot properly certificated for the flight involved who has been approved by the Named Insured’s Chief Flight Instructor or his/her designee.</t>
  </si>
  <si>
    <t>AS RESPECTS ALL AIRCRAFT:</t>
  </si>
  <si>
    <t>IA OPC 2</t>
  </si>
  <si>
    <t>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t>
  </si>
  <si>
    <t>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t>
  </si>
  <si>
    <t>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t>
  </si>
  <si>
    <t>AS RESPECTS SINGLE ENGINE LAND AIRCRAFT HAVING A PISTON ENGINE OF NOT MORE THAN 200 HORSEPOWER, FIXED TRICYCLE LANDING GEAR AND HAVING 4 SEATS OR LESS:</t>
  </si>
  <si>
    <t>Any Private or more advanced pilot certificate having 100 hours total logged time and 5 hours make and model having demonstrated to the Named Insured's Certificated Flight Instructor the skills and knowledge necessary to operate the aircraft being flown.</t>
  </si>
  <si>
    <t>AS RESPECTS SINGLE ENGINE LAND AIRCRAFT HAVING A PISTON ENGINE OF GREATER THAN 200 BUT LESS THAN 250 HORSEPOWER, FIXED TRICYCLE LANDING GEAR AND HAVING 4 SEATS OR LESS:</t>
  </si>
  <si>
    <t>Any Private or more advanced pilot certificate having 250 hours total logged time having demonstrated to the Named Insured’s Certificated Flight Instructor the skills and knowledge necessary to operate the aircraft being flown and;
 A. Having a minimum of 10 hours make and model, or
 B. A minimum of 5 hours dual flight instruction with the Named Insured’s Certificated Flight Instructor</t>
  </si>
  <si>
    <t>AS RESPECTS SINGLE ENGINE LAND AIRCRAFT HAVING A PISTON ENGINE  OF 250 OR MORE HORSEPOWER, FIXED TRICYCLE LANDING GEAR OR  HAVING MORE THAN 4 SEATS:</t>
  </si>
  <si>
    <t>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t>
  </si>
  <si>
    <t>AS RESPECTS SINGLE ENGINE LAND AIRCRAFT HAVING A PISTON ENGINE OF NOT MORE THAN 200 HORSEPOWER, FIXED TAILWHEEL LANDING GEAR AND HAVING 4 SEATS OR LESS:</t>
  </si>
  <si>
    <t>OPC 2 use:</t>
  </si>
  <si>
    <t xml:space="preserve">Any Private or more advanced pilot certificate having 150 hours total logged time having demonstrated to the Named Insured’s Certificated Flight Instructor the skills and knowledge necessary to operate the aircraft being flown and;
 A. Having a minimum of 25 hours in retractable gear aircraft, or
 B. A minimum of 10 hours dual flight instruction with the Named Insured’s Certificated Flight Instructor.
</t>
  </si>
  <si>
    <t>AS RESPECTS SINGLE ENGINE LAND AIRCRAFT HAVING A PISTON ENGINE  OF NOT MORE THAN 250  HORSEPOWER, RETRACTABLE TRICYCLE LANDING GEAR AND HAVING 4 SEATS OR LESS:</t>
  </si>
  <si>
    <t>Any Private or more advanced pilot certificate including an Instrument rating having a minimum of 250 hours total logged time including 50 hours in retractable gear aircraft having demonstrated to the Named Insured’s Certificated Flight Instructor the skills and knowledge necessary to operate the aircraft being flown and;
 A. Having a minimum of 10 hours make and model, or
 B. A minimum of 5 hours dual flight instruction with the Named Insured’s Certificated Flight Instructor</t>
  </si>
  <si>
    <t>AS RESPECTS SINGLE ENGINE LAND AIRCRAFT HAVING A PISTON ENGINE  WITH GREATER THAN 250  HORSEPOWER, RETRACTABLE TRICYCLE LANDING GEAR OR HAVING MORE THAN 4 SEATS:</t>
  </si>
  <si>
    <t>Final Combined</t>
  </si>
  <si>
    <t>Any Private or more advanced pilot certificate with Multi Engine and Instrument ratings having a minimum of 300 hours total logged time including 50 hours in multi engine aircraft having demonstrated to the Named Insured’s Certificated Flight Instructor the skills and knowledge necessary to operate the aircraft being flown and;
 A. Having a minimum of 10 hours in the make and model, or
 B. Having a mInImum of 5 hours dual flight instruction with the Named Insured’s Certificated Flight Instructor, or
 C) In lieu of the 50 hours multi engine time, a minimum of 15 hours dual flight instruction with the Named Insured’s Certificated Flight Instructor.</t>
  </si>
  <si>
    <t>AS REPECTS MULTI ENGINE LAND AIRCRAFT HAVING PISTON ENGINES WITH LESS THAN 450 TOTAL HORSEPOWER AND HAVING 4 SEATS OR LESS:</t>
  </si>
  <si>
    <t>Any Private or more advanced pilot certificate with Multi Engine and Instrument ratings having a minimum of 500 hours total logged time and 200 hours multi engine time having demonstrated to the Named Insured’s Certificated Flight Instructor the skills and knowledge necessary to operate the aircraft being flown and;
 A. Having a minimum of 10 hours in the make and model, or
 B. Having a minimum of 10 dual flight instruction with the Named Insured’s Certificated Flight Instructor.</t>
  </si>
  <si>
    <t>AS RESPECTS MULTIENGINE LAND AIRCRAFT HAVING PISTON ENGINES WITH MORE THAN 450 TOTAL HORSEPOWER:</t>
  </si>
  <si>
    <t>1. Any Student pilot while under the direct supervision of the Named Insured's Certificated Flight Instructor, or
2. Any Private or more advanced pilot certificate having demonstrated to the Named Insured's Certificated Flight Instructor the skills and knowledge necessary to the operate the aircraft being flown.</t>
  </si>
  <si>
    <t>AS RESPECTS ROTORWING AIRCRAFT HAVING A PISTON ENGINE:</t>
  </si>
  <si>
    <t>1) Any pilot with Private or more advanced pilot certificate having 100 hours total logged time and 5 hours make and model having demonstrated to the Named Insured's Certificated Flight Instructor the skills and knowledge necessary to operate the aircraft being flown.  In lieu of 100 hours total time, any pilot who has logged a minimum of 20 hours in the SR-20 model while accompanied by the Named Insured's Certificated Flight Instructor
2) Any Student pilot (including solo Student pilots) while under the direct supervision of the Named Insured's Certificated Flight Instructor</t>
  </si>
  <si>
    <t>AS RESPECTS: CIRRUS SR-20</t>
  </si>
  <si>
    <t>Any pilot with Private or more advanced pilot certificate having 500 hours total logged time having demonstrated to the Named Insured’s Certificated Flight Instructor the skills and knowledge necessary to operate the aircraft being flown AND;
A. Having a minimum of 25 hours make and model, AND
B. A minimum of 5 hours dual flight instruction with the Named Insured’s Certificated Flight Instructor to include the completion of a Cirrus approved SR-22 initial / transition course, 
OR
C. In lieu of total time and make and model time above, a minimum of 20 hours dual flight instruction with the Named Insured's Certificated Flight Instructor, to include the completion of a Cirrus approved SR-22 initial / transition course</t>
  </si>
  <si>
    <t>AS RESPECTS: CIRRUS SR-22</t>
  </si>
  <si>
    <t>OPW1 Def</t>
  </si>
  <si>
    <t>Combined Check Box OPC</t>
  </si>
  <si>
    <t>OPW2 Def</t>
  </si>
  <si>
    <t>OPW3 Def</t>
  </si>
  <si>
    <t>OPW4 Def</t>
  </si>
  <si>
    <t>.</t>
  </si>
  <si>
    <t>rg</t>
  </si>
  <si>
    <t>mm</t>
  </si>
  <si>
    <t>me</t>
  </si>
  <si>
    <t xml:space="preserve">Title </t>
  </si>
  <si>
    <t>Combined</t>
  </si>
  <si>
    <t>OPC1</t>
  </si>
  <si>
    <t>OPC2</t>
  </si>
  <si>
    <t>OPC3</t>
  </si>
  <si>
    <t>OPC4</t>
  </si>
  <si>
    <t>Combined List</t>
  </si>
  <si>
    <t>Pilot</t>
  </si>
  <si>
    <t xml:space="preserve">Training final </t>
  </si>
  <si>
    <t>1)</t>
  </si>
  <si>
    <t>2.)</t>
  </si>
  <si>
    <t xml:space="preserve">AS RESPECTS SINGLE ENGINE LAND AIRCRAFT HAVING A PISTON ENGINE OF NOT MORE THAN 200 HORSEPOWER, FIXED TRICYCLE LANDING GEAR AND HAVING 4 SEATS OR LESS:
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
</t>
  </si>
  <si>
    <t>3.)</t>
  </si>
  <si>
    <t>AS RESPECTS SINGLE ENGINE LAND AIRCRAFT HAVING A PISTON ENGINE A PISTON ENGINE OF GREATER THAN 200 BUT LESS THAN 250 HORSEPOWER, FIXED TRICYCLE LANDING GEAR AND HAVING 4 SEATS OR LESS:</t>
  </si>
  <si>
    <t xml:space="preserve">Any Private or more advanced pilot certificate having </t>
  </si>
  <si>
    <t xml:space="preserve"> hours total logged time and </t>
  </si>
  <si>
    <t xml:space="preserve"> hours make and model having demonstrated to the Named Insured's Certificated Flight Instructor the skills and knowledge necessary to operate the aircraft being flown.</t>
  </si>
  <si>
    <t>4)</t>
  </si>
  <si>
    <t xml:space="preserve"> hours total logged time having demonstrated to the Named Insured’s Certificated Flight Instructor the skills and knowledge necessary to operate the aircraft being flown and;</t>
  </si>
  <si>
    <t xml:space="preserve"> A. Having a minimum of </t>
  </si>
  <si>
    <t xml:space="preserve"> hours make and model, or</t>
  </si>
  <si>
    <t xml:space="preserve"> B. A minimum of </t>
  </si>
  <si>
    <t xml:space="preserve"> hours dual flight instruction with the Named Insured’s Certificated Flight Instructor</t>
  </si>
  <si>
    <t xml:space="preserve">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
</t>
  </si>
  <si>
    <t xml:space="preserve"> hours in retractable gear aircraft, or</t>
  </si>
  <si>
    <t xml:space="preserve"> hours dual flight instruction with the Named Insured’s Certificated Flight Instructor.
</t>
  </si>
  <si>
    <t xml:space="preserve">Any Private or more advanced pilot certificate including an Instrument rating having a minimum of </t>
  </si>
  <si>
    <t xml:space="preserve"> hours total logged time including </t>
  </si>
  <si>
    <t xml:space="preserve"> hours in retractable gear aircraft having demonstrated to the Named Insured’s Certificated Flight Instructor the skills and knowledge necessary to operate the aircraft being flown and;</t>
  </si>
  <si>
    <t xml:space="preserve">  hours in the make and model, or</t>
  </si>
  <si>
    <t xml:space="preserve">Any Private or more advanced pilot certificate with Multi Engine and Instrument ratings having a minimum of </t>
  </si>
  <si>
    <t xml:space="preserve"> hours in multi engine aircraft having demonstrated to the Named Insured’s Certificated Flight Instructor the skills and knowledge necessary to operate the aircraft being flown and;</t>
  </si>
  <si>
    <t xml:space="preserve"> hours in the make and model, or</t>
  </si>
  <si>
    <t xml:space="preserve"> B. Having a mInImum of </t>
  </si>
  <si>
    <t xml:space="preserve"> hours dual flight instruction with the Named Insured’s Certificated Flight Instructor, or</t>
  </si>
  <si>
    <t xml:space="preserve"> C. In lieu of the 50 hours multi engine time, a minimum of 15 hours dual flight instruction with the Named Insured’s Certificated Flight Instructor.</t>
  </si>
  <si>
    <t xml:space="preserve"> hours multi engine time having demonstrated to the Named Insured’s Certificated Flight Instructor the skills and knowledge necessary to operate the aircraft being flown and;</t>
  </si>
  <si>
    <t xml:space="preserve"> B. Having a minimum of </t>
  </si>
  <si>
    <t xml:space="preserve"> dual flight instruction with the Named Insured’s Certificated Flight Instructor.</t>
  </si>
  <si>
    <t>RESPECTS ROTORWING AIRCRAFT HAVING A PISTON ENGINE:</t>
  </si>
  <si>
    <t>1. Any Student pilot while under the direct supervision of the Named Insured's Certificated Flight Instructor, or</t>
  </si>
  <si>
    <t>2. Any Private or more advanced pilot certificate having demonstrated to the Named Insured's Certificated Flight Instructor the skills and knowledge necessary to the operate the aircraft being flown.</t>
  </si>
  <si>
    <t>Quick Evalation</t>
  </si>
  <si>
    <t>Commission:</t>
  </si>
  <si>
    <t>Losses</t>
  </si>
  <si>
    <t>5 Year Loss Ratio</t>
  </si>
  <si>
    <t>Make/Model</t>
  </si>
  <si>
    <t>Seats
Crew/Pax</t>
  </si>
  <si>
    <t>H/V</t>
  </si>
  <si>
    <t>Hull Cov.</t>
  </si>
  <si>
    <t xml:space="preserve">Liability </t>
  </si>
  <si>
    <t>Med</t>
  </si>
  <si>
    <t>USE</t>
  </si>
  <si>
    <t>Deducts
NIM/*IM</t>
  </si>
  <si>
    <t>Hull Rate</t>
  </si>
  <si>
    <t>Liab Prem</t>
  </si>
  <si>
    <t>Med Prem</t>
  </si>
  <si>
    <t>Hull Prem</t>
  </si>
  <si>
    <t xml:space="preserve">Seats </t>
  </si>
  <si>
    <t>3 Year Loss Ratio</t>
  </si>
  <si>
    <t>Hull Coverage(s): G - Ground Not In Motion, F- All Risk</t>
  </si>
  <si>
    <t xml:space="preserve">*Deduct IM Applies to: Ingestion and Mooring </t>
  </si>
  <si>
    <t>Pilot Clause:</t>
  </si>
  <si>
    <t>Ancillary Coverages:</t>
  </si>
  <si>
    <t>Student Renter Liability @100k = Included</t>
  </si>
  <si>
    <t>Hurricane Relocation 1k per a/c per occ = Included</t>
  </si>
  <si>
    <t>S/R and Wreck Removal @ 25K = Included</t>
  </si>
  <si>
    <t>A/C and Runway Foaming @ 25k = Included</t>
  </si>
  <si>
    <t>Comments</t>
  </si>
  <si>
    <t>Forms</t>
  </si>
  <si>
    <t>Uses:</t>
  </si>
  <si>
    <t>Deducts:</t>
  </si>
  <si>
    <t>Rates:</t>
  </si>
  <si>
    <t>Comments:</t>
  </si>
  <si>
    <t>Quote Date:</t>
  </si>
  <si>
    <t>USE: PLEASURE AND BUSINESS</t>
  </si>
  <si>
    <t>Com:</t>
  </si>
  <si>
    <t>*Deduct IM Applies to: Ingestion and Mooring</t>
  </si>
  <si>
    <t>War Hull</t>
  </si>
  <si>
    <t>War Liab</t>
  </si>
  <si>
    <t>TOTAL</t>
  </si>
  <si>
    <t>Sale of Aircraft Liability</t>
  </si>
  <si>
    <t>Sale of Parts Liability</t>
  </si>
  <si>
    <t>Sale of Food and Beverage Liability</t>
  </si>
  <si>
    <t>Host Liquor Liability: $1,000,000.</t>
  </si>
  <si>
    <t>TRIA: Included</t>
  </si>
  <si>
    <t>*Please note, the minimum premium to add any commercial FBO or Hangarkeeper as an Additional Insured with Waiver of Subrogation is $2,500 (Each/Every Location).</t>
  </si>
  <si>
    <t xml:space="preserve">Policy Territory: </t>
  </si>
  <si>
    <t>United States of America, Canada, Mexico and the Islands of the West Indies, excluding Cuba and Haiti, or while enroute between points therein.</t>
  </si>
  <si>
    <t>Forms:</t>
  </si>
  <si>
    <t>Annual Prem.</t>
  </si>
  <si>
    <t>IAT Participation</t>
  </si>
  <si>
    <t>IAT Premium</t>
  </si>
  <si>
    <t>Expected Claim Fee Schedule for the North American Claims Handling Agreement (NACHA):
     Fee's:
          $5,000 - General Admin 
          $900 - Cat I 
          $4,000 - Cat II or other</t>
  </si>
  <si>
    <t>Pilot Modifications</t>
  </si>
  <si>
    <t>License</t>
  </si>
  <si>
    <t>Ratings</t>
  </si>
  <si>
    <t>Pilot Hours</t>
  </si>
  <si>
    <t>Pilot Age</t>
  </si>
  <si>
    <t>Student</t>
  </si>
  <si>
    <t>Instr</t>
  </si>
  <si>
    <t>Total Time</t>
  </si>
  <si>
    <t>Rec.</t>
  </si>
  <si>
    <t>ME No Instr</t>
  </si>
  <si>
    <t>Hours</t>
  </si>
  <si>
    <t>%</t>
  </si>
  <si>
    <t>Sport</t>
  </si>
  <si>
    <t>PVT</t>
  </si>
  <si>
    <t>Comm.</t>
  </si>
  <si>
    <t>ATP</t>
  </si>
  <si>
    <t>Aircraft Modifications</t>
  </si>
  <si>
    <t>Storage</t>
  </si>
  <si>
    <t>Airworthiness</t>
  </si>
  <si>
    <t>Age</t>
  </si>
  <si>
    <t>Aircraft Coverage</t>
  </si>
  <si>
    <t>Liability Option</t>
  </si>
  <si>
    <t>Hangared</t>
  </si>
  <si>
    <t>Years</t>
  </si>
  <si>
    <t>Landing Gear Modification</t>
  </si>
  <si>
    <t>SEL - Piston</t>
  </si>
  <si>
    <t>MEL - Piston</t>
  </si>
  <si>
    <t>SEL - Turbine</t>
  </si>
  <si>
    <t>MEL - Turbine</t>
  </si>
  <si>
    <t>Aircraft Class</t>
  </si>
  <si>
    <t>Piston - SE</t>
  </si>
  <si>
    <t>Piston - ME</t>
  </si>
  <si>
    <t>Turbine - SE</t>
  </si>
  <si>
    <t>Turbine - ME</t>
  </si>
  <si>
    <t>Type</t>
  </si>
  <si>
    <t>Liab %</t>
  </si>
  <si>
    <t>Hull %</t>
  </si>
  <si>
    <t>Light</t>
  </si>
  <si>
    <t>Medium</t>
  </si>
  <si>
    <t>Heavy</t>
  </si>
  <si>
    <t>Piston - RW</t>
  </si>
  <si>
    <t>Turbine - RW</t>
  </si>
  <si>
    <t>FW</t>
  </si>
  <si>
    <t>IA/Owner TP</t>
  </si>
  <si>
    <t>War Rate</t>
  </si>
  <si>
    <t>Named Insured</t>
  </si>
  <si>
    <t>Brokerage</t>
  </si>
  <si>
    <t>Agents Name</t>
  </si>
  <si>
    <t>Address</t>
  </si>
  <si>
    <t>Cody McCormick</t>
  </si>
  <si>
    <t>Zip</t>
  </si>
  <si>
    <t>Kathy Bentley</t>
  </si>
  <si>
    <t>Any Claims?</t>
  </si>
  <si>
    <t>Robert Lombardo</t>
  </si>
  <si>
    <t>Brian Emmerling</t>
  </si>
  <si>
    <t>IAT Renewal?</t>
  </si>
  <si>
    <t>Claim(s) Desc.</t>
  </si>
  <si>
    <t>John Nobles</t>
  </si>
  <si>
    <t>Policy Effective Date</t>
  </si>
  <si>
    <t>Application Required?</t>
  </si>
  <si>
    <t>Individual</t>
  </si>
  <si>
    <t>Limited Liability Company</t>
  </si>
  <si>
    <t>Location of Premises Owned, Rented by or Occupied:</t>
  </si>
  <si>
    <t>Organization, Including a Corporation (But not Including a Partnership, Joint Venture or Limited Liability Company)</t>
  </si>
  <si>
    <t>Trust</t>
  </si>
  <si>
    <t>Form of Business</t>
  </si>
  <si>
    <t>Joint Venture</t>
  </si>
  <si>
    <t>Partnership</t>
  </si>
  <si>
    <t>BUSINESS DESCRIPTION:</t>
  </si>
  <si>
    <t>Description of Risk</t>
  </si>
  <si>
    <t>Underwriter thought Process and Rating:</t>
  </si>
  <si>
    <t>Type of Risk:</t>
  </si>
  <si>
    <t>Pvt Hangar</t>
  </si>
  <si>
    <t>Row of T-hangars</t>
  </si>
  <si>
    <t># of Airport Locations</t>
  </si>
  <si>
    <t>Group Hangar</t>
  </si>
  <si>
    <t>Coverage</t>
  </si>
  <si>
    <t>Limit</t>
  </si>
  <si>
    <t>Basic Premises Only</t>
  </si>
  <si>
    <t>General Aggregate Limit</t>
  </si>
  <si>
    <t>Airport Premises</t>
  </si>
  <si>
    <t xml:space="preserve">Premises - Each Occurrence </t>
  </si>
  <si>
    <t>FBO w/Public exposure (terminal</t>
  </si>
  <si>
    <t>Property Damage Deduct.</t>
  </si>
  <si>
    <t>Include</t>
  </si>
  <si>
    <t>FBO w/limited public exposure (flightschool/service)</t>
  </si>
  <si>
    <t>Medical Expense - Each Person</t>
  </si>
  <si>
    <t>Airport &amp; FBO Combination</t>
  </si>
  <si>
    <t>Damage to premises rented</t>
  </si>
  <si>
    <t>Coverage limit</t>
  </si>
  <si>
    <t>Personal Injury</t>
  </si>
  <si>
    <t>Products - Completed Operations</t>
  </si>
  <si>
    <t>Aggregate</t>
  </si>
  <si>
    <t xml:space="preserve">Occurrence </t>
  </si>
  <si>
    <t>Hangarkeepers</t>
  </si>
  <si>
    <t>HK limits</t>
  </si>
  <si>
    <t>Each Aircraft</t>
  </si>
  <si>
    <t>Each Loss</t>
  </si>
  <si>
    <t>Deduct Each Turbine A/C</t>
  </si>
  <si>
    <t>Deduct Each other A/C</t>
  </si>
  <si>
    <t>Total Premium</t>
  </si>
  <si>
    <t>List of products</t>
  </si>
  <si>
    <t>Sale of Aircraft</t>
  </si>
  <si>
    <t>Remove Des. Prod Endt:</t>
  </si>
  <si>
    <t>Sale of Parts Not Installed</t>
  </si>
  <si>
    <t>Coverage for Specific Products:</t>
  </si>
  <si>
    <t>Sale of Parts Installed</t>
  </si>
  <si>
    <t>Sale of Fuel &amp; Oil</t>
  </si>
  <si>
    <t>General Maintenance</t>
  </si>
  <si>
    <t>Heavy Maintenance / ACFT Mod / Engine Removal</t>
  </si>
  <si>
    <t>Sale of Food &amp; Beverage</t>
  </si>
  <si>
    <t>Aircraft Deicing (GA)</t>
  </si>
  <si>
    <t>R&amp;S Avionics/Interior Cleaning</t>
  </si>
  <si>
    <t>Receipts</t>
  </si>
  <si>
    <t>Product Receipts</t>
  </si>
  <si>
    <t>Arcraft Painting</t>
  </si>
  <si>
    <t>Gallons</t>
  </si>
  <si>
    <t>Sales of Parts Not Installed</t>
  </si>
  <si>
    <t>Sale of Airport Ground Equipmet</t>
  </si>
  <si>
    <t>Used Piston A/C &amp; RW</t>
  </si>
  <si>
    <t>New Parts</t>
  </si>
  <si>
    <t>Maintenance of Airport Ground Equipment</t>
  </si>
  <si>
    <t>New Piston A/C</t>
  </si>
  <si>
    <t>Used parts</t>
  </si>
  <si>
    <t>Employee Leasing</t>
  </si>
  <si>
    <t>Turbine Fixed Wing</t>
  </si>
  <si>
    <t>Rotorwing</t>
  </si>
  <si>
    <t>Airport Services/Maintenance</t>
  </si>
  <si>
    <t>Major Repair / Engine Overhaul. Airframe Modifications</t>
  </si>
  <si>
    <t>Sale of Fuel and oil</t>
  </si>
  <si>
    <t>$ /Gal</t>
  </si>
  <si>
    <t>General Maintenance / Annual Inspections</t>
  </si>
  <si>
    <t>Componet Overhaul</t>
  </si>
  <si>
    <t>Into Plane/Retail</t>
  </si>
  <si>
    <t>Turbine</t>
  </si>
  <si>
    <t>Pumping fee</t>
  </si>
  <si>
    <t>Fuel Distributor</t>
  </si>
  <si>
    <t>Military</t>
  </si>
  <si>
    <t>Heavy Maintenance / Airframe Modifications / Engine Removal</t>
  </si>
  <si>
    <t>Aircraft Deice</t>
  </si>
  <si>
    <t>Reciepts</t>
  </si>
  <si>
    <t xml:space="preserve">General Aviation:  </t>
  </si>
  <si>
    <t>Repair &amp; Service</t>
  </si>
  <si>
    <t>Avionics / Interior Cleaning</t>
  </si>
  <si>
    <t>Militaty</t>
  </si>
  <si>
    <t>Aircraft Exterior Cleaning</t>
  </si>
  <si>
    <t>Major Repair / Engine Overhaul / Airframe Modification</t>
  </si>
  <si>
    <t>Aircraft Painting</t>
  </si>
  <si>
    <t>Sale of Airport Ground Equipment</t>
  </si>
  <si>
    <t>Other Exposure</t>
  </si>
  <si>
    <t>Maintenance of Airport Ground Equip</t>
  </si>
  <si>
    <t>Catering / Food / Beverage</t>
  </si>
  <si>
    <t>Airport Services / Maintenance (GA Airports)</t>
  </si>
  <si>
    <t>Component Overhaul</t>
  </si>
  <si>
    <t>Piston Class 1</t>
  </si>
  <si>
    <t>Piston Class 2</t>
  </si>
  <si>
    <t>Turbine Class 1</t>
  </si>
  <si>
    <t>Turbine Class 2</t>
  </si>
  <si>
    <t>Whole Airport Information</t>
  </si>
  <si>
    <t>Aircraft Movement</t>
  </si>
  <si>
    <t>Escalator/Elevator/Mov. Sidewalks</t>
  </si>
  <si>
    <t>On Prem Bus</t>
  </si>
  <si>
    <t>Enplanements</t>
  </si>
  <si>
    <t>On Prem Auto</t>
  </si>
  <si>
    <t>Underwriter Thought Process and Rating:</t>
  </si>
  <si>
    <t>Underwriter Comments to Broker (Will Appear on Quote)</t>
  </si>
  <si>
    <t>Specific Product Selection Option</t>
  </si>
  <si>
    <t>Insured Desc Selection</t>
  </si>
  <si>
    <t xml:space="preserve">AVG 00 02 </t>
  </si>
  <si>
    <t xml:space="preserve"> - </t>
  </si>
  <si>
    <t>Declarations - Harco</t>
  </si>
  <si>
    <t>AVG 00 72</t>
  </si>
  <si>
    <t>Declarations - Acceptance Indemnity</t>
  </si>
  <si>
    <t>AVG 00 73</t>
  </si>
  <si>
    <t>Declarations - Occidental</t>
  </si>
  <si>
    <t xml:space="preserve">AVG 00 01 </t>
  </si>
  <si>
    <t>Aviation General Liability Coverage Form</t>
  </si>
  <si>
    <t xml:space="preserve">AVG 00 03 </t>
  </si>
  <si>
    <t>Forms Schedule</t>
  </si>
  <si>
    <t>AVG 00 53</t>
  </si>
  <si>
    <t>Additional Insured Workers Compensation Excluded</t>
  </si>
  <si>
    <t>AVG 00 54</t>
  </si>
  <si>
    <t>Additional Insured - Designated Person or Organization</t>
  </si>
  <si>
    <t>AVG 00 55</t>
  </si>
  <si>
    <t>Airport Premises Liability - Personal  Injury Extension</t>
  </si>
  <si>
    <t>AVG 00 57</t>
  </si>
  <si>
    <t>Contract Reporting Provision</t>
  </si>
  <si>
    <t>AVG 00 58</t>
  </si>
  <si>
    <t>Exclusion - Damage to Premises Rented to you</t>
  </si>
  <si>
    <t>AVG 00 59</t>
  </si>
  <si>
    <t>Designated Products</t>
  </si>
  <si>
    <t>AVG 00 60</t>
  </si>
  <si>
    <t>Exclusion - Hangarkeepers Liabilty</t>
  </si>
  <si>
    <t>AVG 00 61</t>
  </si>
  <si>
    <t>Garagekeepers Liability</t>
  </si>
  <si>
    <t>AVG 00 62</t>
  </si>
  <si>
    <t>Hangarkeepers Liability - Extension of Coverage For Work in Progress</t>
  </si>
  <si>
    <t>AVG 00 64</t>
  </si>
  <si>
    <t>AVG 00 65</t>
  </si>
  <si>
    <t>On-Airport Premises Auto Coverage</t>
  </si>
  <si>
    <t>AVG 00 66</t>
  </si>
  <si>
    <t>Any Applicable State Amendatory Endorsements.</t>
  </si>
  <si>
    <t>All combined for Quote sheet</t>
  </si>
  <si>
    <t>Total Revenue</t>
  </si>
  <si>
    <t>Credit for Per Person</t>
  </si>
  <si>
    <t>Premises Liability premium base</t>
  </si>
  <si>
    <t>Revised commision base</t>
  </si>
  <si>
    <t>Medical Base premium</t>
  </si>
  <si>
    <t>Hangarkeepers base premium</t>
  </si>
  <si>
    <t>Products base Premium</t>
  </si>
  <si>
    <t>HangarKeeper Modifications</t>
  </si>
  <si>
    <t>Increased Limits Factor products</t>
  </si>
  <si>
    <t>Increased Limits Factor Premises Liability</t>
  </si>
  <si>
    <t>Medical Revised Premium</t>
  </si>
  <si>
    <t>Total Mods</t>
  </si>
  <si>
    <t># of Airport Locations Mod</t>
  </si>
  <si>
    <t># of airport Locations</t>
  </si>
  <si>
    <t>Revised Premium</t>
  </si>
  <si>
    <t>Initial Calculation</t>
  </si>
  <si>
    <t>Commision Revised</t>
  </si>
  <si>
    <t>Fire Legal</t>
  </si>
  <si>
    <t>Total Mods from above and from D/C screen for premises</t>
  </si>
  <si>
    <t>Revenue Size Modifier</t>
  </si>
  <si>
    <t>Additional Pricing for exposure</t>
  </si>
  <si>
    <t>Revised Fire Legal</t>
  </si>
  <si>
    <t>Credit for Pax Cap</t>
  </si>
  <si>
    <t>Modified Premium</t>
  </si>
  <si>
    <t>A/C Mvmnt</t>
  </si>
  <si>
    <t>Enplainments</t>
  </si>
  <si>
    <t>Esc/Elevator/MS</t>
  </si>
  <si>
    <t>Heavy Maintenance / Airframe modifications / enigne removal</t>
  </si>
  <si>
    <t>Auto</t>
  </si>
  <si>
    <t>Busses</t>
  </si>
  <si>
    <t>Piston1</t>
  </si>
  <si>
    <t>Piston2</t>
  </si>
  <si>
    <t>Turbine1</t>
  </si>
  <si>
    <t>Turbine2</t>
  </si>
  <si>
    <t>Aircraft Deicing</t>
  </si>
  <si>
    <t>Aircraft R&amp;S</t>
  </si>
  <si>
    <t>Avionivs/inter</t>
  </si>
  <si>
    <t>Clean Exterior</t>
  </si>
  <si>
    <t>Aircraft painting</t>
  </si>
  <si>
    <t>Sale of AP GND equip</t>
  </si>
  <si>
    <t>Catering/food/beverage</t>
  </si>
  <si>
    <t>Airport Serv/Maint</t>
  </si>
  <si>
    <t>Uncapped IRPM</t>
  </si>
  <si>
    <t>CGL Debits / Credits</t>
  </si>
  <si>
    <t xml:space="preserve">Large Risk Rule must be accepted by the State you are issuing the policy in. Proper documentation for debit is required along with state documentation added to the file. </t>
  </si>
  <si>
    <t>Airport Specific Debits / Credits</t>
  </si>
  <si>
    <t xml:space="preserve"> Proper documentation for debit is required along with state documentation added to the file. </t>
  </si>
  <si>
    <t xml:space="preserve"> This can be located in the Underwriting folder in teams labeled Large Risk Rule by State.</t>
  </si>
  <si>
    <t>Common Policy Modifiers</t>
  </si>
  <si>
    <t>Maximum Credit</t>
  </si>
  <si>
    <t>Final Adjust.</t>
  </si>
  <si>
    <t>Maximum Debit</t>
  </si>
  <si>
    <t>Airport</t>
  </si>
  <si>
    <t>Management:</t>
  </si>
  <si>
    <t xml:space="preserve"> -25% to +25%</t>
  </si>
  <si>
    <t>Debit to be used</t>
  </si>
  <si>
    <t>Premises Premium</t>
  </si>
  <si>
    <t>Physical Facilities:</t>
  </si>
  <si>
    <t>Weather Environment:</t>
  </si>
  <si>
    <t xml:space="preserve"> -10% to +20%</t>
  </si>
  <si>
    <t>Private, Not Open to the Public:</t>
  </si>
  <si>
    <t>Seaplane Base:</t>
  </si>
  <si>
    <t xml:space="preserve"> 0% to +50%</t>
  </si>
  <si>
    <t>Ground Transportation System: 0% to +25%</t>
  </si>
  <si>
    <t>Local Legal Climate: 0% to +20%</t>
  </si>
  <si>
    <t>Unusual Hazards:</t>
  </si>
  <si>
    <t>0% to +50%</t>
  </si>
  <si>
    <t>Premises Liability Debits / Credits (Does not Apply to Airports If Selected)</t>
  </si>
  <si>
    <t xml:space="preserve">Common Policy Modifiers </t>
  </si>
  <si>
    <t xml:space="preserve"> -50 Maximum Credit</t>
  </si>
  <si>
    <t xml:space="preserve"> +50 Maximum Debit</t>
  </si>
  <si>
    <t>Management</t>
  </si>
  <si>
    <t>Exp and trained Employees</t>
  </si>
  <si>
    <t xml:space="preserve"> -25% to +50%</t>
  </si>
  <si>
    <t>Years in Business</t>
  </si>
  <si>
    <t>Non-commericial</t>
  </si>
  <si>
    <t>In business less than a year</t>
  </si>
  <si>
    <t>Financial State</t>
  </si>
  <si>
    <t>In business 1 to 3 years</t>
  </si>
  <si>
    <t>In business 3+ years</t>
  </si>
  <si>
    <t>Type of Operation Performed</t>
  </si>
  <si>
    <t>Loss Sensitivity</t>
  </si>
  <si>
    <t>D/C Range</t>
  </si>
  <si>
    <t>No losses During the past 5 Years</t>
  </si>
  <si>
    <t xml:space="preserve"> -06% to -25%</t>
  </si>
  <si>
    <t>No losses During the Past 3 Years</t>
  </si>
  <si>
    <t xml:space="preserve"> -1% to -5%</t>
  </si>
  <si>
    <t>Loss Ratio 20-50%</t>
  </si>
  <si>
    <t xml:space="preserve"> +10 to +25%</t>
  </si>
  <si>
    <t>Hangarkeepers Additional Modification Factors</t>
  </si>
  <si>
    <t>Loss Ratio 25-50%</t>
  </si>
  <si>
    <t xml:space="preserve"> +25 to +50%</t>
  </si>
  <si>
    <t>HangarKeepers</t>
  </si>
  <si>
    <t>Number of Aircraft and Congestion</t>
  </si>
  <si>
    <t>Full Foam System</t>
  </si>
  <si>
    <t>Water System</t>
  </si>
  <si>
    <t>Movement and Control</t>
  </si>
  <si>
    <t>Safety Training</t>
  </si>
  <si>
    <t xml:space="preserve"> -25% to -10%</t>
  </si>
  <si>
    <t>Does not move or service aircraft commercially</t>
  </si>
  <si>
    <t>Rent hangars/tie downs only. No control of aircraft.</t>
  </si>
  <si>
    <t>Fire Warning &amp; Suppression</t>
  </si>
  <si>
    <t xml:space="preserve">Contigent Hangarkeepers Exposure </t>
  </si>
  <si>
    <t>Products Additional Modifcation Factors</t>
  </si>
  <si>
    <t xml:space="preserve"> -25 Maximum Credit</t>
  </si>
  <si>
    <t xml:space="preserve"> +100 Maximum Debit</t>
  </si>
  <si>
    <t>Products</t>
  </si>
  <si>
    <t>Type of Operations Performed</t>
  </si>
  <si>
    <t>Financial Status</t>
  </si>
  <si>
    <t xml:space="preserve"> -10% to +25%</t>
  </si>
  <si>
    <t>Type of A/C Being Worked on</t>
  </si>
  <si>
    <t>Criticality of Products/Work Performed</t>
  </si>
  <si>
    <t>Past Product/Completed Ops Mix</t>
  </si>
  <si>
    <t xml:space="preserve"> -10% to +10%</t>
  </si>
  <si>
    <t>Underwriter Comments for File</t>
  </si>
  <si>
    <t>Base Rates per 1m</t>
  </si>
  <si>
    <t>500-5,000</t>
  </si>
  <si>
    <t>X # of hangars</t>
  </si>
  <si>
    <t>(000's)</t>
  </si>
  <si>
    <t>500-5000</t>
  </si>
  <si>
    <t>1000-7500</t>
  </si>
  <si>
    <t>2000-10000</t>
  </si>
  <si>
    <t xml:space="preserve">Minimum premium </t>
  </si>
  <si>
    <t>Used piston a/c &amp; RW</t>
  </si>
  <si>
    <t>$2.00 to $8.00</t>
  </si>
  <si>
    <t>New Piston A/c</t>
  </si>
  <si>
    <t>$.75 - $5.00</t>
  </si>
  <si>
    <t>Turbine FW</t>
  </si>
  <si>
    <t>$.50 - $4.00</t>
  </si>
  <si>
    <t>Sales of parts not installed</t>
  </si>
  <si>
    <t>$.50 - $5.00</t>
  </si>
  <si>
    <t>$2.00 - $8.00</t>
  </si>
  <si>
    <t>$4.00 - $11.00</t>
  </si>
  <si>
    <t>$2.00 - $7.00</t>
  </si>
  <si>
    <t>$.25 - $5.00</t>
  </si>
  <si>
    <t>Extra Exposure calculations</t>
  </si>
  <si>
    <t>$.25 - $3.75</t>
  </si>
  <si>
    <t>$15.00-$25.00</t>
  </si>
  <si>
    <t>$5.00 - $15.00</t>
  </si>
  <si>
    <t>$23.00 - $37.00</t>
  </si>
  <si>
    <t>$3.50 - $9.00</t>
  </si>
  <si>
    <t>$25.00 - $45.00</t>
  </si>
  <si>
    <t>$10.00 - $20.00</t>
  </si>
  <si>
    <t>$38.00 - $58.00</t>
  </si>
  <si>
    <t>$  7.50 - $17.50</t>
  </si>
  <si>
    <t>$48.00 - $72.00</t>
  </si>
  <si>
    <t>$10.00 - $30.00</t>
  </si>
  <si>
    <t>$35.00 - $65.00</t>
  </si>
  <si>
    <t>$12.50 - $23.00</t>
  </si>
  <si>
    <t>Piston 1</t>
  </si>
  <si>
    <t>$  7.00 - $13.00</t>
  </si>
  <si>
    <t>Piston 2</t>
  </si>
  <si>
    <t>$20.00 - $35.00</t>
  </si>
  <si>
    <t>Turbine 1</t>
  </si>
  <si>
    <t>$  5.00 - $15.00</t>
  </si>
  <si>
    <t>Turbine 2</t>
  </si>
  <si>
    <t>$12.50 - $22.50</t>
  </si>
  <si>
    <t>Deicing</t>
  </si>
  <si>
    <t>$  4.00 - $10.00</t>
  </si>
  <si>
    <t>Avio/cle</t>
  </si>
  <si>
    <t>$  3.00 - $  8.00</t>
  </si>
  <si>
    <t>a/c exterior cleaning</t>
  </si>
  <si>
    <t>$10.00 - $18.00</t>
  </si>
  <si>
    <t>A/C Painting</t>
  </si>
  <si>
    <t>Sale of AP Gnd Equip</t>
  </si>
  <si>
    <t>Maint. AP ground equ</t>
  </si>
  <si>
    <t>$15.00 - $25.00</t>
  </si>
  <si>
    <t>Catering Food Beverage</t>
  </si>
  <si>
    <t>$  0.50 - $  5.00</t>
  </si>
  <si>
    <t>$  2.00 - $20.00</t>
  </si>
  <si>
    <t>AP SRV / Maint.</t>
  </si>
  <si>
    <t>Increased Limits Factors</t>
  </si>
  <si>
    <t xml:space="preserve"> Sales Volume Discount</t>
  </si>
  <si>
    <t>Sales Volume Discount Table Old 6/1/2022</t>
  </si>
  <si>
    <t>Increased Limits Factor Table</t>
  </si>
  <si>
    <t>100-160</t>
  </si>
  <si>
    <t>Limits
Factor</t>
  </si>
  <si>
    <t>80-125%</t>
  </si>
  <si>
    <t>45 - 85%</t>
  </si>
  <si>
    <t>75-120%</t>
  </si>
  <si>
    <t>60-100%</t>
  </si>
  <si>
    <t>70-115%</t>
  </si>
  <si>
    <t>80 -120%</t>
  </si>
  <si>
    <t>65-110%</t>
  </si>
  <si>
    <t>105-155%</t>
  </si>
  <si>
    <t>60-105%</t>
  </si>
  <si>
    <t>140-180%</t>
  </si>
  <si>
    <t>55-100%</t>
  </si>
  <si>
    <t>155-195%</t>
  </si>
  <si>
    <t>170-210%</t>
  </si>
  <si>
    <t>200-240%</t>
  </si>
  <si>
    <t>Number of Locations</t>
  </si>
  <si>
    <t>225-285%</t>
  </si>
  <si>
    <t>250-310%</t>
  </si>
  <si>
    <t>295-355%</t>
  </si>
  <si>
    <t>345-420%</t>
  </si>
  <si>
    <t>405-485%</t>
  </si>
  <si>
    <t>445-505%</t>
  </si>
  <si>
    <t>Old Rate increase table6/1/2022</t>
  </si>
  <si>
    <t>Additional Coverage Options</t>
  </si>
  <si>
    <t>Additional Insured's / Hold Harmless / Waiver Subro</t>
  </si>
  <si>
    <t>Cov. Sel.</t>
  </si>
  <si>
    <t>AI/WC Ex</t>
  </si>
  <si>
    <t>Cov Sel</t>
  </si>
  <si>
    <t>Total Additional Coverage Premium</t>
  </si>
  <si>
    <t>Personal  Injury Extension</t>
  </si>
  <si>
    <t>Excl - Damage to Premises  Rented to You</t>
  </si>
  <si>
    <t>HKLL - Extension of Coverage For Work in Progress</t>
  </si>
  <si>
    <t xml:space="preserve">
</t>
  </si>
  <si>
    <t>We are pleased to provide you with our quotation for Aviation General Liability Insurance per the following:</t>
  </si>
  <si>
    <t>INSURED NAME:</t>
  </si>
  <si>
    <t>POLICY TERM:</t>
  </si>
  <si>
    <t>to</t>
  </si>
  <si>
    <t xml:space="preserve"> 12:01 A.M. Standard Time</t>
  </si>
  <si>
    <t>LIMITS OF INSURANCE</t>
  </si>
  <si>
    <t>FIGA</t>
  </si>
  <si>
    <t>Included</t>
  </si>
  <si>
    <t>taxes</t>
  </si>
  <si>
    <t>DESCRIPTION OF BUSINESS</t>
  </si>
  <si>
    <t>FORM OF BUSINESS</t>
  </si>
  <si>
    <t>KY links</t>
  </si>
  <si>
    <t>http://insurance.ky.gov/Docs.aspx?Div_ID=13</t>
  </si>
  <si>
    <t>https://revenue.ky.gov/Business/Insurance-Premiums-Tax-Surcharge/Pages/default.aspx</t>
  </si>
  <si>
    <t>Location of Premises Owned, Rented by or Occupied by the Named Insured:</t>
  </si>
  <si>
    <t>Current KY State tax is 1.8%</t>
  </si>
  <si>
    <t>Was the Underwriter Advised of Any Claims?</t>
  </si>
  <si>
    <t>Underwriter Comments:</t>
  </si>
  <si>
    <t>POLICY FORM AND ENDORSEMENTS</t>
  </si>
  <si>
    <t xml:space="preserve">Attached to this proposal please find a Policyholder Disclosure Notice of Terrorism Insurance Coverage. </t>
  </si>
  <si>
    <t>Agency Commission:</t>
  </si>
  <si>
    <t>This proposal will expire 30 days from today for new business or at policy expiration for renewal business.  We reserve the right to withdraw or amend this proposal at any time.</t>
  </si>
  <si>
    <t>Policy will be issued on:</t>
  </si>
  <si>
    <t>If you have any questions, please do not hesitate to call</t>
  </si>
  <si>
    <t>Regards,</t>
  </si>
  <si>
    <t>IAT Aviation</t>
  </si>
  <si>
    <t>Make &amp;
Model</t>
  </si>
  <si>
    <r>
      <rPr>
        <b/>
        <sz val="10"/>
        <color theme="1"/>
        <rFont val="Arial"/>
        <family val="2"/>
      </rPr>
      <t>FAA</t>
    </r>
    <r>
      <rPr>
        <sz val="10"/>
        <color theme="1"/>
        <rFont val="Arial"/>
        <family val="2"/>
      </rPr>
      <t xml:space="preserve">
Reg. No</t>
    </r>
  </si>
  <si>
    <r>
      <t xml:space="preserve">Seats
</t>
    </r>
    <r>
      <rPr>
        <b/>
        <sz val="10"/>
        <color theme="1"/>
        <rFont val="Arial"/>
        <family val="2"/>
      </rPr>
      <t>Crew/Pass</t>
    </r>
  </si>
  <si>
    <t>Insured 
Value</t>
  </si>
  <si>
    <r>
      <t xml:space="preserve">Not In
</t>
    </r>
    <r>
      <rPr>
        <b/>
        <sz val="10"/>
        <color theme="1"/>
        <rFont val="Arial"/>
        <family val="2"/>
      </rPr>
      <t>Motion</t>
    </r>
  </si>
  <si>
    <r>
      <t xml:space="preserve">In </t>
    </r>
    <r>
      <rPr>
        <b/>
        <sz val="10"/>
        <color theme="1"/>
        <rFont val="Arial"/>
        <family val="2"/>
      </rPr>
      <t>Motion</t>
    </r>
    <r>
      <rPr>
        <sz val="10"/>
        <color theme="1"/>
        <rFont val="Arial"/>
        <family val="2"/>
      </rPr>
      <t xml:space="preserve">
</t>
    </r>
    <r>
      <rPr>
        <b/>
        <sz val="10"/>
        <color theme="1"/>
        <rFont val="Arial"/>
        <family val="2"/>
      </rPr>
      <t>Ingestion</t>
    </r>
    <r>
      <rPr>
        <sz val="10"/>
        <color theme="1"/>
        <rFont val="Arial"/>
        <family val="2"/>
      </rPr>
      <t xml:space="preserve">
Mooring</t>
    </r>
  </si>
  <si>
    <t>Phyical
Damage Coverage</t>
  </si>
  <si>
    <t>Date</t>
  </si>
  <si>
    <t>Comment</t>
  </si>
  <si>
    <t>Entered by</t>
  </si>
  <si>
    <t xml:space="preserve"> +5% to Helicopter hull rates</t>
  </si>
  <si>
    <t>RSL</t>
  </si>
  <si>
    <t>Amended FW liab smooth limits</t>
  </si>
  <si>
    <t>Added Jeff Rhodes to the Sheet</t>
  </si>
  <si>
    <t>Changed formatting on aircraft quote to wrap text and center</t>
  </si>
  <si>
    <t>Removed extra sheets no longer needed</t>
  </si>
  <si>
    <t>Removed Airport Data</t>
  </si>
  <si>
    <t>Removed Gliders/EXP</t>
  </si>
  <si>
    <t>Add IA OPC options and attached to quote</t>
  </si>
  <si>
    <t>Added IA Ancillary Coverage Tab (still need to add to quote)</t>
  </si>
  <si>
    <t>Removed depulicate aircraft from list</t>
  </si>
  <si>
    <t>Cleaned up aircraft list t odisplay only once</t>
  </si>
  <si>
    <t>Mapped Ancillary coverage limits to IA quote letter</t>
  </si>
  <si>
    <t>Rate change 2, occ/smooth and greater changed from 1.05 surcharge to .85</t>
  </si>
  <si>
    <t>Rate change on 1m, occ/smooth from 1.05 to .8 and .78 for higher seats</t>
  </si>
  <si>
    <t>Aircraft surcharge for Cirrus SR20 and SR22 adjusted</t>
  </si>
  <si>
    <t>Adjusted Personal Injury to 10mil - no rate</t>
  </si>
  <si>
    <t>Adjusted HKLL to keep it in the 10mil limit range</t>
  </si>
  <si>
    <t>Adjusted rater t0 accept 15 seats</t>
  </si>
  <si>
    <t>Added description for Hull Cov G and H</t>
  </si>
  <si>
    <t xml:space="preserve">Added Comment Field on IA quote </t>
  </si>
  <si>
    <t>Corrected references on the aircraft collection page (couple cells referred to wrong location)</t>
  </si>
  <si>
    <t>Corrected Percent deduct to remove the places behind the decimal</t>
  </si>
  <si>
    <t xml:space="preserve">RSL </t>
  </si>
  <si>
    <t xml:space="preserve">Cleaned up some row and column measurements. </t>
  </si>
  <si>
    <t>Matched ME 3m-10M rates to the Single Engine per Brian.. I included 3m.</t>
  </si>
  <si>
    <t>Fixed annual school wording typos found by Kate</t>
  </si>
  <si>
    <t>Amended GL Premises Rates</t>
  </si>
  <si>
    <t>Added Basic Premises drop down option</t>
  </si>
  <si>
    <t>Adjusted modifier based on number of locastions</t>
  </si>
  <si>
    <t>Corrected debits and credits for GL due to new drop down option messed with reference</t>
  </si>
  <si>
    <t>Amended GL Premises Rates based on feedback</t>
  </si>
  <si>
    <t>Correct annual school language "Equivalent" was spelled wrong</t>
  </si>
  <si>
    <t>Changed premium limits for &gt;2mil</t>
  </si>
  <si>
    <t>Added Airport info (a/c movement, Enplanement, esc, Elv, Auto, Bus) for calculatuion</t>
  </si>
  <si>
    <t>Corrected forms so when turbine rate table is selected Broadform appearsand other forms come off</t>
  </si>
  <si>
    <t>Added Ancillary Coverage charge to IA form</t>
  </si>
  <si>
    <t xml:space="preserve">Add cirrus OPCs </t>
  </si>
  <si>
    <t>increased SEL and MEL rates by 15%</t>
  </si>
  <si>
    <t>Corrected medical calculation to accept alterante seat</t>
  </si>
  <si>
    <t>Added Honda Jet and Citation V Ultra</t>
  </si>
  <si>
    <t>Added +50% to liab for IA TP per agreement wth Brian and Jeff</t>
  </si>
  <si>
    <t>Added N/A to the Aggregate on GL</t>
  </si>
  <si>
    <t>Added FIGA Com Quote and GL</t>
  </si>
  <si>
    <t>Added pilot training for turbines</t>
  </si>
  <si>
    <t>Added 5% to Turbine rates</t>
  </si>
  <si>
    <t>Added IM description Line to commercial and IA quotes</t>
  </si>
  <si>
    <t>Amend Limit descp for smooth limits to reduce space</t>
  </si>
  <si>
    <t>Adjusted Font on CGL Quote for premium.  Reduced size so it appears correctly</t>
  </si>
  <si>
    <t>Adjusted IA Quote. Corrected formulas.. Adjusted deduct column for larged IM deducts</t>
  </si>
  <si>
    <t>Added Xavier and Kaden to the Underwriter selection</t>
  </si>
  <si>
    <t>Corrected display on IA quote for Trip Interruption</t>
  </si>
  <si>
    <t>Amended SIC wording to hald of PIC hours per discssuon with Travis</t>
  </si>
  <si>
    <t>Added Underwriter thought process/rating field</t>
  </si>
  <si>
    <t xml:space="preserve"> Added Daily Rate</t>
  </si>
  <si>
    <t>Added 3 year loss ratio quick calculation</t>
  </si>
  <si>
    <t>Amended Sales Volume Discount</t>
  </si>
  <si>
    <t xml:space="preserve">Amedned Increased Limits Factors </t>
  </si>
  <si>
    <t>Amended rater to show FIGA for GL and Commercial</t>
  </si>
  <si>
    <t>Corrected GL product selection</t>
  </si>
  <si>
    <t>Added Emergency and Unexpected Landing to Commercial Quote</t>
  </si>
  <si>
    <t>Added Large Risk Modifier options to GL per discussion with Joe</t>
  </si>
  <si>
    <t>Added Signature FYI wording.. $2500 AI and WOS each and Every location - rqst per Brian</t>
  </si>
  <si>
    <t>Added MD600</t>
  </si>
  <si>
    <t>Amended Liab non-owned to remove limit but state: Lowest lImit on policy</t>
  </si>
  <si>
    <t>Created Reporter Quote Letter</t>
  </si>
  <si>
    <t>Corrected reporter rates to take into account debits from first aircraft row</t>
  </si>
  <si>
    <t>RW rate correction with Pugs.. 2mcsl Had wrong reference, revised it and corrected 1mcsl rate</t>
  </si>
  <si>
    <t>Amended IA/TP rate by 15% on the liab and added 7.5% to the hull.  Adjusted pro flown from -25 to -10</t>
  </si>
  <si>
    <t>Added directly related insured endorsement to ancillary coverages / Form selected by entitty type drop down on Data-UW screen</t>
  </si>
  <si>
    <t>Quota Share - Quote Letter/Schedule with Nacha Fee Language</t>
  </si>
  <si>
    <t>Added warning for GL product to assigned designated product</t>
  </si>
  <si>
    <t>Added option to change quote to binder</t>
  </si>
  <si>
    <t>IA turbine liab rate high.. Adjusted by dropping it 5% (now 60%+). Per talk with Jeff.</t>
  </si>
  <si>
    <t>RSl</t>
  </si>
  <si>
    <t>Fixed war rounding error on IA quote</t>
  </si>
  <si>
    <t>Added USE to IA quote - Shows use as Pleasure and Business</t>
  </si>
  <si>
    <t xml:space="preserve">added U/W questions.. Website, Airnav, etc.. </t>
  </si>
  <si>
    <t>Corrected issue with 1m occ limit rate.  Corrected...it was increased to 350.. When it should have been 221.</t>
  </si>
  <si>
    <t>Corrected issueing company for KS to Harco from AIIC</t>
  </si>
  <si>
    <t>Added ability to remove designated products endorsement</t>
  </si>
  <si>
    <t>Corrected Directly related insured endorsement attachment</t>
  </si>
  <si>
    <t>Corrected KY Tax</t>
  </si>
  <si>
    <t>Changed war hull to .10 and war liab to .25</t>
  </si>
  <si>
    <t>Updated KY taxes From Justins Chart</t>
  </si>
  <si>
    <t>War Hull changed to 6% from 10%....</t>
  </si>
  <si>
    <t xml:space="preserve">Added commission selection on the Agent collection Screen - system will calculate. </t>
  </si>
  <si>
    <t>Added dual crew selection next to seats and amended quotes to display crew as "1/pax seats" or dual crew as "2/pax seats"</t>
  </si>
  <si>
    <t>Need to change bands for reporters</t>
  </si>
  <si>
    <t>corrected rounding on GL med and Fire</t>
  </si>
  <si>
    <t xml:space="preserve">Corrected KY Tax area to appear Red on the GL Quote letter.  </t>
  </si>
  <si>
    <t>Add more aircraft rows. Rater will now accommodate 80 aircraft</t>
  </si>
  <si>
    <t xml:space="preserve">Added JMB VL3 FT and VL3 RG for one account..  </t>
  </si>
  <si>
    <t xml:space="preserve">rounding issue on GL PCO premium calculation.  </t>
  </si>
  <si>
    <t>Reduced specirfic turbine aircraft hull debit/credit by -10%</t>
  </si>
  <si>
    <t>Added Tecnam Mentor</t>
  </si>
  <si>
    <t>Added KA 300 series</t>
  </si>
  <si>
    <t>Updated KY Taxes per image from JA</t>
  </si>
  <si>
    <t>Amended rate on TBM turbines.  Removed 10% credit.</t>
  </si>
  <si>
    <t>Added check box to highlight midterm quote/change</t>
  </si>
  <si>
    <t>Added piper m700</t>
  </si>
  <si>
    <t>Amended IR % on Liab by 50% ( now 200%), hull by 25% (now 50%)</t>
  </si>
  <si>
    <t>Added ddfault for emergency Landing endorsement to policies without broadform</t>
  </si>
  <si>
    <t>Added QS Lead form and field to be completed on the aircraft quotes for percentage</t>
  </si>
  <si>
    <t>Added Citation 560 and 560-XL</t>
  </si>
  <si>
    <t xml:space="preserve">* Premium noted above does not include any applicable taxes or fees. </t>
  </si>
  <si>
    <t xml:space="preserve">*Premium noted does not include any applicable taxes or fees. </t>
  </si>
  <si>
    <t>Added language to IA form as respects taxes and fees.</t>
  </si>
  <si>
    <t>LEAR 60</t>
  </si>
  <si>
    <t>PIPER PILOT 100(I)</t>
  </si>
  <si>
    <t>PILOT 100(I)</t>
  </si>
  <si>
    <t>Corrected Commercial Aircraft Quote to included KY Tax for Ancillary Coverages</t>
  </si>
  <si>
    <t>CESSNA CIATION 750/X/X+</t>
  </si>
  <si>
    <t>CIATION 750/X/X+</t>
  </si>
  <si>
    <t>PILATUS PC-24</t>
  </si>
  <si>
    <t>PC-24</t>
  </si>
  <si>
    <t>Added PC-24</t>
  </si>
  <si>
    <t>PIPISTREL Virus</t>
  </si>
  <si>
    <t>Virus</t>
  </si>
  <si>
    <t>PIPISTREL VIRUS</t>
  </si>
  <si>
    <t>LEAR 45</t>
  </si>
  <si>
    <t>Added Lear 45</t>
  </si>
  <si>
    <t xml:space="preserve">Corrected reference on rating page for aircraft description. </t>
  </si>
  <si>
    <t>DASSAULT FALCON 50</t>
  </si>
  <si>
    <t>DASSAULT FALCON 900</t>
  </si>
  <si>
    <t>FALCON 50</t>
  </si>
  <si>
    <t>FALCON 900</t>
  </si>
  <si>
    <t>DASSAULT FALCON 2000</t>
  </si>
  <si>
    <t>FALCON 2000</t>
  </si>
  <si>
    <t>$6,000,000 CSL</t>
  </si>
  <si>
    <t>$7,000,000 CSL</t>
  </si>
  <si>
    <t>$8,000,000 CSL</t>
  </si>
  <si>
    <t>$9,000,000 CSL</t>
  </si>
  <si>
    <t>$25,000,000 CSL</t>
  </si>
  <si>
    <t>$35,000,000 CSL</t>
  </si>
  <si>
    <t>$30,000,000 CSL</t>
  </si>
  <si>
    <t>$40,000,000 CSL</t>
  </si>
  <si>
    <t>$45,000,000 CSL</t>
  </si>
  <si>
    <t>$50,000,000 CSL</t>
  </si>
  <si>
    <t>$55,000,000 CSL</t>
  </si>
  <si>
    <t>$60,000,000 CSL</t>
  </si>
  <si>
    <t>$65,000,000 CSL</t>
  </si>
  <si>
    <t>$70,000,000 CSL</t>
  </si>
  <si>
    <t>$75,000,000 CSL</t>
  </si>
  <si>
    <t>$80,000,000 CSL</t>
  </si>
  <si>
    <t>$85,000,000 CSL</t>
  </si>
  <si>
    <t>$90,000,000 CSL</t>
  </si>
  <si>
    <t>$95,000,000 CSL</t>
  </si>
  <si>
    <t>$100,000,000 CSL</t>
  </si>
  <si>
    <t>Sams Rates</t>
  </si>
  <si>
    <t>Liability Limit</t>
  </si>
  <si>
    <t>3rd Party</t>
  </si>
  <si>
    <t>Per PAX</t>
  </si>
  <si>
    <t>$4,000,000 CSL</t>
  </si>
  <si>
    <t>Interpilated Turbine Hull Rates</t>
  </si>
  <si>
    <t>Amended turbine fw make and model debits and credits</t>
  </si>
  <si>
    <t>CESSNA CIATION 560XL/XLS/XLS+</t>
  </si>
  <si>
    <t>EMBRAER PREATOR 600</t>
  </si>
  <si>
    <t>PREATOR 600</t>
  </si>
  <si>
    <t>EMBRAER PREATOR 500</t>
  </si>
  <si>
    <t>PREATOR 500</t>
  </si>
  <si>
    <t>Added Preator 500 and 600</t>
  </si>
  <si>
    <t>GULFSTREAM G200</t>
  </si>
  <si>
    <t>G200</t>
  </si>
  <si>
    <t>ASTRA Galaxy</t>
  </si>
  <si>
    <t>Gulfstream G200</t>
  </si>
  <si>
    <t>Amended PLIGA to .3%</t>
  </si>
  <si>
    <t>Amended SF50 Specific liab and hull mods with Greg.</t>
  </si>
  <si>
    <t>Amended turbine fw make and model debits and credits - Greg and Kaden</t>
  </si>
  <si>
    <t>Harco National Insurance Company</t>
  </si>
  <si>
    <t>Removed Occidental - Hards coded HARCO</t>
  </si>
  <si>
    <t>Removed Quote Number - didn’t really need it.  Use it primarily for Renewal policy number.</t>
  </si>
  <si>
    <t>SOCATA/DAHER TBM 980</t>
  </si>
  <si>
    <t>TBM 980</t>
  </si>
  <si>
    <t>Added TBM 980</t>
  </si>
  <si>
    <t>Add new Turbine PHF</t>
  </si>
  <si>
    <t>Add New IA Plat Quote proposal</t>
  </si>
  <si>
    <t>METP Single Crew</t>
  </si>
  <si>
    <t>METP Dual Crew PIC</t>
  </si>
  <si>
    <t>METP Dual Crew SIC</t>
  </si>
  <si>
    <t>Single Engine Jet</t>
  </si>
  <si>
    <t>Jet Single Crew</t>
  </si>
  <si>
    <t>Jet Dual Crew PIC</t>
  </si>
  <si>
    <t>Jet Dual Crew SIC</t>
  </si>
  <si>
    <t>Turbine RW</t>
  </si>
  <si>
    <t>As approved Single Crew</t>
  </si>
  <si>
    <t>As Approved Dual Crew</t>
  </si>
  <si>
    <t>Dual Crew - SIC As approved</t>
  </si>
  <si>
    <t>Any Aircraft as Approved</t>
  </si>
  <si>
    <t>Lic</t>
  </si>
  <si>
    <t>Turbine Response</t>
  </si>
  <si>
    <t>ME/RG</t>
  </si>
  <si>
    <t>ME/RG/RW</t>
  </si>
  <si>
    <t>Com</t>
  </si>
  <si>
    <t>Named Pilot(s)</t>
  </si>
  <si>
    <t>As Respects:</t>
  </si>
  <si>
    <t>Pilot1</t>
  </si>
  <si>
    <t>Column1</t>
  </si>
  <si>
    <t>Column2</t>
  </si>
  <si>
    <t>Column3</t>
  </si>
  <si>
    <t>Column4</t>
  </si>
  <si>
    <t>Column5</t>
  </si>
  <si>
    <t>Column7</t>
  </si>
  <si>
    <t>Column8</t>
  </si>
  <si>
    <t>Column10</t>
  </si>
  <si>
    <t>Column12</t>
  </si>
  <si>
    <t>Column14</t>
  </si>
  <si>
    <t>Column15</t>
  </si>
  <si>
    <t>Pilot2</t>
  </si>
  <si>
    <t>Pilot3</t>
  </si>
  <si>
    <t>Any pilot as approved by the chief pilot of the named insured or his/her designee.</t>
  </si>
  <si>
    <t>Any two-person crew as approved by the chief pilot of the named insured or his/her designee.</t>
  </si>
  <si>
    <t xml:space="preserve">Any Pilot maintaining a </t>
  </si>
  <si>
    <t xml:space="preserve"> total hours, including 500 hours in Turboprop aircraft, </t>
  </si>
  <si>
    <t xml:space="preserve"> or more advanced pilot certificate, with an Instrument rating, who has logged a minimum of </t>
  </si>
  <si>
    <t xml:space="preserve"> hours in aircraft with retractable gear and </t>
  </si>
  <si>
    <t xml:space="preserve"> hours in the make and model to be flown. </t>
  </si>
  <si>
    <t>Start</t>
  </si>
  <si>
    <t>N#s</t>
  </si>
  <si>
    <t xml:space="preserve">or more advanced pilot certificate, with Multiengine and Instrument ratings, who has logged a minimum of </t>
  </si>
  <si>
    <t xml:space="preserve"> total hours, including </t>
  </si>
  <si>
    <t xml:space="preserve"> or more advanced pilot certificate, with Multiengine and Instrument ratings, who has logged a minimum of </t>
  </si>
  <si>
    <t xml:space="preserve"> hours in Turboprop aircraft, and </t>
  </si>
  <si>
    <t xml:space="preserve"> hours in the make and model to be flown.  </t>
  </si>
  <si>
    <t xml:space="preserve"> hours in multiengine aircraft, </t>
  </si>
  <si>
    <t xml:space="preserve"> hours in the make and model to be flown.  Additionally, the Pilot must be Type Rated in the Make and Model to be flown.  </t>
  </si>
  <si>
    <t xml:space="preserve"> hours in turbine rotorwing aircraft.  </t>
  </si>
  <si>
    <t xml:space="preserve"> hours in turbojet aircraft, and </t>
  </si>
  <si>
    <t xml:space="preserve"> hours in the make and model to be flown, and </t>
  </si>
  <si>
    <t xml:space="preserve"> or more advanced pilot certificate, with Instrument ratings, who has logged a minimum of </t>
  </si>
  <si>
    <t xml:space="preserve"> or more advanced pilot certificate, with Rotorwing and Instrument ratings, who has logged a minimum of </t>
  </si>
  <si>
    <t xml:space="preserve"> hours in Turboprop aircraft.</t>
  </si>
  <si>
    <t xml:space="preserve"> hours in the make and model to be flown. Additionally, the Pilot must be Type Rated in the Make and Model to be flown. </t>
  </si>
  <si>
    <t xml:space="preserve"> hours in multiengine aircraft </t>
  </si>
  <si>
    <t xml:space="preserve"> hours in the make and model to be flown. Additionally, the Pilot must be Type Rated in the Make and Model to be flown.  </t>
  </si>
  <si>
    <t xml:space="preserve"> Any Aircraft</t>
  </si>
  <si>
    <t>Pilot4</t>
  </si>
  <si>
    <t>School Options</t>
  </si>
  <si>
    <t>It is further required that all pilots, whether named or meeting an open pilot clause, must have successfully completed a manufacturer approved motion-based simulator training course specifically designed for the make and model aircraft operated within the preceding Twelve (12) months of the policy inception, and annually thereafter.</t>
  </si>
  <si>
    <t>Annual School:</t>
  </si>
  <si>
    <t>Standard</t>
  </si>
  <si>
    <t>Pilot 1 School</t>
  </si>
  <si>
    <t>Pilot 2 School</t>
  </si>
  <si>
    <t>Pilot 3 School</t>
  </si>
  <si>
    <t>Pilot 4 School</t>
  </si>
  <si>
    <t>SIM</t>
  </si>
  <si>
    <t>IA Pilot Wording</t>
  </si>
  <si>
    <t xml:space="preserve">Liability Limit Options: </t>
  </si>
  <si>
    <t>Delta between bands</t>
  </si>
  <si>
    <t>Turbine Rotorwing</t>
  </si>
  <si>
    <t>Rotorwing Piston</t>
  </si>
  <si>
    <t>Multiengine Turbine</t>
  </si>
  <si>
    <t>Single Engine Turbine</t>
  </si>
  <si>
    <t>Multiengine Piston</t>
  </si>
  <si>
    <t>Single Engine Piston</t>
  </si>
  <si>
    <t>Delta between values</t>
  </si>
  <si>
    <t>Number of bands</t>
  </si>
  <si>
    <t>End Value</t>
  </si>
  <si>
    <t>No rate change 
Above 195k</t>
  </si>
  <si>
    <t>Delta Between Rate</t>
  </si>
  <si>
    <t>Start value</t>
  </si>
  <si>
    <t>Start End Rate</t>
  </si>
  <si>
    <t>Start Base Rate</t>
  </si>
  <si>
    <t>RW-T</t>
  </si>
  <si>
    <t>RW-P</t>
  </si>
  <si>
    <t>MEL-Piston</t>
  </si>
  <si>
    <t>SEL-Piston</t>
  </si>
  <si>
    <t>ME-P</t>
  </si>
  <si>
    <t>SE-P</t>
  </si>
  <si>
    <t>Use Table:</t>
  </si>
  <si>
    <t>Dual Crew?:</t>
  </si>
  <si>
    <t>Gear type:</t>
  </si>
  <si>
    <t>Hull modifier:</t>
  </si>
  <si>
    <t>Scroll Down for Liability Limits</t>
  </si>
  <si>
    <t>Number of Seats:</t>
  </si>
  <si>
    <t>Medical Limit:</t>
  </si>
  <si>
    <t>Dual Crew Turbine:</t>
  </si>
  <si>
    <t>PB</t>
  </si>
  <si>
    <t>Liability Modifier:</t>
  </si>
  <si>
    <t>LIABILITY</t>
  </si>
  <si>
    <t>HARCO NATIONAL INSURANCE COMPANY</t>
  </si>
  <si>
    <t>QUOTE PROPOSAL FOR</t>
  </si>
  <si>
    <t>This quote expires on the Proposed Policy Term effective date unless otherwise stated in
TERMS / CONDITIONS / ADDITIONAL COMMENTS</t>
  </si>
  <si>
    <t>IAT is pleased to provide you with our quote for Aircraft Platinum Insurance. We appreciate the time and effort spent in providing us with the necessary information.  We ask that you take time to review this proposal thoroughly and to ensure the coverage selections are accurate. In the event of a loss, all terms, conditions and exclusions of the actual policy will apply. You should review the insurance policy for a complete understanding of the coverages provided; a review of this proposal is not a substitute for a complete examination of the actual insurance policy.</t>
  </si>
  <si>
    <t>Applicant Information:</t>
  </si>
  <si>
    <t>Agency:</t>
  </si>
  <si>
    <t>Producer:</t>
  </si>
  <si>
    <t>Underwriter:</t>
  </si>
  <si>
    <t>TERMS / CONDITIONS / ADDITIONAL COMMENTS</t>
  </si>
  <si>
    <r>
      <t xml:space="preserve">This proposal will expire 30 days from today for new business or at policy expiration for renewal business. We reserve the right to withdraw or amend this proposal at any time.
</t>
    </r>
    <r>
      <rPr>
        <b/>
        <sz val="10"/>
        <color theme="1"/>
        <rFont val="Arial"/>
        <family val="2"/>
      </rPr>
      <t xml:space="preserve">COVERAGE PURSUANT TO THIS QUOTE IS CONTINGENT UPON THE ACCEPTABLE RECEIPT AND REVIEW BY THE UNDERWRITER OF THE FOLLOWING INFORMATION PRIOR TO THE QUOTE EXPIRATION DATE:
</t>
    </r>
  </si>
  <si>
    <t>•  Signed and Dated Application plus any supplemental page(s)
•  Any Applicable Supplemental information</t>
  </si>
  <si>
    <t>PREMIUM SUMMARY</t>
  </si>
  <si>
    <t>Coverage Premium:</t>
  </si>
  <si>
    <t>Endorsement Premium:</t>
  </si>
  <si>
    <t>Additional Charges:</t>
  </si>
  <si>
    <t>*Premium noted above does not include any applicable taxes or fees.</t>
  </si>
  <si>
    <t>AI Wording: Minimum For AI/WOS for Signature $2,500.</t>
  </si>
  <si>
    <t>QUOTE COVERAGE DETAIL</t>
  </si>
  <si>
    <t>Not Applicable means the Insuring Agreement is not included in the coverage provided and such provision does not apply.</t>
  </si>
  <si>
    <t>AICRAFT SCHEDULE</t>
  </si>
  <si>
    <t>FAA
Reg. No.</t>
  </si>
  <si>
    <t>Hull
Coverage</t>
  </si>
  <si>
    <t>Deductible
NIM/IM*</t>
  </si>
  <si>
    <t>Liability Limit
CSL</t>
  </si>
  <si>
    <t>Medical 
Limit</t>
  </si>
  <si>
    <t>*Deductible IM Applies to: Ingestion and Mooring</t>
  </si>
  <si>
    <t>Usage</t>
  </si>
  <si>
    <t>** The insurance afforded under this Policy is only with respect to the following coverages when a limit is shown. The maximum amount the Insurer will pay for such coverage is stated below, and subject to all the terms of the Policy **</t>
  </si>
  <si>
    <t>SECTION I - LIABILITY COVERAGES</t>
  </si>
  <si>
    <t>Coverage 1</t>
  </si>
  <si>
    <t>Liability For Scheduled Aircraft</t>
  </si>
  <si>
    <t>Limit is applicable for each aircraft, unless a different limit is shown in the above Aircraft Schedule</t>
  </si>
  <si>
    <t>Limit of Liability:</t>
  </si>
  <si>
    <t>Coverage 2</t>
  </si>
  <si>
    <t>Liability For The Use Of Non-Owned Aircraft And Temporary Substitute Aircraft</t>
  </si>
  <si>
    <t>Reporting Grace Period:</t>
  </si>
  <si>
    <t>Coverage 3</t>
  </si>
  <si>
    <t>Liability For Property Damage To Non-Owned Aircraft And Temporary Substitute Aircraft</t>
  </si>
  <si>
    <t>Each Occurrence Limit:</t>
  </si>
  <si>
    <t>Coverage 4</t>
  </si>
  <si>
    <t>Liability For Charter Referral</t>
  </si>
  <si>
    <t>Coverage 5</t>
  </si>
  <si>
    <t>Passenger Voluntary Settlements For Scheduled Aircraft And Non-Owned Aircraft</t>
  </si>
  <si>
    <r>
      <t xml:space="preserve">      </t>
    </r>
    <r>
      <rPr>
        <b/>
        <sz val="9.5"/>
        <color theme="1"/>
        <rFont val="Arial"/>
        <family val="2"/>
      </rPr>
      <t xml:space="preserve"> 1</t>
    </r>
    <r>
      <rPr>
        <sz val="9.5"/>
        <color theme="1"/>
        <rFont val="Arial"/>
        <family val="2"/>
      </rPr>
      <t>. With respects to any Scheduled Aircracft or Temporary Substitute Aircraft</t>
    </r>
  </si>
  <si>
    <r>
      <rPr>
        <b/>
        <sz val="9.5"/>
        <color theme="1"/>
        <rFont val="Arial"/>
        <family val="2"/>
      </rPr>
      <t xml:space="preserve">A. </t>
    </r>
    <r>
      <rPr>
        <sz val="9.5"/>
        <color theme="1"/>
        <rFont val="Arial"/>
        <family val="2"/>
      </rPr>
      <t>Settlement Limits</t>
    </r>
  </si>
  <si>
    <t>Each Non-Crew Member Passenger:</t>
  </si>
  <si>
    <t>Each Crew Member:</t>
  </si>
  <si>
    <t>Each Occurrence</t>
  </si>
  <si>
    <r>
      <t xml:space="preserve">      </t>
    </r>
    <r>
      <rPr>
        <b/>
        <sz val="9.5"/>
        <color theme="1"/>
        <rFont val="Arial"/>
        <family val="2"/>
      </rPr>
      <t xml:space="preserve"> 2</t>
    </r>
    <r>
      <rPr>
        <sz val="9.5"/>
        <color theme="1"/>
        <rFont val="Arial"/>
        <family val="2"/>
      </rPr>
      <t>. With respect to any Non-Owned Aircraft</t>
    </r>
  </si>
  <si>
    <t xml:space="preserve">          Total all Non-Owned Aircraft Crew Members and</t>
  </si>
  <si>
    <t xml:space="preserve">          Non-Crew Member Passengers Combined:</t>
  </si>
  <si>
    <t>Each Passenger</t>
  </si>
  <si>
    <t>Consecutive Weeks</t>
  </si>
  <si>
    <r>
      <rPr>
        <b/>
        <sz val="9.5"/>
        <color theme="1"/>
        <rFont val="Arial"/>
        <family val="2"/>
      </rPr>
      <t xml:space="preserve">B. </t>
    </r>
    <r>
      <rPr>
        <sz val="9.5"/>
        <color theme="1"/>
        <rFont val="Arial"/>
        <family val="2"/>
      </rPr>
      <t>Maximum Weekly Indemnity Limit:</t>
    </r>
  </si>
  <si>
    <r>
      <t xml:space="preserve">C. </t>
    </r>
    <r>
      <rPr>
        <sz val="9.5"/>
        <color theme="1"/>
        <rFont val="Arial"/>
        <family val="2"/>
      </rPr>
      <t>Maximum Indemnity Period:</t>
    </r>
  </si>
  <si>
    <t>Coverage 6</t>
  </si>
  <si>
    <t>Coverage 7</t>
  </si>
  <si>
    <t>Liability For Use of Premises For Aviation Operations</t>
  </si>
  <si>
    <t>Liability For Fire Damage to Property</t>
  </si>
  <si>
    <t>Coverage 8</t>
  </si>
  <si>
    <t>Liability For The Operation Of An Auto While On Airport Premises</t>
  </si>
  <si>
    <t>Coverage 9</t>
  </si>
  <si>
    <t>Liability For Property Damage To Hangar And Their Contents</t>
  </si>
  <si>
    <t>Coverage 10</t>
  </si>
  <si>
    <t>Hangarkeepers Liability</t>
  </si>
  <si>
    <t>Each Aircraft:</t>
  </si>
  <si>
    <t>Each Aircraft Deductible:</t>
  </si>
  <si>
    <t>Each Occurrence Deductible:</t>
  </si>
  <si>
    <t>Coverage 11</t>
  </si>
  <si>
    <t>Garagekeepers Operations Liability</t>
  </si>
  <si>
    <t>Any One Auto Limit:</t>
  </si>
  <si>
    <t>Any One Loss Limit:</t>
  </si>
  <si>
    <t>Each Auto Deductible:</t>
  </si>
  <si>
    <t>Coverage 12</t>
  </si>
  <si>
    <t>Liability For The Operations Of Mobile Equipment</t>
  </si>
  <si>
    <t>Coverage 13</t>
  </si>
  <si>
    <t>Liability For Cargo</t>
  </si>
  <si>
    <t>Coverage 14</t>
  </si>
  <si>
    <t>Personal Effects and Baggage Expense</t>
  </si>
  <si>
    <t>Each Passenger Limit:</t>
  </si>
  <si>
    <t>Coverage 15</t>
  </si>
  <si>
    <t>Host Alcohol Liability</t>
  </si>
  <si>
    <t>Coverage 16</t>
  </si>
  <si>
    <t>Liability For Incidental Medical Malpractice</t>
  </si>
  <si>
    <t>Coverage 17</t>
  </si>
  <si>
    <t>Liability For The Sale Of Aircraft And Aircraft Products And Services</t>
  </si>
  <si>
    <t>Each Occurrence Limit and in the Aggregate Limit:</t>
  </si>
  <si>
    <t>Coverage 18</t>
  </si>
  <si>
    <t>Contractual Lability</t>
  </si>
  <si>
    <t>Coverage 19</t>
  </si>
  <si>
    <t>Personal And Advertising Injury Liability</t>
  </si>
  <si>
    <t>Each Offence &amp; Aggregate Limit:</t>
  </si>
  <si>
    <t xml:space="preserve">    Advertising Injury Liability:</t>
  </si>
  <si>
    <t>SECTION II - PHYSICAL DAMAGE COVERAGES</t>
  </si>
  <si>
    <t>Coverage 20</t>
  </si>
  <si>
    <t>Physical Damage Coverage For Scheduled Aircraft (Hull Coverage)</t>
  </si>
  <si>
    <r>
      <rPr>
        <b/>
        <sz val="9.5"/>
        <color theme="1"/>
        <rFont val="Arial"/>
        <family val="2"/>
      </rPr>
      <t>All Risk Coverage</t>
    </r>
    <r>
      <rPr>
        <sz val="9.5"/>
        <color theme="1"/>
        <rFont val="Arial"/>
        <family val="2"/>
      </rPr>
      <t>, unless otherwise noted in the Aircraft Schedule above.</t>
    </r>
  </si>
  <si>
    <t>Coverage 21</t>
  </si>
  <si>
    <t>Physical Damage Coverage For Spare Engines And Spare Parts</t>
  </si>
  <si>
    <t>Not In Motion Deductible:</t>
  </si>
  <si>
    <t>In Motion Deductible:</t>
  </si>
  <si>
    <t>Coverage 22</t>
  </si>
  <si>
    <t>Automatic Insurance For Increased Value Of Scheduled Aircraft or Spare Engine And Parts</t>
  </si>
  <si>
    <t>Maximum for Scheduled  Aircraft:</t>
  </si>
  <si>
    <t>Maximum For Spare Engines and Spare Parts:</t>
  </si>
  <si>
    <t>Coverage 23</t>
  </si>
  <si>
    <t>Physical Damage Coverage For Mechincs Tools</t>
  </si>
  <si>
    <t>Each Employee Limit:</t>
  </si>
  <si>
    <t>Each Employee/Each Occurrence</t>
  </si>
  <si>
    <t>Deductible:</t>
  </si>
  <si>
    <t>SECTION III - ADDITIONAL COVERAGES</t>
  </si>
  <si>
    <t>Coverage 24</t>
  </si>
  <si>
    <t>Additional Expense - Temporary Replacement of Aircraft Parts Rental Expense</t>
  </si>
  <si>
    <t>Each Loss Limit:</t>
  </si>
  <si>
    <t>Minimum Repair Period:</t>
  </si>
  <si>
    <t>Days</t>
  </si>
  <si>
    <t>Consecutive
Days</t>
  </si>
  <si>
    <t>Coverage 25</t>
  </si>
  <si>
    <t>Extra Expense For Renting Substitute Aircraft</t>
  </si>
  <si>
    <t>Each Day Limit:</t>
  </si>
  <si>
    <t>Maximum Coverage Period:</t>
  </si>
  <si>
    <t>Coverage 26</t>
  </si>
  <si>
    <t>Search and Rescue</t>
  </si>
  <si>
    <t>Coverage 27</t>
  </si>
  <si>
    <t>Runway Foaming And Crash Control Expenses</t>
  </si>
  <si>
    <t>Coverage 28</t>
  </si>
  <si>
    <t>Trip Interruption Expenses</t>
  </si>
  <si>
    <t>Each Passenger/Each Loss Limit:</t>
  </si>
  <si>
    <t>Coverage 30</t>
  </si>
  <si>
    <t>SECTION IV - MEDICAL EXPENSES COVERAGES</t>
  </si>
  <si>
    <t>Medical Expense For Scheduled Aircraft, Temporary Substitute Or Non-Owned Aircraft</t>
  </si>
  <si>
    <r>
      <rPr>
        <b/>
        <sz val="9.5"/>
        <color theme="1"/>
        <rFont val="Arial"/>
        <family val="2"/>
      </rPr>
      <t>A.</t>
    </r>
    <r>
      <rPr>
        <sz val="9.5"/>
        <color theme="1"/>
        <rFont val="Arial"/>
        <family val="2"/>
      </rPr>
      <t xml:space="preserve"> With respect to any Scheduled Aircraft</t>
    </r>
  </si>
  <si>
    <r>
      <rPr>
        <b/>
        <sz val="9.5"/>
        <color theme="1"/>
        <rFont val="Arial"/>
        <family val="2"/>
      </rPr>
      <t>B.</t>
    </r>
    <r>
      <rPr>
        <sz val="9.5"/>
        <color theme="1"/>
        <rFont val="Arial"/>
        <family val="2"/>
      </rPr>
      <t xml:space="preserve"> With respect to any Non-Owned Aircraft or Temporary Substitute Aircraft</t>
    </r>
  </si>
  <si>
    <t>Coverage 31</t>
  </si>
  <si>
    <t>Premises Medical Coverages</t>
  </si>
  <si>
    <t>Each Person Limit:</t>
  </si>
  <si>
    <t>Disclaimer</t>
  </si>
  <si>
    <t>The Limits provided under:</t>
  </si>
  <si>
    <r>
      <rPr>
        <sz val="9"/>
        <color theme="1"/>
        <rFont val="Aptos Narrow"/>
        <family val="2"/>
      </rPr>
      <t>•</t>
    </r>
    <r>
      <rPr>
        <sz val="9"/>
        <color theme="1"/>
        <rFont val="Arial"/>
        <family val="2"/>
      </rPr>
      <t xml:space="preserve"> Coverages 2., and 4. are part of, and not in addition to, the limit provided for Coverage 1.</t>
    </r>
  </si>
  <si>
    <r>
      <rPr>
        <sz val="9"/>
        <color theme="1"/>
        <rFont val="Aptos Narrow"/>
        <family val="2"/>
      </rPr>
      <t>•</t>
    </r>
    <r>
      <rPr>
        <sz val="9"/>
        <color theme="1"/>
        <rFont val="Arial"/>
        <family val="2"/>
      </rPr>
      <t xml:space="preserve"> Coverage 3. is part of, and not in addition to, the limit provided for Coverage 2.</t>
    </r>
  </si>
  <si>
    <r>
      <rPr>
        <sz val="9"/>
        <color theme="1"/>
        <rFont val="Aptos Narrow"/>
        <family val="2"/>
      </rPr>
      <t xml:space="preserve">• </t>
    </r>
    <r>
      <rPr>
        <sz val="9"/>
        <color theme="1"/>
        <rFont val="Arial"/>
        <family val="2"/>
      </rPr>
      <t>Coverages 5., 6., 7., 9., 13., 15., 16., 18., and 19. are part of, and not in addition to, the limit provided for Coverage 1 or Coverage 2, whichever applies to the loss</t>
    </r>
  </si>
  <si>
    <r>
      <rPr>
        <sz val="9"/>
        <color theme="1"/>
        <rFont val="Aptos Narrow"/>
        <family val="2"/>
      </rPr>
      <t>•</t>
    </r>
    <r>
      <rPr>
        <sz val="9"/>
        <color theme="1"/>
        <rFont val="Arial"/>
        <family val="2"/>
      </rPr>
      <t xml:space="preserve"> Coverages 8., 10., 11., 12., 17. and 23.are part of, and not in addition to, the limit provided for Coverage 6.</t>
    </r>
  </si>
  <si>
    <t>ADDITIONAL DETAILS</t>
  </si>
  <si>
    <t>POLICY TERRITORY: Worldwide</t>
  </si>
  <si>
    <t>PILOT INFORMATION:</t>
  </si>
  <si>
    <t>ADDITIONAL DETAILS - Cont.</t>
  </si>
  <si>
    <t>APPLICABLE COVERAGE FORMS:</t>
  </si>
  <si>
    <t>Underwriting Notes</t>
  </si>
  <si>
    <t>Reworked commission changes calculation</t>
  </si>
  <si>
    <t>Lead QS percent now is collected on the ancillary tab when the form is selected</t>
  </si>
  <si>
    <t>Platinum Coverages</t>
  </si>
  <si>
    <t>Sectioin I - Liabilities</t>
  </si>
  <si>
    <t>Deductible</t>
  </si>
  <si>
    <t>Cov. 2</t>
  </si>
  <si>
    <t xml:space="preserve">       Liabilty for use of Non-Owned Aircraft % of liabiility premium</t>
  </si>
  <si>
    <t>---------------------</t>
  </si>
  <si>
    <t>Reporting Period: # of days</t>
  </si>
  <si>
    <t>Cov. 3</t>
  </si>
  <si>
    <t xml:space="preserve">       Liability for Property Damage to Non-Owned Aircraft / Temp Aircraft</t>
  </si>
  <si>
    <t>Reporting Period # of Days</t>
  </si>
  <si>
    <t>Maximum Number of Seats</t>
  </si>
  <si>
    <t>Cov. 4</t>
  </si>
  <si>
    <t xml:space="preserve">       Liability for Charter Refeeral   % of Liability Premium</t>
  </si>
  <si>
    <t>Cov. 5</t>
  </si>
  <si>
    <t xml:space="preserve">       Passenger Voluntary Settlements for Scheduled And Non-Owned Aircraft</t>
  </si>
  <si>
    <t>PVS Type</t>
  </si>
  <si>
    <t>Crew/Pax</t>
  </si>
  <si>
    <t>Maximum Indemnity Period</t>
  </si>
  <si>
    <t>Maximum Weekly Indemnity Limit (Each Passenger)</t>
  </si>
  <si>
    <t>Cov. 6</t>
  </si>
  <si>
    <t xml:space="preserve">       Liability For Use of Premises For Aviation Operations</t>
  </si>
  <si>
    <t>Cov. 7</t>
  </si>
  <si>
    <t xml:space="preserve">       Liability For Fire Damage to Property</t>
  </si>
  <si>
    <t>Cov. 8</t>
  </si>
  <si>
    <t xml:space="preserve">       Liability For The Operation Of An Auto While On Airport Premises</t>
  </si>
  <si>
    <t>hkll</t>
  </si>
  <si>
    <t>Garage</t>
  </si>
  <si>
    <t>Cov. 9</t>
  </si>
  <si>
    <t xml:space="preserve">       Liability For Property Damage To Hangar And Their Contents</t>
  </si>
  <si>
    <t>Cov. 10</t>
  </si>
  <si>
    <t>Each Aircraft Deductible</t>
  </si>
  <si>
    <t>------------------------------------</t>
  </si>
  <si>
    <t>Each Occurrence Deductible</t>
  </si>
  <si>
    <t>-----------------------------------</t>
  </si>
  <si>
    <t>Cov. 11</t>
  </si>
  <si>
    <t>Each Auto</t>
  </si>
  <si>
    <t>Cov. 12</t>
  </si>
  <si>
    <t xml:space="preserve">       Liability For The Operations Of Mobile Equipment</t>
  </si>
  <si>
    <t>Cov. 13</t>
  </si>
  <si>
    <t xml:space="preserve">       Liability For Cargo</t>
  </si>
  <si>
    <t>Cov. 14</t>
  </si>
  <si>
    <t xml:space="preserve">       Personal Effects and Baggage Expense</t>
  </si>
  <si>
    <t>Cargo</t>
  </si>
  <si>
    <t>Personal Affect/Bags</t>
  </si>
  <si>
    <t>Cov. 15</t>
  </si>
  <si>
    <t xml:space="preserve">       Host Liquor / Alcohol Liability</t>
  </si>
  <si>
    <t>Cov. 16</t>
  </si>
  <si>
    <t xml:space="preserve">       Liability For Incidental Medical Malpractice</t>
  </si>
  <si>
    <t>Cov. 17</t>
  </si>
  <si>
    <t xml:space="preserve">       Liability For The Sale Of Aircraft And Aircraft Products And Services</t>
  </si>
  <si>
    <t>Cov. 18</t>
  </si>
  <si>
    <t xml:space="preserve">       Contractual Liability</t>
  </si>
  <si>
    <t>Cov. 19</t>
  </si>
  <si>
    <t xml:space="preserve">       Personal And Advertising Injury Liability</t>
  </si>
  <si>
    <t>Deduct</t>
  </si>
  <si>
    <t>Including Personal Injury?</t>
  </si>
  <si>
    <t>Cov. 21</t>
  </si>
  <si>
    <t>Cov. 22</t>
  </si>
  <si>
    <t>Cov. 23</t>
  </si>
  <si>
    <t>Cov. 24</t>
  </si>
  <si>
    <t>Cov. 25</t>
  </si>
  <si>
    <t xml:space="preserve">       Liability For Garagekeepers                                                                                                  Each Occurrence</t>
  </si>
  <si>
    <t xml:space="preserve">       Liability For Hangarkeepers                                                                                                  Each Occurrence</t>
  </si>
  <si>
    <t xml:space="preserve">       Physical Damage Coverage For Spare Engines And Spare Parts                                             Each Occurrence</t>
  </si>
  <si>
    <t xml:space="preserve">       Automatic Insurance For Increased Value Of Scheduled Aircraft or Spare Engine And Parts                   Max A/C</t>
  </si>
  <si>
    <t>Max Spare Engine/Parts</t>
  </si>
  <si>
    <t>Mechanics Tools</t>
  </si>
  <si>
    <t>ded</t>
  </si>
  <si>
    <t xml:space="preserve">      Physical Damage Coverage For Mechincs Tools                                                                       Each Occurence</t>
  </si>
  <si>
    <t>Each Employee</t>
  </si>
  <si>
    <t>Minimum Repair Days</t>
  </si>
  <si>
    <t>Maximum Consecutive Days</t>
  </si>
  <si>
    <t>Each Day Limit</t>
  </si>
  <si>
    <t>Maximum Coverage Period</t>
  </si>
  <si>
    <t>Minumum Repair Days</t>
  </si>
  <si>
    <t>Cov. 26</t>
  </si>
  <si>
    <t xml:space="preserve">       Search and Rescue                                                                                                               Each Loss Limit</t>
  </si>
  <si>
    <t xml:space="preserve">       Extra Expense For Renting Substitute Aircraft                                                                Each Occurrence Limit</t>
  </si>
  <si>
    <t xml:space="preserve">      Additional Expense - Temporary Replacement of Aircraft Parts Rental Expense                           Each Loss Limit</t>
  </si>
  <si>
    <t>Cov. 27</t>
  </si>
  <si>
    <t>Cov. 28</t>
  </si>
  <si>
    <t>Cov. 29</t>
  </si>
  <si>
    <t xml:space="preserve">       Runway Foaming And Crash Control Expenses                                                                        Each Loss Limit</t>
  </si>
  <si>
    <t xml:space="preserve">       Trip Interruption Expenses                                                                             Each Passenger/Each Loss Limit</t>
  </si>
  <si>
    <t>Search and Rescur</t>
  </si>
  <si>
    <t xml:space="preserve">       Medical Expense For Scheduled Aircraft, Temporary Substitute Or Non-Owned Aircraft              Each Occurence</t>
  </si>
  <si>
    <t>Cov. 30</t>
  </si>
  <si>
    <t>Coverage 29</t>
  </si>
  <si>
    <t xml:space="preserve">Automatic Insurance For Newly Acquired Aircraft </t>
  </si>
  <si>
    <t>Maximum Physical Damage Limit:</t>
  </si>
  <si>
    <t>Cov. 31</t>
  </si>
  <si>
    <t xml:space="preserve">       Automatic Insurance For Newly Acquired Aircraft                                            Maximum Physical Damage Limit</t>
  </si>
  <si>
    <t xml:space="preserve">       Premises Medical                                                                                                                  Each Occurence</t>
  </si>
  <si>
    <t xml:space="preserve">Each Person </t>
  </si>
  <si>
    <t xml:space="preserve">Included
</t>
  </si>
  <si>
    <t>Insured:</t>
  </si>
  <si>
    <t>Agent</t>
  </si>
  <si>
    <t>Policy Period:</t>
  </si>
  <si>
    <t>Coverage Territory:</t>
  </si>
  <si>
    <t>Company:</t>
  </si>
  <si>
    <t>Product:</t>
  </si>
  <si>
    <t>Quote is valid for 30 days from issuance or until policy expiration whichever comes first.</t>
  </si>
  <si>
    <t>AIRCRAFT PREMIUM SUMMARY</t>
  </si>
  <si>
    <t>Reg #</t>
  </si>
  <si>
    <t>Make &amp; Model</t>
  </si>
  <si>
    <t>Seats Crew/Pass</t>
  </si>
  <si>
    <t>Hull Limit</t>
  </si>
  <si>
    <t>War Hull Prem</t>
  </si>
  <si>
    <t>Liability Prem</t>
  </si>
  <si>
    <t>War Liability Premium</t>
  </si>
  <si>
    <t>MedPay Premium</t>
  </si>
  <si>
    <t>PVS Premium</t>
  </si>
  <si>
    <t>Total Aircraft Premium</t>
  </si>
  <si>
    <t>Agency</t>
  </si>
  <si>
    <t>Wordwide</t>
  </si>
  <si>
    <t>Harco National Insurance Co.</t>
  </si>
  <si>
    <t>Platinum Policy Form</t>
  </si>
  <si>
    <t>PVS PLAT</t>
  </si>
  <si>
    <t>Totals</t>
  </si>
  <si>
    <t>Coverage Selected</t>
  </si>
  <si>
    <t>Medical Payments</t>
  </si>
  <si>
    <t>Endorsements Premium</t>
  </si>
  <si>
    <t>See following pages for more detail on the coverages, limits of insurance and Pilot Information conditions.</t>
  </si>
  <si>
    <t>Premiums do not include any applicable state and/or municipal taxes.</t>
  </si>
  <si>
    <t xml:space="preserve">It is understood that we have not bound coverage at this time.  The insurance quote is based upon the information provided and is subject to any new underwriting information.  </t>
  </si>
  <si>
    <t>Total Policy Premium</t>
  </si>
  <si>
    <t>TRIA Coverage</t>
  </si>
  <si>
    <t>War Liab w/o Hull - Yes
War Hull w/o Liability - No</t>
  </si>
  <si>
    <t/>
  </si>
  <si>
    <t>Total Additional Hull Coverages</t>
  </si>
  <si>
    <t>Total Additional Liability Coverages:</t>
  </si>
  <si>
    <t>Additional Liability Coverages Premium</t>
  </si>
  <si>
    <t>Additional Physical Damage Premium</t>
  </si>
  <si>
    <t>AVP 00 01</t>
  </si>
  <si>
    <t>AVP 02 01</t>
  </si>
  <si>
    <t>AVP 02 02</t>
  </si>
  <si>
    <t>AVP 02 03</t>
  </si>
  <si>
    <t>AVP 02 04</t>
  </si>
  <si>
    <t>AVP 02 05</t>
  </si>
  <si>
    <t>AVP 02 06</t>
  </si>
  <si>
    <t>AVP 02 07</t>
  </si>
  <si>
    <t>AVP 02 08</t>
  </si>
  <si>
    <t>AVP 02 09</t>
  </si>
  <si>
    <t>AVP 02 10</t>
  </si>
  <si>
    <t>AVP 02 11</t>
  </si>
  <si>
    <t>AVP 02 12</t>
  </si>
  <si>
    <t>AVP 02 13</t>
  </si>
  <si>
    <t>AVP 02 14</t>
  </si>
  <si>
    <t>AVP 02 16</t>
  </si>
  <si>
    <t>AVP 02 17</t>
  </si>
  <si>
    <t>AVP 02 18</t>
  </si>
  <si>
    <t>AVP 02 20</t>
  </si>
  <si>
    <t>AVP 02 25</t>
  </si>
  <si>
    <t>AVP 02 27</t>
  </si>
  <si>
    <t>AVP 02 28</t>
  </si>
  <si>
    <t>AVP 02 29</t>
  </si>
  <si>
    <t>AVP 02 30</t>
  </si>
  <si>
    <t>AVP 02 31</t>
  </si>
  <si>
    <t>AVP 02 32</t>
  </si>
  <si>
    <t>AVP 02 33</t>
  </si>
  <si>
    <t>AVP 02 34</t>
  </si>
  <si>
    <t>AVP 02 35</t>
  </si>
  <si>
    <t>AVP 02 36</t>
  </si>
  <si>
    <t>AVP 02 37</t>
  </si>
  <si>
    <t>AVP 02 39</t>
  </si>
  <si>
    <t>AIRCRAFT PLATINUM POLICY DECLARATIONS</t>
  </si>
  <si>
    <t>AIRCRAFT PLATINUM POLICY</t>
  </si>
  <si>
    <t>SPECIFIED TRIP ENDORSEMENT</t>
  </si>
  <si>
    <t xml:space="preserve">ADDITIONAL INSURED WITH LIMIT OF LIABILITY ENDORSEMENT </t>
  </si>
  <si>
    <t>AIRCRAFT ENGINE COVERAGE EXTENSION - PRIMARY BY CONTRACT ENDORSEMENT</t>
  </si>
  <si>
    <t xml:space="preserve">AMENDMENT OF DECLARATIONS ENDORSEMENT </t>
  </si>
  <si>
    <t>WAR EXTENSION ENDORSEMENT - AVIATION LIMITATION OF LIABILITIY</t>
  </si>
  <si>
    <t>WAR EXTENSION ENDORSEMENT - AVIATION LIABILITY (LIMITS FOR OPERATIONS WITHIN THE EUROPEAN UNION OR OTHER NAMED COUNTRIES)</t>
  </si>
  <si>
    <t>CONTRACTUAL LIABILITY ENDORSEMENT</t>
  </si>
  <si>
    <t>WAR, HI-JACKING, EXTORTION AND OTHER PERILS EXTENDED PHYSICAL DAMAGE COVERAGE ENDORSEMENT</t>
  </si>
  <si>
    <t>WAR, HI-JACKING, EXTORTION AND OTHER PERILS EXTENDED PHYSICAL DAMAGE COVERAGE (LIMITED CHEMICAL, BIOLOGICAL OR BIOLOGICAL MATERIALS) ENDORSEMENT</t>
  </si>
  <si>
    <t>BROAD WAR EXTENSION ENDORSEMENT - AVIATION LIABILITIES</t>
  </si>
  <si>
    <t>EXPANDED DEFINITION OF INSURED ENDORSEMENT</t>
  </si>
  <si>
    <t>HURRICANE AND OTHER NATURAL DISASTER PROTECTION COVERAGE ENDORSEMENT</t>
  </si>
  <si>
    <t>HURRICANE PROTECTION COVERAGE ENDORSEMENT</t>
  </si>
  <si>
    <t>LAY-UP CREDIT ENDORSEMENT - SCHEDULED AIRCRAFT</t>
  </si>
  <si>
    <t>LESSOR ENDORSEMENT</t>
  </si>
  <si>
    <t>LIABILITY FOR THE USE OF NON-OWNED AIRCRAFT FOR AERIAL APPLICATION ENDORSEMENT</t>
  </si>
  <si>
    <t>LOSS PAYABLE ENDORSEMENT</t>
  </si>
  <si>
    <t>MANAGED AIRCRAFT ENDORSEMENT</t>
  </si>
  <si>
    <t>NON-AVIATION LIABILITY CLAUSE</t>
  </si>
  <si>
    <t>OVERHEAD AND SUPERVISION AMENDMENT ENDORSEMENT</t>
  </si>
  <si>
    <t>PHYSICAL DAMAGE COVERAGE AMENDED NOT IN MOTION ENDORSEMENT</t>
  </si>
  <si>
    <t>PHYSICAL DAMAGE COVERAGE FOR GROUND SUPPORT EQUIPMENT ENDORSEMENT (REPLACEMENT COST)</t>
  </si>
  <si>
    <t xml:space="preserve">PHYSICAL DAMAGE COVERAGE FOR GROUND SUPPORT EQUIPMENT ENDORSEMENT </t>
  </si>
  <si>
    <t>PILOT CLAUSE ENDORSEMENT</t>
  </si>
  <si>
    <t>PRODUCTS-COMPLETED OPERATIONS LIABILITY FOR LEASED OR MANAGED AIRCRAFT</t>
  </si>
  <si>
    <t>PROFESSIONAL PILOT REQUIREMENT DELETION ENDORSEMENT</t>
  </si>
  <si>
    <t>PURPOSE OF USE EXCLUSION FOR MEDIA RELATED ACTIVITIES ENDORSEMENT</t>
  </si>
  <si>
    <t>SANCTIONS &amp; EMBARGO CLAUSE (AVN111) ENDORSEMENT</t>
  </si>
  <si>
    <t xml:space="preserve">SEARCH AND RESCUE AMENDED - WRECKAGE REMOVAL ENDORSEMENT </t>
  </si>
  <si>
    <t>SPECIAL EQUIPMENT ENDORSEMENT</t>
  </si>
  <si>
    <t>TERRITORIAL EXCLUSION ENDORSEMENT</t>
  </si>
  <si>
    <t>LIENHOLDER'S INTEREST ENDORSEMENT</t>
  </si>
  <si>
    <t>FINANCED PREMIUM ENDORSEMENT</t>
  </si>
  <si>
    <t>AV 00 23</t>
  </si>
  <si>
    <t>ADDITIONAL INSURED- LIENHOLDER ENDORSEMENT</t>
  </si>
  <si>
    <t>AV 00 24</t>
  </si>
  <si>
    <t>AV 00 25</t>
  </si>
  <si>
    <t>ADDITIONAL INSURED - SCHEDULED ORGANIZATION(S) OR PERSON(S) ENDORSEMENT</t>
  </si>
  <si>
    <t>ADDITIONAL INSURED BLANKET (WRITTEN CONTRACT) ENDORSEMENT</t>
  </si>
  <si>
    <t>AIRCRAFT REPORTING FORM PROVISION - SAFETY DEPOSIT</t>
  </si>
  <si>
    <t>AV 00 30</t>
  </si>
  <si>
    <t xml:space="preserve">CRISIS RESPONSE COVERAGE EXTENSION ENDORSEMENT </t>
  </si>
  <si>
    <t>AV 00 32</t>
  </si>
  <si>
    <t>DIMINUTION IN VALUE COVERAGE ENDORSEMENT</t>
  </si>
  <si>
    <t>AV 00 33</t>
  </si>
  <si>
    <t>AV 00 34</t>
  </si>
  <si>
    <t>AV 00 35</t>
  </si>
  <si>
    <t>AV 00 36</t>
  </si>
  <si>
    <t>AV 00 37</t>
  </si>
  <si>
    <t>AV 00 38</t>
  </si>
  <si>
    <t>AV 00 39</t>
  </si>
  <si>
    <t>DISAPPEARANCE AMENDED (NO. OF DAYS) ENDORSEMENT</t>
  </si>
  <si>
    <t>EXTENDED NOTICE OF CANCELLATION ENDORSEMENT</t>
  </si>
  <si>
    <t xml:space="preserve">FAMILY ASSISTANCE EXPENSES ENDORSEMENT </t>
  </si>
  <si>
    <t xml:space="preserve">FINANCE / LEASE CONTRACT ENDORSEMENT </t>
  </si>
  <si>
    <t xml:space="preserve">GOOD EXPERIENCE RETURN PREMIUM ENDORSEMENT </t>
  </si>
  <si>
    <t>HOLD HARMLESS CLAUSE ENDORSEMENT</t>
  </si>
  <si>
    <t xml:space="preserve">KNOWLEDGE OF OCCURRENCE AND FAILURE TO REPORT ENDORSEMENT </t>
  </si>
  <si>
    <t>AV 00 42</t>
  </si>
  <si>
    <t>AV 00 43</t>
  </si>
  <si>
    <t>AV 00 44</t>
  </si>
  <si>
    <t>LOSS PAYEE – MANUFACTURER ENDORSEMENT</t>
  </si>
  <si>
    <t xml:space="preserve">MANAGEMENT FEE REIMBURSEMENT EXPENSE ENDORSEMENT </t>
  </si>
  <si>
    <t>MULTIPLE YEAR POLICY ENDORSEMENT</t>
  </si>
  <si>
    <t>AV 00 46</t>
  </si>
  <si>
    <t>AV 00 47</t>
  </si>
  <si>
    <t>AV 00 48</t>
  </si>
  <si>
    <t>AV 00 49</t>
  </si>
  <si>
    <t>AV 00 50</t>
  </si>
  <si>
    <t>AV 00 52</t>
  </si>
  <si>
    <t>NO CLAIMS BONUS ENDORSEMENT</t>
  </si>
  <si>
    <t>PROFIT COMMISSION CLAUSE ENDORSEMENT</t>
  </si>
  <si>
    <t>SPORTS TEAM EXCLUSION ENDORSEMENT</t>
  </si>
  <si>
    <t>WAIVER OF SUBROGATION ENDORSEMENT</t>
  </si>
  <si>
    <t>WAIVER OF SUBROGATION ENDORSEMENT (AUTOMATIC)</t>
  </si>
  <si>
    <t>NON-STACKING OF LIMITS ENDORSEMENT</t>
  </si>
  <si>
    <t>AV 00 54</t>
  </si>
  <si>
    <t>NON-STACKING OF LIMITS AFFILIATED ENTITY ENDORSEMENT</t>
  </si>
  <si>
    <t>AVA 01 18</t>
  </si>
  <si>
    <t>AVA 01 32</t>
  </si>
  <si>
    <t>AIR AMBULANCE CLAUSE</t>
  </si>
  <si>
    <t>AIRCRAFT REPORTING FORM PROVISION</t>
  </si>
  <si>
    <t>AIRCRAFT REPORTING FORM PROVISION - FLAT RATE</t>
  </si>
  <si>
    <t>QUOTA SHARE ENDORSEMENT</t>
  </si>
  <si>
    <t>AV 00 03</t>
  </si>
  <si>
    <t>FORMS SCHEDULE</t>
  </si>
  <si>
    <t>MINIMUM EARNED PREMIUM ENDORSEMENT</t>
  </si>
  <si>
    <t>Platinum Endorsement/Ancillary Coverages</t>
  </si>
  <si>
    <t>Form Selection:</t>
  </si>
  <si>
    <t>Cov 1.</t>
  </si>
  <si>
    <t>75000</t>
  </si>
  <si>
    <t>25000</t>
  </si>
  <si>
    <t>50000</t>
  </si>
  <si>
    <t>BISWAJIT</t>
  </si>
  <si>
    <t>test</t>
  </si>
  <si>
    <t>test1</t>
  </si>
  <si>
    <t>test2</t>
  </si>
  <si>
    <t>Reporter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</si>
</sst>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General"/>
    <numFmt numFmtId="165" formatCode="[$$-409]#,##0.00;[Red]&quot;-&quot;[$$-409]#,##0.00"/>
    <numFmt numFmtId="166" formatCode="&quot;$&quot;#,##0"/>
    <numFmt numFmtId="167" formatCode="m/d/yyyy;@"/>
    <numFmt numFmtId="168" formatCode="0.000%"/>
    <numFmt numFmtId="169" formatCode="[$$-409]#,##0_);\([$$-409]#,##0\)"/>
    <numFmt numFmtId="170" formatCode="_(&quot;$&quot;* #,##0_);_(&quot;$&quot;* \(#,##0\);_(&quot;$&quot;* &quot;-&quot;??_);_(@_)"/>
    <numFmt numFmtId="171" formatCode="00000"/>
    <numFmt numFmtId="172" formatCode="0.00000"/>
    <numFmt numFmtId="173" formatCode="0.0%"/>
    <numFmt numFmtId="174" formatCode="&quot;$&quot;#,##0.0000"/>
    <numFmt numFmtId="175" formatCode="&quot;$&quot;#,##0.00"/>
    <numFmt numFmtId="176" formatCode="0.0000%"/>
    <numFmt numFmtId="177" formatCode="#,##0.000"/>
    <numFmt numFmtId="178" formatCode="_(* #,##0_);_(* \(#,##0\);_(* &quot;-&quot;??_);_(@_)"/>
    <numFmt numFmtId="179" formatCode="_(&quot;$&quot;* #,##0.000_);_(&quot;$&quot;* \(#,##0.000\);_(&quot;$&quot;* &quot;-&quot;??_);_(@_)"/>
    <numFmt numFmtId="180" formatCode="_(&quot;$&quot;* #,##0.0000_);_(&quot;$&quot;* \(#,##0.0000\);_(&quot;$&quot;* &quot;-&quot;??_);_(@_)"/>
    <numFmt numFmtId="181" formatCode="\$#,##0_);[Red]&quot;($&quot;#,##0\)"/>
    <numFmt numFmtId="182" formatCode="0.000000%"/>
  </numFmts>
  <fonts count="12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MS Sans Serif"/>
    </font>
    <font>
      <b/>
      <i/>
      <sz val="16"/>
      <color theme="1"/>
      <name val="Arial"/>
      <family val="2"/>
    </font>
    <font>
      <b/>
      <i/>
      <u/>
      <sz val="11"/>
      <color theme="1"/>
      <name val="Arial"/>
      <family val="2"/>
    </font>
    <font>
      <sz val="11"/>
      <color theme="1"/>
      <name val="Arial"/>
      <family val="2"/>
    </font>
    <font>
      <b/>
      <sz val="11"/>
      <color theme="1"/>
      <name val="Arial"/>
      <family val="2"/>
    </font>
    <font>
      <sz val="10"/>
      <name val="Arial"/>
      <family val="2"/>
    </font>
    <font>
      <b/>
      <sz val="10"/>
      <name val="Arial"/>
      <family val="2"/>
    </font>
    <font>
      <sz val="10"/>
      <color indexed="55"/>
      <name val="Arial"/>
      <family val="2"/>
    </font>
    <font>
      <b/>
      <sz val="12"/>
      <name val="Arial"/>
      <family val="2"/>
    </font>
    <font>
      <b/>
      <sz val="11"/>
      <name val="Arial"/>
      <family val="2"/>
    </font>
    <font>
      <b/>
      <sz val="10"/>
      <color indexed="23"/>
      <name val="Arial"/>
      <family val="2"/>
    </font>
    <font>
      <sz val="10"/>
      <color indexed="23"/>
      <name val="Arial"/>
      <family val="2"/>
    </font>
    <font>
      <sz val="11"/>
      <color theme="8" tint="0.59996337778862885"/>
      <name val="Arial"/>
      <family val="2"/>
    </font>
    <font>
      <sz val="11"/>
      <color theme="0" tint="-0.24994659260841701"/>
      <name val="Arial"/>
      <family val="2"/>
    </font>
    <font>
      <sz val="10"/>
      <color theme="1"/>
      <name val="Arial"/>
      <family val="2"/>
    </font>
    <font>
      <b/>
      <sz val="11"/>
      <color theme="1"/>
      <name val="Calibri"/>
      <family val="2"/>
      <scheme val="minor"/>
    </font>
    <font>
      <sz val="11"/>
      <name val="Arial"/>
      <family val="2"/>
    </font>
    <font>
      <sz val="8"/>
      <color theme="1"/>
      <name val="Arial"/>
      <family val="2"/>
    </font>
    <font>
      <sz val="11"/>
      <color theme="7" tint="0.39994506668294322"/>
      <name val="Arial"/>
      <family val="2"/>
    </font>
    <font>
      <sz val="9"/>
      <color theme="1"/>
      <name val="Arial"/>
      <family val="2"/>
    </font>
    <font>
      <b/>
      <sz val="10"/>
      <color theme="1"/>
      <name val="Arial"/>
      <family val="2"/>
    </font>
    <font>
      <sz val="12"/>
      <color theme="1"/>
      <name val="Times New Roman"/>
      <family val="1"/>
    </font>
    <font>
      <b/>
      <sz val="12"/>
      <color theme="1"/>
      <name val="Times New Roman"/>
      <family val="1"/>
    </font>
    <font>
      <b/>
      <sz val="20"/>
      <color theme="1"/>
      <name val="Calibri"/>
      <family val="2"/>
      <scheme val="minor"/>
    </font>
    <font>
      <b/>
      <sz val="14"/>
      <color theme="1"/>
      <name val="Calibri"/>
      <family val="2"/>
      <scheme val="minor"/>
    </font>
    <font>
      <b/>
      <sz val="12"/>
      <color theme="1"/>
      <name val="Calibri"/>
      <family val="2"/>
      <scheme val="minor"/>
    </font>
    <font>
      <b/>
      <sz val="22"/>
      <color theme="1"/>
      <name val="Arial"/>
      <family val="2"/>
    </font>
    <font>
      <sz val="11"/>
      <color rgb="FFFF0000"/>
      <name val="Arial"/>
      <family val="2"/>
    </font>
    <font>
      <b/>
      <sz val="11"/>
      <color theme="1"/>
      <name val="Aerial"/>
    </font>
    <font>
      <sz val="10"/>
      <color rgb="FF000000"/>
      <name val="Times New Roman"/>
      <family val="1"/>
    </font>
    <font>
      <b/>
      <sz val="18"/>
      <color theme="1"/>
      <name val="Arial"/>
      <family val="2"/>
    </font>
    <font>
      <b/>
      <sz val="16"/>
      <color theme="1"/>
      <name val="Calibri"/>
      <family val="2"/>
      <scheme val="minor"/>
    </font>
    <font>
      <sz val="11"/>
      <color rgb="FFFF0000"/>
      <name val="Calibri"/>
      <family val="2"/>
      <scheme val="minor"/>
    </font>
    <font>
      <sz val="11"/>
      <color theme="0"/>
      <name val="Calibri"/>
      <family val="2"/>
      <scheme val="minor"/>
    </font>
    <font>
      <sz val="10"/>
      <color theme="1"/>
      <name val="Calibri"/>
      <family val="2"/>
      <scheme val="minor"/>
    </font>
    <font>
      <sz val="11"/>
      <color theme="0" tint="-0.34998626667073579"/>
      <name val="Calibri"/>
      <family val="2"/>
      <scheme val="minor"/>
    </font>
    <font>
      <sz val="8"/>
      <name val="Arial"/>
      <family val="2"/>
    </font>
    <font>
      <sz val="11"/>
      <color theme="1"/>
      <name val="Times New Roman"/>
      <family val="1"/>
    </font>
    <font>
      <b/>
      <sz val="12"/>
      <color theme="0"/>
      <name val="Calibri"/>
      <family val="2"/>
      <scheme val="minor"/>
    </font>
    <font>
      <b/>
      <sz val="11"/>
      <color theme="1"/>
      <name val="Times New Roman"/>
      <family val="1"/>
    </font>
    <font>
      <sz val="8"/>
      <color theme="1"/>
      <name val="Calibri"/>
      <family val="2"/>
      <scheme val="minor"/>
    </font>
    <font>
      <b/>
      <sz val="11"/>
      <color theme="1"/>
      <name val="Myriadpro"/>
    </font>
    <font>
      <sz val="9"/>
      <color theme="1"/>
      <name val="Calibri"/>
      <family val="2"/>
      <scheme val="minor"/>
    </font>
    <font>
      <u/>
      <sz val="11"/>
      <color theme="10"/>
      <name val="Calibri"/>
      <family val="2"/>
      <scheme val="minor"/>
    </font>
    <font>
      <sz val="10"/>
      <color theme="1"/>
      <name val="Times New Roman"/>
      <family val="1"/>
    </font>
    <font>
      <b/>
      <sz val="8"/>
      <color theme="1"/>
      <name val="Times New Roman"/>
      <family val="1"/>
    </font>
    <font>
      <b/>
      <sz val="9"/>
      <color theme="1"/>
      <name val="Times New Roman"/>
      <family val="1"/>
    </font>
    <font>
      <b/>
      <sz val="12"/>
      <color theme="1"/>
      <name val="Myriad"/>
    </font>
    <font>
      <sz val="9"/>
      <color indexed="81"/>
      <name val="Tahoma"/>
      <family val="2"/>
    </font>
    <font>
      <b/>
      <sz val="9"/>
      <color indexed="81"/>
      <name val="Tahoma"/>
      <family val="2"/>
    </font>
    <font>
      <b/>
      <sz val="14"/>
      <color theme="1"/>
      <name val="Aerial"/>
    </font>
    <font>
      <u/>
      <sz val="11"/>
      <color theme="1"/>
      <name val="Arial"/>
      <family val="2"/>
    </font>
    <font>
      <sz val="7"/>
      <color theme="1"/>
      <name val="Arial"/>
      <family val="2"/>
    </font>
    <font>
      <b/>
      <sz val="9"/>
      <name val="Arial"/>
      <family val="2"/>
    </font>
    <font>
      <sz val="11"/>
      <color theme="0"/>
      <name val="Arial"/>
      <family val="2"/>
    </font>
    <font>
      <sz val="11"/>
      <color theme="0"/>
      <name val="Times New Roman"/>
      <family val="1"/>
    </font>
    <font>
      <sz val="8"/>
      <color theme="0"/>
      <name val="Arial"/>
      <family val="2"/>
    </font>
    <font>
      <sz val="11"/>
      <color theme="8" tint="0.59999389629810485"/>
      <name val="Arial"/>
      <family val="2"/>
    </font>
    <font>
      <sz val="11"/>
      <color theme="8" tint="0.39997558519241921"/>
      <name val="Arial"/>
      <family val="2"/>
    </font>
    <font>
      <b/>
      <sz val="12"/>
      <color theme="1"/>
      <name val="Arial"/>
      <family val="2"/>
    </font>
    <font>
      <b/>
      <u/>
      <sz val="11"/>
      <color theme="1"/>
      <name val="Calibri"/>
      <family val="2"/>
    </font>
    <font>
      <sz val="11"/>
      <color theme="1"/>
      <name val="Calibri"/>
      <family val="2"/>
    </font>
    <font>
      <b/>
      <sz val="20"/>
      <color theme="1"/>
      <name val="Arial"/>
      <family val="2"/>
    </font>
    <font>
      <sz val="12"/>
      <color theme="1"/>
      <name val="Arial"/>
      <family val="2"/>
    </font>
    <font>
      <b/>
      <sz val="14"/>
      <color rgb="FFFF0000"/>
      <name val="Arial"/>
      <family val="2"/>
    </font>
    <font>
      <b/>
      <sz val="14"/>
      <name val="Arial"/>
      <family val="2"/>
    </font>
    <font>
      <sz val="12"/>
      <name val="Arial"/>
      <family val="2"/>
    </font>
    <font>
      <b/>
      <sz val="14"/>
      <color theme="1"/>
      <name val="Arial"/>
      <family val="2"/>
    </font>
    <font>
      <sz val="14"/>
      <color theme="1"/>
      <name val="Arial"/>
      <family val="2"/>
    </font>
    <font>
      <b/>
      <sz val="11"/>
      <color rgb="FFFF0000"/>
      <name val="Arial"/>
      <family val="2"/>
    </font>
    <font>
      <b/>
      <sz val="16"/>
      <color theme="1"/>
      <name val="Arial"/>
      <family val="2"/>
    </font>
    <font>
      <u/>
      <sz val="11"/>
      <color rgb="FF002060"/>
      <name val="Calibri"/>
      <family val="2"/>
      <scheme val="minor"/>
    </font>
    <font>
      <b/>
      <sz val="9"/>
      <color theme="1"/>
      <name val="Calibri"/>
      <family val="2"/>
      <scheme val="minor"/>
    </font>
    <font>
      <b/>
      <sz val="10"/>
      <color theme="1"/>
      <name val="Calibri"/>
      <family val="2"/>
      <scheme val="minor"/>
    </font>
    <font>
      <b/>
      <sz val="12"/>
      <color theme="1"/>
      <name val="Aerial"/>
    </font>
    <font>
      <b/>
      <sz val="14"/>
      <color theme="1"/>
      <name val="Ariel"/>
    </font>
    <font>
      <b/>
      <sz val="12"/>
      <color theme="1"/>
      <name val="Ariel"/>
    </font>
    <font>
      <b/>
      <sz val="11"/>
      <color theme="1"/>
      <name val="Ariel"/>
    </font>
    <font>
      <b/>
      <sz val="11"/>
      <color rgb="FFFF0000"/>
      <name val="Calibri"/>
      <family val="2"/>
      <scheme val="minor"/>
    </font>
    <font>
      <b/>
      <sz val="11"/>
      <color theme="0"/>
      <name val="Arial"/>
      <family val="2"/>
    </font>
    <font>
      <u val="singleAccounting"/>
      <sz val="11"/>
      <color theme="1"/>
      <name val="Calibri"/>
      <family val="2"/>
      <scheme val="minor"/>
    </font>
    <font>
      <sz val="12"/>
      <color theme="1"/>
      <name val="Aptos"/>
      <family val="2"/>
    </font>
    <font>
      <i/>
      <sz val="9"/>
      <color theme="1"/>
      <name val="Arial"/>
      <family val="2"/>
    </font>
    <font>
      <b/>
      <sz val="9.5"/>
      <color theme="1"/>
      <name val="Arial"/>
      <family val="2"/>
    </font>
    <font>
      <sz val="9.5"/>
      <color theme="1"/>
      <name val="Arial"/>
      <family val="2"/>
    </font>
    <font>
      <u/>
      <sz val="9"/>
      <color theme="1"/>
      <name val="Arial"/>
      <family val="2"/>
    </font>
    <font>
      <sz val="9"/>
      <color theme="1"/>
      <name val="Aptos Narrow"/>
      <family val="2"/>
    </font>
    <font>
      <u/>
      <sz val="10"/>
      <color theme="1"/>
      <name val="Arial"/>
      <family val="2"/>
    </font>
    <font>
      <i/>
      <sz val="12"/>
      <color indexed="10"/>
      <name val="Arial"/>
      <family val="2"/>
    </font>
    <font>
      <sz val="9"/>
      <name val="Arial"/>
      <family val="2"/>
    </font>
    <font>
      <i/>
      <sz val="11"/>
      <color indexed="10"/>
      <name val="Arial"/>
      <family val="2"/>
    </font>
    <font>
      <i/>
      <sz val="9"/>
      <color indexed="10"/>
      <name val="Arial"/>
      <family val="2"/>
    </font>
    <font>
      <b/>
      <i/>
      <sz val="11"/>
      <name val="Arial"/>
      <family val="2"/>
    </font>
    <font>
      <sz val="11"/>
      <color indexed="10"/>
      <name val="Arial"/>
      <family val="2"/>
    </font>
    <font>
      <i/>
      <sz val="10"/>
      <color indexed="10"/>
      <name val="Arial"/>
      <family val="2"/>
    </font>
    <font>
      <b/>
      <i/>
      <sz val="14"/>
      <color indexed="10"/>
      <name val="Arial"/>
      <family val="2"/>
    </font>
    <font>
      <b/>
      <sz val="16"/>
      <name val="Arial"/>
      <family val="2"/>
    </font>
    <font>
      <b/>
      <sz val="16"/>
      <color indexed="10"/>
      <name val="Arial"/>
      <family val="2"/>
    </font>
    <font>
      <sz val="8"/>
      <color indexed="8"/>
      <name val="Times New Roman"/>
      <family val="1"/>
    </font>
    <font>
      <b/>
      <sz val="10"/>
      <color rgb="FFFF0000"/>
      <name val="Arial"/>
      <family val="2"/>
    </font>
    <font>
      <sz val="10"/>
      <color rgb="FF000000"/>
      <name val="Arial"/>
      <family val="2"/>
    </font>
    <font>
      <b/>
      <i/>
      <sz val="14"/>
      <color rgb="FFFF0000"/>
      <name val="Arial"/>
      <family val="2"/>
    </font>
  </fonts>
  <fills count="24">
    <fill>
      <patternFill patternType="none"/>
    </fill>
    <fill>
      <patternFill patternType="gray125"/>
    </fill>
    <fill>
      <patternFill patternType="solid">
        <fgColor theme="8" tint="0.599963377788628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indexed="22"/>
        <bgColor indexed="64"/>
      </patternFill>
    </fill>
    <fill>
      <patternFill patternType="solid">
        <fgColor indexed="23"/>
        <bgColor indexed="64"/>
      </patternFill>
    </fill>
    <fill>
      <patternFill patternType="solid">
        <fgColor theme="0" tint="-0.24994659260841701"/>
        <bgColor indexed="64"/>
      </patternFill>
    </fill>
    <fill>
      <patternFill patternType="solid">
        <fgColor theme="6" tint="0.59996337778862885"/>
        <bgColor indexed="64"/>
      </patternFill>
    </fill>
    <fill>
      <patternFill patternType="solid">
        <fgColor indexed="43"/>
        <bgColor indexed="64"/>
      </patternFill>
    </fill>
    <fill>
      <patternFill patternType="solid">
        <fgColor indexed="42"/>
        <bgColor indexed="64"/>
      </patternFill>
    </fill>
    <fill>
      <patternFill patternType="solid">
        <fgColor rgb="FFFFFF99"/>
        <bgColor indexed="64"/>
      </patternFill>
    </fill>
    <fill>
      <patternFill patternType="solid">
        <fgColor indexed="9"/>
        <bgColor indexed="64"/>
      </patternFill>
    </fill>
    <fill>
      <patternFill patternType="solid">
        <fgColor rgb="FF92D050"/>
        <bgColor indexed="64"/>
      </patternFill>
    </fill>
    <fill>
      <patternFill patternType="solid">
        <fgColor rgb="FFFFFF00"/>
        <bgColor indexed="64"/>
      </patternFill>
    </fill>
    <fill>
      <patternFill patternType="solid">
        <fgColor rgb="FF00B050"/>
        <bgColor indexed="64"/>
      </patternFill>
    </fill>
    <fill>
      <patternFill patternType="solid">
        <fgColor theme="0" tint="-0.14999847407452621"/>
        <bgColor theme="0" tint="-0.14999847407452621"/>
      </patternFill>
    </fill>
    <fill>
      <patternFill patternType="solid">
        <fgColor theme="6" tint="0.59999389629810485"/>
        <bgColor indexed="64"/>
      </patternFill>
    </fill>
    <fill>
      <patternFill patternType="solid">
        <fgColor theme="1"/>
        <bgColor indexed="64"/>
      </patternFill>
    </fill>
    <fill>
      <patternFill patternType="solid">
        <fgColor rgb="FFCCFFCC"/>
        <bgColor indexed="64"/>
      </patternFill>
    </fill>
    <fill>
      <patternFill patternType="solid">
        <fgColor rgb="FFFF0000"/>
        <bgColor indexed="64"/>
      </patternFill>
    </fill>
    <fill>
      <patternFill patternType="solid">
        <fgColor theme="0"/>
        <bgColor indexed="64"/>
      </patternFill>
    </fill>
    <fill>
      <patternFill patternType="solid">
        <fgColor theme="2" tint="-9.9948118533890809E-2"/>
        <bgColor indexed="64"/>
      </patternFill>
    </fill>
  </fills>
  <borders count="145">
    <border>
      <left/>
      <right/>
      <top/>
      <bottom/>
      <diagonal/>
    </border>
    <border>
      <left style="thick">
        <color auto="1"/>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bottom style="thick">
        <color auto="1"/>
      </bottom>
      <diagonal/>
    </border>
    <border>
      <left style="thin">
        <color auto="1"/>
      </left>
      <right style="thin">
        <color auto="1"/>
      </right>
      <top style="thin">
        <color auto="1"/>
      </top>
      <bottom style="thin">
        <color auto="1"/>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ck">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n">
        <color auto="1"/>
      </top>
      <bottom/>
      <diagonal/>
    </border>
    <border>
      <left/>
      <right/>
      <top style="thick">
        <color auto="1"/>
      </top>
      <bottom style="thin">
        <color auto="1"/>
      </bottom>
      <diagonal/>
    </border>
    <border>
      <left style="thin">
        <color auto="1"/>
      </left>
      <right/>
      <top/>
      <bottom/>
      <diagonal/>
    </border>
    <border>
      <left/>
      <right/>
      <top/>
      <bottom style="medium">
        <color indexed="64"/>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ck">
        <color auto="1"/>
      </bottom>
      <diagonal/>
    </border>
    <border>
      <left/>
      <right style="thin">
        <color auto="1"/>
      </right>
      <top style="thin">
        <color auto="1"/>
      </top>
      <bottom/>
      <diagonal/>
    </border>
    <border>
      <left/>
      <right style="thin">
        <color auto="1"/>
      </right>
      <top/>
      <bottom/>
      <diagonal/>
    </border>
    <border>
      <left/>
      <right/>
      <top/>
      <bottom style="mediumDashed">
        <color auto="1"/>
      </bottom>
      <diagonal/>
    </border>
    <border diagonalUp="1">
      <left/>
      <right/>
      <top style="medium">
        <color indexed="64"/>
      </top>
      <bottom style="thin">
        <color indexed="64"/>
      </bottom>
      <diagonal style="medium">
        <color indexed="64"/>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right/>
      <top style="thin">
        <color auto="1"/>
      </top>
      <bottom style="double">
        <color auto="1"/>
      </bottom>
      <diagonal/>
    </border>
    <border>
      <left style="thick">
        <color auto="1"/>
      </left>
      <right/>
      <top style="thin">
        <color auto="1"/>
      </top>
      <bottom style="thin">
        <color auto="1"/>
      </bottom>
      <diagonal/>
    </border>
    <border>
      <left style="thick">
        <color auto="1"/>
      </left>
      <right/>
      <top/>
      <bottom style="thin">
        <color auto="1"/>
      </bottom>
      <diagonal/>
    </border>
    <border>
      <left style="medium">
        <color auto="1"/>
      </left>
      <right style="medium">
        <color auto="1"/>
      </right>
      <top style="medium">
        <color auto="1"/>
      </top>
      <bottom/>
      <diagonal/>
    </border>
    <border diagonalUp="1">
      <left/>
      <right/>
      <top style="medium">
        <color indexed="64"/>
      </top>
      <bottom style="medium">
        <color indexed="64"/>
      </bottom>
      <diagonal style="medium">
        <color indexed="64"/>
      </diagonal>
    </border>
    <border>
      <left/>
      <right/>
      <top style="double">
        <color auto="1"/>
      </top>
      <bottom/>
      <diagonal/>
    </border>
    <border>
      <left/>
      <right/>
      <top style="mediumDashed">
        <color auto="1"/>
      </top>
      <bottom/>
      <diagonal/>
    </border>
    <border>
      <left style="thin">
        <color auto="1"/>
      </left>
      <right style="thin">
        <color auto="1"/>
      </right>
      <top/>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n">
        <color auto="1"/>
      </bottom>
      <diagonal/>
    </border>
    <border>
      <left style="medium">
        <color auto="1"/>
      </left>
      <right/>
      <top/>
      <bottom style="medium">
        <color auto="1"/>
      </bottom>
      <diagonal/>
    </border>
    <border>
      <left style="medium">
        <color auto="1"/>
      </left>
      <right/>
      <top/>
      <bottom/>
      <diagonal/>
    </border>
    <border>
      <left style="medium">
        <color auto="1"/>
      </left>
      <right/>
      <top style="medium">
        <color auto="1"/>
      </top>
      <bottom/>
      <diagonal/>
    </border>
    <border>
      <left style="thin">
        <color auto="1"/>
      </left>
      <right style="thick">
        <color auto="1"/>
      </right>
      <top style="thin">
        <color auto="1"/>
      </top>
      <bottom style="thick">
        <color auto="1"/>
      </bottom>
      <diagonal/>
    </border>
    <border>
      <left/>
      <right style="thin">
        <color indexed="64"/>
      </right>
      <top style="thin">
        <color indexed="64"/>
      </top>
      <bottom style="thick">
        <color auto="1"/>
      </bottom>
      <diagonal/>
    </border>
    <border>
      <left/>
      <right/>
      <top style="thin">
        <color indexed="64"/>
      </top>
      <bottom style="thick">
        <color auto="1"/>
      </bottom>
      <diagonal/>
    </border>
    <border>
      <left style="thin">
        <color indexed="64"/>
      </left>
      <right/>
      <top style="thin">
        <color indexed="64"/>
      </top>
      <bottom style="thick">
        <color auto="1"/>
      </bottom>
      <diagonal/>
    </border>
    <border>
      <left/>
      <right style="thick">
        <color auto="1"/>
      </right>
      <top/>
      <bottom style="thin">
        <color indexed="64"/>
      </bottom>
      <diagonal/>
    </border>
    <border>
      <left/>
      <right style="thick">
        <color auto="1"/>
      </right>
      <top style="thin">
        <color auto="1"/>
      </top>
      <bottom style="thin">
        <color auto="1"/>
      </bottom>
      <diagonal/>
    </border>
    <border>
      <left/>
      <right style="double">
        <color auto="1"/>
      </right>
      <top/>
      <bottom style="double">
        <color auto="1"/>
      </bottom>
      <diagonal/>
    </border>
    <border>
      <left/>
      <right/>
      <top/>
      <bottom style="double">
        <color auto="1"/>
      </bottom>
      <diagonal/>
    </border>
    <border>
      <left style="double">
        <color auto="1"/>
      </left>
      <right/>
      <top/>
      <bottom style="double">
        <color auto="1"/>
      </bottom>
      <diagonal/>
    </border>
    <border>
      <left/>
      <right style="double">
        <color auto="1"/>
      </right>
      <top/>
      <bottom/>
      <diagonal/>
    </border>
    <border>
      <left style="double">
        <color auto="1"/>
      </left>
      <right/>
      <top/>
      <bottom/>
      <diagonal/>
    </border>
    <border>
      <left/>
      <right style="double">
        <color auto="1"/>
      </right>
      <top style="double">
        <color auto="1"/>
      </top>
      <bottom/>
      <diagonal/>
    </border>
    <border>
      <left style="double">
        <color auto="1"/>
      </left>
      <right/>
      <top style="double">
        <color auto="1"/>
      </top>
      <bottom/>
      <diagonal/>
    </border>
    <border>
      <left/>
      <right style="thick">
        <color auto="1"/>
      </right>
      <top style="dashed">
        <color auto="1"/>
      </top>
      <bottom style="thick">
        <color auto="1"/>
      </bottom>
      <diagonal/>
    </border>
    <border>
      <left/>
      <right/>
      <top style="dashed">
        <color auto="1"/>
      </top>
      <bottom style="thick">
        <color auto="1"/>
      </bottom>
      <diagonal/>
    </border>
    <border>
      <left/>
      <right style="thick">
        <color auto="1"/>
      </right>
      <top style="dashed">
        <color auto="1"/>
      </top>
      <bottom style="dashed">
        <color auto="1"/>
      </bottom>
      <diagonal/>
    </border>
    <border>
      <left/>
      <right/>
      <top style="dashed">
        <color auto="1"/>
      </top>
      <bottom style="dashed">
        <color auto="1"/>
      </bottom>
      <diagonal/>
    </border>
    <border>
      <left/>
      <right style="thick">
        <color auto="1"/>
      </right>
      <top/>
      <bottom style="dashed">
        <color auto="1"/>
      </bottom>
      <diagonal/>
    </border>
    <border>
      <left/>
      <right/>
      <top/>
      <bottom style="dashed">
        <color auto="1"/>
      </bottom>
      <diagonal/>
    </border>
    <border>
      <left/>
      <right style="thick">
        <color auto="1"/>
      </right>
      <top style="thick">
        <color auto="1"/>
      </top>
      <bottom style="thin">
        <color indexed="64"/>
      </bottom>
      <diagonal/>
    </border>
    <border>
      <left style="thick">
        <color auto="1"/>
      </left>
      <right/>
      <top style="thick">
        <color auto="1"/>
      </top>
      <bottom style="thin">
        <color indexed="64"/>
      </bottom>
      <diagonal/>
    </border>
    <border>
      <left/>
      <right style="thick">
        <color auto="1"/>
      </right>
      <top style="thin">
        <color indexed="64"/>
      </top>
      <bottom/>
      <diagonal/>
    </border>
    <border>
      <left/>
      <right style="medium">
        <color auto="1"/>
      </right>
      <top/>
      <bottom style="medium">
        <color auto="1"/>
      </bottom>
      <diagonal/>
    </border>
    <border>
      <left/>
      <right style="medium">
        <color auto="1"/>
      </right>
      <top/>
      <bottom/>
      <diagonal/>
    </border>
    <border>
      <left style="thin">
        <color indexed="64"/>
      </left>
      <right/>
      <top style="thick">
        <color auto="1"/>
      </top>
      <bottom style="thin">
        <color indexed="64"/>
      </bottom>
      <diagonal/>
    </border>
    <border>
      <left style="thick">
        <color auto="1"/>
      </left>
      <right style="thin">
        <color indexed="64"/>
      </right>
      <top style="thick">
        <color auto="1"/>
      </top>
      <bottom style="thin">
        <color indexed="64"/>
      </bottom>
      <diagonal/>
    </border>
    <border>
      <left/>
      <right style="medium">
        <color auto="1"/>
      </right>
      <top style="medium">
        <color auto="1"/>
      </top>
      <bottom/>
      <diagonal/>
    </border>
    <border>
      <left style="thin">
        <color indexed="64"/>
      </left>
      <right style="thin">
        <color indexed="64"/>
      </right>
      <top/>
      <bottom style="mediumDashed">
        <color indexed="64"/>
      </bottom>
      <diagonal/>
    </border>
    <border>
      <left style="thin">
        <color auto="1"/>
      </left>
      <right style="thick">
        <color indexed="64"/>
      </right>
      <top/>
      <bottom style="thin">
        <color auto="1"/>
      </bottom>
      <diagonal/>
    </border>
    <border>
      <left style="thin">
        <color auto="1"/>
      </left>
      <right style="thick">
        <color indexed="64"/>
      </right>
      <top/>
      <bottom/>
      <diagonal/>
    </border>
    <border>
      <left style="thin">
        <color auto="1"/>
      </left>
      <right style="thick">
        <color indexed="64"/>
      </right>
      <top style="thin">
        <color auto="1"/>
      </top>
      <bottom/>
      <diagonal/>
    </border>
    <border>
      <left style="thin">
        <color auto="1"/>
      </left>
      <right style="thick">
        <color indexed="64"/>
      </right>
      <top style="thick">
        <color auto="1"/>
      </top>
      <bottom style="slantDashDot">
        <color auto="1"/>
      </bottom>
      <diagonal/>
    </border>
    <border>
      <left/>
      <right style="thin">
        <color indexed="64"/>
      </right>
      <top style="thick">
        <color auto="1"/>
      </top>
      <bottom style="slantDashDot">
        <color auto="1"/>
      </bottom>
      <diagonal/>
    </border>
    <border>
      <left/>
      <right/>
      <top style="thick">
        <color auto="1"/>
      </top>
      <bottom style="slantDashDot">
        <color auto="1"/>
      </bottom>
      <diagonal/>
    </border>
    <border>
      <left style="thick">
        <color auto="1"/>
      </left>
      <right/>
      <top style="thick">
        <color auto="1"/>
      </top>
      <bottom style="slantDashDot">
        <color auto="1"/>
      </bottom>
      <diagonal/>
    </border>
    <border>
      <left/>
      <right/>
      <top style="thin">
        <color theme="1"/>
      </top>
      <bottom style="medium">
        <color indexed="64"/>
      </bottom>
      <diagonal/>
    </border>
    <border>
      <left/>
      <right/>
      <top style="mediumDashed">
        <color auto="1"/>
      </top>
      <bottom style="mediumDashed">
        <color auto="1"/>
      </bottom>
      <diagonal/>
    </border>
    <border>
      <left/>
      <right/>
      <top/>
      <bottom style="thick">
        <color rgb="FF7030A0"/>
      </bottom>
      <diagonal/>
    </border>
    <border>
      <left/>
      <right style="mediumDashDotDot">
        <color indexed="64"/>
      </right>
      <top/>
      <bottom/>
      <diagonal/>
    </border>
    <border>
      <left/>
      <right style="thick">
        <color indexed="64"/>
      </right>
      <top style="thick">
        <color rgb="FF7030A0"/>
      </top>
      <bottom/>
      <diagonal/>
    </border>
    <border>
      <left style="thick">
        <color indexed="64"/>
      </left>
      <right/>
      <top style="thick">
        <color rgb="FF7030A0"/>
      </top>
      <bottom/>
      <diagonal/>
    </border>
    <border>
      <left/>
      <right/>
      <top style="thick">
        <color rgb="FF7030A0"/>
      </top>
      <bottom/>
      <diagonal/>
    </border>
    <border>
      <left style="thick">
        <color auto="1"/>
      </left>
      <right style="thin">
        <color indexed="64"/>
      </right>
      <top/>
      <bottom/>
      <diagonal/>
    </border>
    <border>
      <left style="thin">
        <color auto="1"/>
      </left>
      <right/>
      <top style="thick">
        <color rgb="FF7030A0"/>
      </top>
      <bottom style="thin">
        <color indexed="64"/>
      </bottom>
      <diagonal/>
    </border>
    <border>
      <left/>
      <right style="thin">
        <color auto="1"/>
      </right>
      <top style="thick">
        <color rgb="FF7030A0"/>
      </top>
      <bottom style="thin">
        <color indexed="64"/>
      </bottom>
      <diagonal/>
    </border>
    <border>
      <left style="thin">
        <color auto="1"/>
      </left>
      <right style="thin">
        <color auto="1"/>
      </right>
      <top style="thin">
        <color auto="1"/>
      </top>
      <bottom style="thick">
        <color rgb="FF7030A0"/>
      </bottom>
      <diagonal/>
    </border>
    <border>
      <left style="thin">
        <color auto="1"/>
      </left>
      <right/>
      <top style="thin">
        <color auto="1"/>
      </top>
      <bottom style="thick">
        <color rgb="FF7030A0"/>
      </bottom>
      <diagonal/>
    </border>
    <border>
      <left/>
      <right style="thin">
        <color auto="1"/>
      </right>
      <top style="thin">
        <color auto="1"/>
      </top>
      <bottom style="thick">
        <color rgb="FF7030A0"/>
      </bottom>
      <diagonal/>
    </border>
    <border>
      <left style="thin">
        <color auto="1"/>
      </left>
      <right/>
      <top/>
      <bottom style="thick">
        <color rgb="FF7030A0"/>
      </bottom>
      <diagonal/>
    </border>
    <border>
      <left/>
      <right style="thin">
        <color auto="1"/>
      </right>
      <top/>
      <bottom style="thick">
        <color rgb="FF7030A0"/>
      </bottom>
      <diagonal/>
    </border>
    <border>
      <left style="thin">
        <color auto="1"/>
      </left>
      <right style="thin">
        <color auto="1"/>
      </right>
      <top/>
      <bottom style="thick">
        <color rgb="FF7030A0"/>
      </bottom>
      <diagonal/>
    </border>
    <border>
      <left/>
      <right/>
      <top style="thick">
        <color rgb="FF7030A0"/>
      </top>
      <bottom style="thin">
        <color indexed="64"/>
      </bottom>
      <diagonal/>
    </border>
    <border>
      <left style="thin">
        <color auto="1"/>
      </left>
      <right style="thick">
        <color auto="1"/>
      </right>
      <top style="thick">
        <color auto="1"/>
      </top>
      <bottom style="thin">
        <color auto="1"/>
      </bottom>
      <diagonal/>
    </border>
    <border>
      <left/>
      <right/>
      <top style="dotted">
        <color auto="1"/>
      </top>
      <bottom style="dotted">
        <color auto="1"/>
      </bottom>
      <diagonal/>
    </border>
    <border>
      <left/>
      <right style="thin">
        <color auto="1"/>
      </right>
      <top style="thick">
        <color auto="1"/>
      </top>
      <bottom style="thin">
        <color auto="1"/>
      </bottom>
      <diagonal/>
    </border>
    <border>
      <left/>
      <right/>
      <top style="mediumDashed">
        <color auto="1"/>
      </top>
      <bottom style="thin">
        <color indexed="64"/>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top style="thin">
        <color indexed="8"/>
      </top>
      <bottom/>
      <diagonal/>
    </border>
    <border>
      <left style="thin">
        <color indexed="8"/>
      </left>
      <right/>
      <top/>
      <bottom/>
      <diagonal/>
    </border>
    <border>
      <left/>
      <right style="thin">
        <color indexed="8"/>
      </right>
      <top/>
      <bottom/>
      <diagonal/>
    </border>
    <border>
      <left/>
      <right style="thin">
        <color indexed="64"/>
      </right>
      <top style="thin">
        <color indexed="8"/>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auto="1"/>
      </left>
      <right style="thin">
        <color auto="1"/>
      </right>
      <top style="thin">
        <color auto="1"/>
      </top>
      <bottom style="thin">
        <color auto="1"/>
      </bottom>
      <diagonal/>
    </border>
  </borders>
  <cellStyleXfs count="16">
    <xf numFmtId="0" fontId="0" fillId="0" borderId="0"/>
    <xf numFmtId="164" fontId="19" fillId="0" borderId="0"/>
    <xf numFmtId="0" fontId="20" fillId="0" borderId="0">
      <alignment horizontal="center"/>
    </xf>
    <xf numFmtId="0" fontId="20" fillId="0" borderId="0">
      <alignment horizontal="center" textRotation="90"/>
    </xf>
    <xf numFmtId="0" fontId="21" fillId="0" borderId="0"/>
    <xf numFmtId="165" fontId="21" fillId="0" borderId="0"/>
    <xf numFmtId="44" fontId="22" fillId="0" borderId="0" applyFont="0" applyFill="0" applyBorder="0" applyAlignment="0" applyProtection="0"/>
    <xf numFmtId="9" fontId="22" fillId="0" borderId="0" applyFont="0" applyFill="0" applyBorder="0" applyAlignment="0" applyProtection="0"/>
    <xf numFmtId="0" fontId="18" fillId="0" borderId="0"/>
    <xf numFmtId="0" fontId="17" fillId="0" borderId="0"/>
    <xf numFmtId="43" fontId="17" fillId="0" borderId="0" applyFont="0" applyFill="0" applyBorder="0" applyAlignment="0" applyProtection="0"/>
    <xf numFmtId="0" fontId="62" fillId="0" borderId="0" applyNumberFormat="0" applyFill="0" applyBorder="0" applyAlignment="0" applyProtection="0"/>
    <xf numFmtId="44" fontId="17" fillId="0" borderId="0" applyFont="0" applyFill="0" applyBorder="0" applyAlignment="0" applyProtection="0"/>
    <xf numFmtId="0" fontId="16" fillId="0" borderId="0"/>
    <xf numFmtId="0" fontId="15" fillId="0" borderId="0"/>
    <xf numFmtId="43" fontId="22" fillId="0" borderId="0" applyFont="0" applyFill="0" applyBorder="0" applyAlignment="0" applyProtection="0"/>
  </cellStyleXfs>
  <cellXfs count="1604">
    <xf numFmtId="0" fontId="0" fillId="0" borderId="0" xfId="0"/>
    <xf numFmtId="0" fontId="0" fillId="0" borderId="0" xfId="0" applyAlignment="1">
      <alignment wrapText="1"/>
    </xf>
    <xf numFmtId="0" fontId="0" fillId="2" borderId="0" xfId="0" applyFill="1"/>
    <xf numFmtId="0" fontId="0" fillId="2" borderId="0" xfId="0" applyFill="1" applyAlignment="1">
      <alignment horizontal="right"/>
    </xf>
    <xf numFmtId="0" fontId="0" fillId="2" borderId="5" xfId="0" applyFill="1" applyBorder="1"/>
    <xf numFmtId="0" fontId="0" fillId="2" borderId="6" xfId="0" applyFill="1" applyBorder="1"/>
    <xf numFmtId="0" fontId="0" fillId="3" borderId="13" xfId="0" applyFill="1" applyBorder="1" applyAlignment="1" applyProtection="1">
      <alignment horizontal="center"/>
      <protection locked="0"/>
    </xf>
    <xf numFmtId="0" fontId="23" fillId="2" borderId="0" xfId="0" applyFont="1" applyFill="1"/>
    <xf numFmtId="3" fontId="0" fillId="0" borderId="0" xfId="0" applyNumberFormat="1"/>
    <xf numFmtId="10" fontId="0" fillId="0" borderId="0" xfId="0" applyNumberFormat="1"/>
    <xf numFmtId="168" fontId="0" fillId="0" borderId="0" xfId="0" applyNumberFormat="1"/>
    <xf numFmtId="166" fontId="0" fillId="0" borderId="0" xfId="0" applyNumberFormat="1"/>
    <xf numFmtId="0" fontId="24" fillId="0" borderId="0" xfId="0" applyFont="1" applyAlignment="1">
      <alignment horizontal="center"/>
    </xf>
    <xf numFmtId="168" fontId="0" fillId="0" borderId="0" xfId="0" applyNumberFormat="1" applyAlignment="1">
      <alignment horizontal="center"/>
    </xf>
    <xf numFmtId="10" fontId="0" fillId="0" borderId="0" xfId="0" applyNumberFormat="1" applyAlignment="1">
      <alignment horizontal="center"/>
    </xf>
    <xf numFmtId="166" fontId="0" fillId="0" borderId="0" xfId="0" applyNumberFormat="1" applyAlignment="1">
      <alignment horizontal="center"/>
    </xf>
    <xf numFmtId="1" fontId="0" fillId="0" borderId="0" xfId="0" applyNumberFormat="1" applyAlignment="1">
      <alignment horizontal="center"/>
    </xf>
    <xf numFmtId="0" fontId="25" fillId="0" borderId="16" xfId="0" applyFont="1" applyBorder="1"/>
    <xf numFmtId="168" fontId="25" fillId="0" borderId="16" xfId="0" applyNumberFormat="1" applyFont="1" applyBorder="1"/>
    <xf numFmtId="166" fontId="25" fillId="0" borderId="16" xfId="0" applyNumberFormat="1" applyFont="1" applyBorder="1"/>
    <xf numFmtId="2" fontId="25" fillId="0" borderId="0" xfId="0" applyNumberFormat="1" applyFont="1"/>
    <xf numFmtId="10" fontId="25" fillId="0" borderId="16" xfId="0" applyNumberFormat="1" applyFont="1" applyBorder="1"/>
    <xf numFmtId="166" fontId="25" fillId="0" borderId="17" xfId="0" applyNumberFormat="1" applyFont="1" applyBorder="1"/>
    <xf numFmtId="168" fontId="25" fillId="0" borderId="19" xfId="0" applyNumberFormat="1" applyFont="1" applyBorder="1"/>
    <xf numFmtId="0" fontId="26" fillId="0" borderId="0" xfId="0" applyFont="1"/>
    <xf numFmtId="166" fontId="26" fillId="0" borderId="0" xfId="0" applyNumberFormat="1" applyFont="1"/>
    <xf numFmtId="42" fontId="0" fillId="0" borderId="0" xfId="0" applyNumberFormat="1"/>
    <xf numFmtId="166" fontId="25" fillId="0" borderId="0" xfId="0" applyNumberFormat="1" applyFont="1"/>
    <xf numFmtId="169" fontId="25" fillId="0" borderId="16" xfId="6" applyNumberFormat="1" applyFont="1" applyBorder="1"/>
    <xf numFmtId="168" fontId="0" fillId="0" borderId="0" xfId="7" applyNumberFormat="1" applyFont="1"/>
    <xf numFmtId="0" fontId="0" fillId="6" borderId="0" xfId="0" applyFill="1"/>
    <xf numFmtId="0" fontId="27" fillId="6" borderId="0" xfId="0" applyFont="1" applyFill="1"/>
    <xf numFmtId="0" fontId="25" fillId="6" borderId="0" xfId="0" applyFont="1" applyFill="1"/>
    <xf numFmtId="0" fontId="0" fillId="6" borderId="29" xfId="0" applyFill="1" applyBorder="1"/>
    <xf numFmtId="0" fontId="25" fillId="6" borderId="0" xfId="0" applyFont="1" applyFill="1" applyAlignment="1">
      <alignment horizontal="center"/>
    </xf>
    <xf numFmtId="0" fontId="0" fillId="2" borderId="27" xfId="0" applyFill="1" applyBorder="1"/>
    <xf numFmtId="9" fontId="0" fillId="0" borderId="0" xfId="0" applyNumberFormat="1"/>
    <xf numFmtId="0" fontId="32" fillId="6" borderId="0" xfId="0" applyFont="1" applyFill="1"/>
    <xf numFmtId="0" fontId="25" fillId="6" borderId="30" xfId="0" applyFont="1" applyFill="1" applyBorder="1"/>
    <xf numFmtId="0" fontId="25" fillId="6" borderId="33" xfId="0" applyFont="1" applyFill="1" applyBorder="1"/>
    <xf numFmtId="0" fontId="25" fillId="6" borderId="40" xfId="0" applyFont="1" applyFill="1" applyBorder="1"/>
    <xf numFmtId="0" fontId="25" fillId="6" borderId="45" xfId="0" applyFont="1" applyFill="1" applyBorder="1"/>
    <xf numFmtId="166" fontId="0" fillId="2" borderId="0" xfId="0" applyNumberFormat="1" applyFill="1"/>
    <xf numFmtId="10" fontId="0" fillId="0" borderId="31" xfId="0" applyNumberFormat="1" applyBorder="1" applyProtection="1">
      <protection locked="0"/>
    </xf>
    <xf numFmtId="10" fontId="0" fillId="0" borderId="32" xfId="0" applyNumberFormat="1" applyBorder="1" applyProtection="1">
      <protection locked="0"/>
    </xf>
    <xf numFmtId="10" fontId="0" fillId="0" borderId="23" xfId="0" applyNumberFormat="1" applyBorder="1" applyProtection="1">
      <protection locked="0"/>
    </xf>
    <xf numFmtId="10" fontId="0" fillId="0" borderId="34" xfId="0" applyNumberFormat="1" applyBorder="1" applyProtection="1">
      <protection locked="0"/>
    </xf>
    <xf numFmtId="10" fontId="0" fillId="0" borderId="46" xfId="0" applyNumberFormat="1" applyBorder="1" applyProtection="1">
      <protection locked="0"/>
    </xf>
    <xf numFmtId="10" fontId="0" fillId="0" borderId="47" xfId="0" applyNumberFormat="1" applyBorder="1" applyProtection="1">
      <protection locked="0"/>
    </xf>
    <xf numFmtId="10" fontId="0" fillId="0" borderId="41" xfId="0" applyNumberFormat="1" applyBorder="1" applyProtection="1">
      <protection locked="0"/>
    </xf>
    <xf numFmtId="10" fontId="0" fillId="0" borderId="42" xfId="0" applyNumberFormat="1" applyBorder="1" applyProtection="1">
      <protection locked="0"/>
    </xf>
    <xf numFmtId="0" fontId="0" fillId="8" borderId="0" xfId="0" applyFill="1"/>
    <xf numFmtId="0" fontId="0" fillId="0" borderId="0" xfId="0" applyAlignment="1">
      <alignment vertical="top"/>
    </xf>
    <xf numFmtId="0" fontId="35" fillId="0" borderId="0" xfId="0" applyFont="1"/>
    <xf numFmtId="49" fontId="0" fillId="0" borderId="0" xfId="0" applyNumberFormat="1"/>
    <xf numFmtId="0" fontId="0" fillId="9" borderId="14" xfId="0" applyFill="1" applyBorder="1" applyAlignment="1" applyProtection="1">
      <alignment horizontal="center"/>
      <protection locked="0"/>
    </xf>
    <xf numFmtId="0" fontId="0" fillId="9" borderId="14" xfId="0" applyFill="1" applyBorder="1" applyAlignment="1">
      <alignment horizontal="center"/>
    </xf>
    <xf numFmtId="0" fontId="37" fillId="2" borderId="0" xfId="0" applyFont="1" applyFill="1"/>
    <xf numFmtId="0" fontId="0" fillId="2" borderId="0" xfId="0" applyFill="1" applyAlignment="1">
      <alignment horizontal="left" vertical="top" wrapText="1"/>
    </xf>
    <xf numFmtId="0" fontId="0" fillId="0" borderId="54" xfId="0" applyBorder="1"/>
    <xf numFmtId="0" fontId="0" fillId="0" borderId="27" xfId="0" applyBorder="1"/>
    <xf numFmtId="0" fontId="0" fillId="0" borderId="50" xfId="0" applyBorder="1"/>
    <xf numFmtId="0" fontId="0" fillId="0" borderId="55" xfId="0" applyBorder="1"/>
    <xf numFmtId="168" fontId="25" fillId="0" borderId="0" xfId="7" applyNumberFormat="1" applyFont="1" applyBorder="1"/>
    <xf numFmtId="0" fontId="0" fillId="9" borderId="53" xfId="0" applyFill="1" applyBorder="1" applyAlignment="1" applyProtection="1">
      <alignment horizontal="center"/>
      <protection locked="0"/>
    </xf>
    <xf numFmtId="166" fontId="0" fillId="9" borderId="20" xfId="0" applyNumberFormat="1" applyFill="1" applyBorder="1" applyAlignment="1" applyProtection="1">
      <alignment horizontal="center"/>
      <protection locked="0"/>
    </xf>
    <xf numFmtId="166" fontId="0" fillId="9" borderId="14" xfId="0" applyNumberFormat="1" applyFill="1" applyBorder="1" applyAlignment="1" applyProtection="1">
      <alignment horizontal="center"/>
      <protection locked="0"/>
    </xf>
    <xf numFmtId="0" fontId="23" fillId="2" borderId="0" xfId="0" applyFont="1" applyFill="1" applyAlignment="1">
      <alignment horizontal="center"/>
    </xf>
    <xf numFmtId="0" fontId="0" fillId="0" borderId="46" xfId="0" applyBorder="1"/>
    <xf numFmtId="0" fontId="31" fillId="2" borderId="0" xfId="0" applyFont="1" applyFill="1"/>
    <xf numFmtId="0" fontId="0" fillId="0" borderId="14" xfId="0" applyBorder="1" applyAlignment="1" applyProtection="1">
      <alignment horizontal="center"/>
      <protection locked="0"/>
    </xf>
    <xf numFmtId="0" fontId="23" fillId="6" borderId="0" xfId="0" applyFont="1" applyFill="1"/>
    <xf numFmtId="0" fontId="0" fillId="0" borderId="53" xfId="0" applyBorder="1" applyAlignment="1" applyProtection="1">
      <alignment horizontal="center"/>
      <protection locked="0"/>
    </xf>
    <xf numFmtId="14" fontId="0" fillId="0" borderId="0" xfId="0" applyNumberFormat="1"/>
    <xf numFmtId="0" fontId="32" fillId="6" borderId="0" xfId="0" applyFont="1" applyFill="1" applyAlignment="1">
      <alignment horizontal="center"/>
    </xf>
    <xf numFmtId="0" fontId="0" fillId="0" borderId="15" xfId="0" applyBorder="1"/>
    <xf numFmtId="0" fontId="0" fillId="0" borderId="49" xfId="0" applyBorder="1"/>
    <xf numFmtId="0" fontId="0" fillId="0" borderId="56" xfId="0" applyBorder="1"/>
    <xf numFmtId="171" fontId="0" fillId="4" borderId="13" xfId="0" applyNumberFormat="1" applyFill="1" applyBorder="1" applyAlignment="1" applyProtection="1">
      <alignment horizontal="center"/>
      <protection locked="0"/>
    </xf>
    <xf numFmtId="0" fontId="0" fillId="0" borderId="61" xfId="0" applyBorder="1"/>
    <xf numFmtId="168" fontId="25" fillId="0" borderId="61" xfId="0" applyNumberFormat="1" applyFont="1" applyBorder="1"/>
    <xf numFmtId="168" fontId="25" fillId="0" borderId="0" xfId="0" applyNumberFormat="1" applyFont="1"/>
    <xf numFmtId="168" fontId="25" fillId="0" borderId="28" xfId="0" applyNumberFormat="1" applyFont="1" applyBorder="1"/>
    <xf numFmtId="0" fontId="23" fillId="0" borderId="0" xfId="0" applyFont="1"/>
    <xf numFmtId="0" fontId="23" fillId="0" borderId="28" xfId="0" applyFont="1" applyBorder="1"/>
    <xf numFmtId="172" fontId="0" fillId="0" borderId="0" xfId="0" applyNumberFormat="1"/>
    <xf numFmtId="0" fontId="0" fillId="2" borderId="0" xfId="0" applyFill="1" applyAlignment="1">
      <alignment horizontal="center" shrinkToFit="1"/>
    </xf>
    <xf numFmtId="173" fontId="0" fillId="0" borderId="0" xfId="0" applyNumberFormat="1"/>
    <xf numFmtId="0" fontId="28" fillId="6" borderId="18" xfId="0" applyFont="1" applyFill="1" applyBorder="1"/>
    <xf numFmtId="10" fontId="0" fillId="8" borderId="52" xfId="0" applyNumberFormat="1" applyFill="1" applyBorder="1"/>
    <xf numFmtId="10" fontId="0" fillId="8" borderId="62" xfId="0" applyNumberFormat="1" applyFill="1" applyBorder="1"/>
    <xf numFmtId="0" fontId="0" fillId="5" borderId="1" xfId="0" applyFill="1" applyBorder="1" applyAlignment="1" applyProtection="1">
      <alignment shrinkToFit="1"/>
      <protection locked="0"/>
    </xf>
    <xf numFmtId="0" fontId="43" fillId="0" borderId="0" xfId="0" applyFont="1"/>
    <xf numFmtId="0" fontId="44" fillId="0" borderId="0" xfId="0" applyFont="1"/>
    <xf numFmtId="0" fontId="43" fillId="0" borderId="0" xfId="0" applyFont="1" applyAlignment="1">
      <alignment horizontal="center"/>
    </xf>
    <xf numFmtId="0" fontId="34" fillId="0" borderId="0" xfId="0" applyFont="1"/>
    <xf numFmtId="0" fontId="44" fillId="0" borderId="0" xfId="0" applyFont="1" applyAlignment="1">
      <alignment horizontal="center"/>
    </xf>
    <xf numFmtId="0" fontId="0" fillId="0" borderId="0" xfId="0" applyAlignment="1" applyProtection="1">
      <alignment horizontal="center"/>
      <protection locked="0"/>
    </xf>
    <xf numFmtId="166" fontId="0" fillId="0" borderId="0" xfId="0" applyNumberFormat="1" applyAlignment="1" applyProtection="1">
      <alignment horizontal="center"/>
      <protection locked="0"/>
    </xf>
    <xf numFmtId="174" fontId="0" fillId="0" borderId="0" xfId="0" applyNumberFormat="1" applyAlignment="1">
      <alignment horizontal="center"/>
    </xf>
    <xf numFmtId="174" fontId="0" fillId="0" borderId="0" xfId="0" applyNumberFormat="1" applyAlignment="1" applyProtection="1">
      <alignment horizontal="center"/>
      <protection locked="0"/>
    </xf>
    <xf numFmtId="175" fontId="0" fillId="0" borderId="0" xfId="0" applyNumberFormat="1" applyAlignment="1" applyProtection="1">
      <alignment horizontal="center"/>
      <protection locked="0"/>
    </xf>
    <xf numFmtId="0" fontId="43" fillId="0" borderId="0" xfId="0" applyFont="1" applyAlignment="1">
      <alignment horizontal="left"/>
    </xf>
    <xf numFmtId="166" fontId="0" fillId="4" borderId="14" xfId="0" applyNumberFormat="1" applyFill="1" applyBorder="1" applyAlignment="1" applyProtection="1">
      <alignment horizontal="center"/>
      <protection locked="0"/>
    </xf>
    <xf numFmtId="0" fontId="0" fillId="4" borderId="14" xfId="0" applyFill="1" applyBorder="1" applyAlignment="1" applyProtection="1">
      <alignment horizontal="center"/>
      <protection locked="0"/>
    </xf>
    <xf numFmtId="0" fontId="44" fillId="0" borderId="28" xfId="0" applyFont="1" applyBorder="1" applyAlignment="1">
      <alignment horizontal="center"/>
    </xf>
    <xf numFmtId="0" fontId="23" fillId="2" borderId="0" xfId="0" applyFont="1" applyFill="1" applyAlignment="1">
      <alignment horizontal="center" wrapText="1"/>
    </xf>
    <xf numFmtId="176" fontId="0" fillId="4" borderId="14" xfId="0" applyNumberFormat="1" applyFill="1" applyBorder="1" applyAlignment="1" applyProtection="1">
      <alignment horizontal="center"/>
      <protection locked="0"/>
    </xf>
    <xf numFmtId="166" fontId="0" fillId="2" borderId="14" xfId="0" applyNumberFormat="1" applyFill="1" applyBorder="1"/>
    <xf numFmtId="0" fontId="0" fillId="2" borderId="65" xfId="0" applyFill="1" applyBorder="1"/>
    <xf numFmtId="0" fontId="0" fillId="2" borderId="14" xfId="0" applyFill="1" applyBorder="1" applyAlignment="1">
      <alignment horizontal="center" shrinkToFit="1"/>
    </xf>
    <xf numFmtId="166" fontId="0" fillId="4" borderId="14" xfId="0" applyNumberFormat="1" applyFill="1" applyBorder="1" applyAlignment="1" applyProtection="1">
      <alignment horizontal="center" shrinkToFit="1"/>
      <protection locked="0"/>
    </xf>
    <xf numFmtId="0" fontId="0" fillId="0" borderId="0" xfId="0" applyAlignment="1">
      <alignment horizontal="center" wrapText="1"/>
    </xf>
    <xf numFmtId="0" fontId="0" fillId="0" borderId="0" xfId="0" applyProtection="1">
      <protection locked="0"/>
    </xf>
    <xf numFmtId="0" fontId="34" fillId="0" borderId="0" xfId="0" applyFont="1" applyProtection="1">
      <protection locked="0"/>
    </xf>
    <xf numFmtId="0" fontId="0" fillId="0" borderId="0" xfId="0" applyAlignment="1" applyProtection="1">
      <alignment vertical="top" wrapText="1"/>
      <protection locked="0"/>
    </xf>
    <xf numFmtId="168" fontId="0" fillId="2" borderId="14" xfId="0" applyNumberFormat="1" applyFill="1" applyBorder="1" applyAlignment="1">
      <alignment horizontal="center"/>
    </xf>
    <xf numFmtId="166" fontId="0" fillId="2" borderId="14" xfId="0" applyNumberFormat="1" applyFill="1" applyBorder="1" applyAlignment="1">
      <alignment horizontal="center"/>
    </xf>
    <xf numFmtId="0" fontId="24" fillId="0" borderId="0" xfId="0" applyFont="1"/>
    <xf numFmtId="0" fontId="0" fillId="10" borderId="27" xfId="0" applyFill="1" applyBorder="1"/>
    <xf numFmtId="0" fontId="25" fillId="0" borderId="14" xfId="0" applyFont="1" applyBorder="1"/>
    <xf numFmtId="0" fontId="0" fillId="0" borderId="24" xfId="0" applyBorder="1"/>
    <xf numFmtId="0" fontId="0" fillId="0" borderId="23" xfId="0" applyBorder="1"/>
    <xf numFmtId="0" fontId="0" fillId="0" borderId="23" xfId="0" applyBorder="1" applyAlignment="1">
      <alignment horizontal="center"/>
    </xf>
    <xf numFmtId="0" fontId="0" fillId="0" borderId="22" xfId="0" applyBorder="1"/>
    <xf numFmtId="0" fontId="25" fillId="0" borderId="0" xfId="0" applyFont="1" applyAlignment="1">
      <alignment horizontal="center"/>
    </xf>
    <xf numFmtId="0" fontId="25" fillId="0" borderId="55" xfId="0" applyFont="1" applyBorder="1"/>
    <xf numFmtId="0" fontId="25" fillId="0" borderId="0" xfId="0" applyFont="1"/>
    <xf numFmtId="0" fontId="0" fillId="0" borderId="65" xfId="0" applyBorder="1" applyAlignment="1">
      <alignment horizontal="center"/>
    </xf>
    <xf numFmtId="0" fontId="0" fillId="0" borderId="65" xfId="0" applyBorder="1"/>
    <xf numFmtId="0" fontId="0" fillId="0" borderId="57" xfId="0" applyBorder="1"/>
    <xf numFmtId="0" fontId="47" fillId="0" borderId="0" xfId="0" applyFont="1" applyProtection="1">
      <protection locked="0"/>
    </xf>
    <xf numFmtId="0" fontId="0" fillId="0" borderId="27" xfId="0" applyBorder="1" applyAlignment="1">
      <alignment wrapText="1"/>
    </xf>
    <xf numFmtId="0" fontId="0" fillId="0" borderId="65" xfId="0" applyBorder="1" applyAlignment="1">
      <alignment wrapText="1"/>
    </xf>
    <xf numFmtId="0" fontId="0" fillId="2" borderId="51" xfId="0" applyFill="1" applyBorder="1"/>
    <xf numFmtId="0" fontId="0" fillId="2" borderId="0" xfId="0" applyFill="1" applyAlignment="1">
      <alignment vertical="top" wrapText="1"/>
    </xf>
    <xf numFmtId="0" fontId="0" fillId="2" borderId="50" xfId="0" applyFill="1" applyBorder="1"/>
    <xf numFmtId="0" fontId="0" fillId="2" borderId="55" xfId="0" applyFill="1" applyBorder="1"/>
    <xf numFmtId="0" fontId="0" fillId="2" borderId="46" xfId="0" applyFill="1" applyBorder="1"/>
    <xf numFmtId="0" fontId="0" fillId="2" borderId="56" xfId="0" applyFill="1" applyBorder="1"/>
    <xf numFmtId="0" fontId="0" fillId="2" borderId="54" xfId="0" applyFill="1" applyBorder="1"/>
    <xf numFmtId="0" fontId="0" fillId="2" borderId="15" xfId="0" applyFill="1" applyBorder="1"/>
    <xf numFmtId="0" fontId="0" fillId="2" borderId="49" xfId="0" applyFill="1" applyBorder="1"/>
    <xf numFmtId="0" fontId="24" fillId="2" borderId="0" xfId="0" applyFont="1" applyFill="1"/>
    <xf numFmtId="0" fontId="24" fillId="2" borderId="55" xfId="0" applyFont="1" applyFill="1" applyBorder="1"/>
    <xf numFmtId="0" fontId="0" fillId="2" borderId="0" xfId="0" applyFill="1" applyAlignment="1">
      <alignment vertical="top"/>
    </xf>
    <xf numFmtId="0" fontId="24" fillId="2" borderId="27" xfId="0" applyFont="1" applyFill="1" applyBorder="1"/>
    <xf numFmtId="0" fontId="24" fillId="2" borderId="46" xfId="0" applyFont="1" applyFill="1" applyBorder="1"/>
    <xf numFmtId="0" fontId="24" fillId="2" borderId="55" xfId="0" applyFont="1" applyFill="1" applyBorder="1" applyAlignment="1">
      <alignment horizontal="left"/>
    </xf>
    <xf numFmtId="0" fontId="0" fillId="0" borderId="15" xfId="0" applyBorder="1" applyAlignment="1">
      <alignment horizontal="center"/>
    </xf>
    <xf numFmtId="42" fontId="0" fillId="0" borderId="0" xfId="0" applyNumberFormat="1" applyAlignment="1" applyProtection="1">
      <alignment horizontal="center"/>
      <protection locked="0"/>
    </xf>
    <xf numFmtId="42" fontId="34" fillId="0" borderId="0" xfId="0" applyNumberFormat="1" applyFont="1" applyAlignment="1">
      <alignment horizontal="center"/>
    </xf>
    <xf numFmtId="0" fontId="23" fillId="0" borderId="0" xfId="0" applyFont="1" applyProtection="1">
      <protection locked="0"/>
    </xf>
    <xf numFmtId="42" fontId="0" fillId="0" borderId="0" xfId="0" applyNumberFormat="1" applyAlignment="1" applyProtection="1">
      <alignment horizontal="right"/>
      <protection locked="0"/>
    </xf>
    <xf numFmtId="0" fontId="0" fillId="0" borderId="0" xfId="0" applyAlignment="1" applyProtection="1">
      <alignment horizontal="left" vertical="top" wrapText="1"/>
      <protection locked="0"/>
    </xf>
    <xf numFmtId="44" fontId="0" fillId="0" borderId="0" xfId="0" applyNumberFormat="1"/>
    <xf numFmtId="44" fontId="0" fillId="0" borderId="63" xfId="0" applyNumberFormat="1" applyBorder="1"/>
    <xf numFmtId="0" fontId="0" fillId="0" borderId="0" xfId="0" applyAlignment="1">
      <alignment horizontal="left" vertical="top"/>
    </xf>
    <xf numFmtId="0" fontId="48" fillId="0" borderId="0" xfId="0" applyFont="1" applyAlignment="1">
      <alignment horizontal="left" vertical="top"/>
    </xf>
    <xf numFmtId="10" fontId="0" fillId="0" borderId="0" xfId="0" applyNumberFormat="1" applyAlignment="1">
      <alignment horizontal="center" vertical="top"/>
    </xf>
    <xf numFmtId="0" fontId="0" fillId="2" borderId="0" xfId="0" applyFill="1" applyAlignment="1">
      <alignment horizontal="center" vertical="top" wrapText="1"/>
    </xf>
    <xf numFmtId="0" fontId="50" fillId="0" borderId="0" xfId="0" applyFont="1"/>
    <xf numFmtId="166" fontId="0" fillId="4" borderId="22" xfId="0" applyNumberFormat="1" applyFill="1" applyBorder="1" applyAlignment="1" applyProtection="1">
      <alignment horizontal="center"/>
      <protection locked="0"/>
    </xf>
    <xf numFmtId="0" fontId="0" fillId="4" borderId="24" xfId="0" applyFill="1" applyBorder="1" applyAlignment="1" applyProtection="1">
      <alignment horizontal="center"/>
      <protection locked="0"/>
    </xf>
    <xf numFmtId="49" fontId="0" fillId="4" borderId="23" xfId="0" applyNumberFormat="1" applyFill="1" applyBorder="1" applyAlignment="1">
      <alignment horizontal="center"/>
    </xf>
    <xf numFmtId="0" fontId="45" fillId="2" borderId="0" xfId="0" applyFont="1" applyFill="1"/>
    <xf numFmtId="0" fontId="0" fillId="0" borderId="0" xfId="0" applyAlignment="1">
      <alignment horizontal="left" vertical="top" wrapText="1"/>
    </xf>
    <xf numFmtId="0" fontId="17" fillId="0" borderId="0" xfId="9"/>
    <xf numFmtId="0" fontId="17" fillId="13" borderId="0" xfId="9" applyFill="1" applyAlignment="1">
      <alignment wrapText="1"/>
    </xf>
    <xf numFmtId="14" fontId="17" fillId="0" borderId="0" xfId="9" applyNumberFormat="1" applyAlignment="1">
      <alignment horizontal="left" vertical="top" wrapText="1"/>
    </xf>
    <xf numFmtId="0" fontId="17" fillId="0" borderId="0" xfId="9" applyAlignment="1">
      <alignment horizontal="left" vertical="top" wrapText="1"/>
    </xf>
    <xf numFmtId="171" fontId="17" fillId="0" borderId="0" xfId="9" applyNumberFormat="1"/>
    <xf numFmtId="0" fontId="34" fillId="0" borderId="15" xfId="9" applyFont="1" applyBorder="1"/>
    <xf numFmtId="171" fontId="17" fillId="12" borderId="14" xfId="9" applyNumberFormat="1" applyFill="1" applyBorder="1" applyAlignment="1" applyProtection="1">
      <alignment horizontal="center"/>
      <protection locked="0"/>
    </xf>
    <xf numFmtId="171" fontId="34" fillId="0" borderId="0" xfId="9" applyNumberFormat="1" applyFont="1"/>
    <xf numFmtId="0" fontId="17" fillId="12" borderId="14" xfId="9" applyFill="1" applyBorder="1" applyAlignment="1" applyProtection="1">
      <alignment horizontal="center"/>
      <protection locked="0"/>
    </xf>
    <xf numFmtId="0" fontId="54" fillId="0" borderId="0" xfId="9" applyFont="1"/>
    <xf numFmtId="0" fontId="34" fillId="0" borderId="0" xfId="9" applyFont="1"/>
    <xf numFmtId="0" fontId="17" fillId="0" borderId="9" xfId="9" applyBorder="1"/>
    <xf numFmtId="166" fontId="17" fillId="12" borderId="66" xfId="9" applyNumberFormat="1" applyFill="1" applyBorder="1" applyProtection="1">
      <protection locked="0"/>
    </xf>
    <xf numFmtId="0" fontId="17" fillId="0" borderId="8" xfId="9" applyBorder="1"/>
    <xf numFmtId="0" fontId="17" fillId="0" borderId="7" xfId="9" applyBorder="1"/>
    <xf numFmtId="0" fontId="17" fillId="0" borderId="6" xfId="9" applyBorder="1"/>
    <xf numFmtId="166" fontId="17" fillId="12" borderId="14" xfId="9" applyNumberFormat="1" applyFill="1" applyBorder="1" applyProtection="1">
      <protection locked="0"/>
    </xf>
    <xf numFmtId="0" fontId="17" fillId="0" borderId="5" xfId="9" applyBorder="1"/>
    <xf numFmtId="166" fontId="17" fillId="12" borderId="67" xfId="9" applyNumberFormat="1" applyFill="1" applyBorder="1" applyProtection="1">
      <protection locked="0"/>
    </xf>
    <xf numFmtId="0" fontId="17" fillId="0" borderId="46" xfId="9" applyBorder="1"/>
    <xf numFmtId="0" fontId="17" fillId="0" borderId="15" xfId="9" applyBorder="1"/>
    <xf numFmtId="166" fontId="17" fillId="0" borderId="0" xfId="9" applyNumberFormat="1"/>
    <xf numFmtId="166" fontId="17" fillId="0" borderId="15" xfId="9" applyNumberFormat="1" applyBorder="1"/>
    <xf numFmtId="166" fontId="17" fillId="12" borderId="22" xfId="9" applyNumberFormat="1" applyFill="1" applyBorder="1" applyProtection="1">
      <protection locked="0"/>
    </xf>
    <xf numFmtId="166" fontId="17" fillId="0" borderId="46" xfId="9" applyNumberFormat="1" applyBorder="1"/>
    <xf numFmtId="0" fontId="17" fillId="0" borderId="4" xfId="9" applyBorder="1"/>
    <xf numFmtId="0" fontId="17" fillId="0" borderId="3" xfId="9" applyBorder="1"/>
    <xf numFmtId="166" fontId="34" fillId="0" borderId="0" xfId="9" applyNumberFormat="1" applyFont="1" applyAlignment="1">
      <alignment horizontal="center"/>
    </xf>
    <xf numFmtId="0" fontId="34" fillId="0" borderId="46" xfId="9" applyFont="1" applyBorder="1"/>
    <xf numFmtId="0" fontId="17" fillId="0" borderId="55" xfId="9" applyBorder="1"/>
    <xf numFmtId="0" fontId="17" fillId="0" borderId="27" xfId="9" applyBorder="1"/>
    <xf numFmtId="0" fontId="34" fillId="12" borderId="14" xfId="9" applyFont="1" applyFill="1" applyBorder="1" applyAlignment="1" applyProtection="1">
      <alignment horizontal="center"/>
      <protection locked="0"/>
    </xf>
    <xf numFmtId="0" fontId="17" fillId="0" borderId="68" xfId="9" applyBorder="1"/>
    <xf numFmtId="0" fontId="17" fillId="0" borderId="69" xfId="9" applyBorder="1"/>
    <xf numFmtId="0" fontId="17" fillId="0" borderId="70" xfId="9" applyBorder="1"/>
    <xf numFmtId="3" fontId="17" fillId="0" borderId="0" xfId="9" applyNumberFormat="1"/>
    <xf numFmtId="10" fontId="52" fillId="16" borderId="66" xfId="9" applyNumberFormat="1" applyFont="1" applyFill="1" applyBorder="1"/>
    <xf numFmtId="10" fontId="17" fillId="15" borderId="66" xfId="9" applyNumberFormat="1" applyFill="1" applyBorder="1" applyProtection="1">
      <protection locked="0"/>
    </xf>
    <xf numFmtId="0" fontId="17" fillId="0" borderId="8" xfId="9" applyBorder="1" applyAlignment="1">
      <alignment horizontal="right"/>
    </xf>
    <xf numFmtId="0" fontId="17" fillId="0" borderId="7" xfId="9" applyBorder="1" applyAlignment="1">
      <alignment horizontal="right"/>
    </xf>
    <xf numFmtId="0" fontId="17" fillId="0" borderId="0" xfId="9" applyAlignment="1">
      <alignment horizontal="right"/>
    </xf>
    <xf numFmtId="0" fontId="17" fillId="0" borderId="5" xfId="9" applyBorder="1" applyAlignment="1">
      <alignment horizontal="left"/>
    </xf>
    <xf numFmtId="10" fontId="52" fillId="16" borderId="14" xfId="9" applyNumberFormat="1" applyFont="1" applyFill="1" applyBorder="1"/>
    <xf numFmtId="0" fontId="17" fillId="0" borderId="5" xfId="9" applyBorder="1" applyAlignment="1">
      <alignment horizontal="right"/>
    </xf>
    <xf numFmtId="10" fontId="17" fillId="15" borderId="14" xfId="9" applyNumberFormat="1" applyFill="1" applyBorder="1" applyProtection="1">
      <protection locked="0"/>
    </xf>
    <xf numFmtId="9" fontId="17" fillId="0" borderId="0" xfId="9" applyNumberFormat="1"/>
    <xf numFmtId="0" fontId="17" fillId="0" borderId="2" xfId="9" applyBorder="1"/>
    <xf numFmtId="10" fontId="57" fillId="16" borderId="71" xfId="9" applyNumberFormat="1" applyFont="1" applyFill="1" applyBorder="1"/>
    <xf numFmtId="0" fontId="43" fillId="0" borderId="7" xfId="9" applyFont="1" applyBorder="1"/>
    <xf numFmtId="10" fontId="52" fillId="16" borderId="20" xfId="9" applyNumberFormat="1" applyFont="1" applyFill="1" applyBorder="1"/>
    <xf numFmtId="0" fontId="34" fillId="0" borderId="2" xfId="9" applyFont="1" applyBorder="1"/>
    <xf numFmtId="9" fontId="17" fillId="0" borderId="8" xfId="9" applyNumberFormat="1" applyBorder="1"/>
    <xf numFmtId="3" fontId="17" fillId="0" borderId="5" xfId="9" applyNumberFormat="1" applyBorder="1"/>
    <xf numFmtId="0" fontId="17" fillId="0" borderId="75" xfId="9" applyBorder="1" applyAlignment="1">
      <alignment horizontal="right"/>
    </xf>
    <xf numFmtId="49" fontId="17" fillId="0" borderId="0" xfId="9" applyNumberFormat="1"/>
    <xf numFmtId="10" fontId="17" fillId="0" borderId="0" xfId="9" applyNumberFormat="1"/>
    <xf numFmtId="3" fontId="34" fillId="0" borderId="0" xfId="9" applyNumberFormat="1" applyFont="1"/>
    <xf numFmtId="3" fontId="17" fillId="0" borderId="3" xfId="9" applyNumberFormat="1" applyBorder="1"/>
    <xf numFmtId="10" fontId="17" fillId="12" borderId="14" xfId="9" applyNumberFormat="1" applyFill="1" applyBorder="1" applyProtection="1">
      <protection locked="0"/>
    </xf>
    <xf numFmtId="10" fontId="52" fillId="0" borderId="0" xfId="9" applyNumberFormat="1" applyFont="1"/>
    <xf numFmtId="4" fontId="17" fillId="0" borderId="0" xfId="9" applyNumberFormat="1"/>
    <xf numFmtId="0" fontId="17" fillId="0" borderId="77" xfId="9" applyBorder="1"/>
    <xf numFmtId="0" fontId="17" fillId="0" borderId="78" xfId="9" applyBorder="1"/>
    <xf numFmtId="4" fontId="17" fillId="0" borderId="78" xfId="9" applyNumberFormat="1" applyBorder="1"/>
    <xf numFmtId="0" fontId="17" fillId="0" borderId="79" xfId="9" applyBorder="1"/>
    <xf numFmtId="0" fontId="17" fillId="0" borderId="80" xfId="9" applyBorder="1"/>
    <xf numFmtId="0" fontId="17" fillId="0" borderId="81" xfId="9" applyBorder="1"/>
    <xf numFmtId="166" fontId="17" fillId="14" borderId="1" xfId="9" applyNumberFormat="1" applyFill="1" applyBorder="1"/>
    <xf numFmtId="166" fontId="17" fillId="0" borderId="1" xfId="9" applyNumberFormat="1" applyBorder="1"/>
    <xf numFmtId="4" fontId="17" fillId="0" borderId="80" xfId="9" applyNumberFormat="1" applyBorder="1"/>
    <xf numFmtId="166" fontId="17" fillId="0" borderId="81" xfId="9" applyNumberFormat="1" applyBorder="1"/>
    <xf numFmtId="0" fontId="17" fillId="0" borderId="56" xfId="9" applyBorder="1"/>
    <xf numFmtId="166" fontId="52" fillId="0" borderId="46" xfId="9" applyNumberFormat="1" applyFont="1" applyBorder="1"/>
    <xf numFmtId="0" fontId="51" fillId="0" borderId="55" xfId="9" applyFont="1" applyBorder="1"/>
    <xf numFmtId="0" fontId="17" fillId="0" borderId="82" xfId="9" applyBorder="1"/>
    <xf numFmtId="0" fontId="17" fillId="0" borderId="63" xfId="9" applyBorder="1"/>
    <xf numFmtId="0" fontId="17" fillId="0" borderId="83" xfId="9" applyBorder="1"/>
    <xf numFmtId="0" fontId="17" fillId="0" borderId="49" xfId="9" applyBorder="1"/>
    <xf numFmtId="0" fontId="17" fillId="0" borderId="54" xfId="9" applyBorder="1"/>
    <xf numFmtId="4" fontId="17" fillId="0" borderId="63" xfId="9" applyNumberFormat="1" applyBorder="1"/>
    <xf numFmtId="9" fontId="56" fillId="0" borderId="84" xfId="9" applyNumberFormat="1" applyFont="1" applyBorder="1" applyAlignment="1">
      <alignment horizontal="center"/>
    </xf>
    <xf numFmtId="0" fontId="56" fillId="0" borderId="85" xfId="9" applyFont="1" applyBorder="1"/>
    <xf numFmtId="0" fontId="56" fillId="0" borderId="7" xfId="9" applyFont="1" applyBorder="1" applyAlignment="1">
      <alignment horizontal="center"/>
    </xf>
    <xf numFmtId="9" fontId="56" fillId="0" borderId="86" xfId="9" applyNumberFormat="1" applyFont="1" applyBorder="1" applyAlignment="1">
      <alignment horizontal="center"/>
    </xf>
    <xf numFmtId="0" fontId="56" fillId="0" borderId="87" xfId="9" applyFont="1" applyBorder="1"/>
    <xf numFmtId="0" fontId="56" fillId="0" borderId="5" xfId="9" applyFont="1" applyBorder="1" applyAlignment="1">
      <alignment horizontal="center"/>
    </xf>
    <xf numFmtId="0" fontId="56" fillId="0" borderId="5" xfId="9" applyFont="1" applyBorder="1" applyAlignment="1">
      <alignment horizontal="right"/>
    </xf>
    <xf numFmtId="9" fontId="56" fillId="0" borderId="88" xfId="9" applyNumberFormat="1" applyFont="1" applyBorder="1" applyAlignment="1">
      <alignment horizontal="center"/>
    </xf>
    <xf numFmtId="0" fontId="56" fillId="0" borderId="89" xfId="9" applyFont="1" applyBorder="1"/>
    <xf numFmtId="9" fontId="56" fillId="0" borderId="6" xfId="9" applyNumberFormat="1" applyFont="1" applyBorder="1" applyAlignment="1">
      <alignment horizontal="center"/>
    </xf>
    <xf numFmtId="0" fontId="56" fillId="0" borderId="0" xfId="9" applyFont="1"/>
    <xf numFmtId="178" fontId="56" fillId="0" borderId="5" xfId="10" applyNumberFormat="1" applyFont="1" applyBorder="1"/>
    <xf numFmtId="0" fontId="58" fillId="0" borderId="6" xfId="9" applyFont="1" applyBorder="1" applyAlignment="1">
      <alignment horizontal="center" wrapText="1"/>
    </xf>
    <xf numFmtId="0" fontId="58" fillId="0" borderId="5" xfId="9" applyFont="1" applyBorder="1" applyAlignment="1">
      <alignment horizontal="center" vertical="top"/>
    </xf>
    <xf numFmtId="175" fontId="17" fillId="0" borderId="0" xfId="9" applyNumberFormat="1"/>
    <xf numFmtId="166" fontId="17" fillId="0" borderId="56" xfId="9" applyNumberFormat="1" applyBorder="1"/>
    <xf numFmtId="166" fontId="17" fillId="0" borderId="55" xfId="9" applyNumberFormat="1" applyBorder="1"/>
    <xf numFmtId="166" fontId="17" fillId="0" borderId="50" xfId="9" applyNumberFormat="1" applyBorder="1"/>
    <xf numFmtId="166" fontId="17" fillId="0" borderId="27" xfId="9" applyNumberFormat="1" applyBorder="1"/>
    <xf numFmtId="166" fontId="17" fillId="0" borderId="49" xfId="9" applyNumberFormat="1" applyBorder="1"/>
    <xf numFmtId="166" fontId="17" fillId="0" borderId="54" xfId="9" applyNumberFormat="1" applyBorder="1"/>
    <xf numFmtId="166" fontId="55" fillId="0" borderId="6" xfId="9" applyNumberFormat="1" applyFont="1" applyBorder="1"/>
    <xf numFmtId="166" fontId="55" fillId="0" borderId="0" xfId="9" applyNumberFormat="1" applyFont="1"/>
    <xf numFmtId="166" fontId="17" fillId="0" borderId="5" xfId="9" applyNumberFormat="1" applyBorder="1"/>
    <xf numFmtId="166" fontId="17" fillId="0" borderId="3" xfId="9" applyNumberFormat="1" applyBorder="1"/>
    <xf numFmtId="0" fontId="17" fillId="0" borderId="93" xfId="9" applyBorder="1"/>
    <xf numFmtId="0" fontId="17" fillId="0" borderId="28" xfId="9" applyBorder="1"/>
    <xf numFmtId="166" fontId="17" fillId="0" borderId="28" xfId="9" applyNumberFormat="1" applyBorder="1"/>
    <xf numFmtId="0" fontId="17" fillId="0" borderId="94" xfId="9" applyBorder="1"/>
    <xf numFmtId="166" fontId="17" fillId="0" borderId="25" xfId="9" applyNumberFormat="1" applyBorder="1"/>
    <xf numFmtId="3" fontId="55" fillId="0" borderId="90" xfId="9" applyNumberFormat="1" applyFont="1" applyBorder="1"/>
    <xf numFmtId="3" fontId="55" fillId="0" borderId="26" xfId="9" applyNumberFormat="1" applyFont="1" applyBorder="1"/>
    <xf numFmtId="3" fontId="55" fillId="0" borderId="95" xfId="9" applyNumberFormat="1" applyFont="1" applyBorder="1"/>
    <xf numFmtId="3" fontId="55" fillId="0" borderId="96" xfId="9" applyNumberFormat="1" applyFont="1" applyBorder="1"/>
    <xf numFmtId="0" fontId="59" fillId="0" borderId="0" xfId="9" applyFont="1"/>
    <xf numFmtId="0" fontId="17" fillId="0" borderId="29" xfId="9" applyBorder="1"/>
    <xf numFmtId="166" fontId="17" fillId="0" borderId="29" xfId="9" applyNumberFormat="1" applyBorder="1"/>
    <xf numFmtId="0" fontId="34" fillId="12" borderId="14" xfId="9" applyFont="1" applyFill="1" applyBorder="1" applyProtection="1">
      <protection locked="0"/>
    </xf>
    <xf numFmtId="0" fontId="17" fillId="0" borderId="98" xfId="9" applyBorder="1"/>
    <xf numFmtId="0" fontId="34" fillId="0" borderId="46" xfId="9" applyFont="1" applyBorder="1" applyAlignment="1">
      <alignment horizontal="center" vertical="center"/>
    </xf>
    <xf numFmtId="42" fontId="17" fillId="0" borderId="0" xfId="9" applyNumberFormat="1"/>
    <xf numFmtId="0" fontId="17" fillId="0" borderId="0" xfId="9" applyAlignment="1">
      <alignment vertical="center"/>
    </xf>
    <xf numFmtId="0" fontId="50" fillId="0" borderId="0" xfId="9" applyFont="1" applyAlignment="1">
      <alignment vertical="center"/>
    </xf>
    <xf numFmtId="0" fontId="60" fillId="0" borderId="0" xfId="9" applyFont="1"/>
    <xf numFmtId="0" fontId="62" fillId="0" borderId="0" xfId="11"/>
    <xf numFmtId="0" fontId="63" fillId="0" borderId="0" xfId="9" applyFont="1"/>
    <xf numFmtId="0" fontId="63" fillId="0" borderId="5" xfId="9" applyFont="1" applyBorder="1"/>
    <xf numFmtId="10" fontId="17" fillId="0" borderId="14" xfId="9" applyNumberFormat="1" applyBorder="1" applyProtection="1">
      <protection locked="0"/>
    </xf>
    <xf numFmtId="166" fontId="64" fillId="0" borderId="0" xfId="9" applyNumberFormat="1" applyFont="1" applyAlignment="1">
      <alignment horizontal="center"/>
    </xf>
    <xf numFmtId="0" fontId="17" fillId="0" borderId="100" xfId="9" applyBorder="1"/>
    <xf numFmtId="166" fontId="65" fillId="0" borderId="0" xfId="9" applyNumberFormat="1" applyFont="1" applyAlignment="1">
      <alignment horizontal="center"/>
    </xf>
    <xf numFmtId="0" fontId="17" fillId="0" borderId="102" xfId="9" applyBorder="1" applyAlignment="1">
      <alignment horizontal="center"/>
    </xf>
    <xf numFmtId="14" fontId="66" fillId="0" borderId="0" xfId="9" applyNumberFormat="1" applyFont="1"/>
    <xf numFmtId="0" fontId="66" fillId="0" borderId="0" xfId="9" applyFont="1"/>
    <xf numFmtId="0" fontId="40" fillId="0" borderId="0" xfId="9" applyFont="1"/>
    <xf numFmtId="0" fontId="17" fillId="0" borderId="0" xfId="9" applyAlignment="1">
      <alignment vertical="top"/>
    </xf>
    <xf numFmtId="0" fontId="17" fillId="0" borderId="0" xfId="9" applyAlignment="1">
      <alignment vertical="top" wrapText="1"/>
    </xf>
    <xf numFmtId="0" fontId="16" fillId="0" borderId="0" xfId="13"/>
    <xf numFmtId="0" fontId="33" fillId="0" borderId="0" xfId="13" applyFont="1" applyAlignment="1">
      <alignment horizontal="center" wrapText="1"/>
    </xf>
    <xf numFmtId="166" fontId="33" fillId="0" borderId="0" xfId="13" applyNumberFormat="1" applyFont="1" applyAlignment="1">
      <alignment horizontal="center" wrapText="1"/>
    </xf>
    <xf numFmtId="0" fontId="33" fillId="0" borderId="0" xfId="13" applyFont="1" applyAlignment="1">
      <alignment horizontal="left" wrapText="1"/>
    </xf>
    <xf numFmtId="0" fontId="33" fillId="0" borderId="46" xfId="13" applyFont="1" applyBorder="1" applyAlignment="1">
      <alignment horizontal="center" wrapText="1"/>
    </xf>
    <xf numFmtId="0" fontId="33" fillId="0" borderId="46" xfId="13" quotePrefix="1" applyFont="1" applyBorder="1" applyAlignment="1">
      <alignment horizontal="center" wrapText="1"/>
    </xf>
    <xf numFmtId="0" fontId="33" fillId="0" borderId="46" xfId="13" applyFont="1" applyBorder="1" applyAlignment="1">
      <alignment horizontal="center"/>
    </xf>
    <xf numFmtId="0" fontId="33" fillId="0" borderId="46" xfId="13" applyFont="1" applyBorder="1" applyAlignment="1">
      <alignment horizontal="left"/>
    </xf>
    <xf numFmtId="0" fontId="0" fillId="5" borderId="1" xfId="0" applyFill="1" applyBorder="1" applyAlignment="1" applyProtection="1">
      <alignment horizontal="center" shrinkToFit="1"/>
      <protection locked="0"/>
    </xf>
    <xf numFmtId="0" fontId="24" fillId="2" borderId="27" xfId="0" quotePrefix="1" applyFont="1" applyFill="1" applyBorder="1" applyAlignment="1">
      <alignment horizontal="left"/>
    </xf>
    <xf numFmtId="0" fontId="0" fillId="12" borderId="14" xfId="0" applyFill="1" applyBorder="1" applyAlignment="1" applyProtection="1">
      <alignment horizontal="center"/>
      <protection locked="0"/>
    </xf>
    <xf numFmtId="3" fontId="0" fillId="4" borderId="14" xfId="0" applyNumberFormat="1" applyFill="1" applyBorder="1" applyAlignment="1" applyProtection="1">
      <alignment horizontal="center"/>
      <protection locked="0"/>
    </xf>
    <xf numFmtId="0" fontId="42" fillId="0" borderId="0" xfId="0" applyFont="1" applyAlignment="1">
      <alignment vertical="center"/>
    </xf>
    <xf numFmtId="0" fontId="0" fillId="17" borderId="0" xfId="0" applyFill="1" applyAlignment="1">
      <alignment horizontal="center"/>
    </xf>
    <xf numFmtId="42" fontId="0" fillId="17" borderId="0" xfId="0" applyNumberFormat="1" applyFill="1" applyAlignment="1">
      <alignment horizontal="center"/>
    </xf>
    <xf numFmtId="166" fontId="0" fillId="17" borderId="0" xfId="0" applyNumberFormat="1" applyFill="1" applyAlignment="1">
      <alignment horizontal="center"/>
    </xf>
    <xf numFmtId="0" fontId="0" fillId="0" borderId="51" xfId="0" applyBorder="1" applyAlignment="1">
      <alignment horizontal="center"/>
    </xf>
    <xf numFmtId="42" fontId="0" fillId="0" borderId="51" xfId="0" applyNumberFormat="1" applyBorder="1" applyAlignment="1">
      <alignment horizontal="center"/>
    </xf>
    <xf numFmtId="166" fontId="0" fillId="0" borderId="51" xfId="0" applyNumberFormat="1" applyBorder="1" applyAlignment="1">
      <alignment horizontal="center"/>
    </xf>
    <xf numFmtId="0" fontId="0" fillId="17" borderId="51" xfId="0" applyFill="1" applyBorder="1" applyAlignment="1">
      <alignment horizontal="center"/>
    </xf>
    <xf numFmtId="166" fontId="0" fillId="17" borderId="51" xfId="0" applyNumberFormat="1" applyFill="1" applyBorder="1" applyAlignment="1">
      <alignment horizontal="center"/>
    </xf>
    <xf numFmtId="0" fontId="49" fillId="0" borderId="0" xfId="0" applyFont="1" applyAlignment="1" applyProtection="1">
      <alignment vertical="center"/>
      <protection locked="0"/>
    </xf>
    <xf numFmtId="0" fontId="33" fillId="0" borderId="0" xfId="0" applyFont="1" applyAlignment="1" applyProtection="1">
      <alignment vertical="top" wrapText="1"/>
      <protection locked="0"/>
    </xf>
    <xf numFmtId="0" fontId="0" fillId="0" borderId="0" xfId="0" quotePrefix="1" applyAlignment="1" applyProtection="1">
      <alignment horizontal="left"/>
      <protection locked="0"/>
    </xf>
    <xf numFmtId="0" fontId="0" fillId="0" borderId="0" xfId="0" quotePrefix="1" applyAlignment="1">
      <alignment horizontal="left"/>
    </xf>
    <xf numFmtId="0" fontId="36" fillId="0" borderId="0" xfId="0" applyFont="1" applyAlignment="1">
      <alignment vertical="top" wrapText="1"/>
    </xf>
    <xf numFmtId="0" fontId="69" fillId="0" borderId="0" xfId="0" applyFont="1" applyProtection="1">
      <protection locked="0"/>
    </xf>
    <xf numFmtId="0" fontId="0" fillId="0" borderId="0" xfId="0" applyAlignment="1">
      <alignment vertical="top" wrapText="1"/>
    </xf>
    <xf numFmtId="170" fontId="0" fillId="17" borderId="0" xfId="6" applyNumberFormat="1" applyFont="1" applyFill="1"/>
    <xf numFmtId="170" fontId="0" fillId="0" borderId="51" xfId="6" applyNumberFormat="1" applyFont="1" applyFill="1" applyBorder="1"/>
    <xf numFmtId="0" fontId="0" fillId="0" borderId="58" xfId="0" applyBorder="1"/>
    <xf numFmtId="170" fontId="23" fillId="0" borderId="58" xfId="0" applyNumberFormat="1" applyFont="1" applyBorder="1"/>
    <xf numFmtId="166" fontId="33" fillId="0" borderId="0" xfId="13" applyNumberFormat="1" applyFont="1" applyAlignment="1">
      <alignment horizontal="center"/>
    </xf>
    <xf numFmtId="0" fontId="33" fillId="0" borderId="0" xfId="13" applyFont="1"/>
    <xf numFmtId="9" fontId="0" fillId="9" borderId="14" xfId="0" applyNumberFormat="1" applyFill="1" applyBorder="1" applyAlignment="1" applyProtection="1">
      <alignment horizontal="center"/>
      <protection locked="0"/>
    </xf>
    <xf numFmtId="10" fontId="0" fillId="2" borderId="0" xfId="0" applyNumberFormat="1" applyFill="1"/>
    <xf numFmtId="9" fontId="0" fillId="2" borderId="0" xfId="7" applyFont="1" applyFill="1"/>
    <xf numFmtId="42" fontId="0" fillId="2" borderId="0" xfId="6" applyNumberFormat="1" applyFont="1" applyFill="1"/>
    <xf numFmtId="0" fontId="23" fillId="2" borderId="0" xfId="0" quotePrefix="1" applyFont="1" applyFill="1" applyAlignment="1">
      <alignment horizontal="left"/>
    </xf>
    <xf numFmtId="0" fontId="0" fillId="9" borderId="14" xfId="0" quotePrefix="1" applyFill="1" applyBorder="1" applyAlignment="1" applyProtection="1">
      <alignment horizontal="center"/>
      <protection locked="0"/>
    </xf>
    <xf numFmtId="168" fontId="25" fillId="0" borderId="69" xfId="0" applyNumberFormat="1" applyFont="1" applyBorder="1"/>
    <xf numFmtId="0" fontId="0" fillId="2" borderId="108" xfId="0" applyFill="1" applyBorder="1"/>
    <xf numFmtId="0" fontId="25" fillId="2" borderId="14" xfId="0" applyFont="1" applyFill="1" applyBorder="1" applyAlignment="1">
      <alignment horizontal="center" vertical="center" wrapText="1"/>
    </xf>
    <xf numFmtId="6" fontId="0" fillId="18" borderId="14" xfId="0" applyNumberFormat="1" applyFill="1" applyBorder="1" applyAlignment="1">
      <alignment horizontal="right"/>
    </xf>
    <xf numFmtId="0" fontId="36" fillId="2" borderId="0" xfId="0" applyFont="1" applyFill="1" applyProtection="1">
      <protection locked="0"/>
    </xf>
    <xf numFmtId="0" fontId="36" fillId="2" borderId="0" xfId="0" applyFont="1" applyFill="1"/>
    <xf numFmtId="0" fontId="0" fillId="2" borderId="109" xfId="0" applyFill="1" applyBorder="1"/>
    <xf numFmtId="0" fontId="0" fillId="2" borderId="110" xfId="0" applyFill="1" applyBorder="1"/>
    <xf numFmtId="0" fontId="0" fillId="2" borderId="111" xfId="0" applyFill="1" applyBorder="1"/>
    <xf numFmtId="0" fontId="38" fillId="2" borderId="0" xfId="0" applyFont="1" applyFill="1"/>
    <xf numFmtId="0" fontId="38" fillId="2" borderId="0" xfId="0" applyFont="1" applyFill="1" applyAlignment="1">
      <alignment horizontal="right"/>
    </xf>
    <xf numFmtId="0" fontId="0" fillId="2" borderId="112" xfId="0" applyFill="1" applyBorder="1"/>
    <xf numFmtId="0" fontId="0" fillId="2" borderId="108" xfId="0" applyFill="1" applyBorder="1" applyAlignment="1">
      <alignment horizontal="right"/>
    </xf>
    <xf numFmtId="0" fontId="38" fillId="2" borderId="108" xfId="0" applyFont="1" applyFill="1" applyBorder="1"/>
    <xf numFmtId="0" fontId="0" fillId="2" borderId="0" xfId="0" applyFill="1" applyAlignment="1">
      <alignment horizontal="left"/>
    </xf>
    <xf numFmtId="0" fontId="0" fillId="2" borderId="6" xfId="0" applyFill="1" applyBorder="1" applyAlignment="1">
      <alignment horizontal="left"/>
    </xf>
    <xf numFmtId="49" fontId="0" fillId="2" borderId="0" xfId="0" applyNumberFormat="1" applyFill="1" applyAlignment="1">
      <alignment horizontal="right"/>
    </xf>
    <xf numFmtId="0" fontId="38" fillId="2" borderId="0" xfId="0" applyFont="1" applyFill="1" applyAlignment="1">
      <alignment horizontal="left"/>
    </xf>
    <xf numFmtId="0" fontId="33" fillId="2" borderId="0" xfId="0" applyFont="1" applyFill="1"/>
    <xf numFmtId="0" fontId="71" fillId="2" borderId="0" xfId="0" applyFont="1" applyFill="1" applyProtection="1">
      <protection locked="0"/>
    </xf>
    <xf numFmtId="0" fontId="71" fillId="2" borderId="0" xfId="0" applyFont="1" applyFill="1"/>
    <xf numFmtId="49" fontId="71" fillId="2" borderId="0" xfId="0" applyNumberFormat="1" applyFont="1" applyFill="1"/>
    <xf numFmtId="0" fontId="38" fillId="2" borderId="113" xfId="0" applyFont="1" applyFill="1" applyBorder="1" applyAlignment="1">
      <alignment horizontal="right"/>
    </xf>
    <xf numFmtId="0" fontId="38" fillId="2" borderId="108" xfId="0" applyFont="1" applyFill="1" applyBorder="1" applyAlignment="1">
      <alignment horizontal="left"/>
    </xf>
    <xf numFmtId="0" fontId="0" fillId="2" borderId="14" xfId="0" applyFill="1" applyBorder="1" applyAlignment="1">
      <alignment horizontal="right"/>
    </xf>
    <xf numFmtId="0" fontId="0" fillId="2" borderId="14" xfId="0" applyFill="1" applyBorder="1"/>
    <xf numFmtId="0" fontId="0" fillId="2" borderId="22" xfId="0" applyFill="1" applyBorder="1"/>
    <xf numFmtId="0" fontId="0" fillId="2" borderId="14" xfId="0" applyFill="1" applyBorder="1" applyAlignment="1">
      <alignment horizontal="left"/>
    </xf>
    <xf numFmtId="0" fontId="0" fillId="2" borderId="0" xfId="0" applyFill="1" applyAlignment="1">
      <alignment horizontal="left" vertical="center"/>
    </xf>
    <xf numFmtId="0" fontId="0" fillId="2" borderId="57" xfId="0" applyFill="1" applyBorder="1" applyAlignment="1">
      <alignment horizontal="right"/>
    </xf>
    <xf numFmtId="0" fontId="33" fillId="2" borderId="0" xfId="0" applyFont="1" applyFill="1" applyAlignment="1">
      <alignment horizontal="left"/>
    </xf>
    <xf numFmtId="0" fontId="33" fillId="2" borderId="108" xfId="0" applyFont="1" applyFill="1" applyBorder="1"/>
    <xf numFmtId="0" fontId="33" fillId="2" borderId="108" xfId="0" applyFont="1" applyFill="1" applyBorder="1" applyAlignment="1">
      <alignment horizontal="left"/>
    </xf>
    <xf numFmtId="0" fontId="33" fillId="2" borderId="112" xfId="0" applyFont="1" applyFill="1" applyBorder="1"/>
    <xf numFmtId="0" fontId="33" fillId="2" borderId="119" xfId="0" applyFont="1" applyFill="1" applyBorder="1"/>
    <xf numFmtId="0" fontId="23" fillId="2" borderId="108" xfId="0" quotePrefix="1" applyFont="1" applyFill="1" applyBorder="1" applyAlignment="1">
      <alignment horizontal="left"/>
    </xf>
    <xf numFmtId="0" fontId="0" fillId="2" borderId="120" xfId="0" applyFill="1" applyBorder="1"/>
    <xf numFmtId="49" fontId="0" fillId="9" borderId="121" xfId="0" applyNumberFormat="1" applyFill="1" applyBorder="1" applyProtection="1">
      <protection locked="0"/>
    </xf>
    <xf numFmtId="0" fontId="0" fillId="2" borderId="119" xfId="0" applyFill="1" applyBorder="1"/>
    <xf numFmtId="0" fontId="0" fillId="2" borderId="122" xfId="0" applyFill="1" applyBorder="1"/>
    <xf numFmtId="0" fontId="23" fillId="2" borderId="8" xfId="0" applyFont="1" applyFill="1" applyBorder="1" applyAlignment="1">
      <alignment horizontal="center"/>
    </xf>
    <xf numFmtId="0" fontId="23" fillId="2" borderId="46" xfId="0" applyFont="1" applyFill="1" applyBorder="1" applyAlignment="1">
      <alignment horizontal="center"/>
    </xf>
    <xf numFmtId="0" fontId="23" fillId="2" borderId="0" xfId="0" applyFont="1" applyFill="1" applyAlignment="1">
      <alignment horizontal="right"/>
    </xf>
    <xf numFmtId="0" fontId="0" fillId="0" borderId="0" xfId="0" applyAlignment="1">
      <alignment horizontal="center"/>
    </xf>
    <xf numFmtId="0" fontId="0" fillId="0" borderId="46" xfId="0" applyBorder="1" applyAlignment="1">
      <alignment horizontal="center"/>
    </xf>
    <xf numFmtId="49" fontId="0" fillId="9" borderId="24" xfId="0" applyNumberFormat="1" applyFill="1" applyBorder="1" applyAlignment="1" applyProtection="1">
      <alignment horizontal="left"/>
      <protection locked="0"/>
    </xf>
    <xf numFmtId="0" fontId="0" fillId="2" borderId="14" xfId="0" applyFill="1" applyBorder="1" applyAlignment="1">
      <alignment horizontal="center"/>
    </xf>
    <xf numFmtId="49" fontId="0" fillId="9" borderId="14" xfId="0" applyNumberFormat="1" applyFill="1" applyBorder="1" applyAlignment="1" applyProtection="1">
      <alignment horizontal="center"/>
      <protection locked="0"/>
    </xf>
    <xf numFmtId="49" fontId="0" fillId="9" borderId="14" xfId="0" applyNumberFormat="1" applyFill="1" applyBorder="1" applyAlignment="1" applyProtection="1">
      <alignment horizontal="left"/>
      <protection locked="0"/>
    </xf>
    <xf numFmtId="0" fontId="25" fillId="2" borderId="14" xfId="0" applyFont="1" applyFill="1" applyBorder="1" applyAlignment="1">
      <alignment horizontal="center" vertical="center"/>
    </xf>
    <xf numFmtId="0" fontId="27" fillId="2" borderId="0" xfId="0" applyFont="1" applyFill="1" applyAlignment="1">
      <alignment horizontal="center" vertical="center"/>
    </xf>
    <xf numFmtId="0" fontId="0" fillId="2" borderId="0" xfId="0" applyFill="1" applyAlignment="1">
      <alignment horizontal="center"/>
    </xf>
    <xf numFmtId="0" fontId="24" fillId="2" borderId="27" xfId="0" applyFont="1" applyFill="1" applyBorder="1" applyAlignment="1">
      <alignment vertical="top" wrapText="1"/>
    </xf>
    <xf numFmtId="0" fontId="24" fillId="2" borderId="0" xfId="0" applyFont="1" applyFill="1" applyAlignment="1">
      <alignment vertical="top" wrapText="1"/>
    </xf>
    <xf numFmtId="0" fontId="24" fillId="2" borderId="50" xfId="0" applyFont="1" applyFill="1" applyBorder="1" applyAlignment="1">
      <alignment vertical="top" wrapText="1"/>
    </xf>
    <xf numFmtId="0" fontId="33" fillId="0" borderId="0" xfId="0" applyFont="1" applyAlignment="1" applyProtection="1">
      <alignment horizontal="left" vertical="top" wrapText="1"/>
      <protection locked="0"/>
    </xf>
    <xf numFmtId="0" fontId="42" fillId="0" borderId="0" xfId="0" applyFont="1" applyAlignment="1">
      <alignment horizontal="center" vertical="center"/>
    </xf>
    <xf numFmtId="0" fontId="49" fillId="0" borderId="0" xfId="0" applyFont="1" applyAlignment="1" applyProtection="1">
      <alignment horizontal="center" vertical="center"/>
      <protection locked="0"/>
    </xf>
    <xf numFmtId="0" fontId="44" fillId="0" borderId="106" xfId="0" applyFont="1" applyBorder="1" applyAlignment="1">
      <alignment horizontal="center"/>
    </xf>
    <xf numFmtId="0" fontId="28" fillId="6" borderId="0" xfId="0" applyFont="1" applyFill="1" applyAlignment="1">
      <alignment horizontal="center"/>
    </xf>
    <xf numFmtId="0" fontId="27" fillId="6" borderId="28" xfId="0" applyFont="1" applyFill="1" applyBorder="1" applyAlignment="1">
      <alignment horizontal="center"/>
    </xf>
    <xf numFmtId="0" fontId="28" fillId="6" borderId="18" xfId="0" applyFont="1" applyFill="1" applyBorder="1" applyAlignment="1">
      <alignment horizontal="center"/>
    </xf>
    <xf numFmtId="0" fontId="28" fillId="6" borderId="28" xfId="0" applyFont="1" applyFill="1" applyBorder="1" applyAlignment="1">
      <alignment horizontal="center"/>
    </xf>
    <xf numFmtId="10" fontId="30" fillId="7" borderId="23" xfId="0" applyNumberFormat="1" applyFont="1" applyFill="1" applyBorder="1" applyAlignment="1" applyProtection="1">
      <alignment horizontal="center"/>
      <protection locked="0"/>
    </xf>
    <xf numFmtId="10" fontId="30" fillId="7" borderId="34" xfId="0" applyNumberFormat="1" applyFont="1" applyFill="1" applyBorder="1" applyAlignment="1" applyProtection="1">
      <alignment horizontal="center"/>
      <protection locked="0"/>
    </xf>
    <xf numFmtId="0" fontId="34" fillId="0" borderId="0" xfId="9" applyFont="1" applyAlignment="1">
      <alignment horizontal="center"/>
    </xf>
    <xf numFmtId="0" fontId="17" fillId="0" borderId="0" xfId="9" applyAlignment="1">
      <alignment horizontal="center"/>
    </xf>
    <xf numFmtId="0" fontId="17" fillId="0" borderId="3" xfId="9" applyBorder="1" applyAlignment="1">
      <alignment horizontal="center"/>
    </xf>
    <xf numFmtId="0" fontId="0" fillId="0" borderId="0" xfId="0" applyAlignment="1">
      <alignment horizontal="center" vertical="top"/>
    </xf>
    <xf numFmtId="0" fontId="23" fillId="0" borderId="46" xfId="0" applyFont="1" applyBorder="1" applyAlignment="1">
      <alignment horizontal="center" vertical="top"/>
    </xf>
    <xf numFmtId="14" fontId="23" fillId="0" borderId="46" xfId="0" applyNumberFormat="1" applyFont="1" applyBorder="1" applyAlignment="1">
      <alignment horizontal="center" vertical="top"/>
    </xf>
    <xf numFmtId="170" fontId="23" fillId="0" borderId="46" xfId="6" applyNumberFormat="1" applyFont="1" applyBorder="1" applyAlignment="1">
      <alignment horizontal="center" vertical="top"/>
    </xf>
    <xf numFmtId="0" fontId="0" fillId="0" borderId="0" xfId="0" applyAlignment="1" applyProtection="1">
      <alignment horizontal="center" vertical="top"/>
      <protection locked="0"/>
    </xf>
    <xf numFmtId="0" fontId="0" fillId="0" borderId="0" xfId="0" applyAlignment="1" applyProtection="1">
      <alignment horizontal="center" vertical="top" wrapText="1"/>
      <protection locked="0"/>
    </xf>
    <xf numFmtId="14" fontId="0" fillId="0" borderId="0" xfId="0" applyNumberFormat="1" applyAlignment="1" applyProtection="1">
      <alignment horizontal="center" vertical="top"/>
      <protection locked="0"/>
    </xf>
    <xf numFmtId="170" fontId="0" fillId="0" borderId="0" xfId="6" applyNumberFormat="1" applyFont="1" applyAlignment="1" applyProtection="1">
      <alignment horizontal="center" vertical="top"/>
      <protection locked="0"/>
    </xf>
    <xf numFmtId="0" fontId="23" fillId="0" borderId="46" xfId="0" applyFont="1" applyBorder="1" applyAlignment="1">
      <alignment horizontal="center" vertical="top" wrapText="1"/>
    </xf>
    <xf numFmtId="0" fontId="23" fillId="0" borderId="46" xfId="0" quotePrefix="1" applyFont="1" applyBorder="1" applyAlignment="1">
      <alignment horizontal="center" vertical="top"/>
    </xf>
    <xf numFmtId="0" fontId="73" fillId="0" borderId="0" xfId="0" applyFont="1"/>
    <xf numFmtId="0" fontId="73" fillId="0" borderId="0" xfId="0" applyFont="1" applyProtection="1">
      <protection locked="0"/>
    </xf>
    <xf numFmtId="0" fontId="73" fillId="0" borderId="0" xfId="0" applyFont="1" applyAlignment="1" applyProtection="1">
      <alignment horizontal="center"/>
      <protection locked="0"/>
    </xf>
    <xf numFmtId="0" fontId="52" fillId="0" borderId="0" xfId="9" applyFont="1"/>
    <xf numFmtId="0" fontId="52" fillId="0" borderId="0" xfId="9" applyFont="1" applyAlignment="1">
      <alignment horizontal="center"/>
    </xf>
    <xf numFmtId="166" fontId="52" fillId="0" borderId="0" xfId="9" applyNumberFormat="1" applyFont="1"/>
    <xf numFmtId="0" fontId="52" fillId="0" borderId="0" xfId="9" quotePrefix="1" applyFont="1" applyAlignment="1">
      <alignment horizontal="left"/>
    </xf>
    <xf numFmtId="3" fontId="75" fillId="0" borderId="0" xfId="9" applyNumberFormat="1" applyFont="1"/>
    <xf numFmtId="0" fontId="74" fillId="0" borderId="0" xfId="9" applyFont="1" applyAlignment="1">
      <alignment horizontal="center"/>
    </xf>
    <xf numFmtId="0" fontId="52" fillId="0" borderId="0" xfId="9" applyFont="1" applyAlignment="1">
      <alignment vertical="top" wrapText="1"/>
    </xf>
    <xf numFmtId="178" fontId="74" fillId="0" borderId="0" xfId="10" applyNumberFormat="1" applyFont="1" applyBorder="1" applyAlignment="1">
      <alignment horizontal="center"/>
    </xf>
    <xf numFmtId="171" fontId="17" fillId="12" borderId="14" xfId="9" applyNumberFormat="1" applyFill="1" applyBorder="1" applyProtection="1">
      <protection locked="0"/>
    </xf>
    <xf numFmtId="0" fontId="58" fillId="0" borderId="0" xfId="9" applyFont="1" applyAlignment="1">
      <alignment horizontal="center" vertical="top"/>
    </xf>
    <xf numFmtId="0" fontId="58" fillId="0" borderId="0" xfId="9" applyFont="1" applyAlignment="1">
      <alignment horizontal="center" wrapText="1"/>
    </xf>
    <xf numFmtId="0" fontId="56" fillId="0" borderId="0" xfId="9" applyFont="1" applyAlignment="1">
      <alignment horizontal="right"/>
    </xf>
    <xf numFmtId="9" fontId="56" fillId="0" borderId="0" xfId="9" applyNumberFormat="1" applyFont="1" applyAlignment="1">
      <alignment horizontal="center"/>
    </xf>
    <xf numFmtId="9" fontId="0" fillId="0" borderId="4" xfId="0" applyNumberFormat="1" applyBorder="1"/>
    <xf numFmtId="9" fontId="0" fillId="0" borderId="6" xfId="0" applyNumberFormat="1" applyBorder="1"/>
    <xf numFmtId="0" fontId="41" fillId="0" borderId="0" xfId="9" applyFont="1"/>
    <xf numFmtId="0" fontId="0" fillId="0" borderId="0" xfId="0" applyAlignment="1">
      <alignment vertical="center" wrapText="1"/>
    </xf>
    <xf numFmtId="0" fontId="0" fillId="0" borderId="0" xfId="0" applyAlignment="1">
      <alignment horizontal="center" vertical="center" wrapText="1"/>
    </xf>
    <xf numFmtId="0" fontId="0" fillId="0" borderId="64" xfId="0" applyBorder="1" applyAlignment="1">
      <alignment horizontal="center" vertical="center" wrapText="1"/>
    </xf>
    <xf numFmtId="42" fontId="0" fillId="0" borderId="0" xfId="0" applyNumberFormat="1" applyAlignment="1">
      <alignment horizontal="center" vertical="center" wrapText="1"/>
    </xf>
    <xf numFmtId="166" fontId="0" fillId="0" borderId="0" xfId="0" applyNumberFormat="1" applyAlignment="1">
      <alignment horizontal="center" vertical="center" wrapText="1"/>
    </xf>
    <xf numFmtId="177" fontId="0" fillId="0" borderId="0" xfId="0" applyNumberFormat="1" applyAlignment="1">
      <alignment horizontal="center" vertical="center" wrapText="1"/>
    </xf>
    <xf numFmtId="42" fontId="0" fillId="0" borderId="0" xfId="0" applyNumberFormat="1" applyAlignment="1">
      <alignment vertical="center" wrapText="1"/>
    </xf>
    <xf numFmtId="0" fontId="0" fillId="0" borderId="51" xfId="0" applyBorder="1" applyAlignment="1">
      <alignment horizontal="center" vertical="center" wrapText="1"/>
    </xf>
    <xf numFmtId="42" fontId="0" fillId="0" borderId="51" xfId="0" applyNumberFormat="1" applyBorder="1" applyAlignment="1">
      <alignment horizontal="center" vertical="center" wrapText="1"/>
    </xf>
    <xf numFmtId="166" fontId="0" fillId="0" borderId="51" xfId="0" applyNumberFormat="1" applyBorder="1" applyAlignment="1">
      <alignment horizontal="center" vertical="center" wrapText="1"/>
    </xf>
    <xf numFmtId="177" fontId="0" fillId="0" borderId="51" xfId="0" applyNumberFormat="1" applyBorder="1" applyAlignment="1">
      <alignment horizontal="center" vertical="center" wrapText="1"/>
    </xf>
    <xf numFmtId="42" fontId="0" fillId="0" borderId="51" xfId="0" applyNumberFormat="1" applyBorder="1" applyAlignment="1">
      <alignment vertical="center" wrapText="1"/>
    </xf>
    <xf numFmtId="0" fontId="15" fillId="0" borderId="0" xfId="14"/>
    <xf numFmtId="0" fontId="77" fillId="2" borderId="0" xfId="0" applyFont="1" applyFill="1"/>
    <xf numFmtId="0" fontId="0" fillId="19" borderId="0" xfId="0" applyFill="1"/>
    <xf numFmtId="0" fontId="0" fillId="19" borderId="51" xfId="0" applyFill="1" applyBorder="1"/>
    <xf numFmtId="0" fontId="0" fillId="19" borderId="49" xfId="0" applyFill="1" applyBorder="1"/>
    <xf numFmtId="0" fontId="0" fillId="19" borderId="50" xfId="0" applyFill="1" applyBorder="1"/>
    <xf numFmtId="0" fontId="0" fillId="19" borderId="56" xfId="0" applyFill="1" applyBorder="1"/>
    <xf numFmtId="0" fontId="0" fillId="19" borderId="15" xfId="0" applyFill="1" applyBorder="1"/>
    <xf numFmtId="0" fontId="0" fillId="19" borderId="46" xfId="0" applyFill="1" applyBorder="1"/>
    <xf numFmtId="0" fontId="79" fillId="0" borderId="0" xfId="0" applyFont="1" applyAlignment="1">
      <alignment vertical="center"/>
    </xf>
    <xf numFmtId="0" fontId="80" fillId="0" borderId="0" xfId="0" applyFont="1" applyAlignment="1">
      <alignment vertical="center"/>
    </xf>
    <xf numFmtId="0" fontId="0" fillId="0" borderId="0" xfId="0" applyAlignment="1">
      <alignment horizontal="right"/>
    </xf>
    <xf numFmtId="0" fontId="82" fillId="2" borderId="0" xfId="0" applyFont="1" applyFill="1"/>
    <xf numFmtId="170" fontId="0" fillId="0" borderId="0" xfId="6" applyNumberFormat="1" applyFont="1"/>
    <xf numFmtId="37" fontId="0" fillId="5" borderId="46" xfId="6" applyNumberFormat="1" applyFont="1" applyFill="1" applyBorder="1" applyAlignment="1">
      <alignment horizontal="center"/>
    </xf>
    <xf numFmtId="37" fontId="0" fillId="5" borderId="46" xfId="6" applyNumberFormat="1" applyFont="1" applyFill="1" applyBorder="1" applyAlignment="1" applyProtection="1">
      <protection locked="0"/>
    </xf>
    <xf numFmtId="0" fontId="0" fillId="0" borderId="0" xfId="0" quotePrefix="1" applyAlignment="1" applyProtection="1">
      <alignment vertical="top" wrapText="1"/>
      <protection locked="0"/>
    </xf>
    <xf numFmtId="0" fontId="76" fillId="2" borderId="0" xfId="0" applyFont="1" applyFill="1"/>
    <xf numFmtId="0" fontId="0" fillId="10" borderId="57" xfId="0" applyFill="1" applyBorder="1" applyAlignment="1" applyProtection="1">
      <alignment horizontal="center"/>
      <protection locked="0"/>
    </xf>
    <xf numFmtId="166" fontId="15" fillId="0" borderId="0" xfId="14" applyNumberFormat="1"/>
    <xf numFmtId="0" fontId="23" fillId="0" borderId="46" xfId="0" applyFont="1" applyBorder="1"/>
    <xf numFmtId="49" fontId="23" fillId="0" borderId="46" xfId="0" applyNumberFormat="1" applyFont="1" applyBorder="1"/>
    <xf numFmtId="0" fontId="0" fillId="0" borderId="2"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xf numFmtId="0" fontId="0" fillId="0" borderId="6" xfId="0" applyBorder="1"/>
    <xf numFmtId="0" fontId="35" fillId="0" borderId="5" xfId="0" applyFont="1" applyBorder="1"/>
    <xf numFmtId="0" fontId="35" fillId="0" borderId="6" xfId="0" applyFont="1" applyBorder="1"/>
    <xf numFmtId="0" fontId="35" fillId="0" borderId="7" xfId="0" applyFont="1" applyBorder="1"/>
    <xf numFmtId="0" fontId="35" fillId="0" borderId="8" xfId="0" applyFont="1" applyBorder="1"/>
    <xf numFmtId="0" fontId="0" fillId="0" borderId="8" xfId="0" applyBorder="1"/>
    <xf numFmtId="0" fontId="0" fillId="0" borderId="9" xfId="0" applyBorder="1"/>
    <xf numFmtId="0" fontId="23" fillId="0" borderId="0" xfId="0" applyFont="1" applyAlignment="1">
      <alignment vertical="top"/>
    </xf>
    <xf numFmtId="0" fontId="23" fillId="0" borderId="0" xfId="0" applyFont="1" applyAlignment="1">
      <alignment horizontal="center" vertical="top"/>
    </xf>
    <xf numFmtId="0" fontId="41" fillId="0" borderId="91" xfId="9" applyFont="1" applyBorder="1" applyAlignment="1">
      <alignment horizontal="center"/>
    </xf>
    <xf numFmtId="0" fontId="41" fillId="0" borderId="26" xfId="9" applyFont="1" applyBorder="1" applyAlignment="1">
      <alignment horizontal="center"/>
    </xf>
    <xf numFmtId="0" fontId="41" fillId="0" borderId="90" xfId="9" applyFont="1" applyBorder="1" applyAlignment="1">
      <alignment horizontal="center"/>
    </xf>
    <xf numFmtId="0" fontId="17" fillId="0" borderId="8" xfId="9" applyBorder="1" applyAlignment="1">
      <alignment horizontal="center"/>
    </xf>
    <xf numFmtId="0" fontId="17" fillId="0" borderId="50" xfId="9" applyBorder="1"/>
    <xf numFmtId="3" fontId="17" fillId="12" borderId="36" xfId="9" applyNumberFormat="1" applyFill="1" applyBorder="1" applyAlignment="1" applyProtection="1">
      <alignment horizontal="center"/>
      <protection locked="0"/>
    </xf>
    <xf numFmtId="3" fontId="17" fillId="12" borderId="37" xfId="9" applyNumberFormat="1" applyFill="1" applyBorder="1" applyAlignment="1" applyProtection="1">
      <alignment horizontal="center"/>
      <protection locked="0"/>
    </xf>
    <xf numFmtId="3" fontId="17" fillId="12" borderId="21" xfId="9" applyNumberFormat="1" applyFill="1" applyBorder="1" applyAlignment="1" applyProtection="1">
      <alignment horizontal="center"/>
      <protection locked="0"/>
    </xf>
    <xf numFmtId="0" fontId="25" fillId="0" borderId="0" xfId="0" applyFont="1" applyAlignment="1">
      <alignment wrapText="1"/>
    </xf>
    <xf numFmtId="0" fontId="0" fillId="0" borderId="0" xfId="0" applyAlignment="1">
      <alignment shrinkToFit="1"/>
    </xf>
    <xf numFmtId="0" fontId="44" fillId="0" borderId="28" xfId="0" applyFont="1" applyBorder="1" applyAlignment="1">
      <alignment horizontal="center" wrapText="1"/>
    </xf>
    <xf numFmtId="0" fontId="23" fillId="0" borderId="0" xfId="0" applyFont="1" applyAlignment="1" applyProtection="1">
      <alignment horizontal="left"/>
      <protection locked="0"/>
    </xf>
    <xf numFmtId="0" fontId="44" fillId="0" borderId="106" xfId="0" applyFont="1" applyBorder="1" applyAlignment="1">
      <alignment horizontal="center" wrapText="1"/>
    </xf>
    <xf numFmtId="5" fontId="33" fillId="0" borderId="99" xfId="12" applyNumberFormat="1" applyFont="1" applyBorder="1" applyAlignment="1">
      <alignment horizontal="center"/>
    </xf>
    <xf numFmtId="0" fontId="53" fillId="0" borderId="101" xfId="9" applyFont="1" applyBorder="1"/>
    <xf numFmtId="0" fontId="53" fillId="0" borderId="100" xfId="9" applyFont="1" applyBorder="1"/>
    <xf numFmtId="166" fontId="53" fillId="0" borderId="99" xfId="9" applyNumberFormat="1" applyFont="1" applyBorder="1" applyAlignment="1">
      <alignment horizontal="center"/>
    </xf>
    <xf numFmtId="7" fontId="33" fillId="0" borderId="99" xfId="12" applyNumberFormat="1" applyFont="1" applyBorder="1" applyAlignment="1" applyProtection="1">
      <alignment horizontal="center"/>
    </xf>
    <xf numFmtId="7" fontId="33" fillId="0" borderId="99" xfId="12" applyNumberFormat="1" applyFont="1" applyBorder="1" applyAlignment="1">
      <alignment horizontal="center"/>
    </xf>
    <xf numFmtId="0" fontId="33" fillId="0" borderId="0" xfId="0" applyFont="1"/>
    <xf numFmtId="10" fontId="0" fillId="4" borderId="57" xfId="0" applyNumberFormat="1" applyFill="1" applyBorder="1" applyAlignment="1" applyProtection="1">
      <alignment horizontal="center"/>
      <protection locked="0"/>
    </xf>
    <xf numFmtId="0" fontId="0" fillId="4" borderId="57" xfId="0" applyFill="1" applyBorder="1" applyAlignment="1" applyProtection="1">
      <alignment horizontal="center"/>
      <protection locked="0"/>
    </xf>
    <xf numFmtId="44" fontId="0" fillId="0" borderId="0" xfId="6" applyFont="1"/>
    <xf numFmtId="179" fontId="0" fillId="0" borderId="0" xfId="6" applyNumberFormat="1" applyFont="1"/>
    <xf numFmtId="179" fontId="0" fillId="0" borderId="0" xfId="0" applyNumberFormat="1"/>
    <xf numFmtId="0" fontId="83" fillId="2" borderId="0" xfId="0" applyFont="1" applyFill="1" applyAlignment="1">
      <alignment horizontal="center"/>
    </xf>
    <xf numFmtId="170" fontId="0" fillId="0" borderId="1" xfId="6" applyNumberFormat="1" applyFont="1" applyBorder="1"/>
    <xf numFmtId="179" fontId="0" fillId="0" borderId="1" xfId="6" applyNumberFormat="1" applyFont="1" applyBorder="1"/>
    <xf numFmtId="180" fontId="0" fillId="0" borderId="1" xfId="0" applyNumberFormat="1" applyBorder="1"/>
    <xf numFmtId="44" fontId="0" fillId="0" borderId="1" xfId="6" applyFont="1" applyBorder="1"/>
    <xf numFmtId="0" fontId="23" fillId="0" borderId="8" xfId="0" applyFont="1" applyBorder="1" applyAlignment="1">
      <alignment horizontal="center"/>
    </xf>
    <xf numFmtId="170" fontId="0" fillId="0" borderId="14" xfId="6" applyNumberFormat="1" applyFont="1" applyBorder="1"/>
    <xf numFmtId="170" fontId="0" fillId="0" borderId="65" xfId="6" applyNumberFormat="1" applyFont="1" applyFill="1" applyBorder="1"/>
    <xf numFmtId="179" fontId="85" fillId="0" borderId="14" xfId="6" applyNumberFormat="1" applyFont="1" applyBorder="1"/>
    <xf numFmtId="0" fontId="27" fillId="0" borderId="0" xfId="0" applyFont="1" applyAlignment="1">
      <alignment horizontal="center"/>
    </xf>
    <xf numFmtId="179" fontId="85" fillId="0" borderId="1" xfId="6" applyNumberFormat="1" applyFont="1" applyBorder="1"/>
    <xf numFmtId="180" fontId="85" fillId="0" borderId="1" xfId="6" applyNumberFormat="1" applyFont="1" applyBorder="1"/>
    <xf numFmtId="170" fontId="0" fillId="0" borderId="1" xfId="6" applyNumberFormat="1" applyFont="1" applyFill="1" applyBorder="1"/>
    <xf numFmtId="0" fontId="23" fillId="0" borderId="0" xfId="0" applyFont="1" applyAlignment="1">
      <alignment horizontal="center"/>
    </xf>
    <xf numFmtId="166" fontId="0" fillId="0" borderId="0" xfId="0" applyNumberFormat="1" applyProtection="1">
      <protection locked="0"/>
    </xf>
    <xf numFmtId="180" fontId="0" fillId="0" borderId="0" xfId="0" applyNumberFormat="1"/>
    <xf numFmtId="10" fontId="0" fillId="0" borderId="0" xfId="0" applyNumberFormat="1" applyAlignment="1" applyProtection="1">
      <alignment horizontal="center"/>
      <protection locked="0"/>
    </xf>
    <xf numFmtId="166" fontId="0" fillId="0" borderId="0" xfId="0" applyNumberFormat="1" applyAlignment="1">
      <alignment horizontal="right"/>
    </xf>
    <xf numFmtId="9" fontId="0" fillId="0" borderId="0" xfId="0" applyNumberFormat="1" applyAlignment="1">
      <alignment horizontal="right"/>
    </xf>
    <xf numFmtId="0" fontId="22" fillId="0" borderId="0" xfId="0" applyFont="1" applyAlignment="1">
      <alignment vertical="center"/>
    </xf>
    <xf numFmtId="0" fontId="41" fillId="0" borderId="0" xfId="9" applyFont="1" applyAlignment="1">
      <alignment horizontal="center"/>
    </xf>
    <xf numFmtId="0" fontId="40" fillId="0" borderId="0" xfId="9" applyFont="1" applyAlignment="1">
      <alignment horizontal="center"/>
    </xf>
    <xf numFmtId="43" fontId="56" fillId="0" borderId="5" xfId="15" applyFont="1" applyBorder="1" applyAlignment="1">
      <alignment horizontal="right"/>
    </xf>
    <xf numFmtId="43" fontId="56" fillId="0" borderId="7" xfId="15" applyFont="1" applyBorder="1" applyAlignment="1">
      <alignment horizontal="right"/>
    </xf>
    <xf numFmtId="43" fontId="56" fillId="21" borderId="5" xfId="15" applyFont="1" applyFill="1" applyBorder="1" applyAlignment="1">
      <alignment horizontal="right"/>
    </xf>
    <xf numFmtId="0" fontId="56" fillId="21" borderId="87" xfId="9" applyFont="1" applyFill="1" applyBorder="1"/>
    <xf numFmtId="9" fontId="56" fillId="21" borderId="86" xfId="9" applyNumberFormat="1" applyFont="1" applyFill="1" applyBorder="1" applyAlignment="1">
      <alignment horizontal="center"/>
    </xf>
    <xf numFmtId="43" fontId="56" fillId="21" borderId="7" xfId="15" applyFont="1" applyFill="1" applyBorder="1" applyAlignment="1">
      <alignment horizontal="right"/>
    </xf>
    <xf numFmtId="0" fontId="56" fillId="21" borderId="85" xfId="9" applyFont="1" applyFill="1" applyBorder="1"/>
    <xf numFmtId="9" fontId="56" fillId="21" borderId="84" xfId="9" applyNumberFormat="1" applyFont="1" applyFill="1" applyBorder="1" applyAlignment="1">
      <alignment horizontal="center"/>
    </xf>
    <xf numFmtId="0" fontId="43" fillId="0" borderId="0" xfId="9" applyFont="1" applyAlignment="1">
      <alignment horizontal="center"/>
    </xf>
    <xf numFmtId="10" fontId="57" fillId="16" borderId="71" xfId="9" applyNumberFormat="1" applyFont="1" applyFill="1" applyBorder="1" applyAlignment="1">
      <alignment horizontal="center"/>
    </xf>
    <xf numFmtId="0" fontId="43" fillId="0" borderId="2" xfId="9" applyFont="1" applyBorder="1" applyAlignment="1">
      <alignment horizontal="center"/>
    </xf>
    <xf numFmtId="0" fontId="43" fillId="0" borderId="3" xfId="9" applyFont="1" applyBorder="1" applyAlignment="1">
      <alignment horizontal="center"/>
    </xf>
    <xf numFmtId="3" fontId="34" fillId="0" borderId="5" xfId="9" applyNumberFormat="1" applyFont="1" applyBorder="1"/>
    <xf numFmtId="9" fontId="52" fillId="22" borderId="123" xfId="9" applyNumberFormat="1" applyFont="1" applyFill="1" applyBorder="1" applyAlignment="1" applyProtection="1">
      <alignment horizontal="center"/>
      <protection locked="0"/>
    </xf>
    <xf numFmtId="0" fontId="23" fillId="2" borderId="0" xfId="0" quotePrefix="1" applyFont="1" applyFill="1" applyAlignment="1">
      <alignment horizontal="right"/>
    </xf>
    <xf numFmtId="0" fontId="15" fillId="0" borderId="0" xfId="14" applyAlignment="1">
      <alignment horizontal="left"/>
    </xf>
    <xf numFmtId="0" fontId="0" fillId="0" borderId="0" xfId="0" applyAlignment="1">
      <alignment horizontal="left"/>
    </xf>
    <xf numFmtId="0" fontId="15" fillId="0" borderId="0" xfId="14" applyAlignment="1">
      <alignment horizontal="center"/>
    </xf>
    <xf numFmtId="0" fontId="0" fillId="0" borderId="29" xfId="0" applyBorder="1" applyAlignment="1">
      <alignment horizontal="center" vertical="center" wrapText="1"/>
    </xf>
    <xf numFmtId="0" fontId="43" fillId="0" borderId="0" xfId="0" applyFont="1" applyAlignment="1">
      <alignment horizontal="left" vertical="top"/>
    </xf>
    <xf numFmtId="0" fontId="86" fillId="0" borderId="0" xfId="0" applyFont="1"/>
    <xf numFmtId="0" fontId="87" fillId="0" borderId="0" xfId="0" applyFont="1" applyAlignment="1" applyProtection="1">
      <alignment vertical="top"/>
      <protection locked="0"/>
    </xf>
    <xf numFmtId="0" fontId="39" fillId="0" borderId="0" xfId="0" applyFont="1" applyAlignment="1" applyProtection="1">
      <alignment vertical="top"/>
      <protection locked="0"/>
    </xf>
    <xf numFmtId="0" fontId="76" fillId="2" borderId="0" xfId="0" applyFont="1" applyFill="1" applyAlignment="1">
      <alignment horizontal="center"/>
    </xf>
    <xf numFmtId="9" fontId="35" fillId="0" borderId="0" xfId="7" applyFont="1"/>
    <xf numFmtId="14" fontId="0" fillId="0" borderId="0" xfId="0" applyNumberFormat="1" applyAlignment="1">
      <alignment horizontal="left"/>
    </xf>
    <xf numFmtId="0" fontId="0" fillId="17" borderId="107" xfId="0" applyFill="1" applyBorder="1" applyAlignment="1">
      <alignment horizontal="center"/>
    </xf>
    <xf numFmtId="42" fontId="0" fillId="17" borderId="107" xfId="0" applyNumberFormat="1" applyFill="1" applyBorder="1" applyAlignment="1">
      <alignment horizontal="center"/>
    </xf>
    <xf numFmtId="0" fontId="0" fillId="0" borderId="3" xfId="0" applyBorder="1" applyAlignment="1">
      <alignment vertical="center" wrapText="1"/>
    </xf>
    <xf numFmtId="0" fontId="0" fillId="23" borderId="124" xfId="0" applyFill="1" applyBorder="1" applyAlignment="1">
      <alignment vertical="center" wrapText="1"/>
    </xf>
    <xf numFmtId="0" fontId="0" fillId="0" borderId="124" xfId="0" applyBorder="1" applyAlignment="1">
      <alignment vertical="center" wrapText="1"/>
    </xf>
    <xf numFmtId="0" fontId="33" fillId="0" borderId="0" xfId="0" applyFont="1" applyAlignment="1">
      <alignment vertical="top" wrapText="1"/>
    </xf>
    <xf numFmtId="0" fontId="69" fillId="0" borderId="0" xfId="0" applyFont="1"/>
    <xf numFmtId="0" fontId="88" fillId="2" borderId="0" xfId="0" applyFont="1" applyFill="1" applyAlignment="1">
      <alignment horizontal="center"/>
    </xf>
    <xf numFmtId="0" fontId="49" fillId="0" borderId="0" xfId="0" applyFont="1" applyAlignment="1">
      <alignment vertical="center"/>
    </xf>
    <xf numFmtId="0" fontId="89" fillId="0" borderId="0" xfId="0" applyFont="1" applyAlignment="1">
      <alignment vertical="center"/>
    </xf>
    <xf numFmtId="1" fontId="0" fillId="4" borderId="20" xfId="0" applyNumberFormat="1" applyFill="1" applyBorder="1" applyProtection="1">
      <protection locked="0"/>
    </xf>
    <xf numFmtId="1" fontId="0" fillId="4" borderId="14" xfId="0" applyNumberFormat="1" applyFill="1" applyBorder="1" applyProtection="1">
      <protection locked="0"/>
    </xf>
    <xf numFmtId="0" fontId="90" fillId="2" borderId="0" xfId="11" applyFont="1" applyFill="1" applyAlignment="1">
      <alignment horizontal="right"/>
    </xf>
    <xf numFmtId="0" fontId="23" fillId="2" borderId="0" xfId="0" applyFont="1" applyFill="1" applyAlignment="1">
      <alignment horizontal="center" vertical="top" wrapText="1"/>
    </xf>
    <xf numFmtId="0" fontId="92" fillId="0" borderId="0" xfId="9" applyFont="1" applyAlignment="1" applyProtection="1">
      <alignment horizontal="center"/>
      <protection locked="0"/>
    </xf>
    <xf numFmtId="0" fontId="0" fillId="6" borderId="0" xfId="0" applyFill="1" applyAlignment="1">
      <alignment horizontal="right"/>
    </xf>
    <xf numFmtId="14" fontId="17" fillId="0" borderId="0" xfId="9" applyNumberFormat="1"/>
    <xf numFmtId="0" fontId="23" fillId="0" borderId="0" xfId="0" applyFont="1" applyAlignment="1">
      <alignment horizontal="left" vertical="top" wrapText="1"/>
    </xf>
    <xf numFmtId="0" fontId="78" fillId="0" borderId="0" xfId="0" applyFont="1" applyAlignment="1">
      <alignment horizontal="left" vertical="top" wrapText="1"/>
    </xf>
    <xf numFmtId="0" fontId="93" fillId="0" borderId="0" xfId="0" applyFont="1"/>
    <xf numFmtId="9" fontId="78" fillId="0" borderId="0" xfId="0" applyNumberFormat="1" applyFont="1" applyAlignment="1">
      <alignment horizontal="left" vertical="top"/>
    </xf>
    <xf numFmtId="0" fontId="82" fillId="0" borderId="0" xfId="0" applyFont="1"/>
    <xf numFmtId="0" fontId="78" fillId="0" borderId="0" xfId="0" applyFont="1"/>
    <xf numFmtId="0" fontId="94" fillId="0" borderId="0" xfId="0" applyFont="1"/>
    <xf numFmtId="0" fontId="95" fillId="0" borderId="0" xfId="0" applyFont="1"/>
    <xf numFmtId="0" fontId="96" fillId="0" borderId="0" xfId="0" applyFont="1"/>
    <xf numFmtId="9" fontId="23" fillId="0" borderId="0" xfId="0" applyNumberFormat="1" applyFont="1" applyAlignment="1">
      <alignment horizontal="left" vertical="top"/>
    </xf>
    <xf numFmtId="9" fontId="34" fillId="0" borderId="0" xfId="9" applyNumberFormat="1" applyFont="1" applyAlignment="1">
      <alignment horizontal="left"/>
    </xf>
    <xf numFmtId="0" fontId="51" fillId="0" borderId="0" xfId="9" applyFont="1"/>
    <xf numFmtId="2" fontId="17" fillId="0" borderId="0" xfId="9" applyNumberFormat="1"/>
    <xf numFmtId="0" fontId="44" fillId="0" borderId="0" xfId="0" applyFont="1" applyAlignment="1">
      <alignment horizontal="center" wrapText="1"/>
    </xf>
    <xf numFmtId="14" fontId="52" fillId="0" borderId="0" xfId="9" applyNumberFormat="1" applyFont="1"/>
    <xf numFmtId="0" fontId="97" fillId="0" borderId="0" xfId="9" applyFont="1"/>
    <xf numFmtId="0" fontId="0" fillId="17" borderId="0" xfId="0" applyFill="1" applyAlignment="1">
      <alignment horizontal="center" vertical="center" wrapText="1"/>
    </xf>
    <xf numFmtId="0" fontId="0" fillId="17" borderId="64" xfId="0" applyFill="1" applyBorder="1" applyAlignment="1">
      <alignment horizontal="center" vertical="center" wrapText="1"/>
    </xf>
    <xf numFmtId="42" fontId="0" fillId="17" borderId="0" xfId="0" applyNumberFormat="1" applyFill="1" applyAlignment="1">
      <alignment horizontal="center" vertical="center" wrapText="1"/>
    </xf>
    <xf numFmtId="166" fontId="0" fillId="17" borderId="0" xfId="0" applyNumberFormat="1" applyFill="1" applyAlignment="1">
      <alignment horizontal="center" vertical="center" wrapText="1"/>
    </xf>
    <xf numFmtId="177" fontId="0" fillId="17" borderId="0" xfId="0" applyNumberFormat="1" applyFill="1" applyAlignment="1">
      <alignment horizontal="center" vertical="center" wrapText="1"/>
    </xf>
    <xf numFmtId="42" fontId="0" fillId="17" borderId="0" xfId="0" applyNumberFormat="1" applyFill="1" applyAlignment="1">
      <alignment vertical="center" wrapText="1"/>
    </xf>
    <xf numFmtId="0" fontId="23" fillId="0" borderId="0" xfId="0" applyFont="1" applyAlignment="1" applyProtection="1">
      <alignment horizontal="left" vertical="top"/>
      <protection locked="0"/>
    </xf>
    <xf numFmtId="0" fontId="35" fillId="2" borderId="0" xfId="0" applyFont="1" applyFill="1"/>
    <xf numFmtId="0" fontId="98" fillId="21" borderId="14" xfId="0" applyFont="1" applyFill="1" applyBorder="1" applyAlignment="1" applyProtection="1">
      <alignment horizontal="center"/>
      <protection locked="0"/>
    </xf>
    <xf numFmtId="0" fontId="98" fillId="2" borderId="0" xfId="0" applyFont="1" applyFill="1" applyAlignment="1">
      <alignment horizontal="center"/>
    </xf>
    <xf numFmtId="0" fontId="46" fillId="15" borderId="0" xfId="0" applyFont="1" applyFill="1"/>
    <xf numFmtId="176" fontId="0" fillId="0" borderId="6" xfId="7" applyNumberFormat="1" applyFont="1" applyBorder="1"/>
    <xf numFmtId="0" fontId="0" fillId="0" borderId="7" xfId="0" applyBorder="1"/>
    <xf numFmtId="0" fontId="80" fillId="0" borderId="8" xfId="0" applyFont="1" applyBorder="1" applyAlignment="1">
      <alignment vertical="center"/>
    </xf>
    <xf numFmtId="176" fontId="0" fillId="0" borderId="9" xfId="7" applyNumberFormat="1" applyFont="1" applyBorder="1"/>
    <xf numFmtId="0" fontId="17" fillId="0" borderId="0" xfId="9" applyAlignment="1">
      <alignment vertical="center" textRotation="90"/>
    </xf>
    <xf numFmtId="9" fontId="89" fillId="0" borderId="0" xfId="0" applyNumberFormat="1" applyFont="1" applyAlignment="1" applyProtection="1">
      <alignment horizontal="center"/>
      <protection locked="0"/>
    </xf>
    <xf numFmtId="0" fontId="14" fillId="0" borderId="0" xfId="14" applyFont="1"/>
    <xf numFmtId="0" fontId="14" fillId="0" borderId="0" xfId="14" applyFont="1" applyAlignment="1">
      <alignment horizontal="left"/>
    </xf>
    <xf numFmtId="171" fontId="14" fillId="12" borderId="22" xfId="9" applyNumberFormat="1" applyFont="1" applyFill="1" applyBorder="1" applyAlignment="1" applyProtection="1">
      <alignment horizontal="center"/>
      <protection locked="0"/>
    </xf>
    <xf numFmtId="0" fontId="14" fillId="0" borderId="0" xfId="9" quotePrefix="1" applyFont="1" applyAlignment="1">
      <alignment horizontal="left"/>
    </xf>
    <xf numFmtId="0" fontId="14" fillId="0" borderId="0" xfId="9" applyFont="1"/>
    <xf numFmtId="0" fontId="14" fillId="0" borderId="70" xfId="9" applyFont="1" applyBorder="1"/>
    <xf numFmtId="0" fontId="14" fillId="0" borderId="29" xfId="9" applyFont="1" applyBorder="1"/>
    <xf numFmtId="0" fontId="14" fillId="0" borderId="68" xfId="9" applyFont="1" applyBorder="1"/>
    <xf numFmtId="0" fontId="14" fillId="0" borderId="28" xfId="9" applyFont="1" applyBorder="1"/>
    <xf numFmtId="0" fontId="14" fillId="0" borderId="28" xfId="9" applyFont="1" applyBorder="1" applyAlignment="1">
      <alignment horizontal="right"/>
    </xf>
    <xf numFmtId="0" fontId="14" fillId="0" borderId="0" xfId="9" applyFont="1" applyAlignment="1">
      <alignment horizontal="right"/>
    </xf>
    <xf numFmtId="0" fontId="14" fillId="0" borderId="49" xfId="9" applyFont="1" applyBorder="1"/>
    <xf numFmtId="166" fontId="14" fillId="0" borderId="0" xfId="9" applyNumberFormat="1" applyFont="1"/>
    <xf numFmtId="44" fontId="14" fillId="0" borderId="0" xfId="6" applyFont="1" applyBorder="1"/>
    <xf numFmtId="44" fontId="14" fillId="0" borderId="0" xfId="6" applyFont="1"/>
    <xf numFmtId="0" fontId="14" fillId="0" borderId="46" xfId="9" applyFont="1" applyBorder="1" applyAlignment="1">
      <alignment horizontal="right"/>
    </xf>
    <xf numFmtId="0" fontId="14" fillId="0" borderId="14" xfId="9" applyFont="1" applyBorder="1" applyAlignment="1" applyProtection="1">
      <alignment horizontal="center"/>
      <protection locked="0"/>
    </xf>
    <xf numFmtId="10" fontId="14" fillId="15" borderId="14" xfId="9" applyNumberFormat="1" applyFont="1" applyFill="1" applyBorder="1" applyProtection="1">
      <protection locked="0"/>
    </xf>
    <xf numFmtId="0" fontId="14" fillId="0" borderId="97" xfId="9" applyFont="1" applyBorder="1"/>
    <xf numFmtId="0" fontId="14" fillId="0" borderId="94" xfId="9" applyFont="1" applyBorder="1"/>
    <xf numFmtId="0" fontId="14" fillId="0" borderId="69" xfId="9" applyFont="1" applyBorder="1"/>
    <xf numFmtId="0" fontId="14" fillId="0" borderId="93" xfId="9" applyFont="1" applyBorder="1"/>
    <xf numFmtId="0" fontId="14" fillId="0" borderId="15" xfId="9" applyFont="1" applyBorder="1"/>
    <xf numFmtId="0" fontId="14" fillId="0" borderId="15" xfId="9" applyFont="1" applyBorder="1" applyAlignment="1">
      <alignment horizontal="center"/>
    </xf>
    <xf numFmtId="0" fontId="14" fillId="0" borderId="8" xfId="9" applyFont="1" applyBorder="1" applyAlignment="1">
      <alignment horizontal="center"/>
    </xf>
    <xf numFmtId="44" fontId="14" fillId="0" borderId="2" xfId="6" applyFont="1" applyBorder="1"/>
    <xf numFmtId="44" fontId="14" fillId="0" borderId="3" xfId="6" applyFont="1" applyBorder="1"/>
    <xf numFmtId="44" fontId="14" fillId="0" borderId="5" xfId="6" applyFont="1" applyBorder="1"/>
    <xf numFmtId="9" fontId="14" fillId="0" borderId="0" xfId="9" applyNumberFormat="1" applyFont="1"/>
    <xf numFmtId="44" fontId="14" fillId="0" borderId="7" xfId="6" applyFont="1" applyBorder="1"/>
    <xf numFmtId="14" fontId="14" fillId="0" borderId="0" xfId="9" applyNumberFormat="1" applyFont="1"/>
    <xf numFmtId="0" fontId="13" fillId="0" borderId="0" xfId="14" applyFont="1"/>
    <xf numFmtId="5" fontId="15" fillId="0" borderId="0" xfId="6" applyNumberFormat="1" applyFont="1"/>
    <xf numFmtId="0" fontId="12" fillId="0" borderId="0" xfId="14" applyFont="1"/>
    <xf numFmtId="0" fontId="12" fillId="0" borderId="0" xfId="14" applyFont="1" applyAlignment="1">
      <alignment horizontal="left"/>
    </xf>
    <xf numFmtId="0" fontId="11" fillId="0" borderId="0" xfId="14" applyFont="1"/>
    <xf numFmtId="0" fontId="11" fillId="0" borderId="0" xfId="14" applyFont="1" applyAlignment="1">
      <alignment horizontal="left"/>
    </xf>
    <xf numFmtId="0" fontId="10" fillId="0" borderId="0" xfId="14" applyFont="1"/>
    <xf numFmtId="0" fontId="10" fillId="0" borderId="0" xfId="14" applyFont="1" applyAlignment="1">
      <alignment horizontal="left"/>
    </xf>
    <xf numFmtId="170" fontId="15" fillId="0" borderId="0" xfId="6" applyNumberFormat="1" applyFont="1"/>
    <xf numFmtId="0" fontId="9" fillId="0" borderId="0" xfId="14" applyFont="1"/>
    <xf numFmtId="0" fontId="9" fillId="0" borderId="0" xfId="14" applyFont="1" applyAlignment="1">
      <alignment horizontal="left"/>
    </xf>
    <xf numFmtId="0" fontId="8" fillId="0" borderId="0" xfId="14" applyFont="1"/>
    <xf numFmtId="0" fontId="7" fillId="0" borderId="0" xfId="14" applyFont="1"/>
    <xf numFmtId="0" fontId="7" fillId="0" borderId="0" xfId="14" applyFont="1" applyAlignment="1">
      <alignment horizontal="left"/>
    </xf>
    <xf numFmtId="49" fontId="35" fillId="0" borderId="0" xfId="0" applyNumberFormat="1" applyFont="1"/>
    <xf numFmtId="3" fontId="0" fillId="0" borderId="0" xfId="0" applyNumberFormat="1" applyAlignment="1">
      <alignment horizontal="center"/>
    </xf>
    <xf numFmtId="44" fontId="99" fillId="0" borderId="0" xfId="0" applyNumberFormat="1" applyFont="1" applyAlignment="1">
      <alignment horizontal="center"/>
    </xf>
    <xf numFmtId="3" fontId="99" fillId="0" borderId="0" xfId="0" applyNumberFormat="1" applyFont="1" applyAlignment="1">
      <alignment horizontal="center"/>
    </xf>
    <xf numFmtId="3" fontId="0" fillId="15" borderId="0" xfId="0" applyNumberFormat="1" applyFill="1"/>
    <xf numFmtId="176" fontId="25" fillId="0" borderId="16" xfId="0" applyNumberFormat="1" applyFont="1" applyBorder="1"/>
    <xf numFmtId="0" fontId="6" fillId="0" borderId="0" xfId="14" applyFont="1"/>
    <xf numFmtId="0" fontId="5" fillId="0" borderId="0" xfId="14" applyFont="1"/>
    <xf numFmtId="0" fontId="5" fillId="0" borderId="0" xfId="14" applyFont="1" applyAlignment="1">
      <alignment horizontal="left"/>
    </xf>
    <xf numFmtId="0" fontId="4" fillId="0" borderId="0" xfId="14" applyFont="1"/>
    <xf numFmtId="0" fontId="4" fillId="0" borderId="0" xfId="14" applyFont="1" applyAlignment="1">
      <alignment horizontal="left"/>
    </xf>
    <xf numFmtId="0" fontId="3" fillId="0" borderId="0" xfId="14" applyFont="1"/>
    <xf numFmtId="0" fontId="3" fillId="0" borderId="0" xfId="14" applyFont="1" applyAlignment="1">
      <alignment horizontal="left"/>
    </xf>
    <xf numFmtId="0" fontId="23" fillId="0" borderId="0" xfId="0" applyFont="1" applyAlignment="1">
      <alignment horizontal="right"/>
    </xf>
    <xf numFmtId="3" fontId="0" fillId="10" borderId="57" xfId="0" applyNumberFormat="1" applyFill="1" applyBorder="1" applyAlignment="1" applyProtection="1">
      <alignment horizontal="center"/>
      <protection locked="0"/>
    </xf>
    <xf numFmtId="3" fontId="0" fillId="10" borderId="14" xfId="0" applyNumberFormat="1" applyFill="1" applyBorder="1" applyAlignment="1" applyProtection="1">
      <alignment horizontal="center"/>
      <protection locked="0"/>
    </xf>
    <xf numFmtId="0" fontId="100" fillId="0" borderId="0" xfId="0" applyFont="1"/>
    <xf numFmtId="0" fontId="100" fillId="0" borderId="0" xfId="0" applyFont="1" applyAlignment="1">
      <alignment horizontal="left" vertical="center" indent="4"/>
    </xf>
    <xf numFmtId="0" fontId="100" fillId="0" borderId="0" xfId="0" applyFont="1" applyAlignment="1">
      <alignment horizontal="left" vertical="center" indent="3"/>
    </xf>
    <xf numFmtId="0" fontId="100" fillId="0" borderId="0" xfId="0" applyFont="1" applyAlignment="1">
      <alignment horizontal="center" vertical="center"/>
    </xf>
    <xf numFmtId="178" fontId="0" fillId="0" borderId="0" xfId="15" applyNumberFormat="1" applyFont="1"/>
    <xf numFmtId="0" fontId="0" fillId="2" borderId="51" xfId="0" applyFill="1" applyBorder="1" applyAlignment="1">
      <alignment vertical="top"/>
    </xf>
    <xf numFmtId="170" fontId="0" fillId="0" borderId="0" xfId="0" applyNumberFormat="1"/>
    <xf numFmtId="170" fontId="0" fillId="0" borderId="0" xfId="0" applyNumberFormat="1" applyAlignment="1">
      <alignment horizontal="center"/>
    </xf>
    <xf numFmtId="180" fontId="0" fillId="0" borderId="0" xfId="6" applyNumberFormat="1" applyFont="1"/>
    <xf numFmtId="0" fontId="0" fillId="15" borderId="46" xfId="0" applyFill="1" applyBorder="1" applyAlignment="1" applyProtection="1">
      <alignment horizontal="center"/>
      <protection locked="0"/>
    </xf>
    <xf numFmtId="170" fontId="0" fillId="15" borderId="23" xfId="6" applyNumberFormat="1" applyFont="1" applyFill="1" applyBorder="1" applyAlignment="1" applyProtection="1">
      <alignment horizontal="center" vertical="center"/>
      <protection locked="0"/>
    </xf>
    <xf numFmtId="0" fontId="23" fillId="0" borderId="0" xfId="0" applyFont="1" applyAlignment="1">
      <alignment horizontal="center" vertical="center"/>
    </xf>
    <xf numFmtId="170" fontId="0" fillId="15" borderId="46" xfId="6" applyNumberFormat="1" applyFont="1" applyFill="1" applyBorder="1" applyAlignment="1" applyProtection="1">
      <alignment horizontal="center" vertical="center"/>
      <protection locked="0"/>
    </xf>
    <xf numFmtId="9" fontId="73" fillId="0" borderId="0" xfId="7" applyFont="1"/>
    <xf numFmtId="0" fontId="0" fillId="19" borderId="0" xfId="0" applyFill="1" applyAlignment="1">
      <alignment horizontal="center"/>
    </xf>
    <xf numFmtId="0" fontId="0" fillId="15" borderId="23" xfId="0" applyFill="1" applyBorder="1" applyAlignment="1" applyProtection="1">
      <alignment horizontal="center"/>
      <protection locked="0"/>
    </xf>
    <xf numFmtId="9" fontId="0" fillId="0" borderId="0" xfId="7" applyFont="1"/>
    <xf numFmtId="9" fontId="0" fillId="15" borderId="46" xfId="7" applyFont="1" applyFill="1" applyBorder="1" applyAlignment="1" applyProtection="1">
      <alignment horizontal="center"/>
      <protection locked="0"/>
    </xf>
    <xf numFmtId="0" fontId="88" fillId="22" borderId="0" xfId="0" applyFont="1" applyFill="1"/>
    <xf numFmtId="180" fontId="0" fillId="0" borderId="27" xfId="0" applyNumberFormat="1" applyBorder="1"/>
    <xf numFmtId="180" fontId="0" fillId="0" borderId="22" xfId="0" applyNumberFormat="1" applyBorder="1"/>
    <xf numFmtId="180" fontId="0" fillId="0" borderId="14" xfId="0" applyNumberFormat="1" applyBorder="1"/>
    <xf numFmtId="170" fontId="23" fillId="0" borderId="0" xfId="6" applyNumberFormat="1" applyFont="1" applyAlignment="1">
      <alignment horizontal="right"/>
    </xf>
    <xf numFmtId="170" fontId="0" fillId="0" borderId="27" xfId="0" applyNumberFormat="1" applyBorder="1"/>
    <xf numFmtId="170" fontId="0" fillId="0" borderId="22" xfId="0" applyNumberFormat="1" applyBorder="1"/>
    <xf numFmtId="170" fontId="0" fillId="0" borderId="14" xfId="0" applyNumberFormat="1" applyBorder="1"/>
    <xf numFmtId="1" fontId="23" fillId="0" borderId="0" xfId="0" applyNumberFormat="1" applyFont="1" applyAlignment="1">
      <alignment horizontal="center"/>
    </xf>
    <xf numFmtId="180" fontId="23" fillId="0" borderId="0" xfId="0" applyNumberFormat="1" applyFont="1"/>
    <xf numFmtId="1" fontId="0" fillId="15" borderId="46" xfId="0" applyNumberFormat="1" applyFill="1" applyBorder="1" applyAlignment="1" applyProtection="1">
      <alignment horizontal="center" vertical="center"/>
      <protection locked="0"/>
    </xf>
    <xf numFmtId="170" fontId="0" fillId="15" borderId="46" xfId="0" applyNumberFormat="1" applyFill="1" applyBorder="1" applyAlignment="1" applyProtection="1">
      <alignment horizontal="center" shrinkToFit="1"/>
      <protection locked="0"/>
    </xf>
    <xf numFmtId="180" fontId="23" fillId="0" borderId="0" xfId="0" applyNumberFormat="1" applyFont="1" applyAlignment="1">
      <alignment horizontal="right"/>
    </xf>
    <xf numFmtId="0" fontId="78" fillId="0" borderId="0" xfId="0" applyFont="1" applyAlignment="1">
      <alignment horizontal="left"/>
    </xf>
    <xf numFmtId="0" fontId="39" fillId="0" borderId="0" xfId="0" applyFont="1" applyAlignment="1">
      <alignment horizontal="right"/>
    </xf>
    <xf numFmtId="0" fontId="39" fillId="0" borderId="0" xfId="0" applyFont="1"/>
    <xf numFmtId="9" fontId="39" fillId="0" borderId="0" xfId="7" applyFont="1" applyAlignment="1">
      <alignment horizontal="left"/>
    </xf>
    <xf numFmtId="9" fontId="0" fillId="9" borderId="14" xfId="7" applyFont="1" applyFill="1" applyBorder="1" applyAlignment="1" applyProtection="1">
      <alignment horizontal="center"/>
      <protection locked="0"/>
    </xf>
    <xf numFmtId="9" fontId="42" fillId="0" borderId="0" xfId="0" applyNumberFormat="1" applyFont="1" applyAlignment="1">
      <alignment horizontal="center" vertical="center"/>
    </xf>
    <xf numFmtId="0" fontId="33" fillId="0" borderId="27" xfId="0" applyFont="1" applyBorder="1" applyAlignment="1">
      <alignment vertical="top" wrapText="1"/>
    </xf>
    <xf numFmtId="0" fontId="33" fillId="0" borderId="50" xfId="0" applyFont="1" applyBorder="1" applyAlignment="1">
      <alignment vertical="top" wrapText="1"/>
    </xf>
    <xf numFmtId="0" fontId="33" fillId="0" borderId="55" xfId="0" applyFont="1" applyBorder="1" applyAlignment="1">
      <alignment vertical="top" wrapText="1"/>
    </xf>
    <xf numFmtId="0" fontId="33" fillId="0" borderId="56" xfId="0" applyFont="1" applyBorder="1" applyAlignment="1">
      <alignment vertical="top" wrapText="1"/>
    </xf>
    <xf numFmtId="166" fontId="0" fillId="0" borderId="49" xfId="0" applyNumberFormat="1" applyBorder="1"/>
    <xf numFmtId="166" fontId="0" fillId="0" borderId="50" xfId="0" applyNumberFormat="1" applyBorder="1"/>
    <xf numFmtId="0" fontId="39" fillId="0" borderId="23" xfId="0" applyFont="1" applyBorder="1" applyAlignment="1">
      <alignment horizontal="right"/>
    </xf>
    <xf numFmtId="0" fontId="39" fillId="0" borderId="15" xfId="0" applyFont="1" applyBorder="1" applyAlignment="1">
      <alignment horizontal="right"/>
    </xf>
    <xf numFmtId="43" fontId="39" fillId="0" borderId="0" xfId="6" applyNumberFormat="1" applyFont="1" applyBorder="1" applyAlignment="1">
      <alignment horizontal="left"/>
    </xf>
    <xf numFmtId="0" fontId="0" fillId="0" borderId="0" xfId="0" applyAlignment="1">
      <alignment horizontal="center" vertical="center"/>
    </xf>
    <xf numFmtId="0" fontId="39" fillId="0" borderId="21" xfId="0" applyFont="1" applyBorder="1" applyAlignment="1">
      <alignment horizontal="center" vertical="center" wrapText="1"/>
    </xf>
    <xf numFmtId="0" fontId="39" fillId="0" borderId="21" xfId="0" applyFont="1" applyBorder="1" applyAlignment="1">
      <alignment horizontal="left" vertical="center"/>
    </xf>
    <xf numFmtId="0" fontId="39" fillId="0" borderId="21" xfId="0" applyFont="1" applyBorder="1" applyAlignment="1">
      <alignment horizontal="left" vertical="center" wrapText="1"/>
    </xf>
    <xf numFmtId="0" fontId="102" fillId="0" borderId="54" xfId="0" applyFont="1" applyBorder="1"/>
    <xf numFmtId="0" fontId="103" fillId="0" borderId="15" xfId="0" applyFont="1" applyBorder="1"/>
    <xf numFmtId="0" fontId="102" fillId="0" borderId="15" xfId="0" applyFont="1" applyBorder="1"/>
    <xf numFmtId="0" fontId="103" fillId="0" borderId="0" xfId="0" applyFont="1"/>
    <xf numFmtId="0" fontId="102" fillId="0" borderId="21" xfId="0" applyFont="1" applyBorder="1" applyAlignment="1">
      <alignment horizontal="left" vertical="center" wrapText="1"/>
    </xf>
    <xf numFmtId="0" fontId="103" fillId="0" borderId="36" xfId="0" applyFont="1" applyBorder="1"/>
    <xf numFmtId="0" fontId="103" fillId="0" borderId="36" xfId="0" applyFont="1" applyBorder="1" applyAlignment="1">
      <alignment horizontal="center"/>
    </xf>
    <xf numFmtId="170" fontId="103" fillId="0" borderId="36" xfId="0" applyNumberFormat="1" applyFont="1" applyBorder="1"/>
    <xf numFmtId="42" fontId="103" fillId="0" borderId="36" xfId="0" applyNumberFormat="1" applyFont="1" applyBorder="1"/>
    <xf numFmtId="0" fontId="103" fillId="0" borderId="14" xfId="0" applyFont="1" applyBorder="1"/>
    <xf numFmtId="0" fontId="103" fillId="0" borderId="14" xfId="0" applyFont="1" applyBorder="1" applyAlignment="1">
      <alignment wrapText="1"/>
    </xf>
    <xf numFmtId="0" fontId="0" fillId="0" borderId="46" xfId="0" applyBorder="1" applyAlignment="1">
      <alignment horizontal="right"/>
    </xf>
    <xf numFmtId="0" fontId="103" fillId="0" borderId="46" xfId="0" applyFont="1" applyBorder="1" applyAlignment="1">
      <alignment horizontal="right"/>
    </xf>
    <xf numFmtId="0" fontId="103" fillId="0" borderId="0" xfId="0" applyFont="1" applyAlignment="1">
      <alignment horizontal="right"/>
    </xf>
    <xf numFmtId="0" fontId="102" fillId="0" borderId="0" xfId="0" applyFont="1"/>
    <xf numFmtId="0" fontId="103" fillId="0" borderId="46" xfId="0" applyFont="1" applyBorder="1"/>
    <xf numFmtId="0" fontId="103" fillId="0" borderId="46" xfId="0" applyFont="1" applyBorder="1" applyAlignment="1">
      <alignment horizontal="left"/>
    </xf>
    <xf numFmtId="0" fontId="103" fillId="0" borderId="56" xfId="0" applyFont="1" applyBorder="1"/>
    <xf numFmtId="0" fontId="103" fillId="0" borderId="49" xfId="0" applyFont="1" applyBorder="1"/>
    <xf numFmtId="0" fontId="103" fillId="0" borderId="55" xfId="0" applyFont="1" applyBorder="1"/>
    <xf numFmtId="0" fontId="103" fillId="0" borderId="27" xfId="0" applyFont="1" applyBorder="1"/>
    <xf numFmtId="0" fontId="103" fillId="0" borderId="50" xfId="0" applyFont="1" applyBorder="1"/>
    <xf numFmtId="0" fontId="103" fillId="0" borderId="0" xfId="0" applyFont="1" applyAlignment="1">
      <alignment horizontal="left"/>
    </xf>
    <xf numFmtId="0" fontId="102" fillId="0" borderId="46" xfId="0" applyFont="1" applyBorder="1"/>
    <xf numFmtId="0" fontId="103" fillId="0" borderId="0" xfId="0" applyFont="1" applyAlignment="1">
      <alignment horizontal="center"/>
    </xf>
    <xf numFmtId="0" fontId="102" fillId="0" borderId="0" xfId="0" applyFont="1" applyAlignment="1">
      <alignment horizontal="center"/>
    </xf>
    <xf numFmtId="6" fontId="102" fillId="0" borderId="46" xfId="0" applyNumberFormat="1" applyFont="1" applyBorder="1"/>
    <xf numFmtId="6" fontId="102" fillId="0" borderId="46" xfId="0" applyNumberFormat="1" applyFont="1" applyBorder="1" applyAlignment="1">
      <alignment horizontal="center"/>
    </xf>
    <xf numFmtId="6" fontId="102" fillId="0" borderId="0" xfId="0" applyNumberFormat="1" applyFont="1"/>
    <xf numFmtId="6" fontId="102" fillId="0" borderId="0" xfId="0" applyNumberFormat="1" applyFont="1" applyAlignment="1">
      <alignment horizontal="center"/>
    </xf>
    <xf numFmtId="0" fontId="103" fillId="0" borderId="50" xfId="0" applyFont="1" applyBorder="1" applyAlignment="1">
      <alignment horizontal="right"/>
    </xf>
    <xf numFmtId="0" fontId="103" fillId="0" borderId="46" xfId="0" applyFont="1" applyBorder="1" applyAlignment="1">
      <alignment horizontal="right" vertical="top"/>
    </xf>
    <xf numFmtId="0" fontId="103" fillId="0" borderId="56" xfId="0" applyFont="1" applyBorder="1" applyAlignment="1">
      <alignment vertical="top" wrapText="1"/>
    </xf>
    <xf numFmtId="0" fontId="104" fillId="0" borderId="0" xfId="0" applyFont="1"/>
    <xf numFmtId="0" fontId="38" fillId="0" borderId="0" xfId="0" applyFont="1"/>
    <xf numFmtId="0" fontId="103" fillId="0" borderId="0" xfId="0" applyFont="1" applyAlignment="1">
      <alignment horizontal="left" vertical="top" wrapText="1"/>
    </xf>
    <xf numFmtId="0" fontId="78" fillId="0" borderId="15" xfId="0" applyFont="1" applyBorder="1"/>
    <xf numFmtId="0" fontId="103" fillId="0" borderId="14" xfId="0" applyFont="1" applyBorder="1" applyAlignment="1">
      <alignment horizontal="center"/>
    </xf>
    <xf numFmtId="0" fontId="39" fillId="0" borderId="57" xfId="0" applyFont="1" applyBorder="1" applyAlignment="1">
      <alignment horizontal="center" vertical="center"/>
    </xf>
    <xf numFmtId="170" fontId="103" fillId="0" borderId="14" xfId="0" applyNumberFormat="1" applyFont="1" applyBorder="1"/>
    <xf numFmtId="42" fontId="103" fillId="0" borderId="14" xfId="0" applyNumberFormat="1" applyFont="1" applyBorder="1"/>
    <xf numFmtId="176" fontId="0" fillId="0" borderId="0" xfId="7" applyNumberFormat="1" applyFont="1"/>
    <xf numFmtId="173" fontId="0" fillId="5" borderId="1" xfId="7" applyNumberFormat="1" applyFont="1" applyFill="1" applyBorder="1" applyAlignment="1" applyProtection="1">
      <alignment horizontal="center" shrinkToFit="1"/>
      <protection locked="0"/>
    </xf>
    <xf numFmtId="173" fontId="0" fillId="0" borderId="0" xfId="7" applyNumberFormat="1" applyFont="1" applyAlignment="1">
      <alignment horizontal="center"/>
    </xf>
    <xf numFmtId="0" fontId="78" fillId="2" borderId="0" xfId="0" applyFont="1" applyFill="1"/>
    <xf numFmtId="0" fontId="33" fillId="15" borderId="14" xfId="0" applyFont="1" applyFill="1" applyBorder="1" applyAlignment="1">
      <alignment horizontal="center"/>
    </xf>
    <xf numFmtId="0" fontId="33" fillId="15" borderId="14" xfId="0" applyFont="1" applyFill="1" applyBorder="1"/>
    <xf numFmtId="166" fontId="0" fillId="0" borderId="0" xfId="6" applyNumberFormat="1" applyFont="1"/>
    <xf numFmtId="3" fontId="0" fillId="2" borderId="0" xfId="0" applyNumberFormat="1" applyFill="1"/>
    <xf numFmtId="0" fontId="33" fillId="2" borderId="0" xfId="0" applyFont="1" applyFill="1" applyAlignment="1">
      <alignment horizontal="right"/>
    </xf>
    <xf numFmtId="44" fontId="0" fillId="2" borderId="0" xfId="0" applyNumberFormat="1" applyFill="1"/>
    <xf numFmtId="0" fontId="106" fillId="2" borderId="46" xfId="0" applyFont="1" applyFill="1" applyBorder="1"/>
    <xf numFmtId="44" fontId="33" fillId="2" borderId="0" xfId="0" applyNumberFormat="1" applyFont="1" applyFill="1"/>
    <xf numFmtId="178" fontId="39" fillId="0" borderId="0" xfId="6" applyNumberFormat="1" applyFont="1" applyBorder="1" applyAlignment="1">
      <alignment horizontal="left" indent="1"/>
    </xf>
    <xf numFmtId="178" fontId="39" fillId="0" borderId="0" xfId="6" applyNumberFormat="1" applyFont="1" applyBorder="1" applyAlignment="1">
      <alignment horizontal="left"/>
    </xf>
    <xf numFmtId="0" fontId="81" fillId="2" borderId="0" xfId="0" applyFont="1" applyFill="1" applyAlignment="1">
      <alignment vertical="center"/>
    </xf>
    <xf numFmtId="9" fontId="33" fillId="15" borderId="14" xfId="7" applyFont="1" applyFill="1" applyBorder="1" applyProtection="1">
      <protection locked="0"/>
    </xf>
    <xf numFmtId="42" fontId="103" fillId="0" borderId="36" xfId="0" applyNumberFormat="1" applyFont="1" applyBorder="1" applyAlignment="1">
      <alignment horizontal="center"/>
    </xf>
    <xf numFmtId="42" fontId="103" fillId="0" borderId="14" xfId="0" applyNumberFormat="1" applyFont="1" applyBorder="1" applyAlignment="1">
      <alignment horizontal="center"/>
    </xf>
    <xf numFmtId="6" fontId="102" fillId="0" borderId="46" xfId="0" applyNumberFormat="1" applyFont="1" applyBorder="1" applyAlignment="1">
      <alignment horizontal="right"/>
    </xf>
    <xf numFmtId="43" fontId="39" fillId="0" borderId="46" xfId="6" applyNumberFormat="1" applyFont="1" applyBorder="1" applyAlignment="1">
      <alignment horizontal="left"/>
    </xf>
    <xf numFmtId="166" fontId="0" fillId="0" borderId="56" xfId="0" applyNumberFormat="1" applyBorder="1"/>
    <xf numFmtId="1" fontId="102" fillId="0" borderId="0" xfId="0" applyNumberFormat="1" applyFont="1" applyAlignment="1">
      <alignment horizontal="center"/>
    </xf>
    <xf numFmtId="1" fontId="102" fillId="0" borderId="46" xfId="0" applyNumberFormat="1" applyFont="1" applyBorder="1" applyAlignment="1">
      <alignment horizontal="center"/>
    </xf>
    <xf numFmtId="3" fontId="102" fillId="0" borderId="0" xfId="0" applyNumberFormat="1" applyFont="1"/>
    <xf numFmtId="3" fontId="102" fillId="0" borderId="46" xfId="0" applyNumberFormat="1" applyFont="1" applyBorder="1"/>
    <xf numFmtId="1" fontId="102" fillId="0" borderId="46" xfId="0" applyNumberFormat="1" applyFont="1" applyBorder="1" applyAlignment="1">
      <alignment horizontal="center" vertical="top"/>
    </xf>
    <xf numFmtId="0" fontId="23" fillId="2" borderId="0" xfId="0" applyFont="1" applyFill="1" applyAlignment="1">
      <alignment horizontal="center" shrinkToFit="1"/>
    </xf>
    <xf numFmtId="1" fontId="0" fillId="4" borderId="14" xfId="0" applyNumberFormat="1" applyFill="1" applyBorder="1" applyAlignment="1" applyProtection="1">
      <alignment horizontal="center"/>
      <protection locked="0"/>
    </xf>
    <xf numFmtId="44" fontId="0" fillId="2" borderId="14" xfId="6" applyFont="1" applyFill="1" applyBorder="1"/>
    <xf numFmtId="0" fontId="39" fillId="0" borderId="0" xfId="0" applyFont="1" applyAlignment="1">
      <alignment vertical="top" wrapText="1"/>
    </xf>
    <xf numFmtId="0" fontId="25" fillId="0" borderId="0" xfId="0" applyFont="1" applyAlignment="1">
      <alignment horizontal="right"/>
    </xf>
    <xf numFmtId="0" fontId="108" fillId="0" borderId="0" xfId="0" applyFont="1"/>
    <xf numFmtId="0" fontId="72" fillId="0" borderId="0" xfId="0" applyFont="1"/>
    <xf numFmtId="14" fontId="109" fillId="0" borderId="0" xfId="0" applyNumberFormat="1" applyFont="1" applyAlignment="1">
      <alignment horizontal="left"/>
    </xf>
    <xf numFmtId="0" fontId="110" fillId="0" borderId="0" xfId="0" applyFont="1"/>
    <xf numFmtId="0" fontId="85" fillId="0" borderId="0" xfId="0" applyFont="1" applyAlignment="1">
      <alignment horizontal="left"/>
    </xf>
    <xf numFmtId="0" fontId="109" fillId="0" borderId="0" xfId="0" applyFont="1" applyAlignment="1">
      <alignment horizontal="left"/>
    </xf>
    <xf numFmtId="0" fontId="111" fillId="0" borderId="0" xfId="0" applyFont="1" applyAlignment="1">
      <alignment horizontal="center" vertical="top" wrapText="1"/>
    </xf>
    <xf numFmtId="173" fontId="112" fillId="0" borderId="0" xfId="7" applyNumberFormat="1" applyFont="1" applyFill="1" applyBorder="1" applyAlignment="1" applyProtection="1">
      <alignment horizontal="center"/>
    </xf>
    <xf numFmtId="0" fontId="0" fillId="0" borderId="129" xfId="0" applyBorder="1"/>
    <xf numFmtId="0" fontId="25" fillId="0" borderId="129" xfId="0" applyFont="1" applyBorder="1"/>
    <xf numFmtId="0" fontId="113" fillId="0" borderId="130" xfId="0" applyFont="1" applyBorder="1"/>
    <xf numFmtId="0" fontId="0" fillId="0" borderId="131" xfId="0" applyBorder="1"/>
    <xf numFmtId="0" fontId="25" fillId="0" borderId="132" xfId="0" applyFont="1" applyBorder="1" applyAlignment="1">
      <alignment horizontal="center" wrapText="1"/>
    </xf>
    <xf numFmtId="0" fontId="25" fillId="0" borderId="133" xfId="0" applyFont="1" applyBorder="1" applyAlignment="1">
      <alignment horizontal="center" wrapText="1"/>
    </xf>
    <xf numFmtId="0" fontId="25" fillId="0" borderId="134" xfId="0" applyFont="1" applyBorder="1" applyAlignment="1">
      <alignment horizontal="center" wrapText="1"/>
    </xf>
    <xf numFmtId="0" fontId="25" fillId="0" borderId="135" xfId="0" applyFont="1" applyBorder="1" applyAlignment="1">
      <alignment horizontal="center" wrapText="1"/>
    </xf>
    <xf numFmtId="0" fontId="107" fillId="0" borderId="0" xfId="0" applyFont="1" applyAlignment="1">
      <alignment horizontal="center"/>
    </xf>
    <xf numFmtId="16" fontId="107" fillId="0" borderId="0" xfId="0" applyNumberFormat="1" applyFont="1" applyAlignment="1">
      <alignment horizontal="center"/>
    </xf>
    <xf numFmtId="181" fontId="107" fillId="0" borderId="0" xfId="0" applyNumberFormat="1" applyFont="1" applyAlignment="1">
      <alignment horizontal="center"/>
    </xf>
    <xf numFmtId="181" fontId="107" fillId="0" borderId="0" xfId="0" applyNumberFormat="1" applyFont="1"/>
    <xf numFmtId="0" fontId="27" fillId="0" borderId="0" xfId="0" applyFont="1"/>
    <xf numFmtId="0" fontId="103" fillId="0" borderId="36" xfId="0" applyFont="1" applyBorder="1" applyAlignment="1">
      <alignment horizontal="center" wrapText="1"/>
    </xf>
    <xf numFmtId="0" fontId="23" fillId="2" borderId="0" xfId="0" applyFont="1" applyFill="1" applyAlignment="1">
      <alignment horizontal="center" wrapText="1" shrinkToFit="1"/>
    </xf>
    <xf numFmtId="181" fontId="109" fillId="0" borderId="0" xfId="0" applyNumberFormat="1" applyFont="1" applyAlignment="1">
      <alignment horizontal="center"/>
    </xf>
    <xf numFmtId="0" fontId="35" fillId="0" borderId="130" xfId="0" applyFont="1" applyBorder="1"/>
    <xf numFmtId="0" fontId="35" fillId="0" borderId="136" xfId="0" applyFont="1" applyBorder="1"/>
    <xf numFmtId="0" fontId="25" fillId="0" borderId="131" xfId="0" applyFont="1" applyBorder="1" applyAlignment="1">
      <alignment horizontal="center"/>
    </xf>
    <xf numFmtId="181" fontId="109" fillId="0" borderId="137" xfId="0" applyNumberFormat="1" applyFont="1" applyBorder="1"/>
    <xf numFmtId="0" fontId="28" fillId="0" borderId="130" xfId="0" applyFont="1" applyBorder="1"/>
    <xf numFmtId="0" fontId="25" fillId="0" borderId="0" xfId="0" applyFont="1" applyAlignment="1">
      <alignment horizontal="left"/>
    </xf>
    <xf numFmtId="0" fontId="0" fillId="0" borderId="137" xfId="0" applyBorder="1"/>
    <xf numFmtId="181" fontId="113" fillId="0" borderId="0" xfId="0" applyNumberFormat="1" applyFont="1" applyAlignment="1" applyProtection="1">
      <alignment horizontal="left"/>
      <protection locked="0"/>
    </xf>
    <xf numFmtId="181" fontId="116" fillId="0" borderId="0" xfId="0" applyNumberFormat="1" applyFont="1" applyAlignment="1">
      <alignment horizontal="center"/>
    </xf>
    <xf numFmtId="0" fontId="25" fillId="0" borderId="139" xfId="0" applyFont="1" applyBorder="1" applyAlignment="1">
      <alignment horizontal="left"/>
    </xf>
    <xf numFmtId="181" fontId="113" fillId="0" borderId="140" xfId="0" applyNumberFormat="1" applyFont="1" applyBorder="1" applyAlignment="1" applyProtection="1">
      <alignment horizontal="left"/>
      <protection locked="0"/>
    </xf>
    <xf numFmtId="181" fontId="109" fillId="0" borderId="138" xfId="0" applyNumberFormat="1" applyFont="1" applyBorder="1" applyAlignment="1">
      <alignment horizontal="center"/>
    </xf>
    <xf numFmtId="0" fontId="72" fillId="0" borderId="141" xfId="0" applyFont="1" applyBorder="1" applyAlignment="1">
      <alignment horizontal="center"/>
    </xf>
    <xf numFmtId="0" fontId="0" fillId="0" borderId="142" xfId="0" applyBorder="1"/>
    <xf numFmtId="181" fontId="113" fillId="0" borderId="143" xfId="0" applyNumberFormat="1" applyFont="1" applyBorder="1" applyProtection="1">
      <protection locked="0"/>
    </xf>
    <xf numFmtId="181" fontId="113" fillId="0" borderId="0" xfId="0" applyNumberFormat="1" applyFont="1" applyProtection="1">
      <protection locked="0"/>
    </xf>
    <xf numFmtId="0" fontId="72" fillId="0" borderId="142" xfId="0" applyFont="1" applyBorder="1"/>
    <xf numFmtId="0" fontId="110" fillId="0" borderId="142" xfId="0" applyFont="1" applyBorder="1"/>
    <xf numFmtId="0" fontId="25" fillId="0" borderId="142" xfId="0" applyFont="1" applyBorder="1"/>
    <xf numFmtId="0" fontId="28" fillId="0" borderId="0" xfId="0" applyFont="1" applyAlignment="1">
      <alignment horizontal="center"/>
    </xf>
    <xf numFmtId="181" fontId="114" fillId="0" borderId="0" xfId="0" applyNumberFormat="1" applyFont="1" applyAlignment="1">
      <alignment horizontal="center"/>
    </xf>
    <xf numFmtId="0" fontId="118" fillId="0" borderId="0" xfId="0" applyFont="1"/>
    <xf numFmtId="181" fontId="107" fillId="0" borderId="0" xfId="0" applyNumberFormat="1" applyFont="1" applyAlignment="1">
      <alignment horizontal="center" shrinkToFit="1"/>
    </xf>
    <xf numFmtId="49" fontId="0" fillId="4" borderId="144" xfId="0" applyNumberFormat="1" applyFill="1" applyBorder="1" applyProtection="1">
      <protection locked="0"/>
    </xf>
    <xf numFmtId="0" fontId="108" fillId="0" borderId="142" xfId="0" applyFont="1" applyBorder="1"/>
    <xf numFmtId="0" fontId="108" fillId="0" borderId="142" xfId="0" applyFont="1" applyBorder="1" applyAlignment="1">
      <alignment horizontal="center"/>
    </xf>
    <xf numFmtId="181" fontId="109" fillId="0" borderId="142" xfId="0" applyNumberFormat="1" applyFont="1" applyBorder="1" applyAlignment="1">
      <alignment horizontal="center"/>
    </xf>
    <xf numFmtId="181" fontId="107" fillId="0" borderId="142" xfId="0" applyNumberFormat="1" applyFont="1" applyBorder="1" applyAlignment="1">
      <alignment horizontal="center"/>
    </xf>
    <xf numFmtId="181" fontId="107" fillId="0" borderId="78" xfId="0" applyNumberFormat="1" applyFont="1" applyBorder="1" applyAlignment="1">
      <alignment horizontal="center"/>
    </xf>
    <xf numFmtId="0" fontId="119" fillId="0" borderId="0" xfId="0" applyFont="1" applyAlignment="1">
      <alignment vertical="top" wrapText="1" readingOrder="1"/>
    </xf>
    <xf numFmtId="0" fontId="119" fillId="2" borderId="0" xfId="0" applyFont="1" applyFill="1" applyAlignment="1">
      <alignment vertical="top" wrapText="1" readingOrder="1"/>
    </xf>
    <xf numFmtId="0" fontId="24" fillId="2" borderId="0" xfId="0" applyFont="1" applyFill="1" applyAlignment="1">
      <alignment vertical="top" wrapText="1" readingOrder="1"/>
    </xf>
    <xf numFmtId="0" fontId="0" fillId="9" borderId="144" xfId="0" applyFill="1" applyBorder="1" applyAlignment="1" applyProtection="1">
      <alignment horizontal="center"/>
      <protection locked="0"/>
    </xf>
    <xf numFmtId="0" fontId="0" fillId="15" borderId="0" xfId="0" applyFill="1"/>
    <xf numFmtId="170" fontId="0" fillId="17" borderId="0" xfId="6" applyNumberFormat="1" applyFont="1" applyFill="1" applyAlignment="1">
      <alignment horizontal="center"/>
    </xf>
    <xf numFmtId="166" fontId="23" fillId="0" borderId="0" xfId="6" applyNumberFormat="1" applyFont="1" applyBorder="1" applyAlignment="1">
      <alignment horizontal="right"/>
    </xf>
    <xf numFmtId="166" fontId="23" fillId="0" borderId="46" xfId="6" applyNumberFormat="1" applyFont="1" applyBorder="1" applyAlignment="1">
      <alignment horizontal="right"/>
    </xf>
    <xf numFmtId="0" fontId="102" fillId="0" borderId="0" xfId="0" applyFont="1" applyAlignment="1">
      <alignment horizontal="right"/>
    </xf>
    <xf numFmtId="0" fontId="102" fillId="0" borderId="46" xfId="0" applyFont="1" applyBorder="1" applyAlignment="1">
      <alignment horizontal="right"/>
    </xf>
    <xf numFmtId="6" fontId="102" fillId="0" borderId="0" xfId="0" applyNumberFormat="1" applyFont="1" applyAlignment="1">
      <alignment horizontal="right"/>
    </xf>
    <xf numFmtId="0" fontId="23" fillId="2" borderId="56" xfId="0" applyFont="1" applyFill="1" applyBorder="1"/>
    <xf numFmtId="0" fontId="33" fillId="15" borderId="24" xfId="0" applyFont="1" applyFill="1" applyBorder="1" applyProtection="1">
      <protection locked="0"/>
    </xf>
    <xf numFmtId="0" fontId="33" fillId="15" borderId="14" xfId="0" applyFont="1" applyFill="1" applyBorder="1" applyProtection="1">
      <protection locked="0"/>
    </xf>
    <xf numFmtId="182" fontId="0" fillId="4" borderId="14" xfId="0" applyNumberFormat="1" applyFill="1" applyBorder="1" applyAlignment="1" applyProtection="1">
      <alignment horizontal="center"/>
      <protection locked="0"/>
    </xf>
    <xf numFmtId="0" fontId="0" fillId="3" borderId="10"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0" fontId="0" fillId="3" borderId="12" xfId="0" applyFill="1" applyBorder="1" applyAlignment="1" applyProtection="1">
      <alignment horizontal="left" vertical="center"/>
      <protection locked="0"/>
    </xf>
    <xf numFmtId="0" fontId="0" fillId="3" borderId="7" xfId="0" applyFill="1" applyBorder="1" applyAlignment="1" applyProtection="1">
      <alignment horizontal="left"/>
      <protection locked="0"/>
    </xf>
    <xf numFmtId="0" fontId="0" fillId="3" borderId="9" xfId="0" applyFill="1" applyBorder="1" applyAlignment="1" applyProtection="1">
      <alignment horizontal="left"/>
      <protection locked="0"/>
    </xf>
    <xf numFmtId="0" fontId="23" fillId="2" borderId="0" xfId="0" applyFont="1" applyFill="1" applyAlignment="1">
      <alignment horizontal="right" wrapText="1"/>
    </xf>
    <xf numFmtId="0" fontId="23" fillId="2" borderId="6" xfId="0" applyFont="1" applyFill="1" applyBorder="1" applyAlignment="1">
      <alignment horizontal="right" wrapText="1"/>
    </xf>
    <xf numFmtId="14" fontId="0" fillId="2" borderId="8" xfId="0" applyNumberFormat="1" applyFill="1" applyBorder="1" applyAlignment="1">
      <alignment horizontal="center" vertical="top" wrapText="1"/>
    </xf>
    <xf numFmtId="0" fontId="0" fillId="2" borderId="8" xfId="0" applyFill="1" applyBorder="1" applyAlignment="1">
      <alignment horizontal="center" vertical="top" wrapText="1"/>
    </xf>
    <xf numFmtId="0" fontId="0" fillId="3" borderId="10" xfId="0" applyFill="1" applyBorder="1" applyAlignment="1" applyProtection="1">
      <alignment horizontal="left"/>
      <protection locked="0"/>
    </xf>
    <xf numFmtId="0" fontId="0" fillId="3" borderId="11" xfId="0" applyFill="1" applyBorder="1" applyAlignment="1" applyProtection="1">
      <alignment horizontal="left"/>
      <protection locked="0"/>
    </xf>
    <xf numFmtId="0" fontId="0" fillId="3" borderId="12" xfId="0" applyFill="1" applyBorder="1" applyAlignment="1" applyProtection="1">
      <alignment horizontal="left"/>
      <protection locked="0"/>
    </xf>
    <xf numFmtId="167" fontId="0" fillId="5" borderId="10" xfId="0" applyNumberFormat="1" applyFill="1" applyBorder="1" applyAlignment="1" applyProtection="1">
      <alignment horizontal="center" vertical="top" wrapText="1"/>
      <protection locked="0"/>
    </xf>
    <xf numFmtId="167" fontId="0" fillId="5" borderId="12" xfId="0" applyNumberFormat="1" applyFill="1" applyBorder="1" applyAlignment="1" applyProtection="1">
      <alignment horizontal="center" vertical="top" wrapText="1"/>
      <protection locked="0"/>
    </xf>
    <xf numFmtId="0" fontId="0" fillId="3" borderId="2" xfId="0" applyFill="1" applyBorder="1" applyAlignment="1" applyProtection="1">
      <alignment horizontal="left" vertical="top" wrapText="1"/>
      <protection locked="0"/>
    </xf>
    <xf numFmtId="0" fontId="0" fillId="3" borderId="3" xfId="0" applyFill="1" applyBorder="1" applyAlignment="1" applyProtection="1">
      <alignment horizontal="left" vertical="top" wrapText="1"/>
      <protection locked="0"/>
    </xf>
    <xf numFmtId="0" fontId="0" fillId="3" borderId="4" xfId="0" applyFill="1" applyBorder="1" applyAlignment="1" applyProtection="1">
      <alignment horizontal="left" vertical="top" wrapText="1"/>
      <protection locked="0"/>
    </xf>
    <xf numFmtId="0" fontId="0" fillId="3" borderId="5" xfId="0" applyFill="1" applyBorder="1" applyAlignment="1" applyProtection="1">
      <alignment horizontal="left" vertical="top" wrapText="1"/>
      <protection locked="0"/>
    </xf>
    <xf numFmtId="0" fontId="0" fillId="3" borderId="0" xfId="0" applyFill="1" applyAlignment="1" applyProtection="1">
      <alignment horizontal="left" vertical="top" wrapText="1"/>
      <protection locked="0"/>
    </xf>
    <xf numFmtId="0" fontId="0" fillId="3" borderId="6" xfId="0" applyFill="1" applyBorder="1" applyAlignment="1" applyProtection="1">
      <alignment horizontal="left" vertical="top" wrapText="1"/>
      <protection locked="0"/>
    </xf>
    <xf numFmtId="0" fontId="0" fillId="3" borderId="7" xfId="0" applyFill="1" applyBorder="1" applyAlignment="1" applyProtection="1">
      <alignment horizontal="left" vertical="top" wrapText="1"/>
      <protection locked="0"/>
    </xf>
    <xf numFmtId="0" fontId="0" fillId="3" borderId="8" xfId="0" applyFill="1" applyBorder="1" applyAlignment="1" applyProtection="1">
      <alignment horizontal="left" vertical="top" wrapText="1"/>
      <protection locked="0"/>
    </xf>
    <xf numFmtId="0" fontId="0" fillId="3" borderId="9"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0" fillId="3" borderId="11" xfId="0" applyFill="1" applyBorder="1" applyAlignment="1" applyProtection="1">
      <alignment horizontal="left" vertical="top" wrapText="1"/>
      <protection locked="0"/>
    </xf>
    <xf numFmtId="0" fontId="0" fillId="3" borderId="12" xfId="0" applyFill="1" applyBorder="1" applyAlignment="1" applyProtection="1">
      <alignment horizontal="left" vertical="top" wrapText="1"/>
      <protection locked="0"/>
    </xf>
    <xf numFmtId="0" fontId="0" fillId="4" borderId="22" xfId="0" applyFill="1" applyBorder="1" applyAlignment="1" applyProtection="1">
      <alignment horizontal="center" shrinkToFit="1"/>
      <protection locked="0"/>
    </xf>
    <xf numFmtId="0" fontId="0" fillId="4" borderId="23" xfId="0" applyFill="1" applyBorder="1" applyAlignment="1" applyProtection="1">
      <alignment horizontal="center" shrinkToFit="1"/>
      <protection locked="0"/>
    </xf>
    <xf numFmtId="0" fontId="0" fillId="4" borderId="24" xfId="0" applyFill="1" applyBorder="1" applyAlignment="1" applyProtection="1">
      <alignment horizontal="center" shrinkToFit="1"/>
      <protection locked="0"/>
    </xf>
    <xf numFmtId="0" fontId="45" fillId="2" borderId="0" xfId="0" quotePrefix="1" applyFont="1" applyFill="1" applyAlignment="1">
      <alignment horizontal="center"/>
    </xf>
    <xf numFmtId="0" fontId="45" fillId="2" borderId="0" xfId="0" applyFont="1" applyFill="1" applyAlignment="1">
      <alignment horizontal="center"/>
    </xf>
    <xf numFmtId="0" fontId="23" fillId="2" borderId="46" xfId="0" applyFont="1" applyFill="1" applyBorder="1" applyAlignment="1">
      <alignment horizontal="center"/>
    </xf>
    <xf numFmtId="0" fontId="78" fillId="2" borderId="0" xfId="0" quotePrefix="1" applyFont="1" applyFill="1" applyAlignment="1">
      <alignment horizontal="left" vertical="top" wrapText="1"/>
    </xf>
    <xf numFmtId="0" fontId="78" fillId="2" borderId="0" xfId="0" quotePrefix="1" applyFont="1" applyFill="1" applyAlignment="1">
      <alignment horizontal="left" vertical="top"/>
    </xf>
    <xf numFmtId="0" fontId="23" fillId="2" borderId="0" xfId="0" applyFont="1" applyFill="1" applyAlignment="1">
      <alignment horizontal="right"/>
    </xf>
    <xf numFmtId="0" fontId="39" fillId="2" borderId="0" xfId="0" applyFont="1" applyFill="1" applyAlignment="1">
      <alignment horizontal="left" wrapText="1"/>
    </xf>
    <xf numFmtId="0" fontId="39" fillId="2" borderId="28" xfId="0" applyFont="1" applyFill="1" applyBorder="1" applyAlignment="1">
      <alignment horizontal="left" wrapText="1"/>
    </xf>
    <xf numFmtId="0" fontId="0" fillId="4" borderId="0" xfId="0" applyFill="1" applyAlignment="1" applyProtection="1">
      <alignment horizontal="left" vertical="top" wrapText="1"/>
      <protection locked="0"/>
    </xf>
    <xf numFmtId="0" fontId="0" fillId="4" borderId="0" xfId="0" applyFill="1" applyAlignment="1" applyProtection="1">
      <alignment horizontal="left" vertical="top"/>
      <protection locked="0"/>
    </xf>
    <xf numFmtId="0" fontId="23" fillId="2" borderId="0" xfId="0" applyFont="1" applyFill="1" applyAlignment="1">
      <alignment horizontal="left"/>
    </xf>
    <xf numFmtId="0" fontId="0" fillId="2" borderId="22" xfId="0" applyFill="1" applyBorder="1" applyAlignment="1">
      <alignment horizontal="left"/>
    </xf>
    <xf numFmtId="0" fontId="0" fillId="2" borderId="24" xfId="0" applyFill="1" applyBorder="1" applyAlignment="1">
      <alignment horizontal="left"/>
    </xf>
    <xf numFmtId="0" fontId="90" fillId="2" borderId="27" xfId="11" applyFont="1" applyFill="1" applyBorder="1" applyAlignment="1">
      <alignment horizontal="right"/>
    </xf>
    <xf numFmtId="0" fontId="90" fillId="2" borderId="50" xfId="11" applyFont="1" applyFill="1" applyBorder="1" applyAlignment="1">
      <alignment horizontal="right"/>
    </xf>
    <xf numFmtId="49" fontId="0" fillId="4" borderId="22" xfId="0" applyNumberFormat="1" applyFill="1" applyBorder="1" applyAlignment="1" applyProtection="1">
      <alignment horizontal="center"/>
      <protection locked="0"/>
    </xf>
    <xf numFmtId="49" fontId="0" fillId="4" borderId="23" xfId="0" applyNumberFormat="1" applyFill="1" applyBorder="1" applyAlignment="1" applyProtection="1">
      <alignment horizontal="center"/>
      <protection locked="0"/>
    </xf>
    <xf numFmtId="49" fontId="0" fillId="4" borderId="24" xfId="0" applyNumberFormat="1" applyFill="1" applyBorder="1" applyAlignment="1" applyProtection="1">
      <alignment horizontal="center"/>
      <protection locked="0"/>
    </xf>
    <xf numFmtId="0" fontId="23" fillId="2" borderId="0" xfId="0" applyFont="1" applyFill="1" applyAlignment="1">
      <alignment horizontal="center" wrapText="1"/>
    </xf>
    <xf numFmtId="0" fontId="23" fillId="2" borderId="0" xfId="0" applyFont="1" applyFill="1" applyAlignment="1">
      <alignment horizontal="center"/>
    </xf>
    <xf numFmtId="0" fontId="23" fillId="2" borderId="8" xfId="0" applyFont="1" applyFill="1" applyBorder="1" applyAlignment="1">
      <alignment horizontal="center"/>
    </xf>
    <xf numFmtId="0" fontId="0" fillId="4" borderId="95" xfId="0" applyFill="1" applyBorder="1" applyAlignment="1" applyProtection="1">
      <alignment horizontal="left"/>
      <protection locked="0"/>
    </xf>
    <xf numFmtId="0" fontId="0" fillId="4" borderId="26" xfId="0" applyFill="1" applyBorder="1" applyAlignment="1" applyProtection="1">
      <alignment horizontal="left"/>
      <protection locked="0"/>
    </xf>
    <xf numFmtId="0" fontId="0" fillId="4" borderId="125" xfId="0" applyFill="1" applyBorder="1" applyAlignment="1" applyProtection="1">
      <alignment horizontal="left"/>
      <protection locked="0"/>
    </xf>
    <xf numFmtId="49" fontId="0" fillId="4" borderId="22" xfId="0" applyNumberFormat="1" applyFill="1" applyBorder="1" applyAlignment="1" applyProtection="1">
      <alignment horizontal="left"/>
      <protection locked="0"/>
    </xf>
    <xf numFmtId="49" fontId="0" fillId="4" borderId="23" xfId="0" applyNumberFormat="1" applyFill="1" applyBorder="1" applyAlignment="1" applyProtection="1">
      <alignment horizontal="left"/>
      <protection locked="0"/>
    </xf>
    <xf numFmtId="49" fontId="0" fillId="4" borderId="24" xfId="0" applyNumberFormat="1" applyFill="1" applyBorder="1" applyAlignment="1" applyProtection="1">
      <alignment horizontal="left"/>
      <protection locked="0"/>
    </xf>
    <xf numFmtId="0" fontId="23" fillId="2" borderId="27" xfId="0" applyFont="1" applyFill="1" applyBorder="1" applyAlignment="1">
      <alignment horizontal="right"/>
    </xf>
    <xf numFmtId="0" fontId="23" fillId="2" borderId="50" xfId="0" applyFont="1" applyFill="1" applyBorder="1" applyAlignment="1">
      <alignment horizontal="right"/>
    </xf>
    <xf numFmtId="0" fontId="36" fillId="2" borderId="15" xfId="0" applyFont="1" applyFill="1" applyBorder="1" applyAlignment="1">
      <alignment horizontal="center" vertical="top"/>
    </xf>
    <xf numFmtId="49" fontId="0" fillId="4" borderId="70" xfId="0" applyNumberFormat="1" applyFill="1" applyBorder="1" applyAlignment="1" applyProtection="1">
      <alignment horizontal="left" vertical="top" wrapText="1"/>
      <protection locked="0"/>
    </xf>
    <xf numFmtId="49" fontId="0" fillId="4" borderId="29" xfId="0" applyNumberFormat="1" applyFill="1" applyBorder="1" applyAlignment="1" applyProtection="1">
      <alignment horizontal="left" vertical="top" wrapText="1"/>
      <protection locked="0"/>
    </xf>
    <xf numFmtId="49" fontId="0" fillId="4" borderId="97" xfId="0" applyNumberFormat="1" applyFill="1" applyBorder="1" applyAlignment="1" applyProtection="1">
      <alignment horizontal="left" vertical="top" wrapText="1"/>
      <protection locked="0"/>
    </xf>
    <xf numFmtId="49" fontId="0" fillId="4" borderId="69" xfId="0" applyNumberFormat="1" applyFill="1" applyBorder="1" applyAlignment="1" applyProtection="1">
      <alignment horizontal="left" vertical="top" wrapText="1"/>
      <protection locked="0"/>
    </xf>
    <xf numFmtId="49" fontId="0" fillId="4" borderId="0" xfId="0" applyNumberFormat="1" applyFill="1" applyAlignment="1" applyProtection="1">
      <alignment horizontal="left" vertical="top" wrapText="1"/>
      <protection locked="0"/>
    </xf>
    <xf numFmtId="49" fontId="0" fillId="4" borderId="94" xfId="0" applyNumberFormat="1" applyFill="1" applyBorder="1" applyAlignment="1" applyProtection="1">
      <alignment horizontal="left" vertical="top" wrapText="1"/>
      <protection locked="0"/>
    </xf>
    <xf numFmtId="49" fontId="0" fillId="4" borderId="68" xfId="0" applyNumberFormat="1" applyFill="1" applyBorder="1" applyAlignment="1" applyProtection="1">
      <alignment horizontal="left" vertical="top" wrapText="1"/>
      <protection locked="0"/>
    </xf>
    <xf numFmtId="49" fontId="0" fillId="4" borderId="28" xfId="0" applyNumberFormat="1" applyFill="1" applyBorder="1" applyAlignment="1" applyProtection="1">
      <alignment horizontal="left" vertical="top" wrapText="1"/>
      <protection locked="0"/>
    </xf>
    <xf numFmtId="49" fontId="0" fillId="4" borderId="93" xfId="0" applyNumberFormat="1" applyFill="1" applyBorder="1" applyAlignment="1" applyProtection="1">
      <alignment horizontal="left" vertical="top" wrapText="1"/>
      <protection locked="0"/>
    </xf>
    <xf numFmtId="0" fontId="86" fillId="2" borderId="29" xfId="0" applyFont="1" applyFill="1" applyBorder="1" applyAlignment="1">
      <alignment horizontal="center" vertical="top" wrapText="1"/>
    </xf>
    <xf numFmtId="0" fontId="23" fillId="2" borderId="0" xfId="0" applyFont="1" applyFill="1" applyAlignment="1">
      <alignment horizontal="center" vertical="top" wrapText="1"/>
    </xf>
    <xf numFmtId="0" fontId="23" fillId="2" borderId="94" xfId="0" applyFont="1" applyFill="1" applyBorder="1" applyAlignment="1">
      <alignment horizontal="center" vertical="top" wrapText="1"/>
    </xf>
    <xf numFmtId="0" fontId="0" fillId="0" borderId="0" xfId="0"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86" fillId="0" borderId="0" xfId="0" applyFont="1" applyAlignment="1">
      <alignment horizontal="center"/>
    </xf>
    <xf numFmtId="0" fontId="23" fillId="0" borderId="8" xfId="0" applyFont="1" applyBorder="1" applyAlignment="1">
      <alignment horizontal="center"/>
    </xf>
    <xf numFmtId="0" fontId="27" fillId="0" borderId="0" xfId="0" applyFont="1" applyAlignment="1">
      <alignment horizontal="center"/>
    </xf>
    <xf numFmtId="0" fontId="84" fillId="0" borderId="0" xfId="0" applyFont="1" applyAlignment="1">
      <alignment horizontal="center"/>
    </xf>
    <xf numFmtId="0" fontId="0" fillId="0" borderId="46" xfId="0" applyBorder="1" applyAlignment="1">
      <alignment horizontal="center"/>
    </xf>
    <xf numFmtId="49" fontId="38" fillId="15" borderId="54" xfId="0" applyNumberFormat="1" applyFont="1" applyFill="1" applyBorder="1" applyAlignment="1" applyProtection="1">
      <alignment horizontal="left" vertical="top" wrapText="1"/>
      <protection locked="0"/>
    </xf>
    <xf numFmtId="49" fontId="38" fillId="15" borderId="15" xfId="0" applyNumberFormat="1" applyFont="1" applyFill="1" applyBorder="1" applyAlignment="1" applyProtection="1">
      <alignment horizontal="left" vertical="top" wrapText="1"/>
      <protection locked="0"/>
    </xf>
    <xf numFmtId="49" fontId="38" fillId="15" borderId="49" xfId="0" applyNumberFormat="1" applyFont="1" applyFill="1" applyBorder="1" applyAlignment="1" applyProtection="1">
      <alignment horizontal="left" vertical="top" wrapText="1"/>
      <protection locked="0"/>
    </xf>
    <xf numFmtId="49" fontId="38" fillId="15" borderId="55" xfId="0" applyNumberFormat="1" applyFont="1" applyFill="1" applyBorder="1" applyAlignment="1" applyProtection="1">
      <alignment horizontal="left" vertical="top" wrapText="1"/>
      <protection locked="0"/>
    </xf>
    <xf numFmtId="49" fontId="38" fillId="15" borderId="46" xfId="0" applyNumberFormat="1" applyFont="1" applyFill="1" applyBorder="1" applyAlignment="1" applyProtection="1">
      <alignment horizontal="left" vertical="top" wrapText="1"/>
      <protection locked="0"/>
    </xf>
    <xf numFmtId="49" fontId="38" fillId="15" borderId="56" xfId="0" applyNumberFormat="1" applyFont="1" applyFill="1" applyBorder="1" applyAlignment="1" applyProtection="1">
      <alignment horizontal="left" vertical="top" wrapText="1"/>
      <protection locked="0"/>
    </xf>
    <xf numFmtId="0" fontId="23" fillId="0" borderId="0" xfId="0" applyFont="1" applyAlignment="1">
      <alignment horizontal="center"/>
    </xf>
    <xf numFmtId="49" fontId="78" fillId="15" borderId="54" xfId="0" applyNumberFormat="1" applyFont="1" applyFill="1" applyBorder="1" applyAlignment="1" applyProtection="1">
      <alignment horizontal="left" vertical="top"/>
      <protection locked="0"/>
    </xf>
    <xf numFmtId="49" fontId="78" fillId="15" borderId="15" xfId="0" applyNumberFormat="1" applyFont="1" applyFill="1" applyBorder="1" applyAlignment="1" applyProtection="1">
      <alignment horizontal="left" vertical="top"/>
      <protection locked="0"/>
    </xf>
    <xf numFmtId="49" fontId="78" fillId="15" borderId="49" xfId="0" applyNumberFormat="1" applyFont="1" applyFill="1" applyBorder="1" applyAlignment="1" applyProtection="1">
      <alignment horizontal="left" vertical="top"/>
      <protection locked="0"/>
    </xf>
    <xf numFmtId="49" fontId="78" fillId="15" borderId="27" xfId="0" applyNumberFormat="1" applyFont="1" applyFill="1" applyBorder="1" applyAlignment="1" applyProtection="1">
      <alignment horizontal="left" vertical="top"/>
      <protection locked="0"/>
    </xf>
    <xf numFmtId="49" fontId="78" fillId="15" borderId="0" xfId="0" applyNumberFormat="1" applyFont="1" applyFill="1" applyAlignment="1" applyProtection="1">
      <alignment horizontal="left" vertical="top"/>
      <protection locked="0"/>
    </xf>
    <xf numFmtId="49" fontId="78" fillId="15" borderId="50" xfId="0" applyNumberFormat="1" applyFont="1" applyFill="1" applyBorder="1" applyAlignment="1" applyProtection="1">
      <alignment horizontal="left" vertical="top"/>
      <protection locked="0"/>
    </xf>
    <xf numFmtId="49" fontId="78" fillId="15" borderId="55" xfId="0" applyNumberFormat="1" applyFont="1" applyFill="1" applyBorder="1" applyAlignment="1" applyProtection="1">
      <alignment horizontal="left" vertical="top"/>
      <protection locked="0"/>
    </xf>
    <xf numFmtId="49" fontId="78" fillId="15" borderId="46" xfId="0" applyNumberFormat="1" applyFont="1" applyFill="1" applyBorder="1" applyAlignment="1" applyProtection="1">
      <alignment horizontal="left" vertical="top"/>
      <protection locked="0"/>
    </xf>
    <xf numFmtId="49" fontId="78" fillId="15" borderId="56" xfId="0" applyNumberFormat="1" applyFont="1" applyFill="1" applyBorder="1" applyAlignment="1" applyProtection="1">
      <alignment horizontal="left" vertical="top"/>
      <protection locked="0"/>
    </xf>
    <xf numFmtId="0" fontId="78" fillId="0" borderId="46" xfId="0" applyFont="1" applyBorder="1" applyAlignment="1">
      <alignment horizontal="left"/>
    </xf>
    <xf numFmtId="49" fontId="0" fillId="9" borderId="22" xfId="0" applyNumberFormat="1" applyFill="1" applyBorder="1" applyAlignment="1" applyProtection="1">
      <alignment horizontal="left"/>
      <protection locked="0"/>
    </xf>
    <xf numFmtId="49" fontId="0" fillId="9" borderId="24" xfId="0" applyNumberFormat="1" applyFill="1" applyBorder="1" applyAlignment="1" applyProtection="1">
      <alignment horizontal="left"/>
      <protection locked="0"/>
    </xf>
    <xf numFmtId="49" fontId="38" fillId="9" borderId="14" xfId="0" applyNumberFormat="1" applyFont="1" applyFill="1" applyBorder="1" applyAlignment="1" applyProtection="1">
      <alignment horizontal="left"/>
      <protection locked="0"/>
    </xf>
    <xf numFmtId="0" fontId="72" fillId="2" borderId="57" xfId="0" applyFont="1" applyFill="1" applyBorder="1" applyAlignment="1">
      <alignment horizontal="center" vertical="center"/>
    </xf>
    <xf numFmtId="49" fontId="0" fillId="9" borderId="14" xfId="0" applyNumberFormat="1" applyFill="1" applyBorder="1" applyAlignment="1" applyProtection="1">
      <alignment horizontal="left"/>
      <protection locked="0"/>
    </xf>
    <xf numFmtId="49" fontId="0" fillId="9" borderId="14" xfId="0" applyNumberFormat="1" applyFill="1" applyBorder="1" applyAlignment="1" applyProtection="1">
      <alignment horizontal="center"/>
      <protection locked="0"/>
    </xf>
    <xf numFmtId="49" fontId="0" fillId="9" borderId="57" xfId="0" applyNumberFormat="1" applyFill="1" applyBorder="1" applyAlignment="1" applyProtection="1">
      <alignment horizontal="left" vertical="top"/>
      <protection locked="0"/>
    </xf>
    <xf numFmtId="49" fontId="0" fillId="9" borderId="65" xfId="0" applyNumberFormat="1" applyFill="1" applyBorder="1" applyAlignment="1" applyProtection="1">
      <alignment horizontal="left" vertical="top"/>
      <protection locked="0"/>
    </xf>
    <xf numFmtId="49" fontId="0" fillId="9" borderId="53" xfId="0" applyNumberFormat="1" applyFill="1" applyBorder="1" applyAlignment="1" applyProtection="1">
      <alignment horizontal="left" vertical="top"/>
      <protection locked="0"/>
    </xf>
    <xf numFmtId="0" fontId="70" fillId="2" borderId="0" xfId="0" applyFont="1" applyFill="1" applyAlignment="1">
      <alignment horizontal="right"/>
    </xf>
    <xf numFmtId="0" fontId="70" fillId="2" borderId="0" xfId="0" applyFont="1" applyFill="1" applyAlignment="1">
      <alignment horizontal="center"/>
    </xf>
    <xf numFmtId="49" fontId="0" fillId="9" borderId="15" xfId="0" applyNumberFormat="1" applyFill="1" applyBorder="1" applyAlignment="1" applyProtection="1">
      <alignment horizontal="left" vertical="top"/>
      <protection locked="0"/>
    </xf>
    <xf numFmtId="49" fontId="0" fillId="9" borderId="49" xfId="0" applyNumberFormat="1" applyFill="1" applyBorder="1" applyAlignment="1" applyProtection="1">
      <alignment horizontal="left" vertical="top"/>
      <protection locked="0"/>
    </xf>
    <xf numFmtId="49" fontId="0" fillId="9" borderId="0" xfId="0" applyNumberFormat="1" applyFill="1" applyAlignment="1" applyProtection="1">
      <alignment horizontal="left" vertical="top"/>
      <protection locked="0"/>
    </xf>
    <xf numFmtId="49" fontId="0" fillId="9" borderId="50" xfId="0" applyNumberFormat="1" applyFill="1" applyBorder="1" applyAlignment="1" applyProtection="1">
      <alignment horizontal="left" vertical="top"/>
      <protection locked="0"/>
    </xf>
    <xf numFmtId="49" fontId="0" fillId="9" borderId="46" xfId="0" applyNumberFormat="1" applyFill="1" applyBorder="1" applyAlignment="1" applyProtection="1">
      <alignment horizontal="left" vertical="top"/>
      <protection locked="0"/>
    </xf>
    <xf numFmtId="49" fontId="0" fillId="9" borderId="56" xfId="0" applyNumberFormat="1" applyFill="1" applyBorder="1" applyAlignment="1" applyProtection="1">
      <alignment horizontal="left" vertical="top"/>
      <protection locked="0"/>
    </xf>
    <xf numFmtId="0" fontId="25" fillId="2" borderId="14" xfId="0" applyFont="1" applyFill="1" applyBorder="1" applyAlignment="1">
      <alignment horizontal="center" vertical="center"/>
    </xf>
    <xf numFmtId="49" fontId="0" fillId="9" borderId="53" xfId="0" applyNumberFormat="1" applyFill="1" applyBorder="1" applyAlignment="1" applyProtection="1">
      <alignment horizontal="left"/>
      <protection locked="0"/>
    </xf>
    <xf numFmtId="49" fontId="0" fillId="9" borderId="114" xfId="0" applyNumberFormat="1" applyFill="1" applyBorder="1" applyAlignment="1" applyProtection="1">
      <alignment horizontal="left"/>
      <protection locked="0"/>
    </xf>
    <xf numFmtId="49" fontId="0" fillId="9" borderId="115" xfId="0" applyNumberFormat="1" applyFill="1" applyBorder="1" applyAlignment="1" applyProtection="1">
      <alignment horizontal="left"/>
      <protection locked="0"/>
    </xf>
    <xf numFmtId="0" fontId="39" fillId="2" borderId="53" xfId="0" applyFont="1" applyFill="1" applyBorder="1" applyAlignment="1">
      <alignment horizontal="center"/>
    </xf>
    <xf numFmtId="49" fontId="0" fillId="9" borderId="54" xfId="0" applyNumberFormat="1" applyFill="1" applyBorder="1" applyAlignment="1" applyProtection="1">
      <alignment horizontal="left" vertical="top"/>
      <protection locked="0"/>
    </xf>
    <xf numFmtId="49" fontId="0" fillId="9" borderId="27" xfId="0" applyNumberFormat="1" applyFill="1" applyBorder="1" applyAlignment="1" applyProtection="1">
      <alignment horizontal="left" vertical="top"/>
      <protection locked="0"/>
    </xf>
    <xf numFmtId="49" fontId="0" fillId="9" borderId="55" xfId="0" applyNumberFormat="1" applyFill="1" applyBorder="1" applyAlignment="1" applyProtection="1">
      <alignment horizontal="left" vertical="top"/>
      <protection locked="0"/>
    </xf>
    <xf numFmtId="0" fontId="72" fillId="2" borderId="54" xfId="0" applyFont="1" applyFill="1" applyBorder="1" applyAlignment="1">
      <alignment horizontal="center" vertical="center" wrapText="1"/>
    </xf>
    <xf numFmtId="0" fontId="72" fillId="2" borderId="49" xfId="0" applyFont="1" applyFill="1" applyBorder="1" applyAlignment="1">
      <alignment horizontal="center" vertical="center" wrapText="1"/>
    </xf>
    <xf numFmtId="0" fontId="46" fillId="9" borderId="22" xfId="0" applyFont="1" applyFill="1" applyBorder="1" applyAlignment="1" applyProtection="1">
      <alignment horizontal="center"/>
      <protection locked="0"/>
    </xf>
    <xf numFmtId="0" fontId="46" fillId="9" borderId="24" xfId="0" applyFont="1" applyFill="1" applyBorder="1" applyAlignment="1" applyProtection="1">
      <alignment horizontal="center"/>
      <protection locked="0"/>
    </xf>
    <xf numFmtId="0" fontId="0" fillId="9" borderId="22" xfId="0" applyFill="1" applyBorder="1" applyAlignment="1" applyProtection="1">
      <alignment horizontal="center"/>
      <protection locked="0"/>
    </xf>
    <xf numFmtId="0" fontId="0" fillId="9" borderId="24" xfId="0" applyFill="1" applyBorder="1" applyAlignment="1" applyProtection="1">
      <alignment horizontal="center"/>
      <protection locked="0"/>
    </xf>
    <xf numFmtId="0" fontId="23" fillId="2" borderId="0" xfId="0" quotePrefix="1" applyFont="1" applyFill="1" applyAlignment="1">
      <alignment horizontal="right"/>
    </xf>
    <xf numFmtId="166" fontId="0" fillId="9" borderId="22" xfId="0" applyNumberFormat="1" applyFill="1" applyBorder="1" applyAlignment="1" applyProtection="1">
      <alignment horizontal="left"/>
      <protection locked="0"/>
    </xf>
    <xf numFmtId="166" fontId="0" fillId="9" borderId="24" xfId="0" applyNumberFormat="1" applyFill="1" applyBorder="1" applyAlignment="1" applyProtection="1">
      <alignment horizontal="left"/>
      <protection locked="0"/>
    </xf>
    <xf numFmtId="0" fontId="0" fillId="2" borderId="0" xfId="0" quotePrefix="1" applyFill="1" applyAlignment="1">
      <alignment horizontal="right"/>
    </xf>
    <xf numFmtId="0" fontId="0" fillId="2" borderId="0" xfId="0" applyFill="1" applyAlignment="1">
      <alignment horizontal="left" wrapText="1"/>
    </xf>
    <xf numFmtId="49" fontId="0" fillId="9" borderId="23" xfId="0" applyNumberFormat="1" applyFill="1" applyBorder="1" applyAlignment="1" applyProtection="1">
      <alignment horizontal="left"/>
      <protection locked="0"/>
    </xf>
    <xf numFmtId="0" fontId="0" fillId="2" borderId="14" xfId="0" applyFill="1" applyBorder="1" applyAlignment="1">
      <alignment horizontal="center"/>
    </xf>
    <xf numFmtId="0" fontId="0" fillId="2" borderId="24" xfId="0" applyFill="1" applyBorder="1" applyAlignment="1">
      <alignment horizontal="center"/>
    </xf>
    <xf numFmtId="49" fontId="0" fillId="9" borderId="119" xfId="0" applyNumberFormat="1" applyFill="1" applyBorder="1" applyAlignment="1" applyProtection="1">
      <alignment horizontal="center"/>
      <protection locked="0"/>
    </xf>
    <xf numFmtId="49" fontId="0" fillId="9" borderId="108" xfId="0" applyNumberFormat="1" applyFill="1" applyBorder="1" applyAlignment="1" applyProtection="1">
      <alignment horizontal="center"/>
      <protection locked="0"/>
    </xf>
    <xf numFmtId="49" fontId="0" fillId="9" borderId="120" xfId="0" applyNumberFormat="1" applyFill="1" applyBorder="1" applyAlignment="1" applyProtection="1">
      <alignment horizontal="center"/>
      <protection locked="0"/>
    </xf>
    <xf numFmtId="0" fontId="36" fillId="2" borderId="116" xfId="0" applyFont="1" applyFill="1" applyBorder="1" applyAlignment="1">
      <alignment horizontal="left"/>
    </xf>
    <xf numFmtId="49" fontId="0" fillId="9" borderId="117" xfId="0" applyNumberFormat="1" applyFill="1" applyBorder="1" applyAlignment="1" applyProtection="1">
      <alignment horizontal="left"/>
      <protection locked="0"/>
    </xf>
    <xf numFmtId="49" fontId="0" fillId="9" borderId="118" xfId="0" applyNumberFormat="1" applyFill="1" applyBorder="1" applyAlignment="1" applyProtection="1">
      <alignment horizontal="left"/>
      <protection locked="0"/>
    </xf>
    <xf numFmtId="49" fontId="0" fillId="9" borderId="57" xfId="0" applyNumberFormat="1" applyFill="1" applyBorder="1" applyAlignment="1" applyProtection="1">
      <alignment horizontal="center"/>
      <protection locked="0"/>
    </xf>
    <xf numFmtId="49" fontId="0" fillId="9" borderId="116" xfId="0" applyNumberFormat="1" applyFill="1" applyBorder="1" applyAlignment="1" applyProtection="1">
      <alignment horizontal="center"/>
      <protection locked="0"/>
    </xf>
    <xf numFmtId="49" fontId="0" fillId="9" borderId="54" xfId="0" applyNumberFormat="1" applyFill="1" applyBorder="1" applyAlignment="1" applyProtection="1">
      <alignment horizontal="left"/>
      <protection locked="0"/>
    </xf>
    <xf numFmtId="49" fontId="0" fillId="9" borderId="49" xfId="0" applyNumberFormat="1" applyFill="1" applyBorder="1" applyAlignment="1" applyProtection="1">
      <alignment horizontal="left"/>
      <protection locked="0"/>
    </xf>
    <xf numFmtId="0" fontId="33" fillId="2" borderId="22" xfId="0" applyFont="1" applyFill="1" applyBorder="1" applyAlignment="1">
      <alignment horizontal="left"/>
    </xf>
    <xf numFmtId="0" fontId="33" fillId="2" borderId="23" xfId="0" applyFont="1" applyFill="1" applyBorder="1" applyAlignment="1">
      <alignment horizontal="left"/>
    </xf>
    <xf numFmtId="0" fontId="33" fillId="2" borderId="24" xfId="0" applyFont="1" applyFill="1" applyBorder="1" applyAlignment="1">
      <alignment horizontal="left"/>
    </xf>
    <xf numFmtId="166" fontId="33" fillId="15" borderId="22" xfId="6" applyNumberFormat="1" applyFont="1" applyFill="1" applyBorder="1" applyAlignment="1" applyProtection="1">
      <alignment horizontal="center"/>
      <protection locked="0"/>
    </xf>
    <xf numFmtId="166" fontId="33" fillId="15" borderId="23" xfId="6" applyNumberFormat="1" applyFont="1" applyFill="1" applyBorder="1" applyAlignment="1" applyProtection="1">
      <alignment horizontal="center"/>
      <protection locked="0"/>
    </xf>
    <xf numFmtId="166" fontId="33" fillId="15" borderId="24" xfId="6" applyNumberFormat="1" applyFont="1" applyFill="1" applyBorder="1" applyAlignment="1" applyProtection="1">
      <alignment horizontal="center"/>
      <protection locked="0"/>
    </xf>
    <xf numFmtId="0" fontId="33" fillId="2" borderId="27" xfId="0" quotePrefix="1" applyFont="1" applyFill="1" applyBorder="1" applyAlignment="1">
      <alignment horizontal="center"/>
    </xf>
    <xf numFmtId="0" fontId="33" fillId="2" borderId="50" xfId="0" quotePrefix="1" applyFont="1" applyFill="1" applyBorder="1" applyAlignment="1">
      <alignment horizontal="center"/>
    </xf>
    <xf numFmtId="42" fontId="0" fillId="2" borderId="22" xfId="6" applyNumberFormat="1" applyFont="1" applyFill="1" applyBorder="1" applyAlignment="1">
      <alignment horizontal="center"/>
    </xf>
    <xf numFmtId="42" fontId="0" fillId="2" borderId="23" xfId="6" applyNumberFormat="1" applyFont="1" applyFill="1" applyBorder="1" applyAlignment="1">
      <alignment horizontal="center"/>
    </xf>
    <xf numFmtId="42" fontId="0" fillId="2" borderId="24" xfId="6" applyNumberFormat="1" applyFont="1" applyFill="1" applyBorder="1" applyAlignment="1">
      <alignment horizontal="center"/>
    </xf>
    <xf numFmtId="0" fontId="0" fillId="15" borderId="22" xfId="0" applyFill="1" applyBorder="1" applyAlignment="1" applyProtection="1">
      <alignment horizontal="center"/>
      <protection locked="0"/>
    </xf>
    <xf numFmtId="0" fontId="0" fillId="15" borderId="24" xfId="0" applyFill="1" applyBorder="1" applyAlignment="1" applyProtection="1">
      <alignment horizontal="center"/>
      <protection locked="0"/>
    </xf>
    <xf numFmtId="166" fontId="33" fillId="15" borderId="22" xfId="6" applyNumberFormat="1" applyFont="1" applyFill="1" applyBorder="1" applyAlignment="1" applyProtection="1">
      <alignment horizontal="center"/>
    </xf>
    <xf numFmtId="166" fontId="33" fillId="15" borderId="23" xfId="6" applyNumberFormat="1" applyFont="1" applyFill="1" applyBorder="1" applyAlignment="1" applyProtection="1">
      <alignment horizontal="center"/>
    </xf>
    <xf numFmtId="166" fontId="33" fillId="15" borderId="24" xfId="6" applyNumberFormat="1" applyFont="1" applyFill="1" applyBorder="1" applyAlignment="1" applyProtection="1">
      <alignment horizontal="center"/>
    </xf>
    <xf numFmtId="1" fontId="33" fillId="15" borderId="22" xfId="6" applyNumberFormat="1" applyFont="1" applyFill="1" applyBorder="1" applyAlignment="1" applyProtection="1">
      <alignment horizontal="center"/>
      <protection locked="0"/>
    </xf>
    <xf numFmtId="1" fontId="33" fillId="15" borderId="23" xfId="6" applyNumberFormat="1" applyFont="1" applyFill="1" applyBorder="1" applyAlignment="1" applyProtection="1">
      <alignment horizontal="center"/>
      <protection locked="0"/>
    </xf>
    <xf numFmtId="1" fontId="33" fillId="15" borderId="24" xfId="6" applyNumberFormat="1" applyFont="1" applyFill="1" applyBorder="1" applyAlignment="1" applyProtection="1">
      <alignment horizontal="center"/>
      <protection locked="0"/>
    </xf>
    <xf numFmtId="0" fontId="33" fillId="2" borderId="0" xfId="0" quotePrefix="1" applyFont="1" applyFill="1" applyAlignment="1">
      <alignment horizontal="center"/>
    </xf>
    <xf numFmtId="166" fontId="33" fillId="15" borderId="22" xfId="0" applyNumberFormat="1" applyFont="1" applyFill="1" applyBorder="1" applyAlignment="1" applyProtection="1">
      <alignment horizontal="center"/>
      <protection locked="0"/>
    </xf>
    <xf numFmtId="166" fontId="33" fillId="15" borderId="24" xfId="0" applyNumberFormat="1" applyFont="1" applyFill="1" applyBorder="1" applyAlignment="1" applyProtection="1">
      <alignment horizontal="center"/>
      <protection locked="0"/>
    </xf>
    <xf numFmtId="170" fontId="0" fillId="2" borderId="22" xfId="6" applyNumberFormat="1" applyFont="1" applyFill="1" applyBorder="1" applyAlignment="1">
      <alignment horizontal="right"/>
    </xf>
    <xf numFmtId="170" fontId="0" fillId="2" borderId="23" xfId="6" applyNumberFormat="1" applyFont="1" applyFill="1" applyBorder="1" applyAlignment="1">
      <alignment horizontal="right"/>
    </xf>
    <xf numFmtId="170" fontId="0" fillId="2" borderId="24" xfId="6" applyNumberFormat="1" applyFont="1" applyFill="1" applyBorder="1" applyAlignment="1">
      <alignment horizontal="right"/>
    </xf>
    <xf numFmtId="0" fontId="33" fillId="15" borderId="22" xfId="0" applyFont="1" applyFill="1" applyBorder="1" applyAlignment="1">
      <alignment horizontal="center"/>
    </xf>
    <xf numFmtId="0" fontId="33" fillId="15" borderId="23" xfId="0" applyFont="1" applyFill="1" applyBorder="1" applyAlignment="1">
      <alignment horizontal="center"/>
    </xf>
    <xf numFmtId="0" fontId="33" fillId="15" borderId="24" xfId="0" applyFont="1" applyFill="1" applyBorder="1" applyAlignment="1">
      <alignment horizontal="center"/>
    </xf>
    <xf numFmtId="0" fontId="33" fillId="2" borderId="55" xfId="0" quotePrefix="1" applyFont="1" applyFill="1" applyBorder="1" applyAlignment="1">
      <alignment horizontal="center"/>
    </xf>
    <xf numFmtId="0" fontId="33" fillId="2" borderId="56" xfId="0" quotePrefix="1" applyFont="1" applyFill="1" applyBorder="1" applyAlignment="1">
      <alignment horizontal="center"/>
    </xf>
    <xf numFmtId="0" fontId="33" fillId="2" borderId="15" xfId="0" quotePrefix="1" applyFont="1" applyFill="1" applyBorder="1" applyAlignment="1">
      <alignment horizontal="center"/>
    </xf>
    <xf numFmtId="0" fontId="33" fillId="2" borderId="49" xfId="0" quotePrefix="1" applyFont="1" applyFill="1" applyBorder="1" applyAlignment="1">
      <alignment horizontal="center"/>
    </xf>
    <xf numFmtId="170" fontId="0" fillId="2" borderId="22" xfId="6" applyNumberFormat="1" applyFont="1" applyFill="1" applyBorder="1" applyAlignment="1">
      <alignment horizontal="center"/>
    </xf>
    <xf numFmtId="170" fontId="0" fillId="2" borderId="24" xfId="6" applyNumberFormat="1" applyFont="1" applyFill="1" applyBorder="1" applyAlignment="1">
      <alignment horizontal="center"/>
    </xf>
    <xf numFmtId="0" fontId="33" fillId="2" borderId="54" xfId="0" quotePrefix="1" applyFont="1" applyFill="1" applyBorder="1" applyAlignment="1">
      <alignment horizontal="center"/>
    </xf>
    <xf numFmtId="0" fontId="33" fillId="2" borderId="22" xfId="0" quotePrefix="1" applyFont="1" applyFill="1" applyBorder="1" applyAlignment="1">
      <alignment horizontal="center"/>
    </xf>
    <xf numFmtId="0" fontId="33" fillId="2" borderId="24" xfId="0" quotePrefix="1" applyFont="1" applyFill="1" applyBorder="1" applyAlignment="1">
      <alignment horizontal="center"/>
    </xf>
    <xf numFmtId="0" fontId="33" fillId="2" borderId="46" xfId="0" quotePrefix="1" applyFont="1" applyFill="1" applyBorder="1" applyAlignment="1">
      <alignment horizontal="center"/>
    </xf>
    <xf numFmtId="0" fontId="81" fillId="2" borderId="0" xfId="0" applyFont="1" applyFill="1" applyAlignment="1">
      <alignment horizontal="center" vertical="center"/>
    </xf>
    <xf numFmtId="0" fontId="33" fillId="15" borderId="22" xfId="0" applyFont="1" applyFill="1" applyBorder="1" applyAlignment="1" applyProtection="1">
      <alignment horizontal="center"/>
      <protection locked="0"/>
    </xf>
    <xf numFmtId="0" fontId="33" fillId="15" borderId="24" xfId="0" applyFont="1" applyFill="1" applyBorder="1" applyAlignment="1" applyProtection="1">
      <alignment horizontal="center"/>
      <protection locked="0"/>
    </xf>
    <xf numFmtId="3" fontId="33" fillId="15" borderId="22" xfId="0" applyNumberFormat="1" applyFont="1" applyFill="1" applyBorder="1" applyAlignment="1" applyProtection="1">
      <alignment horizontal="center"/>
      <protection locked="0"/>
    </xf>
    <xf numFmtId="3" fontId="33" fillId="15" borderId="24" xfId="0" applyNumberFormat="1" applyFont="1" applyFill="1" applyBorder="1" applyAlignment="1" applyProtection="1">
      <alignment horizontal="center"/>
      <protection locked="0"/>
    </xf>
    <xf numFmtId="0" fontId="33" fillId="2" borderId="46" xfId="0" applyFont="1" applyFill="1" applyBorder="1" applyAlignment="1">
      <alignment horizontal="left"/>
    </xf>
    <xf numFmtId="166" fontId="39" fillId="2" borderId="22" xfId="6" applyNumberFormat="1" applyFont="1" applyFill="1" applyBorder="1" applyAlignment="1">
      <alignment horizontal="center"/>
    </xf>
    <xf numFmtId="166" fontId="39" fillId="2" borderId="23" xfId="6" applyNumberFormat="1" applyFont="1" applyFill="1" applyBorder="1" applyAlignment="1">
      <alignment horizontal="center"/>
    </xf>
    <xf numFmtId="166" fontId="39" fillId="2" borderId="24" xfId="6" applyNumberFormat="1" applyFont="1" applyFill="1" applyBorder="1" applyAlignment="1">
      <alignment horizontal="center"/>
    </xf>
    <xf numFmtId="0" fontId="33" fillId="2" borderId="23" xfId="0" applyFont="1" applyFill="1" applyBorder="1" applyAlignment="1">
      <alignment horizontal="right"/>
    </xf>
    <xf numFmtId="0" fontId="33" fillId="2" borderId="24" xfId="0" applyFont="1" applyFill="1" applyBorder="1" applyAlignment="1">
      <alignment horizontal="right"/>
    </xf>
    <xf numFmtId="37" fontId="0" fillId="5" borderId="46" xfId="6" applyNumberFormat="1" applyFont="1" applyFill="1" applyBorder="1" applyAlignment="1" applyProtection="1">
      <alignment horizontal="center"/>
      <protection locked="0"/>
    </xf>
    <xf numFmtId="0" fontId="0" fillId="2" borderId="0" xfId="0" applyFill="1" applyAlignment="1">
      <alignment horizontal="center"/>
    </xf>
    <xf numFmtId="0" fontId="0" fillId="2" borderId="0" xfId="0" applyFill="1" applyAlignment="1">
      <alignment horizontal="left"/>
    </xf>
    <xf numFmtId="170" fontId="0" fillId="5" borderId="46" xfId="6" applyNumberFormat="1" applyFont="1" applyFill="1" applyBorder="1" applyAlignment="1" applyProtection="1">
      <alignment horizontal="center"/>
      <protection locked="0"/>
    </xf>
    <xf numFmtId="0" fontId="0" fillId="2" borderId="0" xfId="0" applyFill="1" applyAlignment="1">
      <alignment horizontal="right"/>
    </xf>
    <xf numFmtId="0" fontId="78" fillId="2" borderId="0" xfId="0" applyFont="1" applyFill="1" applyAlignment="1">
      <alignment horizontal="left"/>
    </xf>
    <xf numFmtId="0" fontId="0" fillId="0" borderId="70" xfId="0" applyBorder="1" applyAlignment="1">
      <alignment horizontal="left" vertical="top" wrapText="1"/>
    </xf>
    <xf numFmtId="0" fontId="0" fillId="0" borderId="29" xfId="0" applyBorder="1" applyAlignment="1">
      <alignment horizontal="left" vertical="top" wrapText="1"/>
    </xf>
    <xf numFmtId="0" fontId="0" fillId="0" borderId="97" xfId="0" applyBorder="1" applyAlignment="1">
      <alignment horizontal="left" vertical="top" wrapText="1"/>
    </xf>
    <xf numFmtId="0" fontId="0" fillId="0" borderId="69" xfId="0" applyBorder="1" applyAlignment="1">
      <alignment horizontal="left" vertical="top" wrapText="1"/>
    </xf>
    <xf numFmtId="0" fontId="0" fillId="0" borderId="0" xfId="0" applyAlignment="1">
      <alignment horizontal="left" vertical="top" wrapText="1"/>
    </xf>
    <xf numFmtId="0" fontId="0" fillId="0" borderId="94" xfId="0" applyBorder="1" applyAlignment="1">
      <alignment horizontal="left" vertical="top" wrapText="1"/>
    </xf>
    <xf numFmtId="0" fontId="0" fillId="0" borderId="68" xfId="0" applyBorder="1" applyAlignment="1">
      <alignment horizontal="left" vertical="top" wrapText="1"/>
    </xf>
    <xf numFmtId="0" fontId="0" fillId="0" borderId="28" xfId="0" applyBorder="1" applyAlignment="1">
      <alignment horizontal="left" vertical="top" wrapText="1"/>
    </xf>
    <xf numFmtId="0" fontId="0" fillId="0" borderId="93" xfId="0" applyBorder="1" applyAlignment="1">
      <alignment horizontal="left" vertical="top" wrapText="1"/>
    </xf>
    <xf numFmtId="0" fontId="23" fillId="2" borderId="15" xfId="0" applyFont="1" applyFill="1" applyBorder="1" applyAlignment="1">
      <alignment horizontal="right" vertical="top"/>
    </xf>
    <xf numFmtId="0" fontId="0" fillId="10" borderId="22" xfId="0" applyFill="1" applyBorder="1" applyAlignment="1" applyProtection="1">
      <alignment horizontal="left" shrinkToFit="1"/>
      <protection locked="0"/>
    </xf>
    <xf numFmtId="0" fontId="0" fillId="10" borderId="23" xfId="0" applyFill="1" applyBorder="1" applyAlignment="1" applyProtection="1">
      <alignment horizontal="left" shrinkToFit="1"/>
      <protection locked="0"/>
    </xf>
    <xf numFmtId="0" fontId="0" fillId="10" borderId="24" xfId="0" applyFill="1" applyBorder="1" applyAlignment="1" applyProtection="1">
      <alignment horizontal="left" shrinkToFit="1"/>
      <protection locked="0"/>
    </xf>
    <xf numFmtId="0" fontId="0" fillId="2" borderId="126" xfId="0" applyFill="1" applyBorder="1" applyAlignment="1">
      <alignment horizontal="center"/>
    </xf>
    <xf numFmtId="0" fontId="0" fillId="10" borderId="22" xfId="0" applyFill="1" applyBorder="1" applyAlignment="1" applyProtection="1">
      <alignment horizontal="center" shrinkToFit="1"/>
      <protection locked="0"/>
    </xf>
    <xf numFmtId="0" fontId="0" fillId="10" borderId="23" xfId="0" applyFill="1" applyBorder="1" applyAlignment="1" applyProtection="1">
      <alignment horizontal="center" shrinkToFit="1"/>
      <protection locked="0"/>
    </xf>
    <xf numFmtId="0" fontId="0" fillId="10" borderId="15" xfId="0" applyFill="1" applyBorder="1" applyAlignment="1" applyProtection="1">
      <alignment horizontal="center" shrinkToFit="1"/>
      <protection locked="0"/>
    </xf>
    <xf numFmtId="0" fontId="0" fillId="10" borderId="49" xfId="0" applyFill="1" applyBorder="1" applyAlignment="1" applyProtection="1">
      <alignment horizontal="center" shrinkToFit="1"/>
      <protection locked="0"/>
    </xf>
    <xf numFmtId="0" fontId="0" fillId="2" borderId="15" xfId="0" applyFill="1" applyBorder="1" applyAlignment="1">
      <alignment horizontal="center"/>
    </xf>
    <xf numFmtId="0" fontId="0" fillId="2" borderId="49" xfId="0" applyFill="1" applyBorder="1" applyAlignment="1">
      <alignment horizontal="center"/>
    </xf>
    <xf numFmtId="0" fontId="0" fillId="12" borderId="22" xfId="0" applyFill="1" applyBorder="1" applyAlignment="1" applyProtection="1">
      <alignment horizontal="left"/>
      <protection locked="0"/>
    </xf>
    <xf numFmtId="0" fontId="0" fillId="12" borderId="23" xfId="0" applyFill="1" applyBorder="1" applyAlignment="1" applyProtection="1">
      <alignment horizontal="left"/>
      <protection locked="0"/>
    </xf>
    <xf numFmtId="0" fontId="0" fillId="12" borderId="24" xfId="0" applyFill="1" applyBorder="1" applyAlignment="1" applyProtection="1">
      <alignment horizontal="left"/>
      <protection locked="0"/>
    </xf>
    <xf numFmtId="0" fontId="0" fillId="20" borderId="54" xfId="0" applyFill="1" applyBorder="1" applyAlignment="1" applyProtection="1">
      <alignment horizontal="left" vertical="top"/>
      <protection locked="0"/>
    </xf>
    <xf numFmtId="0" fontId="0" fillId="20" borderId="15" xfId="0" applyFill="1" applyBorder="1" applyAlignment="1" applyProtection="1">
      <alignment horizontal="left" vertical="top"/>
      <protection locked="0"/>
    </xf>
    <xf numFmtId="0" fontId="0" fillId="20" borderId="49" xfId="0" applyFill="1" applyBorder="1" applyAlignment="1" applyProtection="1">
      <alignment horizontal="left" vertical="top"/>
      <protection locked="0"/>
    </xf>
    <xf numFmtId="0" fontId="0" fillId="20" borderId="55" xfId="0" applyFill="1" applyBorder="1" applyAlignment="1" applyProtection="1">
      <alignment horizontal="left" vertical="top"/>
      <protection locked="0"/>
    </xf>
    <xf numFmtId="0" fontId="0" fillId="20" borderId="46" xfId="0" applyFill="1" applyBorder="1" applyAlignment="1" applyProtection="1">
      <alignment horizontal="left" vertical="top"/>
      <protection locked="0"/>
    </xf>
    <xf numFmtId="0" fontId="0" fillId="20" borderId="56" xfId="0" applyFill="1" applyBorder="1" applyAlignment="1" applyProtection="1">
      <alignment horizontal="left" vertical="top"/>
      <protection locked="0"/>
    </xf>
    <xf numFmtId="0" fontId="23" fillId="2" borderId="64" xfId="0" applyFont="1" applyFill="1" applyBorder="1" applyAlignment="1">
      <alignment horizontal="center" vertical="center"/>
    </xf>
    <xf numFmtId="0" fontId="23" fillId="2" borderId="0" xfId="0" applyFont="1" applyFill="1" applyAlignment="1">
      <alignment horizontal="center" vertical="center"/>
    </xf>
    <xf numFmtId="0" fontId="0" fillId="10" borderId="54" xfId="0" applyFill="1" applyBorder="1" applyAlignment="1" applyProtection="1">
      <alignment horizontal="center"/>
      <protection locked="0"/>
    </xf>
    <xf numFmtId="0" fontId="0" fillId="10" borderId="49" xfId="0" applyFill="1" applyBorder="1" applyAlignment="1" applyProtection="1">
      <alignment horizontal="center"/>
      <protection locked="0"/>
    </xf>
    <xf numFmtId="0" fontId="0" fillId="2" borderId="0" xfId="0" applyFill="1" applyAlignment="1" applyProtection="1">
      <alignment vertical="top" wrapText="1"/>
      <protection locked="0"/>
    </xf>
    <xf numFmtId="0" fontId="0" fillId="2" borderId="0" xfId="0" quotePrefix="1" applyFill="1" applyAlignment="1" applyProtection="1">
      <alignment horizontal="left" vertical="top" wrapText="1"/>
      <protection locked="0"/>
    </xf>
    <xf numFmtId="0" fontId="24" fillId="2" borderId="46" xfId="0" applyFont="1" applyFill="1" applyBorder="1" applyAlignment="1">
      <alignment horizontal="center"/>
    </xf>
    <xf numFmtId="0" fontId="0" fillId="2" borderId="46" xfId="0" applyFill="1" applyBorder="1" applyAlignment="1">
      <alignment horizontal="center"/>
    </xf>
    <xf numFmtId="0" fontId="24" fillId="2" borderId="0" xfId="0" applyFont="1" applyFill="1" applyAlignment="1">
      <alignment horizontal="right"/>
    </xf>
    <xf numFmtId="0" fontId="0" fillId="2" borderId="50" xfId="0" applyFill="1" applyBorder="1" applyAlignment="1">
      <alignment horizontal="right"/>
    </xf>
    <xf numFmtId="0" fontId="0" fillId="2" borderId="15" xfId="0" applyFill="1" applyBorder="1" applyAlignment="1">
      <alignment horizontal="right"/>
    </xf>
    <xf numFmtId="2" fontId="0" fillId="12" borderId="22" xfId="0" applyNumberFormat="1" applyFill="1" applyBorder="1" applyAlignment="1" applyProtection="1">
      <alignment horizontal="center"/>
      <protection locked="0"/>
    </xf>
    <xf numFmtId="2" fontId="0" fillId="12" borderId="23" xfId="0" applyNumberFormat="1" applyFill="1" applyBorder="1" applyAlignment="1" applyProtection="1">
      <alignment horizontal="center"/>
      <protection locked="0"/>
    </xf>
    <xf numFmtId="2" fontId="0" fillId="12" borderId="24" xfId="0" applyNumberFormat="1" applyFill="1" applyBorder="1" applyAlignment="1" applyProtection="1">
      <alignment horizontal="center"/>
      <protection locked="0"/>
    </xf>
    <xf numFmtId="0" fontId="0" fillId="12" borderId="22" xfId="0" applyFill="1" applyBorder="1" applyAlignment="1" applyProtection="1">
      <alignment horizontal="center"/>
      <protection locked="0"/>
    </xf>
    <xf numFmtId="0" fontId="0" fillId="12" borderId="24" xfId="0" applyFill="1" applyBorder="1" applyAlignment="1" applyProtection="1">
      <alignment horizontal="center"/>
      <protection locked="0"/>
    </xf>
    <xf numFmtId="0" fontId="0" fillId="12" borderId="22" xfId="0" applyFill="1" applyBorder="1" applyAlignment="1" applyProtection="1">
      <alignment horizontal="center" shrinkToFit="1"/>
      <protection locked="0"/>
    </xf>
    <xf numFmtId="0" fontId="0" fillId="12" borderId="23" xfId="0" applyFill="1" applyBorder="1" applyAlignment="1" applyProtection="1">
      <alignment horizontal="center" shrinkToFit="1"/>
      <protection locked="0"/>
    </xf>
    <xf numFmtId="0" fontId="0" fillId="12" borderId="24" xfId="0" applyFill="1" applyBorder="1" applyAlignment="1" applyProtection="1">
      <alignment horizontal="center" shrinkToFit="1"/>
      <protection locked="0"/>
    </xf>
    <xf numFmtId="0" fontId="24" fillId="2" borderId="54" xfId="0" applyFont="1" applyFill="1" applyBorder="1" applyAlignment="1">
      <alignment vertical="top" wrapText="1"/>
    </xf>
    <xf numFmtId="0" fontId="24" fillId="2" borderId="15" xfId="0" applyFont="1" applyFill="1" applyBorder="1" applyAlignment="1">
      <alignment vertical="top" wrapText="1"/>
    </xf>
    <xf numFmtId="0" fontId="24" fillId="2" borderId="49" xfId="0" applyFont="1" applyFill="1" applyBorder="1" applyAlignment="1">
      <alignment vertical="top" wrapText="1"/>
    </xf>
    <xf numFmtId="0" fontId="24" fillId="2" borderId="27" xfId="0" applyFont="1" applyFill="1" applyBorder="1" applyAlignment="1">
      <alignment vertical="top" wrapText="1"/>
    </xf>
    <xf numFmtId="0" fontId="24" fillId="2" borderId="0" xfId="0" applyFont="1" applyFill="1" applyAlignment="1">
      <alignment vertical="top" wrapText="1"/>
    </xf>
    <xf numFmtId="0" fontId="24" fillId="2" borderId="50" xfId="0" applyFont="1" applyFill="1" applyBorder="1" applyAlignment="1">
      <alignment vertical="top" wrapText="1"/>
    </xf>
    <xf numFmtId="0" fontId="24" fillId="2" borderId="55" xfId="0" applyFont="1" applyFill="1" applyBorder="1" applyAlignment="1">
      <alignment vertical="top" wrapText="1"/>
    </xf>
    <xf numFmtId="0" fontId="24" fillId="2" borderId="46" xfId="0" applyFont="1" applyFill="1" applyBorder="1" applyAlignment="1">
      <alignment vertical="top" wrapText="1"/>
    </xf>
    <xf numFmtId="0" fontId="24" fillId="2" borderId="56" xfId="0" applyFont="1" applyFill="1" applyBorder="1" applyAlignment="1">
      <alignment vertical="top" wrapText="1"/>
    </xf>
    <xf numFmtId="0" fontId="24" fillId="2" borderId="27" xfId="0" applyFont="1" applyFill="1" applyBorder="1" applyAlignment="1">
      <alignment horizontal="right" vertical="top" wrapText="1"/>
    </xf>
    <xf numFmtId="0" fontId="24" fillId="2" borderId="0" xfId="0" applyFont="1" applyFill="1" applyAlignment="1">
      <alignment horizontal="right" vertical="top" wrapText="1"/>
    </xf>
    <xf numFmtId="0" fontId="24" fillId="2" borderId="0" xfId="0" applyFont="1" applyFill="1" applyAlignment="1">
      <alignment horizontal="left" vertical="top" wrapText="1"/>
    </xf>
    <xf numFmtId="0" fontId="0" fillId="2" borderId="46" xfId="0" applyFill="1" applyBorder="1" applyAlignment="1">
      <alignment horizontal="left" wrapText="1"/>
    </xf>
    <xf numFmtId="0" fontId="0" fillId="2" borderId="56" xfId="0" applyFill="1" applyBorder="1" applyAlignment="1">
      <alignment horizontal="left" wrapText="1"/>
    </xf>
    <xf numFmtId="0" fontId="0" fillId="2" borderId="0" xfId="0" applyFill="1" applyAlignment="1">
      <alignment vertical="top" wrapText="1"/>
    </xf>
    <xf numFmtId="0" fontId="24" fillId="2" borderId="27" xfId="0" applyFont="1" applyFill="1" applyBorder="1" applyAlignment="1">
      <alignment horizontal="left"/>
    </xf>
    <xf numFmtId="0" fontId="24" fillId="2" borderId="0" xfId="0" applyFont="1" applyFill="1" applyAlignment="1">
      <alignment horizontal="left"/>
    </xf>
    <xf numFmtId="0" fontId="24" fillId="2" borderId="0" xfId="0" applyFont="1" applyFill="1" applyAlignment="1">
      <alignment wrapText="1"/>
    </xf>
    <xf numFmtId="0" fontId="0" fillId="2" borderId="0" xfId="0" applyFill="1" applyAlignment="1">
      <alignment wrapText="1"/>
    </xf>
    <xf numFmtId="0" fontId="0" fillId="2" borderId="50" xfId="0" applyFill="1" applyBorder="1" applyAlignment="1">
      <alignment wrapText="1"/>
    </xf>
    <xf numFmtId="0" fontId="0" fillId="2" borderId="27" xfId="0" applyFill="1" applyBorder="1" applyAlignment="1">
      <alignment vertical="top" wrapText="1"/>
    </xf>
    <xf numFmtId="0" fontId="0" fillId="2" borderId="50" xfId="0" applyFill="1" applyBorder="1" applyAlignment="1">
      <alignment vertical="top" wrapText="1"/>
    </xf>
    <xf numFmtId="0" fontId="24" fillId="2" borderId="27" xfId="0" applyFont="1" applyFill="1" applyBorder="1" applyAlignment="1">
      <alignment horizontal="center"/>
    </xf>
    <xf numFmtId="0" fontId="24" fillId="2" borderId="0" xfId="0" applyFont="1" applyFill="1" applyAlignment="1">
      <alignment horizontal="center"/>
    </xf>
    <xf numFmtId="0" fontId="24" fillId="2" borderId="46" xfId="0" applyFont="1" applyFill="1" applyBorder="1" applyAlignment="1">
      <alignment horizontal="center" vertical="top" wrapText="1"/>
    </xf>
    <xf numFmtId="0" fontId="24" fillId="2" borderId="46" xfId="0" applyFont="1" applyFill="1" applyBorder="1" applyAlignment="1">
      <alignment horizontal="left"/>
    </xf>
    <xf numFmtId="0" fontId="24" fillId="2" borderId="54" xfId="0" applyFont="1" applyFill="1" applyBorder="1" applyAlignment="1">
      <alignment horizontal="center" vertical="top" wrapText="1"/>
    </xf>
    <xf numFmtId="0" fontId="24" fillId="2" borderId="15" xfId="0" applyFont="1" applyFill="1" applyBorder="1" applyAlignment="1">
      <alignment horizontal="center" vertical="top" wrapText="1"/>
    </xf>
    <xf numFmtId="0" fontId="24" fillId="2" borderId="49" xfId="0" applyFont="1" applyFill="1" applyBorder="1" applyAlignment="1">
      <alignment horizontal="center" vertical="top" wrapText="1"/>
    </xf>
    <xf numFmtId="0" fontId="24" fillId="2" borderId="46" xfId="0" applyFont="1" applyFill="1" applyBorder="1" applyAlignment="1">
      <alignment horizontal="left" vertical="top" wrapText="1"/>
    </xf>
    <xf numFmtId="0" fontId="24" fillId="2" borderId="54" xfId="0" applyFont="1" applyFill="1" applyBorder="1" applyAlignment="1">
      <alignment vertical="top" wrapText="1" shrinkToFit="1"/>
    </xf>
    <xf numFmtId="0" fontId="24" fillId="2" borderId="15" xfId="0" applyFont="1" applyFill="1" applyBorder="1" applyAlignment="1">
      <alignment vertical="top" wrapText="1" shrinkToFit="1"/>
    </xf>
    <xf numFmtId="0" fontId="24" fillId="2" borderId="49" xfId="0" applyFont="1" applyFill="1" applyBorder="1" applyAlignment="1">
      <alignment vertical="top" wrapText="1" shrinkToFit="1"/>
    </xf>
    <xf numFmtId="0" fontId="24" fillId="2" borderId="27" xfId="0" applyFont="1" applyFill="1" applyBorder="1" applyAlignment="1">
      <alignment vertical="top" wrapText="1" shrinkToFit="1"/>
    </xf>
    <xf numFmtId="0" fontId="24" fillId="2" borderId="0" xfId="0" applyFont="1" applyFill="1" applyAlignment="1">
      <alignment vertical="top" wrapText="1" shrinkToFit="1"/>
    </xf>
    <xf numFmtId="0" fontId="24" fillId="2" borderId="50" xfId="0" applyFont="1" applyFill="1" applyBorder="1" applyAlignment="1">
      <alignment vertical="top" wrapText="1" shrinkToFit="1"/>
    </xf>
    <xf numFmtId="0" fontId="24" fillId="2" borderId="55" xfId="0" applyFont="1" applyFill="1" applyBorder="1" applyAlignment="1">
      <alignment vertical="top" wrapText="1" shrinkToFit="1"/>
    </xf>
    <xf numFmtId="0" fontId="24" fillId="2" borderId="46" xfId="0" applyFont="1" applyFill="1" applyBorder="1" applyAlignment="1">
      <alignment vertical="top" wrapText="1" shrinkToFit="1"/>
    </xf>
    <xf numFmtId="0" fontId="24" fillId="2" borderId="56" xfId="0" applyFont="1" applyFill="1" applyBorder="1" applyAlignment="1">
      <alignment vertical="top" wrapText="1" shrinkToFit="1"/>
    </xf>
    <xf numFmtId="0" fontId="27" fillId="2" borderId="0" xfId="0" applyFont="1" applyFill="1" applyAlignment="1">
      <alignment horizontal="center" vertical="center"/>
    </xf>
    <xf numFmtId="0" fontId="24" fillId="11" borderId="54" xfId="0" applyFont="1" applyFill="1" applyBorder="1" applyAlignment="1" applyProtection="1">
      <alignment vertical="top" wrapText="1"/>
      <protection locked="0"/>
    </xf>
    <xf numFmtId="0" fontId="0" fillId="11" borderId="15" xfId="0" applyFill="1" applyBorder="1" applyAlignment="1" applyProtection="1">
      <alignment vertical="top" wrapText="1"/>
      <protection locked="0"/>
    </xf>
    <xf numFmtId="0" fontId="0" fillId="11" borderId="49" xfId="0" applyFill="1" applyBorder="1" applyAlignment="1" applyProtection="1">
      <alignment vertical="top" wrapText="1"/>
      <protection locked="0"/>
    </xf>
    <xf numFmtId="0" fontId="0" fillId="11" borderId="55" xfId="0" applyFill="1" applyBorder="1" applyAlignment="1" applyProtection="1">
      <alignment vertical="top" wrapText="1"/>
      <protection locked="0"/>
    </xf>
    <xf numFmtId="0" fontId="0" fillId="11" borderId="46" xfId="0" applyFill="1" applyBorder="1" applyAlignment="1" applyProtection="1">
      <alignment vertical="top" wrapText="1"/>
      <protection locked="0"/>
    </xf>
    <xf numFmtId="0" fontId="0" fillId="11" borderId="56" xfId="0" applyFill="1" applyBorder="1" applyAlignment="1" applyProtection="1">
      <alignment vertical="top" wrapText="1"/>
      <protection locked="0"/>
    </xf>
    <xf numFmtId="0" fontId="0" fillId="11" borderId="54" xfId="0" applyFill="1" applyBorder="1" applyAlignment="1" applyProtection="1">
      <alignment vertical="top" wrapText="1"/>
      <protection locked="0"/>
    </xf>
    <xf numFmtId="0" fontId="0" fillId="10" borderId="55" xfId="0" applyFill="1" applyBorder="1" applyAlignment="1" applyProtection="1">
      <alignment horizontal="center" shrinkToFit="1"/>
      <protection locked="0"/>
    </xf>
    <xf numFmtId="0" fontId="0" fillId="10" borderId="46" xfId="0" applyFill="1" applyBorder="1" applyAlignment="1" applyProtection="1">
      <alignment horizontal="center" shrinkToFit="1"/>
      <protection locked="0"/>
    </xf>
    <xf numFmtId="0" fontId="0" fillId="10" borderId="56" xfId="0" applyFill="1" applyBorder="1" applyAlignment="1" applyProtection="1">
      <alignment horizontal="center" shrinkToFit="1"/>
      <protection locked="0"/>
    </xf>
    <xf numFmtId="0" fontId="0" fillId="10" borderId="24" xfId="0" applyFill="1" applyBorder="1" applyAlignment="1" applyProtection="1">
      <alignment horizontal="center" shrinkToFit="1"/>
      <protection locked="0"/>
    </xf>
    <xf numFmtId="0" fontId="0" fillId="10" borderId="22" xfId="0" applyFill="1" applyBorder="1" applyAlignment="1" applyProtection="1">
      <alignment horizontal="center"/>
      <protection locked="0"/>
    </xf>
    <xf numFmtId="0" fontId="0" fillId="10" borderId="24" xfId="0" applyFill="1" applyBorder="1" applyAlignment="1" applyProtection="1">
      <alignment horizontal="center"/>
      <protection locked="0"/>
    </xf>
    <xf numFmtId="0" fontId="24" fillId="10" borderId="22" xfId="0" quotePrefix="1" applyFont="1" applyFill="1" applyBorder="1" applyAlignment="1" applyProtection="1">
      <alignment horizontal="left" shrinkToFit="1"/>
      <protection locked="0"/>
    </xf>
    <xf numFmtId="0" fontId="78" fillId="2" borderId="0" xfId="0" applyFont="1" applyFill="1" applyAlignment="1">
      <alignment horizontal="center" vertical="center"/>
    </xf>
    <xf numFmtId="0" fontId="33" fillId="0" borderId="0" xfId="0" applyFont="1" applyAlignment="1" applyProtection="1">
      <alignment horizontal="left" vertical="top" wrapText="1"/>
      <protection locked="0"/>
    </xf>
    <xf numFmtId="0" fontId="42" fillId="0" borderId="0" xfId="0" applyFont="1" applyAlignment="1">
      <alignment horizontal="center" vertical="center"/>
    </xf>
    <xf numFmtId="0" fontId="0" fillId="0" borderId="0" xfId="0" applyAlignment="1" applyProtection="1">
      <alignment horizontal="left" vertical="top" wrapText="1"/>
      <protection locked="0"/>
    </xf>
    <xf numFmtId="0" fontId="49" fillId="0" borderId="0" xfId="0" applyFont="1" applyAlignment="1">
      <alignment horizontal="center" vertical="center"/>
    </xf>
    <xf numFmtId="0" fontId="0" fillId="0" borderId="0" xfId="0" applyAlignment="1">
      <alignment horizontal="left" shrinkToFit="1"/>
    </xf>
    <xf numFmtId="0" fontId="34" fillId="0" borderId="2" xfId="0" applyFont="1" applyBorder="1" applyAlignment="1" applyProtection="1">
      <alignment horizontal="left" vertical="top"/>
      <protection locked="0"/>
    </xf>
    <xf numFmtId="0" fontId="34" fillId="0" borderId="3" xfId="0" applyFont="1" applyBorder="1" applyAlignment="1" applyProtection="1">
      <alignment horizontal="left" vertical="top"/>
      <protection locked="0"/>
    </xf>
    <xf numFmtId="0" fontId="34" fillId="0" borderId="4" xfId="0" applyFont="1" applyBorder="1" applyAlignment="1" applyProtection="1">
      <alignment horizontal="left" vertical="top"/>
      <protection locked="0"/>
    </xf>
    <xf numFmtId="0" fontId="34" fillId="0" borderId="5" xfId="0" applyFont="1" applyBorder="1" applyAlignment="1" applyProtection="1">
      <alignment horizontal="left" vertical="top"/>
      <protection locked="0"/>
    </xf>
    <xf numFmtId="0" fontId="34" fillId="0" borderId="0" xfId="0" applyFont="1" applyAlignment="1" applyProtection="1">
      <alignment horizontal="left" vertical="top"/>
      <protection locked="0"/>
    </xf>
    <xf numFmtId="0" fontId="34" fillId="0" borderId="6" xfId="0" applyFont="1" applyBorder="1" applyAlignment="1" applyProtection="1">
      <alignment horizontal="left" vertical="top"/>
      <protection locked="0"/>
    </xf>
    <xf numFmtId="0" fontId="34" fillId="0" borderId="7" xfId="0" applyFont="1" applyBorder="1" applyAlignment="1" applyProtection="1">
      <alignment horizontal="left" vertical="top"/>
      <protection locked="0"/>
    </xf>
    <xf numFmtId="0" fontId="34" fillId="0" borderId="8" xfId="0" applyFont="1" applyBorder="1" applyAlignment="1" applyProtection="1">
      <alignment horizontal="left" vertical="top"/>
      <protection locked="0"/>
    </xf>
    <xf numFmtId="0" fontId="34" fillId="0" borderId="9" xfId="0" applyFont="1" applyBorder="1" applyAlignment="1" applyProtection="1">
      <alignment horizontal="left" vertical="top"/>
      <protection locked="0"/>
    </xf>
    <xf numFmtId="0" fontId="42" fillId="0" borderId="0" xfId="0" applyFont="1" applyAlignment="1">
      <alignment horizontal="right" vertical="center"/>
    </xf>
    <xf numFmtId="0" fontId="87" fillId="0" borderId="0" xfId="0" applyFont="1" applyAlignment="1" applyProtection="1">
      <alignment horizontal="left"/>
      <protection locked="0"/>
    </xf>
    <xf numFmtId="0" fontId="0" fillId="0" borderId="2" xfId="0" applyBorder="1" applyAlignment="1" applyProtection="1">
      <alignment horizontal="left" vertical="top"/>
      <protection locked="0"/>
    </xf>
    <xf numFmtId="0" fontId="0" fillId="0" borderId="3"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5"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6" xfId="0" applyBorder="1" applyAlignment="1" applyProtection="1">
      <alignment horizontal="left" vertical="top"/>
      <protection locked="0"/>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0" borderId="9" xfId="0" applyBorder="1" applyAlignment="1" applyProtection="1">
      <alignment horizontal="left" vertical="top"/>
      <protection locked="0"/>
    </xf>
    <xf numFmtId="0" fontId="0" fillId="0" borderId="17" xfId="0"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0" fillId="0" borderId="19" xfId="0" applyBorder="1" applyAlignment="1" applyProtection="1">
      <alignment horizontal="left" vertical="top" wrapText="1"/>
      <protection locked="0"/>
    </xf>
    <xf numFmtId="0" fontId="0" fillId="0" borderId="0" xfId="0" quotePrefix="1" applyAlignment="1" applyProtection="1">
      <alignment horizontal="left" vertical="top" wrapText="1"/>
      <protection locked="0"/>
    </xf>
    <xf numFmtId="166" fontId="0" fillId="17" borderId="107" xfId="0" applyNumberFormat="1" applyFill="1" applyBorder="1" applyAlignment="1">
      <alignment horizontal="center" shrinkToFit="1"/>
    </xf>
    <xf numFmtId="14" fontId="0" fillId="0" borderId="0" xfId="0" applyNumberFormat="1" applyAlignment="1">
      <alignment horizontal="left"/>
    </xf>
    <xf numFmtId="0" fontId="49" fillId="0" borderId="0" xfId="0" applyFont="1" applyAlignment="1">
      <alignment horizontal="center" vertical="center" shrinkToFit="1"/>
    </xf>
    <xf numFmtId="0" fontId="44" fillId="0" borderId="106" xfId="0" quotePrefix="1" applyFont="1" applyBorder="1" applyAlignment="1">
      <alignment horizontal="center"/>
    </xf>
    <xf numFmtId="0" fontId="44" fillId="0" borderId="106" xfId="0" applyFont="1" applyBorder="1" applyAlignment="1">
      <alignment horizontal="center"/>
    </xf>
    <xf numFmtId="0" fontId="0" fillId="17" borderId="29" xfId="0" applyFill="1" applyBorder="1" applyAlignment="1">
      <alignment horizontal="center" shrinkToFit="1"/>
    </xf>
    <xf numFmtId="0" fontId="0" fillId="0" borderId="51" xfId="0" applyBorder="1" applyAlignment="1">
      <alignment horizontal="center" shrinkToFit="1"/>
    </xf>
    <xf numFmtId="0" fontId="0" fillId="17" borderId="64" xfId="0" applyFill="1" applyBorder="1" applyAlignment="1">
      <alignment horizontal="center" shrinkToFit="1"/>
    </xf>
    <xf numFmtId="0" fontId="0" fillId="17" borderId="107" xfId="0" applyFill="1" applyBorder="1" applyAlignment="1">
      <alignment horizontal="center" shrinkToFit="1"/>
    </xf>
    <xf numFmtId="166" fontId="0" fillId="17" borderId="29" xfId="0" applyNumberFormat="1" applyFill="1" applyBorder="1" applyAlignment="1">
      <alignment horizontal="center" shrinkToFit="1"/>
    </xf>
    <xf numFmtId="166" fontId="0" fillId="0" borderId="51" xfId="0" applyNumberFormat="1" applyBorder="1" applyAlignment="1">
      <alignment horizontal="center" shrinkToFit="1"/>
    </xf>
    <xf numFmtId="166" fontId="0" fillId="17" borderId="64" xfId="0" applyNumberFormat="1" applyFill="1" applyBorder="1" applyAlignment="1">
      <alignment horizontal="center" shrinkToFit="1"/>
    </xf>
    <xf numFmtId="0" fontId="25" fillId="0" borderId="0" xfId="0" applyFont="1" applyAlignment="1">
      <alignment horizontal="left" vertical="top" wrapText="1"/>
    </xf>
    <xf numFmtId="49" fontId="72" fillId="0" borderId="0" xfId="0" applyNumberFormat="1" applyFont="1" applyAlignment="1">
      <alignment horizontal="right" vertical="top" wrapText="1"/>
    </xf>
    <xf numFmtId="0" fontId="115" fillId="0" borderId="0" xfId="0" applyFont="1" applyAlignment="1">
      <alignment horizontal="right"/>
    </xf>
    <xf numFmtId="0" fontId="108" fillId="0" borderId="0" xfId="0" applyFont="1" applyAlignment="1">
      <alignment horizontal="right"/>
    </xf>
    <xf numFmtId="0" fontId="28" fillId="0" borderId="0" xfId="0" applyFont="1" applyAlignment="1">
      <alignment horizontal="right"/>
    </xf>
    <xf numFmtId="0" fontId="72" fillId="0" borderId="0" xfId="0" applyFont="1" applyAlignment="1">
      <alignment horizontal="right"/>
    </xf>
    <xf numFmtId="0" fontId="72" fillId="0" borderId="0" xfId="0" applyFont="1" applyAlignment="1">
      <alignment horizontal="center" vertical="center" wrapText="1"/>
    </xf>
    <xf numFmtId="49" fontId="72" fillId="0" borderId="0" xfId="0" applyNumberFormat="1" applyFont="1" applyAlignment="1">
      <alignment horizontal="right" wrapText="1"/>
    </xf>
    <xf numFmtId="0" fontId="25" fillId="0" borderId="133" xfId="0" applyFont="1" applyBorder="1" applyAlignment="1">
      <alignment horizontal="right"/>
    </xf>
    <xf numFmtId="181" fontId="109" fillId="0" borderId="134" xfId="0" applyNumberFormat="1" applyFont="1" applyBorder="1" applyAlignment="1">
      <alignment horizontal="center"/>
    </xf>
    <xf numFmtId="181" fontId="109" fillId="0" borderId="0" xfId="0" applyNumberFormat="1" applyFont="1" applyAlignment="1">
      <alignment horizontal="center"/>
    </xf>
    <xf numFmtId="0" fontId="0" fillId="0" borderId="129" xfId="0" applyBorder="1" applyAlignment="1">
      <alignment horizontal="center"/>
    </xf>
    <xf numFmtId="0" fontId="25" fillId="0" borderId="137" xfId="0" applyFont="1" applyBorder="1" applyAlignment="1">
      <alignment horizontal="right"/>
    </xf>
    <xf numFmtId="0" fontId="28" fillId="0" borderId="0" xfId="0" applyFont="1" applyAlignment="1">
      <alignment horizontal="center"/>
    </xf>
    <xf numFmtId="0" fontId="107" fillId="0" borderId="0" xfId="0" applyFont="1" applyAlignment="1">
      <alignment horizontal="center" shrinkToFit="1"/>
    </xf>
    <xf numFmtId="0" fontId="25" fillId="0" borderId="136" xfId="0" applyFont="1" applyBorder="1" applyAlignment="1">
      <alignment horizontal="center" wrapText="1"/>
    </xf>
    <xf numFmtId="0" fontId="25" fillId="0" borderId="132" xfId="0" applyFont="1" applyBorder="1" applyAlignment="1">
      <alignment horizontal="center" wrapText="1"/>
    </xf>
    <xf numFmtId="0" fontId="107" fillId="0" borderId="136" xfId="0" applyFont="1" applyBorder="1" applyAlignment="1">
      <alignment horizontal="center" shrinkToFit="1"/>
    </xf>
    <xf numFmtId="0" fontId="111" fillId="0" borderId="0" xfId="0" applyFont="1" applyAlignment="1">
      <alignment horizontal="center" vertical="center" wrapText="1"/>
    </xf>
    <xf numFmtId="0" fontId="107" fillId="0" borderId="0" xfId="0" applyFont="1" applyAlignment="1">
      <alignment horizontal="left" vertical="center"/>
    </xf>
    <xf numFmtId="0" fontId="25" fillId="0" borderId="0" xfId="0" applyFont="1" applyAlignment="1">
      <alignment horizontal="right"/>
    </xf>
    <xf numFmtId="0" fontId="109" fillId="0" borderId="0" xfId="0" applyFont="1" applyAlignment="1">
      <alignment horizontal="left"/>
    </xf>
    <xf numFmtId="0" fontId="107" fillId="0" borderId="0" xfId="0" applyFont="1" applyAlignment="1">
      <alignment horizontal="left"/>
    </xf>
    <xf numFmtId="0" fontId="85" fillId="0" borderId="0" xfId="0" applyFont="1" applyAlignment="1">
      <alignment horizontal="left"/>
    </xf>
    <xf numFmtId="14" fontId="109" fillId="0" borderId="0" xfId="0" applyNumberFormat="1" applyFont="1" applyAlignment="1">
      <alignment horizontal="left"/>
    </xf>
    <xf numFmtId="0" fontId="120" fillId="0" borderId="0" xfId="0" applyFont="1" applyAlignment="1">
      <alignment horizontal="center" vertical="center" wrapText="1"/>
    </xf>
    <xf numFmtId="0" fontId="107" fillId="0" borderId="0" xfId="0" applyFont="1" applyAlignment="1">
      <alignment horizontal="left" vertical="top" wrapText="1"/>
    </xf>
    <xf numFmtId="0" fontId="38" fillId="0" borderId="0" xfId="0" applyFont="1" applyAlignment="1">
      <alignment horizontal="left" vertical="top" wrapText="1"/>
    </xf>
    <xf numFmtId="0" fontId="39" fillId="0" borderId="0" xfId="0" applyFont="1" applyAlignment="1">
      <alignment horizontal="left"/>
    </xf>
    <xf numFmtId="0" fontId="39" fillId="0" borderId="0" xfId="0" applyFont="1" applyAlignment="1">
      <alignment horizontal="center" vertical="top" wrapText="1"/>
    </xf>
    <xf numFmtId="0" fontId="39" fillId="0" borderId="0" xfId="0" applyFont="1" applyAlignment="1">
      <alignment horizontal="left" vertical="top"/>
    </xf>
    <xf numFmtId="166" fontId="102" fillId="0" borderId="46" xfId="6" applyNumberFormat="1" applyFont="1" applyBorder="1" applyAlignment="1">
      <alignment horizontal="center"/>
    </xf>
    <xf numFmtId="166" fontId="23" fillId="0" borderId="56" xfId="6" applyNumberFormat="1" applyFont="1" applyBorder="1" applyAlignment="1">
      <alignment horizontal="center"/>
    </xf>
    <xf numFmtId="0" fontId="103" fillId="0" borderId="14" xfId="0" applyFont="1" applyBorder="1" applyAlignment="1">
      <alignment horizontal="center"/>
    </xf>
    <xf numFmtId="6" fontId="102" fillId="0" borderId="0" xfId="0" applyNumberFormat="1" applyFont="1" applyAlignment="1">
      <alignment horizontal="center"/>
    </xf>
    <xf numFmtId="0" fontId="102" fillId="0" borderId="50" xfId="0" applyFont="1" applyBorder="1" applyAlignment="1">
      <alignment horizontal="center"/>
    </xf>
    <xf numFmtId="0" fontId="103" fillId="0" borderId="0" xfId="0" applyFont="1" applyAlignment="1">
      <alignment horizontal="left" vertical="top" wrapText="1"/>
    </xf>
    <xf numFmtId="1" fontId="102" fillId="0" borderId="46" xfId="0" applyNumberFormat="1" applyFont="1" applyBorder="1" applyAlignment="1">
      <alignment horizontal="center"/>
    </xf>
    <xf numFmtId="0" fontId="102" fillId="0" borderId="56" xfId="0" applyFont="1" applyBorder="1" applyAlignment="1">
      <alignment horizontal="center"/>
    </xf>
    <xf numFmtId="0" fontId="102" fillId="0" borderId="46" xfId="0" applyFont="1" applyBorder="1" applyAlignment="1">
      <alignment horizontal="center"/>
    </xf>
    <xf numFmtId="0" fontId="102" fillId="0" borderId="15" xfId="0" applyFont="1" applyBorder="1" applyAlignment="1">
      <alignment horizontal="left" vertical="center" wrapText="1"/>
    </xf>
    <xf numFmtId="0" fontId="102" fillId="0" borderId="49" xfId="0" applyFont="1" applyBorder="1" applyAlignment="1">
      <alignment horizontal="left" vertical="center" wrapText="1"/>
    </xf>
    <xf numFmtId="0" fontId="0" fillId="0" borderId="0" xfId="0" applyAlignment="1">
      <alignment horizontal="left"/>
    </xf>
    <xf numFmtId="0" fontId="102" fillId="0" borderId="127" xfId="0" applyFont="1" applyBorder="1" applyAlignment="1">
      <alignment horizontal="center" vertical="center" wrapText="1"/>
    </xf>
    <xf numFmtId="0" fontId="102" fillId="0" borderId="128" xfId="0" applyFont="1" applyBorder="1" applyAlignment="1">
      <alignment horizontal="center" vertical="center"/>
    </xf>
    <xf numFmtId="0" fontId="102" fillId="0" borderId="127" xfId="0" applyFont="1" applyBorder="1" applyAlignment="1">
      <alignment horizontal="center" vertical="center"/>
    </xf>
    <xf numFmtId="0" fontId="102" fillId="0" borderId="41" xfId="0" applyFont="1" applyBorder="1" applyAlignment="1">
      <alignment horizontal="center" vertical="center"/>
    </xf>
    <xf numFmtId="0" fontId="103" fillId="0" borderId="36" xfId="0" applyFont="1" applyBorder="1" applyAlignment="1">
      <alignment horizontal="center"/>
    </xf>
    <xf numFmtId="0" fontId="103" fillId="0" borderId="14" xfId="0" applyFont="1" applyBorder="1" applyAlignment="1">
      <alignment horizontal="left"/>
    </xf>
    <xf numFmtId="0" fontId="78" fillId="0" borderId="0" xfId="0" applyFont="1" applyAlignment="1">
      <alignment horizontal="center"/>
    </xf>
    <xf numFmtId="0" fontId="89" fillId="0" borderId="0" xfId="0" applyFont="1" applyAlignment="1">
      <alignment horizontal="center"/>
    </xf>
    <xf numFmtId="0" fontId="0" fillId="0" borderId="54" xfId="0" applyBorder="1" applyAlignment="1">
      <alignment horizontal="center" wrapText="1"/>
    </xf>
    <xf numFmtId="0" fontId="0" fillId="0" borderId="15" xfId="0" applyBorder="1" applyAlignment="1">
      <alignment horizontal="center"/>
    </xf>
    <xf numFmtId="0" fontId="0" fillId="0" borderId="49" xfId="0" applyBorder="1" applyAlignment="1">
      <alignment horizontal="center"/>
    </xf>
    <xf numFmtId="0" fontId="0" fillId="0" borderId="55" xfId="0" applyBorder="1" applyAlignment="1">
      <alignment horizontal="center"/>
    </xf>
    <xf numFmtId="0" fontId="0" fillId="0" borderId="56" xfId="0" applyBorder="1" applyAlignment="1">
      <alignment horizontal="center"/>
    </xf>
    <xf numFmtId="0" fontId="33" fillId="0" borderId="0" xfId="0" applyFont="1" applyAlignment="1">
      <alignment horizontal="center" vertical="top" wrapText="1"/>
    </xf>
    <xf numFmtId="0" fontId="39" fillId="0" borderId="0" xfId="0" applyFont="1" applyAlignment="1">
      <alignment horizontal="right" vertical="top" wrapText="1"/>
    </xf>
    <xf numFmtId="0" fontId="101" fillId="0" borderId="15" xfId="0" applyFont="1" applyBorder="1" applyAlignment="1">
      <alignment horizontal="left"/>
    </xf>
    <xf numFmtId="0" fontId="33" fillId="0" borderId="54" xfId="0" applyFont="1" applyBorder="1" applyAlignment="1">
      <alignment horizontal="left" vertical="top" wrapText="1"/>
    </xf>
    <xf numFmtId="0" fontId="33" fillId="0" borderId="15" xfId="0" applyFont="1" applyBorder="1" applyAlignment="1">
      <alignment horizontal="left" vertical="top" wrapText="1"/>
    </xf>
    <xf numFmtId="0" fontId="33" fillId="0" borderId="49" xfId="0" applyFont="1" applyBorder="1" applyAlignment="1">
      <alignment horizontal="left" vertical="top" wrapText="1"/>
    </xf>
    <xf numFmtId="0" fontId="33" fillId="0" borderId="27" xfId="0" applyFont="1" applyBorder="1" applyAlignment="1">
      <alignment horizontal="left" vertical="top" wrapText="1"/>
    </xf>
    <xf numFmtId="0" fontId="33" fillId="0" borderId="0" xfId="0" applyFont="1" applyAlignment="1">
      <alignment horizontal="left" vertical="top" wrapText="1"/>
    </xf>
    <xf numFmtId="0" fontId="33" fillId="0" borderId="50" xfId="0" applyFont="1" applyBorder="1" applyAlignment="1">
      <alignment horizontal="left" vertical="top" wrapText="1"/>
    </xf>
    <xf numFmtId="49" fontId="33" fillId="0" borderId="0" xfId="0" applyNumberFormat="1" applyFont="1" applyAlignment="1">
      <alignment horizontal="left" vertical="top" wrapText="1"/>
    </xf>
    <xf numFmtId="49" fontId="33" fillId="0" borderId="46" xfId="0" applyNumberFormat="1" applyFont="1" applyBorder="1" applyAlignment="1">
      <alignment horizontal="left" vertical="top" wrapText="1"/>
    </xf>
    <xf numFmtId="0" fontId="39" fillId="0" borderId="0" xfId="0" applyFont="1" applyAlignment="1">
      <alignment horizontal="center"/>
    </xf>
    <xf numFmtId="0" fontId="23" fillId="0" borderId="22" xfId="0" applyFont="1" applyBorder="1" applyAlignment="1">
      <alignment horizontal="center"/>
    </xf>
    <xf numFmtId="0" fontId="23" fillId="0" borderId="23" xfId="0" applyFont="1" applyBorder="1" applyAlignment="1">
      <alignment horizontal="center"/>
    </xf>
    <xf numFmtId="0" fontId="23" fillId="0" borderId="24" xfId="0" applyFont="1" applyBorder="1" applyAlignment="1">
      <alignment horizontal="center"/>
    </xf>
    <xf numFmtId="0" fontId="39" fillId="0" borderId="15" xfId="0" applyFont="1" applyBorder="1" applyAlignment="1">
      <alignment horizontal="left"/>
    </xf>
    <xf numFmtId="0" fontId="78" fillId="0" borderId="22" xfId="0" applyFont="1" applyBorder="1" applyAlignment="1">
      <alignment horizontal="center"/>
    </xf>
    <xf numFmtId="0" fontId="78" fillId="0" borderId="23" xfId="0" applyFont="1" applyBorder="1" applyAlignment="1">
      <alignment horizontal="center"/>
    </xf>
    <xf numFmtId="0" fontId="78" fillId="0" borderId="24" xfId="0" applyFont="1" applyBorder="1" applyAlignment="1">
      <alignment horizontal="center"/>
    </xf>
    <xf numFmtId="0" fontId="78" fillId="0" borderId="22" xfId="0" applyFont="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39" fillId="0" borderId="54" xfId="0" applyFont="1" applyBorder="1" applyAlignment="1">
      <alignment horizontal="right"/>
    </xf>
    <xf numFmtId="0" fontId="39" fillId="0" borderId="15" xfId="0" applyFont="1" applyBorder="1" applyAlignment="1">
      <alignment horizontal="right"/>
    </xf>
    <xf numFmtId="0" fontId="39" fillId="0" borderId="27" xfId="0" applyFont="1" applyBorder="1" applyAlignment="1">
      <alignment horizontal="right"/>
    </xf>
    <xf numFmtId="0" fontId="39" fillId="0" borderId="0" xfId="0" applyFont="1" applyAlignment="1">
      <alignment horizontal="right"/>
    </xf>
    <xf numFmtId="0" fontId="39" fillId="0" borderId="21" xfId="0" applyFont="1" applyBorder="1" applyAlignment="1">
      <alignment horizontal="left" vertical="center"/>
    </xf>
    <xf numFmtId="0" fontId="103" fillId="0" borderId="36" xfId="0" applyFont="1" applyBorder="1" applyAlignment="1">
      <alignment horizontal="left"/>
    </xf>
    <xf numFmtId="0" fontId="39" fillId="0" borderId="55" xfId="0" applyFont="1" applyBorder="1" applyAlignment="1">
      <alignment horizontal="center"/>
    </xf>
    <xf numFmtId="0" fontId="39" fillId="0" borderId="46" xfId="0" applyFont="1" applyBorder="1" applyAlignment="1">
      <alignment horizontal="center"/>
    </xf>
    <xf numFmtId="0" fontId="89" fillId="0" borderId="0" xfId="0" applyFont="1" applyAlignment="1">
      <alignment horizontal="center" vertical="center"/>
    </xf>
    <xf numFmtId="0" fontId="23" fillId="0" borderId="0" xfId="0" applyFont="1" applyAlignment="1" applyProtection="1">
      <alignment horizontal="left" vertical="top" wrapText="1"/>
      <protection locked="0"/>
    </xf>
    <xf numFmtId="9" fontId="0" fillId="0" borderId="3" xfId="0" applyNumberFormat="1" applyBorder="1" applyAlignment="1" applyProtection="1">
      <alignment horizontal="center" vertical="center" wrapText="1"/>
      <protection locked="0"/>
    </xf>
    <xf numFmtId="175" fontId="0" fillId="0" borderId="3" xfId="0" applyNumberFormat="1" applyBorder="1" applyAlignment="1">
      <alignment horizontal="right" vertical="center" wrapText="1"/>
    </xf>
    <xf numFmtId="175" fontId="0" fillId="23" borderId="124" xfId="0" applyNumberFormat="1" applyFill="1" applyBorder="1" applyAlignment="1">
      <alignment horizontal="right" vertical="center" wrapText="1"/>
    </xf>
    <xf numFmtId="9" fontId="0" fillId="23" borderId="124" xfId="0" applyNumberFormat="1" applyFill="1" applyBorder="1" applyAlignment="1" applyProtection="1">
      <alignment horizontal="center" vertical="center" wrapText="1"/>
      <protection locked="0"/>
    </xf>
    <xf numFmtId="175" fontId="0" fillId="23" borderId="124" xfId="0" applyNumberFormat="1" applyFill="1" applyBorder="1" applyAlignment="1" applyProtection="1">
      <alignment horizontal="center" vertical="center" wrapText="1"/>
      <protection locked="0"/>
    </xf>
    <xf numFmtId="49" fontId="0" fillId="23" borderId="124" xfId="0" applyNumberFormat="1" applyFill="1" applyBorder="1" applyAlignment="1" applyProtection="1">
      <alignment horizontal="left" vertical="center" wrapText="1"/>
      <protection locked="0"/>
    </xf>
    <xf numFmtId="49" fontId="0" fillId="0" borderId="0" xfId="0" applyNumberFormat="1" applyAlignment="1">
      <alignment horizontal="left" vertical="top" wrapText="1"/>
    </xf>
    <xf numFmtId="166" fontId="0" fillId="0" borderId="0" xfId="0" applyNumberFormat="1" applyAlignment="1">
      <alignment horizontal="center" vertical="top" wrapText="1"/>
    </xf>
    <xf numFmtId="9" fontId="0" fillId="0" borderId="0" xfId="0" applyNumberFormat="1" applyAlignment="1">
      <alignment horizontal="center" vertical="top" wrapText="1"/>
    </xf>
    <xf numFmtId="175" fontId="0" fillId="0" borderId="63" xfId="0" applyNumberFormat="1" applyBorder="1" applyAlignment="1">
      <alignment horizontal="right" vertical="top" wrapText="1"/>
    </xf>
    <xf numFmtId="9" fontId="33" fillId="0" borderId="0" xfId="0" applyNumberFormat="1" applyFont="1" applyAlignment="1">
      <alignment horizontal="center" vertical="top" wrapText="1"/>
    </xf>
    <xf numFmtId="166" fontId="33" fillId="0" borderId="0" xfId="0" applyNumberFormat="1" applyFont="1" applyAlignment="1">
      <alignment horizontal="center" vertical="top" wrapText="1"/>
    </xf>
    <xf numFmtId="49" fontId="0" fillId="0" borderId="124" xfId="0" applyNumberFormat="1" applyBorder="1" applyAlignment="1" applyProtection="1">
      <alignment horizontal="left" vertical="center" wrapText="1"/>
      <protection locked="0"/>
    </xf>
    <xf numFmtId="175" fontId="0" fillId="0" borderId="124" xfId="0" applyNumberFormat="1" applyBorder="1" applyAlignment="1" applyProtection="1">
      <alignment horizontal="center" vertical="center" wrapText="1"/>
      <protection locked="0"/>
    </xf>
    <xf numFmtId="9" fontId="0" fillId="0" borderId="124" xfId="0" applyNumberFormat="1" applyBorder="1" applyAlignment="1" applyProtection="1">
      <alignment horizontal="center" vertical="center" wrapText="1"/>
      <protection locked="0"/>
    </xf>
    <xf numFmtId="175" fontId="0" fillId="0" borderId="124" xfId="0" applyNumberFormat="1" applyBorder="1" applyAlignment="1">
      <alignment horizontal="right" vertical="center" wrapText="1"/>
    </xf>
    <xf numFmtId="175" fontId="0" fillId="0" borderId="3" xfId="0" applyNumberFormat="1" applyBorder="1" applyAlignment="1" applyProtection="1">
      <alignment horizontal="center" vertical="center" wrapText="1"/>
      <protection locked="0"/>
    </xf>
    <xf numFmtId="49" fontId="0" fillId="0" borderId="3" xfId="0" applyNumberFormat="1" applyBorder="1" applyAlignment="1" applyProtection="1">
      <alignment horizontal="left" vertical="center" wrapText="1"/>
      <protection locked="0"/>
    </xf>
    <xf numFmtId="49" fontId="39" fillId="0" borderId="0" xfId="0" applyNumberFormat="1" applyFont="1" applyAlignment="1">
      <alignment horizontal="left" vertical="top" wrapText="1"/>
    </xf>
    <xf numFmtId="0" fontId="23" fillId="0" borderId="0" xfId="0" applyFont="1" applyAlignment="1">
      <alignment horizontal="right"/>
    </xf>
    <xf numFmtId="0" fontId="34" fillId="0" borderId="0" xfId="9" applyFont="1" applyAlignment="1">
      <alignment horizontal="center"/>
    </xf>
    <xf numFmtId="0" fontId="17" fillId="12" borderId="22" xfId="9" applyFill="1" applyBorder="1" applyAlignment="1" applyProtection="1">
      <alignment horizontal="left" vertical="top" wrapText="1"/>
      <protection locked="0"/>
    </xf>
    <xf numFmtId="0" fontId="17" fillId="12" borderId="23" xfId="9" applyFill="1" applyBorder="1" applyAlignment="1" applyProtection="1">
      <alignment horizontal="left" vertical="top" wrapText="1"/>
      <protection locked="0"/>
    </xf>
    <xf numFmtId="0" fontId="14" fillId="12" borderId="22" xfId="9" applyFont="1" applyFill="1" applyBorder="1" applyAlignment="1" applyProtection="1">
      <alignment horizontal="center" vertical="top" shrinkToFit="1"/>
      <protection locked="0"/>
    </xf>
    <xf numFmtId="0" fontId="17" fillId="12" borderId="24" xfId="9" applyFill="1" applyBorder="1" applyAlignment="1" applyProtection="1">
      <alignment horizontal="center" vertical="top" shrinkToFit="1"/>
      <protection locked="0"/>
    </xf>
    <xf numFmtId="0" fontId="17" fillId="12" borderId="22" xfId="9" applyFill="1" applyBorder="1" applyAlignment="1">
      <alignment horizontal="center" vertical="top" wrapText="1"/>
    </xf>
    <xf numFmtId="0" fontId="17" fillId="12" borderId="23" xfId="9" applyFill="1" applyBorder="1" applyAlignment="1">
      <alignment horizontal="center" vertical="top" wrapText="1"/>
    </xf>
    <xf numFmtId="0" fontId="17" fillId="12" borderId="24" xfId="9" applyFill="1" applyBorder="1" applyAlignment="1">
      <alignment horizontal="center" vertical="top" wrapText="1"/>
    </xf>
    <xf numFmtId="171" fontId="17" fillId="12" borderId="22" xfId="9" applyNumberFormat="1" applyFill="1" applyBorder="1" applyAlignment="1" applyProtection="1">
      <alignment horizontal="center"/>
      <protection locked="0"/>
    </xf>
    <xf numFmtId="171" fontId="17" fillId="12" borderId="24" xfId="9" applyNumberFormat="1" applyFill="1" applyBorder="1" applyAlignment="1" applyProtection="1">
      <alignment horizontal="center"/>
      <protection locked="0"/>
    </xf>
    <xf numFmtId="0" fontId="17" fillId="12" borderId="54" xfId="9" quotePrefix="1" applyFill="1" applyBorder="1" applyAlignment="1" applyProtection="1">
      <alignment horizontal="left" vertical="top" wrapText="1"/>
      <protection locked="0"/>
    </xf>
    <xf numFmtId="0" fontId="17" fillId="12" borderId="15" xfId="9" applyFill="1" applyBorder="1" applyAlignment="1" applyProtection="1">
      <alignment horizontal="left" vertical="top" wrapText="1"/>
      <protection locked="0"/>
    </xf>
    <xf numFmtId="0" fontId="17" fillId="12" borderId="49" xfId="9" applyFill="1" applyBorder="1" applyAlignment="1" applyProtection="1">
      <alignment horizontal="left" vertical="top" wrapText="1"/>
      <protection locked="0"/>
    </xf>
    <xf numFmtId="0" fontId="17" fillId="12" borderId="27" xfId="9" applyFill="1" applyBorder="1" applyAlignment="1" applyProtection="1">
      <alignment horizontal="left" vertical="top" wrapText="1"/>
      <protection locked="0"/>
    </xf>
    <xf numFmtId="0" fontId="17" fillId="12" borderId="0" xfId="9" applyFill="1" applyAlignment="1" applyProtection="1">
      <alignment horizontal="left" vertical="top" wrapText="1"/>
      <protection locked="0"/>
    </xf>
    <xf numFmtId="0" fontId="17" fillId="12" borderId="50" xfId="9" applyFill="1" applyBorder="1" applyAlignment="1" applyProtection="1">
      <alignment horizontal="left" vertical="top" wrapText="1"/>
      <protection locked="0"/>
    </xf>
    <xf numFmtId="0" fontId="17" fillId="12" borderId="55" xfId="9" applyFill="1" applyBorder="1" applyAlignment="1" applyProtection="1">
      <alignment horizontal="left" vertical="top" wrapText="1"/>
      <protection locked="0"/>
    </xf>
    <xf numFmtId="0" fontId="17" fillId="12" borderId="46" xfId="9" applyFill="1" applyBorder="1" applyAlignment="1" applyProtection="1">
      <alignment horizontal="left" vertical="top" wrapText="1"/>
      <protection locked="0"/>
    </xf>
    <xf numFmtId="0" fontId="17" fillId="12" borderId="56" xfId="9" applyFill="1" applyBorder="1" applyAlignment="1" applyProtection="1">
      <alignment horizontal="left" vertical="top" wrapText="1"/>
      <protection locked="0"/>
    </xf>
    <xf numFmtId="0" fontId="34" fillId="0" borderId="15" xfId="9" applyFont="1" applyBorder="1" applyAlignment="1">
      <alignment horizontal="center"/>
    </xf>
    <xf numFmtId="14" fontId="53" fillId="0" borderId="0" xfId="9" applyNumberFormat="1" applyFont="1" applyAlignment="1">
      <alignment horizontal="center" vertical="center"/>
    </xf>
    <xf numFmtId="49" fontId="1" fillId="12" borderId="22" xfId="9" applyNumberFormat="1" applyFont="1" applyFill="1" applyBorder="1" applyAlignment="1" applyProtection="1">
      <alignment horizontal="left" vertical="center" wrapText="1"/>
      <protection locked="0"/>
    </xf>
    <xf numFmtId="49" fontId="17" fillId="12" borderId="23" xfId="9" applyNumberFormat="1" applyFill="1" applyBorder="1" applyAlignment="1" applyProtection="1">
      <alignment horizontal="left" vertical="center" wrapText="1"/>
      <protection locked="0"/>
    </xf>
    <xf numFmtId="49" fontId="17" fillId="12" borderId="24" xfId="9" applyNumberFormat="1" applyFill="1" applyBorder="1" applyAlignment="1" applyProtection="1">
      <alignment horizontal="left" vertical="center" wrapText="1"/>
      <protection locked="0"/>
    </xf>
    <xf numFmtId="49" fontId="14" fillId="12" borderId="54" xfId="9" applyNumberFormat="1" applyFont="1" applyFill="1" applyBorder="1" applyAlignment="1" applyProtection="1">
      <alignment horizontal="left" vertical="top" wrapText="1"/>
      <protection locked="0"/>
    </xf>
    <xf numFmtId="49" fontId="17" fillId="12" borderId="15" xfId="9" applyNumberFormat="1" applyFill="1" applyBorder="1" applyAlignment="1" applyProtection="1">
      <alignment horizontal="left" vertical="top" wrapText="1"/>
      <protection locked="0"/>
    </xf>
    <xf numFmtId="49" fontId="17" fillId="12" borderId="49" xfId="9" applyNumberFormat="1" applyFill="1" applyBorder="1" applyAlignment="1" applyProtection="1">
      <alignment horizontal="left" vertical="top" wrapText="1"/>
      <protection locked="0"/>
    </xf>
    <xf numFmtId="49" fontId="17" fillId="12" borderId="27" xfId="9" applyNumberFormat="1" applyFill="1" applyBorder="1" applyAlignment="1" applyProtection="1">
      <alignment horizontal="left" vertical="top" wrapText="1"/>
      <protection locked="0"/>
    </xf>
    <xf numFmtId="49" fontId="17" fillId="12" borderId="0" xfId="9" applyNumberFormat="1" applyFill="1" applyAlignment="1" applyProtection="1">
      <alignment horizontal="left" vertical="top" wrapText="1"/>
      <protection locked="0"/>
    </xf>
    <xf numFmtId="49" fontId="17" fillId="12" borderId="50" xfId="9" applyNumberFormat="1" applyFill="1" applyBorder="1" applyAlignment="1" applyProtection="1">
      <alignment horizontal="left" vertical="top" wrapText="1"/>
      <protection locked="0"/>
    </xf>
    <xf numFmtId="49" fontId="17" fillId="12" borderId="55" xfId="9" applyNumberFormat="1" applyFill="1" applyBorder="1" applyAlignment="1" applyProtection="1">
      <alignment horizontal="left" vertical="top" wrapText="1"/>
      <protection locked="0"/>
    </xf>
    <xf numFmtId="49" fontId="17" fillId="12" borderId="46" xfId="9" applyNumberFormat="1" applyFill="1" applyBorder="1" applyAlignment="1" applyProtection="1">
      <alignment horizontal="left" vertical="top" wrapText="1"/>
      <protection locked="0"/>
    </xf>
    <xf numFmtId="49" fontId="17" fillId="12" borderId="56" xfId="9" applyNumberFormat="1" applyFill="1" applyBorder="1" applyAlignment="1" applyProtection="1">
      <alignment horizontal="left" vertical="top" wrapText="1"/>
      <protection locked="0"/>
    </xf>
    <xf numFmtId="0" fontId="34" fillId="0" borderId="0" xfId="9" applyFont="1" applyAlignment="1">
      <alignment horizontal="center" vertical="top" wrapText="1"/>
    </xf>
    <xf numFmtId="14" fontId="17" fillId="12" borderId="22" xfId="9" applyNumberFormat="1" applyFill="1" applyBorder="1" applyAlignment="1" applyProtection="1">
      <alignment horizontal="center" vertical="top" wrapText="1"/>
      <protection locked="0"/>
    </xf>
    <xf numFmtId="14" fontId="17" fillId="12" borderId="23" xfId="9" applyNumberFormat="1" applyFill="1" applyBorder="1" applyAlignment="1" applyProtection="1">
      <alignment horizontal="center" vertical="top" wrapText="1"/>
      <protection locked="0"/>
    </xf>
    <xf numFmtId="14" fontId="17" fillId="12" borderId="24" xfId="9" applyNumberFormat="1" applyFill="1" applyBorder="1" applyAlignment="1" applyProtection="1">
      <alignment horizontal="center" vertical="top" wrapText="1"/>
      <protection locked="0"/>
    </xf>
    <xf numFmtId="171" fontId="34" fillId="0" borderId="23" xfId="9" applyNumberFormat="1" applyFont="1" applyBorder="1" applyAlignment="1">
      <alignment horizontal="center" vertical="center" shrinkToFit="1"/>
    </xf>
    <xf numFmtId="171" fontId="17" fillId="12" borderId="22" xfId="9" applyNumberFormat="1" applyFill="1" applyBorder="1" applyAlignment="1" applyProtection="1">
      <alignment horizontal="center" vertical="center"/>
      <protection locked="0"/>
    </xf>
    <xf numFmtId="171" fontId="17" fillId="12" borderId="24" xfId="9" applyNumberFormat="1" applyFill="1" applyBorder="1" applyAlignment="1" applyProtection="1">
      <alignment horizontal="center" vertical="center"/>
      <protection locked="0"/>
    </xf>
    <xf numFmtId="49" fontId="17" fillId="12" borderId="54" xfId="9" applyNumberFormat="1" applyFill="1" applyBorder="1" applyAlignment="1" applyProtection="1">
      <alignment horizontal="left" vertical="top" wrapText="1"/>
      <protection locked="0"/>
    </xf>
    <xf numFmtId="49" fontId="14" fillId="12" borderId="22" xfId="9" applyNumberFormat="1" applyFont="1" applyFill="1" applyBorder="1" applyAlignment="1" applyProtection="1">
      <alignment horizontal="left" vertical="top" wrapText="1"/>
      <protection locked="0"/>
    </xf>
    <xf numFmtId="49" fontId="17" fillId="12" borderId="23" xfId="9" applyNumberFormat="1" applyFill="1" applyBorder="1" applyAlignment="1" applyProtection="1">
      <alignment horizontal="left" vertical="top" wrapText="1"/>
      <protection locked="0"/>
    </xf>
    <xf numFmtId="49" fontId="17" fillId="12" borderId="24" xfId="9" applyNumberFormat="1" applyFill="1" applyBorder="1" applyAlignment="1" applyProtection="1">
      <alignment horizontal="left" vertical="top" wrapText="1"/>
      <protection locked="0"/>
    </xf>
    <xf numFmtId="14" fontId="34" fillId="0" borderId="46" xfId="9" applyNumberFormat="1" applyFont="1" applyBorder="1" applyAlignment="1">
      <alignment horizontal="left" vertical="top"/>
    </xf>
    <xf numFmtId="14" fontId="17" fillId="0" borderId="15" xfId="9" applyNumberFormat="1" applyBorder="1" applyAlignment="1">
      <alignment horizontal="center" vertical="top" wrapText="1"/>
    </xf>
    <xf numFmtId="14" fontId="14" fillId="12" borderId="22" xfId="9" quotePrefix="1" applyNumberFormat="1" applyFont="1" applyFill="1" applyBorder="1" applyAlignment="1" applyProtection="1">
      <alignment horizontal="left" vertical="top" shrinkToFit="1"/>
      <protection locked="0"/>
    </xf>
    <xf numFmtId="14" fontId="17" fillId="12" borderId="23" xfId="9" applyNumberFormat="1" applyFill="1" applyBorder="1" applyAlignment="1" applyProtection="1">
      <alignment horizontal="left" vertical="top" shrinkToFit="1"/>
      <protection locked="0"/>
    </xf>
    <xf numFmtId="14" fontId="17" fillId="12" borderId="24" xfId="9" applyNumberFormat="1" applyFill="1" applyBorder="1" applyAlignment="1" applyProtection="1">
      <alignment horizontal="left" vertical="top" shrinkToFit="1"/>
      <protection locked="0"/>
    </xf>
    <xf numFmtId="0" fontId="17" fillId="0" borderId="0" xfId="9" applyAlignment="1">
      <alignment horizontal="center"/>
    </xf>
    <xf numFmtId="0" fontId="17" fillId="0" borderId="0" xfId="9" applyAlignment="1">
      <alignment horizontal="center" vertical="center" textRotation="180"/>
    </xf>
    <xf numFmtId="166" fontId="17" fillId="14" borderId="22" xfId="9" applyNumberFormat="1" applyFill="1" applyBorder="1" applyAlignment="1">
      <alignment horizontal="center"/>
    </xf>
    <xf numFmtId="166" fontId="17" fillId="14" borderId="24" xfId="9" applyNumberFormat="1" applyFill="1" applyBorder="1" applyAlignment="1">
      <alignment horizontal="center"/>
    </xf>
    <xf numFmtId="166" fontId="17" fillId="12" borderId="22" xfId="9" applyNumberFormat="1" applyFill="1" applyBorder="1" applyAlignment="1" applyProtection="1">
      <alignment horizontal="center"/>
      <protection locked="0"/>
    </xf>
    <xf numFmtId="166" fontId="17" fillId="12" borderId="24" xfId="9" applyNumberFormat="1" applyFill="1" applyBorder="1" applyAlignment="1" applyProtection="1">
      <alignment horizontal="center"/>
      <protection locked="0"/>
    </xf>
    <xf numFmtId="166" fontId="17" fillId="0" borderId="15" xfId="9" applyNumberFormat="1" applyBorder="1" applyAlignment="1">
      <alignment horizontal="center"/>
    </xf>
    <xf numFmtId="166" fontId="17" fillId="0" borderId="46" xfId="9" applyNumberFormat="1" applyBorder="1" applyAlignment="1">
      <alignment horizontal="center"/>
    </xf>
    <xf numFmtId="166" fontId="17" fillId="0" borderId="56" xfId="9" applyNumberFormat="1" applyBorder="1" applyAlignment="1">
      <alignment horizontal="center"/>
    </xf>
    <xf numFmtId="0" fontId="17" fillId="0" borderId="0" xfId="9" applyAlignment="1">
      <alignment horizontal="right" shrinkToFit="1"/>
    </xf>
    <xf numFmtId="0" fontId="17" fillId="0" borderId="50" xfId="9" applyBorder="1" applyAlignment="1">
      <alignment horizontal="right" shrinkToFit="1"/>
    </xf>
    <xf numFmtId="0" fontId="17" fillId="0" borderId="0" xfId="9" applyAlignment="1">
      <alignment horizontal="center" shrinkToFit="1"/>
    </xf>
    <xf numFmtId="0" fontId="14" fillId="0" borderId="14" xfId="9" applyFont="1" applyBorder="1" applyAlignment="1" applyProtection="1">
      <alignment horizontal="center" shrinkToFit="1"/>
      <protection locked="0"/>
    </xf>
    <xf numFmtId="0" fontId="91" fillId="0" borderId="0" xfId="9" applyFont="1" applyAlignment="1">
      <alignment horizontal="center"/>
    </xf>
    <xf numFmtId="0" fontId="17" fillId="0" borderId="0" xfId="9" applyAlignment="1">
      <alignment horizontal="left"/>
    </xf>
    <xf numFmtId="166" fontId="14" fillId="0" borderId="14" xfId="9" applyNumberFormat="1" applyFont="1" applyBorder="1" applyAlignment="1" applyProtection="1">
      <alignment horizontal="center" shrinkToFit="1"/>
      <protection locked="0"/>
    </xf>
    <xf numFmtId="0" fontId="2" fillId="12" borderId="10" xfId="9" applyFont="1" applyFill="1" applyBorder="1" applyAlignment="1" applyProtection="1">
      <alignment horizontal="center"/>
      <protection locked="0"/>
    </xf>
    <xf numFmtId="0" fontId="17" fillId="12" borderId="11" xfId="9" applyFill="1" applyBorder="1" applyAlignment="1" applyProtection="1">
      <alignment horizontal="center"/>
      <protection locked="0"/>
    </xf>
    <xf numFmtId="0" fontId="17" fillId="12" borderId="12" xfId="9" applyFill="1" applyBorder="1" applyAlignment="1" applyProtection="1">
      <alignment horizontal="center"/>
      <protection locked="0"/>
    </xf>
    <xf numFmtId="0" fontId="17" fillId="0" borderId="54" xfId="9" applyBorder="1"/>
    <xf numFmtId="0" fontId="17" fillId="0" borderId="15" xfId="9" applyBorder="1"/>
    <xf numFmtId="0" fontId="17" fillId="0" borderId="27" xfId="9" applyBorder="1"/>
    <xf numFmtId="0" fontId="17" fillId="0" borderId="0" xfId="9"/>
    <xf numFmtId="166" fontId="14" fillId="12" borderId="22" xfId="9" applyNumberFormat="1" applyFont="1" applyFill="1" applyBorder="1" applyAlignment="1" applyProtection="1">
      <alignment horizontal="center"/>
      <protection locked="0"/>
    </xf>
    <xf numFmtId="166" fontId="17" fillId="12" borderId="23" xfId="9" applyNumberFormat="1" applyFill="1" applyBorder="1" applyAlignment="1" applyProtection="1">
      <alignment horizontal="center"/>
      <protection locked="0"/>
    </xf>
    <xf numFmtId="0" fontId="17" fillId="12" borderId="22" xfId="9" applyFill="1" applyBorder="1" applyAlignment="1" applyProtection="1">
      <alignment horizontal="center"/>
      <protection locked="0"/>
    </xf>
    <xf numFmtId="0" fontId="17" fillId="12" borderId="24" xfId="9" applyFill="1" applyBorder="1" applyAlignment="1" applyProtection="1">
      <alignment horizontal="center"/>
      <protection locked="0"/>
    </xf>
    <xf numFmtId="0" fontId="34" fillId="0" borderId="54" xfId="9" applyFont="1" applyBorder="1" applyAlignment="1">
      <alignment horizontal="center"/>
    </xf>
    <xf numFmtId="0" fontId="17" fillId="0" borderId="50" xfId="9" applyBorder="1" applyAlignment="1">
      <alignment horizontal="center" shrinkToFit="1"/>
    </xf>
    <xf numFmtId="0" fontId="17" fillId="0" borderId="5" xfId="9" applyBorder="1" applyAlignment="1">
      <alignment horizontal="left"/>
    </xf>
    <xf numFmtId="166" fontId="17" fillId="0" borderId="0" xfId="9" applyNumberFormat="1" applyAlignment="1">
      <alignment horizontal="center"/>
    </xf>
    <xf numFmtId="166" fontId="17" fillId="0" borderId="50" xfId="9" applyNumberFormat="1" applyBorder="1" applyAlignment="1">
      <alignment horizontal="center"/>
    </xf>
    <xf numFmtId="0" fontId="43" fillId="0" borderId="0" xfId="9" applyFont="1" applyAlignment="1">
      <alignment horizontal="center"/>
    </xf>
    <xf numFmtId="166" fontId="34" fillId="14" borderId="22" xfId="9" applyNumberFormat="1" applyFont="1" applyFill="1" applyBorder="1" applyAlignment="1">
      <alignment horizontal="center"/>
    </xf>
    <xf numFmtId="166" fontId="34" fillId="14" borderId="24" xfId="9" applyNumberFormat="1" applyFont="1" applyFill="1" applyBorder="1" applyAlignment="1">
      <alignment horizontal="center"/>
    </xf>
    <xf numFmtId="0" fontId="17" fillId="0" borderId="5" xfId="9" applyBorder="1" applyAlignment="1">
      <alignment horizontal="left" shrinkToFit="1"/>
    </xf>
    <xf numFmtId="0" fontId="17" fillId="0" borderId="0" xfId="9" applyAlignment="1">
      <alignment horizontal="left" shrinkToFit="1"/>
    </xf>
    <xf numFmtId="0" fontId="17" fillId="0" borderId="2" xfId="9" applyBorder="1" applyAlignment="1">
      <alignment horizontal="left"/>
    </xf>
    <xf numFmtId="0" fontId="17" fillId="0" borderId="3" xfId="9" applyBorder="1" applyAlignment="1">
      <alignment horizontal="left"/>
    </xf>
    <xf numFmtId="0" fontId="17" fillId="0" borderId="5" xfId="9" applyBorder="1" applyAlignment="1">
      <alignment horizontal="center"/>
    </xf>
    <xf numFmtId="0" fontId="17" fillId="0" borderId="0" xfId="9" applyAlignment="1">
      <alignment horizontal="right"/>
    </xf>
    <xf numFmtId="0" fontId="17" fillId="0" borderId="6" xfId="9" applyBorder="1" applyAlignment="1">
      <alignment horizontal="left"/>
    </xf>
    <xf numFmtId="0" fontId="17" fillId="0" borderId="15" xfId="9" applyBorder="1" applyAlignment="1">
      <alignment horizontal="left"/>
    </xf>
    <xf numFmtId="166" fontId="14" fillId="12" borderId="54" xfId="9" applyNumberFormat="1" applyFont="1" applyFill="1" applyBorder="1" applyAlignment="1" applyProtection="1">
      <alignment horizontal="left" vertical="top"/>
      <protection locked="0"/>
    </xf>
    <xf numFmtId="166" fontId="14" fillId="12" borderId="15" xfId="9" applyNumberFormat="1" applyFont="1" applyFill="1" applyBorder="1" applyAlignment="1" applyProtection="1">
      <alignment horizontal="left" vertical="top"/>
      <protection locked="0"/>
    </xf>
    <xf numFmtId="166" fontId="14" fillId="12" borderId="55" xfId="9" applyNumberFormat="1" applyFont="1" applyFill="1" applyBorder="1" applyAlignment="1" applyProtection="1">
      <alignment horizontal="left" vertical="top"/>
      <protection locked="0"/>
    </xf>
    <xf numFmtId="166" fontId="14" fillId="12" borderId="46" xfId="9" applyNumberFormat="1" applyFont="1" applyFill="1" applyBorder="1" applyAlignment="1" applyProtection="1">
      <alignment horizontal="left" vertical="top"/>
      <protection locked="0"/>
    </xf>
    <xf numFmtId="0" fontId="17" fillId="0" borderId="14" xfId="9" applyBorder="1" applyAlignment="1" applyProtection="1">
      <alignment horizontal="center" shrinkToFit="1"/>
      <protection locked="0"/>
    </xf>
    <xf numFmtId="0" fontId="17" fillId="0" borderId="0" xfId="9" applyAlignment="1" applyProtection="1">
      <alignment horizontal="center"/>
      <protection locked="0"/>
    </xf>
    <xf numFmtId="0" fontId="14" fillId="0" borderId="0" xfId="9" applyFont="1" applyAlignment="1">
      <alignment horizontal="center"/>
    </xf>
    <xf numFmtId="0" fontId="17" fillId="0" borderId="81" xfId="9" applyBorder="1" applyAlignment="1">
      <alignment horizontal="left" shrinkToFit="1"/>
    </xf>
    <xf numFmtId="0" fontId="17" fillId="0" borderId="80" xfId="9" applyBorder="1" applyAlignment="1">
      <alignment horizontal="left" shrinkToFit="1"/>
    </xf>
    <xf numFmtId="0" fontId="17" fillId="0" borderId="81" xfId="9" applyBorder="1" applyAlignment="1">
      <alignment horizontal="left"/>
    </xf>
    <xf numFmtId="166" fontId="17" fillId="0" borderId="79" xfId="9" applyNumberFormat="1" applyBorder="1" applyAlignment="1">
      <alignment horizontal="center"/>
    </xf>
    <xf numFmtId="166" fontId="17" fillId="0" borderId="78" xfId="9" applyNumberFormat="1" applyBorder="1" applyAlignment="1">
      <alignment horizontal="center"/>
    </xf>
    <xf numFmtId="166" fontId="17" fillId="0" borderId="77" xfId="9" applyNumberFormat="1" applyBorder="1" applyAlignment="1">
      <alignment horizontal="center"/>
    </xf>
    <xf numFmtId="0" fontId="17" fillId="0" borderId="81" xfId="9" applyBorder="1" applyAlignment="1">
      <alignment horizontal="center"/>
    </xf>
    <xf numFmtId="10" fontId="17" fillId="0" borderId="5" xfId="9" applyNumberFormat="1" applyBorder="1" applyAlignment="1">
      <alignment horizontal="center"/>
    </xf>
    <xf numFmtId="10" fontId="17" fillId="0" borderId="0" xfId="9" applyNumberFormat="1" applyAlignment="1">
      <alignment horizontal="center"/>
    </xf>
    <xf numFmtId="3" fontId="34" fillId="0" borderId="5" xfId="9" applyNumberFormat="1" applyFont="1" applyBorder="1" applyAlignment="1">
      <alignment horizontal="center"/>
    </xf>
    <xf numFmtId="3" fontId="34" fillId="0" borderId="0" xfId="9" applyNumberFormat="1" applyFont="1" applyAlignment="1">
      <alignment horizontal="center"/>
    </xf>
    <xf numFmtId="0" fontId="17" fillId="0" borderId="0" xfId="9" applyAlignment="1">
      <alignment horizontal="left" vertical="top" wrapText="1"/>
    </xf>
    <xf numFmtId="0" fontId="14" fillId="0" borderId="3" xfId="9" applyFont="1" applyBorder="1" applyAlignment="1">
      <alignment horizontal="right"/>
    </xf>
    <xf numFmtId="0" fontId="17" fillId="0" borderId="3" xfId="9" applyBorder="1" applyAlignment="1">
      <alignment horizontal="right"/>
    </xf>
    <xf numFmtId="3" fontId="34" fillId="0" borderId="2" xfId="9" applyNumberFormat="1" applyFont="1" applyBorder="1" applyAlignment="1">
      <alignment horizontal="center"/>
    </xf>
    <xf numFmtId="3" fontId="34" fillId="0" borderId="4" xfId="9" applyNumberFormat="1" applyFont="1" applyBorder="1" applyAlignment="1">
      <alignment horizontal="center"/>
    </xf>
    <xf numFmtId="3" fontId="17" fillId="0" borderId="5" xfId="9" applyNumberFormat="1" applyBorder="1" applyAlignment="1" applyProtection="1">
      <alignment horizontal="left" vertical="top" wrapText="1"/>
      <protection locked="0"/>
    </xf>
    <xf numFmtId="3" fontId="17" fillId="0" borderId="0" xfId="9" applyNumberFormat="1" applyAlignment="1" applyProtection="1">
      <alignment horizontal="left" vertical="top" wrapText="1"/>
      <protection locked="0"/>
    </xf>
    <xf numFmtId="0" fontId="17" fillId="15" borderId="74" xfId="9" applyFill="1" applyBorder="1" applyAlignment="1" applyProtection="1">
      <alignment horizontal="center"/>
      <protection locked="0"/>
    </xf>
    <xf numFmtId="0" fontId="17" fillId="15" borderId="73" xfId="9" applyFill="1" applyBorder="1" applyAlignment="1" applyProtection="1">
      <alignment horizontal="center"/>
      <protection locked="0"/>
    </xf>
    <xf numFmtId="0" fontId="17" fillId="15" borderId="72" xfId="9" applyFill="1" applyBorder="1" applyAlignment="1" applyProtection="1">
      <alignment horizontal="center"/>
      <protection locked="0"/>
    </xf>
    <xf numFmtId="0" fontId="17" fillId="15" borderId="74" xfId="9" applyFill="1" applyBorder="1" applyAlignment="1" applyProtection="1">
      <alignment horizontal="left"/>
      <protection locked="0"/>
    </xf>
    <xf numFmtId="0" fontId="17" fillId="15" borderId="73" xfId="9" applyFill="1" applyBorder="1" applyAlignment="1" applyProtection="1">
      <alignment horizontal="left"/>
      <protection locked="0"/>
    </xf>
    <xf numFmtId="0" fontId="17" fillId="15" borderId="72" xfId="9" applyFill="1" applyBorder="1" applyAlignment="1" applyProtection="1">
      <alignment horizontal="left"/>
      <protection locked="0"/>
    </xf>
    <xf numFmtId="166" fontId="52" fillId="16" borderId="59" xfId="9" applyNumberFormat="1" applyFont="1" applyFill="1" applyBorder="1" applyAlignment="1">
      <alignment horizontal="center"/>
    </xf>
    <xf numFmtId="166" fontId="52" fillId="16" borderId="76" xfId="9" applyNumberFormat="1" applyFont="1" applyFill="1" applyBorder="1" applyAlignment="1">
      <alignment horizontal="center"/>
    </xf>
    <xf numFmtId="0" fontId="17" fillId="0" borderId="5" xfId="9" applyBorder="1" applyAlignment="1">
      <alignment horizontal="center" shrinkToFit="1"/>
    </xf>
    <xf numFmtId="49" fontId="14" fillId="15" borderId="54" xfId="9" applyNumberFormat="1" applyFont="1" applyFill="1" applyBorder="1" applyAlignment="1" applyProtection="1">
      <alignment horizontal="left" vertical="top" wrapText="1"/>
      <protection locked="0"/>
    </xf>
    <xf numFmtId="49" fontId="17" fillId="15" borderId="15" xfId="9" applyNumberFormat="1" applyFill="1" applyBorder="1" applyAlignment="1" applyProtection="1">
      <alignment horizontal="left" vertical="top" wrapText="1"/>
      <protection locked="0"/>
    </xf>
    <xf numFmtId="49" fontId="17" fillId="15" borderId="49" xfId="9" applyNumberFormat="1" applyFill="1" applyBorder="1" applyAlignment="1" applyProtection="1">
      <alignment horizontal="left" vertical="top" wrapText="1"/>
      <protection locked="0"/>
    </xf>
    <xf numFmtId="49" fontId="17" fillId="15" borderId="27" xfId="9" applyNumberFormat="1" applyFill="1" applyBorder="1" applyAlignment="1" applyProtection="1">
      <alignment horizontal="left" vertical="top" wrapText="1"/>
      <protection locked="0"/>
    </xf>
    <xf numFmtId="49" fontId="17" fillId="15" borderId="0" xfId="9" applyNumberFormat="1" applyFill="1" applyAlignment="1" applyProtection="1">
      <alignment horizontal="left" vertical="top" wrapText="1"/>
      <protection locked="0"/>
    </xf>
    <xf numFmtId="49" fontId="17" fillId="15" borderId="50" xfId="9" applyNumberFormat="1" applyFill="1" applyBorder="1" applyAlignment="1" applyProtection="1">
      <alignment horizontal="left" vertical="top" wrapText="1"/>
      <protection locked="0"/>
    </xf>
    <xf numFmtId="49" fontId="17" fillId="15" borderId="55" xfId="9" applyNumberFormat="1" applyFill="1" applyBorder="1" applyAlignment="1" applyProtection="1">
      <alignment horizontal="left" vertical="top" wrapText="1"/>
      <protection locked="0"/>
    </xf>
    <xf numFmtId="49" fontId="17" fillId="15" borderId="46" xfId="9" applyNumberFormat="1" applyFill="1" applyBorder="1" applyAlignment="1" applyProtection="1">
      <alignment horizontal="left" vertical="top" wrapText="1"/>
      <protection locked="0"/>
    </xf>
    <xf numFmtId="49" fontId="17" fillId="15" borderId="56" xfId="9" applyNumberFormat="1" applyFill="1" applyBorder="1" applyAlignment="1" applyProtection="1">
      <alignment horizontal="left" vertical="top" wrapText="1"/>
      <protection locked="0"/>
    </xf>
    <xf numFmtId="0" fontId="34" fillId="0" borderId="46" xfId="9" applyFont="1" applyBorder="1" applyAlignment="1">
      <alignment horizontal="left"/>
    </xf>
    <xf numFmtId="166" fontId="52" fillId="16" borderId="25" xfId="9" applyNumberFormat="1" applyFont="1" applyFill="1" applyBorder="1" applyAlignment="1">
      <alignment horizontal="center"/>
    </xf>
    <xf numFmtId="166" fontId="52" fillId="16" borderId="92" xfId="9" applyNumberFormat="1" applyFont="1" applyFill="1" applyBorder="1" applyAlignment="1">
      <alignment horizontal="center"/>
    </xf>
    <xf numFmtId="166" fontId="52" fillId="16" borderId="24" xfId="9" applyNumberFormat="1" applyFont="1" applyFill="1" applyBorder="1" applyAlignment="1">
      <alignment horizontal="center"/>
    </xf>
    <xf numFmtId="0" fontId="34" fillId="0" borderId="46" xfId="9" applyFont="1" applyBorder="1" applyAlignment="1">
      <alignment horizontal="center"/>
    </xf>
    <xf numFmtId="3" fontId="44" fillId="0" borderId="5" xfId="9" applyNumberFormat="1" applyFont="1" applyBorder="1" applyAlignment="1">
      <alignment horizontal="center"/>
    </xf>
    <xf numFmtId="3" fontId="44" fillId="0" borderId="0" xfId="9" applyNumberFormat="1" applyFont="1" applyAlignment="1">
      <alignment horizontal="center"/>
    </xf>
    <xf numFmtId="0" fontId="34" fillId="0" borderId="48" xfId="9" applyFont="1" applyBorder="1" applyAlignment="1">
      <alignment horizontal="center"/>
    </xf>
    <xf numFmtId="0" fontId="34" fillId="0" borderId="8" xfId="9" applyFont="1" applyBorder="1" applyAlignment="1">
      <alignment horizontal="center"/>
    </xf>
    <xf numFmtId="0" fontId="17" fillId="0" borderId="3" xfId="9" applyBorder="1" applyAlignment="1">
      <alignment horizontal="center"/>
    </xf>
    <xf numFmtId="0" fontId="17" fillId="0" borderId="4" xfId="9" applyBorder="1" applyAlignment="1">
      <alignment horizontal="center"/>
    </xf>
    <xf numFmtId="0" fontId="17" fillId="0" borderId="6" xfId="9" applyBorder="1" applyAlignment="1">
      <alignment horizontal="center"/>
    </xf>
    <xf numFmtId="10" fontId="17" fillId="15" borderId="22" xfId="9" applyNumberFormat="1" applyFill="1" applyBorder="1" applyAlignment="1" applyProtection="1">
      <alignment horizontal="center"/>
      <protection locked="0"/>
    </xf>
    <xf numFmtId="10" fontId="17" fillId="15" borderId="23" xfId="9" applyNumberFormat="1" applyFill="1" applyBorder="1" applyAlignment="1" applyProtection="1">
      <alignment horizontal="center"/>
      <protection locked="0"/>
    </xf>
    <xf numFmtId="10" fontId="17" fillId="15" borderId="24" xfId="9" applyNumberFormat="1" applyFill="1" applyBorder="1" applyAlignment="1" applyProtection="1">
      <alignment horizontal="center"/>
      <protection locked="0"/>
    </xf>
    <xf numFmtId="166" fontId="57" fillId="16" borderId="59" xfId="9" applyNumberFormat="1" applyFont="1" applyFill="1" applyBorder="1" applyAlignment="1">
      <alignment horizontal="center"/>
    </xf>
    <xf numFmtId="166" fontId="57" fillId="16" borderId="24" xfId="9" applyNumberFormat="1" applyFont="1" applyFill="1" applyBorder="1" applyAlignment="1">
      <alignment horizontal="center"/>
    </xf>
    <xf numFmtId="3" fontId="14" fillId="0" borderId="5" xfId="9" applyNumberFormat="1" applyFont="1" applyBorder="1" applyAlignment="1" applyProtection="1">
      <alignment horizontal="left" vertical="top" wrapText="1"/>
      <protection locked="0"/>
    </xf>
    <xf numFmtId="3" fontId="17" fillId="0" borderId="0" xfId="9" applyNumberFormat="1" applyAlignment="1" applyProtection="1">
      <alignment horizontal="left" vertical="top"/>
      <protection locked="0"/>
    </xf>
    <xf numFmtId="3" fontId="17" fillId="0" borderId="5" xfId="9" applyNumberFormat="1" applyBorder="1" applyAlignment="1" applyProtection="1">
      <alignment horizontal="left" vertical="top"/>
      <protection locked="0"/>
    </xf>
    <xf numFmtId="0" fontId="41" fillId="0" borderId="91" xfId="9" applyFont="1" applyBorder="1" applyAlignment="1">
      <alignment horizontal="center"/>
    </xf>
    <xf numFmtId="0" fontId="41" fillId="0" borderId="26" xfId="9" applyFont="1" applyBorder="1" applyAlignment="1">
      <alignment horizontal="center"/>
    </xf>
    <xf numFmtId="0" fontId="41" fillId="0" borderId="90" xfId="9" applyFont="1" applyBorder="1" applyAlignment="1">
      <alignment horizontal="center"/>
    </xf>
    <xf numFmtId="0" fontId="40" fillId="0" borderId="25" xfId="9" applyFont="1" applyBorder="1" applyAlignment="1">
      <alignment horizontal="center"/>
    </xf>
    <xf numFmtId="0" fontId="40" fillId="0" borderId="15" xfId="9" applyFont="1" applyBorder="1" applyAlignment="1">
      <alignment horizontal="center"/>
    </xf>
    <xf numFmtId="0" fontId="40" fillId="0" borderId="92" xfId="9" applyFont="1" applyBorder="1" applyAlignment="1">
      <alignment horizontal="center"/>
    </xf>
    <xf numFmtId="0" fontId="50" fillId="0" borderId="15" xfId="9" applyFont="1" applyBorder="1" applyAlignment="1">
      <alignment horizontal="center" vertical="center"/>
    </xf>
    <xf numFmtId="0" fontId="50" fillId="0" borderId="28" xfId="9" applyFont="1" applyBorder="1" applyAlignment="1">
      <alignment horizontal="center" vertical="center"/>
    </xf>
    <xf numFmtId="0" fontId="34" fillId="0" borderId="0" xfId="9" applyFont="1" applyAlignment="1">
      <alignment horizontal="center" vertical="center"/>
    </xf>
    <xf numFmtId="42" fontId="34" fillId="12" borderId="22" xfId="9" applyNumberFormat="1" applyFont="1" applyFill="1" applyBorder="1" applyAlignment="1" applyProtection="1">
      <alignment horizontal="center"/>
      <protection locked="0"/>
    </xf>
    <xf numFmtId="42" fontId="34" fillId="12" borderId="24" xfId="9" applyNumberFormat="1" applyFont="1" applyFill="1" applyBorder="1" applyAlignment="1" applyProtection="1">
      <alignment horizontal="center"/>
      <protection locked="0"/>
    </xf>
    <xf numFmtId="0" fontId="34" fillId="0" borderId="0" xfId="9" applyFont="1" applyAlignment="1">
      <alignment horizontal="left" vertical="center"/>
    </xf>
    <xf numFmtId="0" fontId="34" fillId="0" borderId="0" xfId="9" applyFont="1" applyAlignment="1">
      <alignment horizontal="right"/>
    </xf>
    <xf numFmtId="0" fontId="34" fillId="0" borderId="0" xfId="9" applyFont="1" applyAlignment="1">
      <alignment horizontal="right" shrinkToFit="1"/>
    </xf>
    <xf numFmtId="0" fontId="97" fillId="0" borderId="0" xfId="9" applyFont="1" applyAlignment="1">
      <alignment horizontal="left" wrapText="1"/>
    </xf>
    <xf numFmtId="0" fontId="17" fillId="0" borderId="60" xfId="9" applyBorder="1" applyAlignment="1">
      <alignment horizontal="left"/>
    </xf>
    <xf numFmtId="0" fontId="17" fillId="0" borderId="46" xfId="9" applyBorder="1" applyAlignment="1">
      <alignment horizontal="left"/>
    </xf>
    <xf numFmtId="0" fontId="17" fillId="0" borderId="75" xfId="9" applyBorder="1" applyAlignment="1">
      <alignment horizontal="left"/>
    </xf>
    <xf numFmtId="0" fontId="40" fillId="0" borderId="0" xfId="9" applyFont="1" applyAlignment="1">
      <alignment horizontal="left" vertical="top" wrapText="1"/>
    </xf>
    <xf numFmtId="0" fontId="66" fillId="0" borderId="0" xfId="9" applyFont="1" applyAlignment="1">
      <alignment horizontal="left" shrinkToFit="1"/>
    </xf>
    <xf numFmtId="166" fontId="64" fillId="0" borderId="23" xfId="9" applyNumberFormat="1" applyFont="1" applyBorder="1" applyAlignment="1">
      <alignment horizontal="center"/>
    </xf>
    <xf numFmtId="166" fontId="64" fillId="0" borderId="24" xfId="9" applyNumberFormat="1" applyFont="1" applyBorder="1" applyAlignment="1">
      <alignment horizontal="center"/>
    </xf>
    <xf numFmtId="0" fontId="17" fillId="0" borderId="105" xfId="9" applyBorder="1" applyAlignment="1">
      <alignment horizontal="center"/>
    </xf>
    <xf numFmtId="0" fontId="17" fillId="0" borderId="104" xfId="9" applyBorder="1" applyAlignment="1">
      <alignment horizontal="center"/>
    </xf>
    <xf numFmtId="0" fontId="17" fillId="0" borderId="103" xfId="9" applyBorder="1" applyAlignment="1">
      <alignment horizontal="center"/>
    </xf>
    <xf numFmtId="166" fontId="64" fillId="0" borderId="46" xfId="9" applyNumberFormat="1" applyFont="1" applyBorder="1" applyAlignment="1">
      <alignment horizontal="center"/>
    </xf>
    <xf numFmtId="166" fontId="64" fillId="0" borderId="56" xfId="9" applyNumberFormat="1" applyFont="1" applyBorder="1" applyAlignment="1">
      <alignment horizontal="center"/>
    </xf>
    <xf numFmtId="14" fontId="17" fillId="0" borderId="5" xfId="9" applyNumberFormat="1" applyBorder="1" applyAlignment="1">
      <alignment horizontal="left"/>
    </xf>
    <xf numFmtId="0" fontId="66" fillId="0" borderId="0" xfId="9" applyFont="1" applyAlignment="1">
      <alignment horizontal="left"/>
    </xf>
    <xf numFmtId="0" fontId="56" fillId="0" borderId="0" xfId="9" applyFont="1" applyAlignment="1">
      <alignment horizontal="left"/>
    </xf>
    <xf numFmtId="0" fontId="60" fillId="0" borderId="0" xfId="9" applyFont="1" applyAlignment="1">
      <alignment horizontal="right"/>
    </xf>
    <xf numFmtId="0" fontId="56" fillId="0" borderId="0" xfId="9" applyFont="1" applyAlignment="1">
      <alignment horizontal="left" vertical="top" wrapText="1"/>
    </xf>
    <xf numFmtId="0" fontId="60" fillId="0" borderId="0" xfId="9" applyFont="1" applyAlignment="1">
      <alignment horizontal="left" vertical="top" wrapText="1"/>
    </xf>
    <xf numFmtId="0" fontId="61" fillId="0" borderId="54" xfId="9" applyFont="1" applyBorder="1" applyAlignment="1">
      <alignment horizontal="left" vertical="top" wrapText="1"/>
    </xf>
    <xf numFmtId="0" fontId="61" fillId="0" borderId="15" xfId="9" applyFont="1" applyBorder="1" applyAlignment="1">
      <alignment horizontal="left" vertical="top" wrapText="1"/>
    </xf>
    <xf numFmtId="0" fontId="61" fillId="0" borderId="49" xfId="9" applyFont="1" applyBorder="1" applyAlignment="1">
      <alignment horizontal="left" vertical="top" wrapText="1"/>
    </xf>
    <xf numFmtId="0" fontId="61" fillId="0" borderId="27" xfId="9" applyFont="1" applyBorder="1" applyAlignment="1">
      <alignment horizontal="left" vertical="top" wrapText="1"/>
    </xf>
    <xf numFmtId="0" fontId="61" fillId="0" borderId="0" xfId="9" applyFont="1" applyAlignment="1">
      <alignment horizontal="left" vertical="top" wrapText="1"/>
    </xf>
    <xf numFmtId="0" fontId="61" fillId="0" borderId="50" xfId="9" applyFont="1" applyBorder="1" applyAlignment="1">
      <alignment horizontal="left" vertical="top" wrapText="1"/>
    </xf>
    <xf numFmtId="0" fontId="61" fillId="0" borderId="55" xfId="9" applyFont="1" applyBorder="1" applyAlignment="1">
      <alignment horizontal="left" vertical="top" wrapText="1"/>
    </xf>
    <xf numFmtId="0" fontId="61" fillId="0" borderId="46" xfId="9" applyFont="1" applyBorder="1" applyAlignment="1">
      <alignment horizontal="left" vertical="top" wrapText="1"/>
    </xf>
    <xf numFmtId="0" fontId="61" fillId="0" borderId="56" xfId="9" applyFont="1" applyBorder="1" applyAlignment="1">
      <alignment horizontal="left" vertical="top" wrapText="1"/>
    </xf>
    <xf numFmtId="0" fontId="17" fillId="0" borderId="54" xfId="9" applyBorder="1" applyAlignment="1">
      <alignment horizontal="left" vertical="top" wrapText="1"/>
    </xf>
    <xf numFmtId="0" fontId="17" fillId="0" borderId="15" xfId="9" applyBorder="1" applyAlignment="1">
      <alignment horizontal="left" vertical="top" wrapText="1"/>
    </xf>
    <xf numFmtId="0" fontId="17" fillId="0" borderId="49" xfId="9" applyBorder="1" applyAlignment="1">
      <alignment horizontal="left" vertical="top" wrapText="1"/>
    </xf>
    <xf numFmtId="0" fontId="17" fillId="0" borderId="27" xfId="9" applyBorder="1" applyAlignment="1">
      <alignment horizontal="left" vertical="top" wrapText="1"/>
    </xf>
    <xf numFmtId="0" fontId="17" fillId="0" borderId="50" xfId="9" applyBorder="1" applyAlignment="1">
      <alignment horizontal="left" vertical="top" wrapText="1"/>
    </xf>
    <xf numFmtId="0" fontId="17" fillId="0" borderId="55" xfId="9" applyBorder="1" applyAlignment="1">
      <alignment horizontal="left" vertical="top" wrapText="1"/>
    </xf>
    <xf numFmtId="0" fontId="17" fillId="0" borderId="46" xfId="9" applyBorder="1" applyAlignment="1">
      <alignment horizontal="left" vertical="top" wrapText="1"/>
    </xf>
    <xf numFmtId="0" fontId="17" fillId="0" borderId="56" xfId="9" applyBorder="1" applyAlignment="1">
      <alignment horizontal="left" vertical="top" wrapText="1"/>
    </xf>
    <xf numFmtId="0" fontId="53" fillId="0" borderId="0" xfId="9" applyFont="1" applyAlignment="1">
      <alignment horizontal="left" vertical="top" wrapText="1" shrinkToFit="1"/>
    </xf>
    <xf numFmtId="14" fontId="40" fillId="0" borderId="0" xfId="9" applyNumberFormat="1" applyFont="1" applyAlignment="1">
      <alignment horizontal="left" vertical="center"/>
    </xf>
    <xf numFmtId="0" fontId="63" fillId="0" borderId="59" xfId="9" applyFont="1" applyBorder="1" applyAlignment="1">
      <alignment horizontal="center"/>
    </xf>
    <xf numFmtId="0" fontId="17" fillId="0" borderId="23" xfId="9" applyBorder="1" applyAlignment="1">
      <alignment horizontal="center"/>
    </xf>
    <xf numFmtId="0" fontId="17" fillId="0" borderId="76" xfId="9" applyBorder="1" applyAlignment="1">
      <alignment horizontal="center"/>
    </xf>
    <xf numFmtId="14" fontId="17" fillId="0" borderId="46" xfId="9" applyNumberFormat="1" applyBorder="1" applyAlignment="1">
      <alignment horizontal="left"/>
    </xf>
    <xf numFmtId="0" fontId="23" fillId="6" borderId="0" xfId="0" applyFont="1" applyFill="1" applyAlignment="1">
      <alignment horizontal="center"/>
    </xf>
    <xf numFmtId="10" fontId="0" fillId="0" borderId="22" xfId="0" applyNumberFormat="1" applyBorder="1" applyAlignment="1" applyProtection="1">
      <alignment horizontal="center"/>
      <protection locked="0"/>
    </xf>
    <xf numFmtId="10" fontId="0" fillId="0" borderId="23" xfId="0" applyNumberFormat="1" applyBorder="1" applyAlignment="1" applyProtection="1">
      <alignment horizontal="center"/>
      <protection locked="0"/>
    </xf>
    <xf numFmtId="10" fontId="0" fillId="0" borderId="24" xfId="0" applyNumberFormat="1" applyBorder="1" applyAlignment="1" applyProtection="1">
      <alignment horizontal="center"/>
      <protection locked="0"/>
    </xf>
    <xf numFmtId="9" fontId="0" fillId="0" borderId="22" xfId="7" applyFont="1" applyFill="1" applyBorder="1" applyAlignment="1" applyProtection="1">
      <alignment horizontal="center"/>
      <protection locked="0"/>
    </xf>
    <xf numFmtId="9" fontId="0" fillId="0" borderId="23" xfId="7" applyFont="1" applyFill="1" applyBorder="1" applyAlignment="1" applyProtection="1">
      <alignment horizontal="center"/>
      <protection locked="0"/>
    </xf>
    <xf numFmtId="9" fontId="0" fillId="0" borderId="24" xfId="7" applyFont="1" applyFill="1" applyBorder="1" applyAlignment="1" applyProtection="1">
      <alignment horizontal="center"/>
      <protection locked="0"/>
    </xf>
    <xf numFmtId="0" fontId="23" fillId="6" borderId="18" xfId="0" applyFont="1" applyFill="1" applyBorder="1" applyAlignment="1">
      <alignment horizontal="center"/>
    </xf>
    <xf numFmtId="0" fontId="25" fillId="6" borderId="18" xfId="0" applyFont="1" applyFill="1" applyBorder="1" applyAlignment="1">
      <alignment horizontal="center"/>
    </xf>
    <xf numFmtId="0" fontId="25" fillId="6" borderId="19" xfId="0" applyFont="1" applyFill="1" applyBorder="1" applyAlignment="1">
      <alignment horizontal="center"/>
    </xf>
    <xf numFmtId="0" fontId="0" fillId="0" borderId="22"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24" xfId="0" applyBorder="1" applyAlignment="1" applyProtection="1">
      <alignment horizontal="center"/>
      <protection locked="0"/>
    </xf>
    <xf numFmtId="9" fontId="0" fillId="0" borderId="55" xfId="7" applyFont="1" applyFill="1" applyBorder="1" applyAlignment="1" applyProtection="1">
      <alignment horizontal="center"/>
      <protection locked="0"/>
    </xf>
    <xf numFmtId="9" fontId="0" fillId="0" borderId="46" xfId="7" applyFont="1" applyFill="1" applyBorder="1" applyAlignment="1" applyProtection="1">
      <alignment horizontal="center"/>
      <protection locked="0"/>
    </xf>
    <xf numFmtId="9" fontId="0" fillId="0" borderId="56" xfId="7" applyFont="1" applyFill="1" applyBorder="1" applyAlignment="1" applyProtection="1">
      <alignment horizontal="center"/>
      <protection locked="0"/>
    </xf>
    <xf numFmtId="10" fontId="0" fillId="0" borderId="21" xfId="0" applyNumberFormat="1" applyBorder="1" applyAlignment="1" applyProtection="1">
      <alignment horizontal="center"/>
      <protection locked="0"/>
    </xf>
    <xf numFmtId="10" fontId="0" fillId="0" borderId="44" xfId="0" applyNumberFormat="1" applyBorder="1" applyAlignment="1" applyProtection="1">
      <alignment horizontal="center"/>
      <protection locked="0"/>
    </xf>
    <xf numFmtId="9" fontId="32" fillId="6" borderId="15" xfId="0" applyNumberFormat="1" applyFont="1" applyFill="1" applyBorder="1" applyAlignment="1">
      <alignment horizontal="center"/>
    </xf>
    <xf numFmtId="0" fontId="25" fillId="6" borderId="17" xfId="0" applyFont="1" applyFill="1" applyBorder="1" applyAlignment="1">
      <alignment horizontal="center"/>
    </xf>
    <xf numFmtId="0" fontId="25" fillId="6" borderId="33" xfId="0" applyFont="1" applyFill="1" applyBorder="1" applyAlignment="1">
      <alignment horizontal="center"/>
    </xf>
    <xf numFmtId="0" fontId="25" fillId="6" borderId="23" xfId="0" applyFont="1" applyFill="1" applyBorder="1" applyAlignment="1">
      <alignment horizontal="center"/>
    </xf>
    <xf numFmtId="10" fontId="0" fillId="0" borderId="34" xfId="0" applyNumberFormat="1" applyBorder="1" applyAlignment="1" applyProtection="1">
      <alignment horizontal="center"/>
      <protection locked="0"/>
    </xf>
    <xf numFmtId="0" fontId="25" fillId="6" borderId="30" xfId="0" applyFont="1" applyFill="1" applyBorder="1" applyAlignment="1">
      <alignment horizontal="center"/>
    </xf>
    <xf numFmtId="0" fontId="25" fillId="6" borderId="31" xfId="0" applyFont="1" applyFill="1" applyBorder="1" applyAlignment="1">
      <alignment horizontal="center"/>
    </xf>
    <xf numFmtId="10" fontId="0" fillId="0" borderId="31" xfId="0" applyNumberFormat="1" applyBorder="1" applyAlignment="1" applyProtection="1">
      <alignment horizontal="center"/>
      <protection locked="0"/>
    </xf>
    <xf numFmtId="10" fontId="0" fillId="0" borderId="32" xfId="0" applyNumberFormat="1" applyBorder="1" applyAlignment="1" applyProtection="1">
      <alignment horizontal="center"/>
      <protection locked="0"/>
    </xf>
    <xf numFmtId="0" fontId="28" fillId="6" borderId="0" xfId="0" applyFont="1" applyFill="1" applyAlignment="1">
      <alignment horizontal="center"/>
    </xf>
    <xf numFmtId="0" fontId="25" fillId="6" borderId="0" xfId="0" applyFont="1" applyFill="1" applyAlignment="1">
      <alignment horizontal="center"/>
    </xf>
    <xf numFmtId="0" fontId="25" fillId="6" borderId="40" xfId="0" applyFont="1" applyFill="1" applyBorder="1" applyAlignment="1">
      <alignment horizontal="center"/>
    </xf>
    <xf numFmtId="0" fontId="25" fillId="6" borderId="41" xfId="0" applyFont="1" applyFill="1" applyBorder="1" applyAlignment="1">
      <alignment horizontal="center"/>
    </xf>
    <xf numFmtId="10" fontId="0" fillId="0" borderId="41" xfId="0" applyNumberFormat="1" applyBorder="1" applyAlignment="1" applyProtection="1">
      <alignment horizontal="center"/>
      <protection locked="0"/>
    </xf>
    <xf numFmtId="10" fontId="0" fillId="0" borderId="42" xfId="0" applyNumberFormat="1" applyBorder="1" applyAlignment="1" applyProtection="1">
      <alignment horizontal="center"/>
      <protection locked="0"/>
    </xf>
    <xf numFmtId="0" fontId="27" fillId="6" borderId="28" xfId="0" applyFont="1" applyFill="1" applyBorder="1" applyAlignment="1">
      <alignment horizontal="left"/>
    </xf>
    <xf numFmtId="0" fontId="28" fillId="6" borderId="29" xfId="0" applyFont="1" applyFill="1" applyBorder="1" applyAlignment="1">
      <alignment horizontal="center"/>
    </xf>
    <xf numFmtId="0" fontId="25" fillId="6" borderId="45" xfId="0" applyFont="1" applyFill="1" applyBorder="1" applyAlignment="1">
      <alignment horizontal="center"/>
    </xf>
    <xf numFmtId="0" fontId="25" fillId="6" borderId="46" xfId="0" applyFont="1" applyFill="1" applyBorder="1" applyAlignment="1">
      <alignment horizontal="center"/>
    </xf>
    <xf numFmtId="0" fontId="29" fillId="7" borderId="33" xfId="0" applyFont="1" applyFill="1" applyBorder="1" applyAlignment="1">
      <alignment horizontal="center"/>
    </xf>
    <xf numFmtId="0" fontId="29" fillId="7" borderId="23" xfId="0" applyFont="1" applyFill="1" applyBorder="1" applyAlignment="1">
      <alignment horizontal="center"/>
    </xf>
    <xf numFmtId="10" fontId="30" fillId="7" borderId="23" xfId="0" applyNumberFormat="1" applyFont="1" applyFill="1" applyBorder="1" applyAlignment="1" applyProtection="1">
      <alignment horizontal="center"/>
      <protection locked="0"/>
    </xf>
    <xf numFmtId="10" fontId="30" fillId="7" borderId="34" xfId="0" applyNumberFormat="1" applyFont="1" applyFill="1" applyBorder="1" applyAlignment="1" applyProtection="1">
      <alignment horizontal="center"/>
      <protection locked="0"/>
    </xf>
    <xf numFmtId="0" fontId="28" fillId="6" borderId="28" xfId="0" applyFont="1" applyFill="1" applyBorder="1" applyAlignment="1">
      <alignment horizontal="center"/>
    </xf>
    <xf numFmtId="0" fontId="28" fillId="6" borderId="18" xfId="0" applyFont="1" applyFill="1" applyBorder="1" applyAlignment="1">
      <alignment horizontal="center"/>
    </xf>
    <xf numFmtId="0" fontId="0" fillId="6" borderId="0" xfId="0" applyFill="1" applyAlignment="1">
      <alignment horizontal="center"/>
    </xf>
    <xf numFmtId="10" fontId="24" fillId="0" borderId="18" xfId="0" applyNumberFormat="1" applyFont="1" applyBorder="1" applyAlignment="1" applyProtection="1">
      <alignment horizontal="center"/>
      <protection locked="0"/>
    </xf>
    <xf numFmtId="10" fontId="24" fillId="0" borderId="19" xfId="0" applyNumberFormat="1" applyFont="1" applyBorder="1" applyAlignment="1" applyProtection="1">
      <alignment horizontal="center"/>
      <protection locked="0"/>
    </xf>
    <xf numFmtId="10" fontId="0" fillId="0" borderId="18" xfId="0" applyNumberFormat="1" applyBorder="1" applyAlignment="1" applyProtection="1">
      <alignment horizontal="center"/>
      <protection locked="0"/>
    </xf>
    <xf numFmtId="10" fontId="0" fillId="0" borderId="19" xfId="0" applyNumberFormat="1" applyBorder="1" applyAlignment="1" applyProtection="1">
      <alignment horizontal="center"/>
      <protection locked="0"/>
    </xf>
    <xf numFmtId="41" fontId="0" fillId="0" borderId="38" xfId="0" applyNumberFormat="1" applyBorder="1" applyAlignment="1" applyProtection="1">
      <alignment horizontal="right"/>
      <protection locked="0"/>
    </xf>
    <xf numFmtId="41" fontId="0" fillId="0" borderId="14" xfId="0" applyNumberFormat="1" applyBorder="1" applyAlignment="1" applyProtection="1">
      <alignment horizontal="right"/>
      <protection locked="0"/>
    </xf>
    <xf numFmtId="10" fontId="0" fillId="0" borderId="14" xfId="0" applyNumberFormat="1" applyBorder="1" applyAlignment="1" applyProtection="1">
      <alignment horizontal="center"/>
      <protection locked="0"/>
    </xf>
    <xf numFmtId="10" fontId="0" fillId="0" borderId="39" xfId="0" applyNumberFormat="1" applyBorder="1" applyAlignment="1" applyProtection="1">
      <alignment horizontal="center"/>
      <protection locked="0"/>
    </xf>
    <xf numFmtId="41" fontId="0" fillId="0" borderId="43" xfId="0" applyNumberFormat="1" applyBorder="1" applyAlignment="1" applyProtection="1">
      <alignment horizontal="right"/>
      <protection locked="0"/>
    </xf>
    <xf numFmtId="41" fontId="0" fillId="0" borderId="21" xfId="0" applyNumberFormat="1" applyBorder="1" applyAlignment="1" applyProtection="1">
      <alignment horizontal="right"/>
      <protection locked="0"/>
    </xf>
    <xf numFmtId="0" fontId="27" fillId="6" borderId="28" xfId="0" applyFont="1" applyFill="1" applyBorder="1" applyAlignment="1">
      <alignment horizontal="center"/>
    </xf>
    <xf numFmtId="0" fontId="0" fillId="0" borderId="43" xfId="0" applyBorder="1" applyAlignment="1" applyProtection="1">
      <alignment horizontal="center"/>
      <protection locked="0"/>
    </xf>
    <xf numFmtId="0" fontId="0" fillId="0" borderId="21" xfId="0" applyBorder="1" applyAlignment="1" applyProtection="1">
      <alignment horizontal="center"/>
      <protection locked="0"/>
    </xf>
    <xf numFmtId="0" fontId="25" fillId="6" borderId="33" xfId="0" applyFont="1" applyFill="1" applyBorder="1" applyAlignment="1">
      <alignment horizontal="left"/>
    </xf>
    <xf numFmtId="0" fontId="25" fillId="6" borderId="23" xfId="0" applyFont="1" applyFill="1" applyBorder="1" applyAlignment="1">
      <alignment horizontal="left"/>
    </xf>
    <xf numFmtId="0" fontId="0" fillId="0" borderId="38" xfId="0" applyBorder="1" applyAlignment="1" applyProtection="1">
      <alignment horizontal="center"/>
      <protection locked="0"/>
    </xf>
    <xf numFmtId="0" fontId="0" fillId="0" borderId="14" xfId="0" applyBorder="1" applyAlignment="1" applyProtection="1">
      <alignment horizontal="center"/>
      <protection locked="0"/>
    </xf>
    <xf numFmtId="0" fontId="25" fillId="6" borderId="30" xfId="0" applyFont="1" applyFill="1" applyBorder="1" applyAlignment="1">
      <alignment horizontal="left"/>
    </xf>
    <xf numFmtId="0" fontId="25" fillId="6" borderId="31" xfId="0" applyFont="1" applyFill="1" applyBorder="1" applyAlignment="1">
      <alignment horizontal="left"/>
    </xf>
    <xf numFmtId="0" fontId="25" fillId="6" borderId="29" xfId="0" applyFont="1" applyFill="1" applyBorder="1" applyAlignment="1">
      <alignment horizontal="center"/>
    </xf>
    <xf numFmtId="41" fontId="0" fillId="0" borderId="35" xfId="0" applyNumberFormat="1" applyBorder="1" applyAlignment="1" applyProtection="1">
      <alignment horizontal="right"/>
      <protection locked="0"/>
    </xf>
    <xf numFmtId="41" fontId="0" fillId="0" borderId="36" xfId="0" applyNumberFormat="1" applyBorder="1" applyAlignment="1" applyProtection="1">
      <alignment horizontal="right"/>
      <protection locked="0"/>
    </xf>
    <xf numFmtId="10" fontId="0" fillId="0" borderId="36" xfId="0" applyNumberFormat="1" applyBorder="1" applyAlignment="1" applyProtection="1">
      <alignment horizontal="center"/>
      <protection locked="0"/>
    </xf>
    <xf numFmtId="10" fontId="0" fillId="0" borderId="37" xfId="0" applyNumberFormat="1" applyBorder="1"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25" fillId="6" borderId="40" xfId="0" applyFont="1" applyFill="1" applyBorder="1" applyAlignment="1">
      <alignment horizontal="left"/>
    </xf>
    <xf numFmtId="0" fontId="25" fillId="6" borderId="41" xfId="0" applyFont="1" applyFill="1" applyBorder="1" applyAlignment="1">
      <alignment horizontal="left"/>
    </xf>
    <xf numFmtId="10" fontId="24" fillId="0" borderId="14" xfId="0" applyNumberFormat="1" applyFont="1" applyBorder="1" applyAlignment="1" applyProtection="1">
      <alignment horizontal="center"/>
      <protection locked="0"/>
    </xf>
    <xf numFmtId="0" fontId="23" fillId="6" borderId="29" xfId="0" applyFont="1" applyFill="1" applyBorder="1" applyAlignment="1">
      <alignment horizontal="center"/>
    </xf>
    <xf numFmtId="10" fontId="0" fillId="0" borderId="17" xfId="0" applyNumberFormat="1" applyBorder="1" applyAlignment="1" applyProtection="1">
      <alignment horizontal="center"/>
      <protection locked="0"/>
    </xf>
    <xf numFmtId="0" fontId="23" fillId="6" borderId="0" xfId="0" quotePrefix="1" applyFont="1" applyFill="1" applyAlignment="1">
      <alignment horizontal="center"/>
    </xf>
    <xf numFmtId="0" fontId="23" fillId="6" borderId="15" xfId="0" applyFont="1" applyFill="1" applyBorder="1" applyAlignment="1">
      <alignment horizontal="center"/>
    </xf>
  </cellXfs>
  <cellStyles count="16">
    <cellStyle name="Comma" xfId="15" builtinId="3"/>
    <cellStyle name="Comma 2" xfId="10" xr:uid="{00000000-0005-0000-0000-000000000000}"/>
    <cellStyle name="Currency" xfId="6" builtinId="4"/>
    <cellStyle name="Currency 2" xfId="12" xr:uid="{00000000-0005-0000-0000-000002000000}"/>
    <cellStyle name="Excel Built-in Normal" xfId="1" xr:uid="{00000000-0005-0000-0000-000003000000}"/>
    <cellStyle name="Heading" xfId="2" xr:uid="{00000000-0005-0000-0000-000004000000}"/>
    <cellStyle name="Heading1" xfId="3" xr:uid="{00000000-0005-0000-0000-000005000000}"/>
    <cellStyle name="Hyperlink" xfId="11" builtinId="8"/>
    <cellStyle name="Normal" xfId="0" builtinId="0" customBuiltin="1"/>
    <cellStyle name="Normal 2" xfId="8" xr:uid="{00000000-0005-0000-0000-000008000000}"/>
    <cellStyle name="Normal 3" xfId="9" xr:uid="{00000000-0005-0000-0000-000009000000}"/>
    <cellStyle name="Normal 4" xfId="13" xr:uid="{00000000-0005-0000-0000-00000A000000}"/>
    <cellStyle name="Normal 5" xfId="14" xr:uid="{ADD42E54-8762-432D-9177-881EAB2CE82C}"/>
    <cellStyle name="Percent" xfId="7" builtinId="5"/>
    <cellStyle name="Result" xfId="4" xr:uid="{00000000-0005-0000-0000-00000C000000}"/>
    <cellStyle name="Result2" xfId="5" xr:uid="{00000000-0005-0000-0000-00000D000000}"/>
  </cellStyles>
  <dxfs count="248">
    <dxf>
      <border>
        <left/>
        <right/>
        <top/>
        <bottom/>
        <vertical/>
        <horizontal/>
      </border>
    </dxf>
    <dxf>
      <font>
        <color theme="0"/>
      </font>
      <border>
        <left/>
        <right/>
        <top/>
        <bottom/>
        <vertical/>
        <horizontal/>
      </border>
    </dxf>
    <dxf>
      <font>
        <color rgb="FF9C0006"/>
      </font>
      <fill>
        <patternFill>
          <bgColor rgb="FFFFC7CE"/>
        </patternFill>
      </fill>
    </dxf>
    <dxf>
      <font>
        <color rgb="FF9C0006"/>
      </font>
      <fill>
        <patternFill>
          <bgColor rgb="FFFFC7CE"/>
        </patternFill>
      </fill>
    </dxf>
    <dxf>
      <fill>
        <patternFill>
          <bgColor rgb="FFFFFF99"/>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rgb="FF9C0006"/>
      </font>
      <fill>
        <patternFill>
          <bgColor rgb="FFFFC7CE"/>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ill>
        <patternFill>
          <bgColor rgb="FFFFFF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rgb="FFF00224"/>
      </font>
    </dxf>
    <dxf>
      <font>
        <color theme="0"/>
      </font>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ill>
        <patternFill>
          <bgColor rgb="FFFF0000"/>
        </patternFill>
      </fill>
    </dxf>
    <dxf>
      <font>
        <b/>
        <i val="0"/>
        <color theme="0"/>
      </font>
      <fill>
        <patternFill>
          <bgColor rgb="FFFF0000"/>
        </patternFill>
      </fill>
    </dxf>
    <dxf>
      <font>
        <color theme="0"/>
      </font>
      <fill>
        <patternFill>
          <bgColor theme="0"/>
        </patternFill>
      </fill>
    </dxf>
    <dxf>
      <font>
        <color rgb="FF9C0006"/>
      </font>
      <fill>
        <patternFill>
          <bgColor rgb="FFFFC7CE"/>
        </patternFill>
      </fill>
    </dxf>
    <dxf>
      <font>
        <color rgb="FF9C0006"/>
      </font>
      <fill>
        <patternFill>
          <bgColor rgb="FFFFC7CE"/>
        </patternFill>
      </fill>
    </dxf>
    <dxf>
      <border>
        <bottom style="hair">
          <color auto="1"/>
        </bottom>
        <vertical/>
        <horizontal/>
      </border>
    </dxf>
    <dxf>
      <border>
        <left/>
        <right/>
        <top/>
        <bottom style="hair">
          <color indexed="8"/>
        </bottom>
      </border>
    </dxf>
    <dxf>
      <border>
        <left/>
        <right/>
        <top/>
        <bottom style="hair">
          <color indexed="8"/>
        </bottom>
      </border>
    </dxf>
    <dxf>
      <border>
        <left/>
        <right/>
        <top/>
        <bottom style="hair">
          <color indexed="8"/>
        </bottom>
      </border>
    </dxf>
    <dxf>
      <border>
        <left/>
        <right/>
        <top/>
        <bottom style="hair">
          <color indexed="8"/>
        </bottom>
      </border>
    </dxf>
    <dxf>
      <border>
        <left/>
        <right/>
        <top/>
        <bottom style="hair">
          <color indexed="8"/>
        </bottom>
      </border>
    </dxf>
    <dxf>
      <border>
        <left/>
        <right/>
        <top/>
        <bottom style="hair">
          <color indexed="8"/>
        </bottom>
      </border>
    </dxf>
    <dxf>
      <border>
        <left/>
        <right/>
        <top/>
        <bottom style="hair">
          <color indexed="8"/>
        </bottom>
      </border>
    </dxf>
    <dxf>
      <border>
        <left/>
        <right/>
        <top/>
        <bottom style="hair">
          <color indexed="8"/>
        </bottom>
      </border>
    </dxf>
    <dxf>
      <border>
        <left/>
        <right/>
        <top/>
        <bottom style="hair">
          <color indexed="8"/>
        </bottom>
      </border>
    </dxf>
    <dxf>
      <font>
        <color theme="0"/>
      </font>
    </dxf>
    <dxf>
      <numFmt numFmtId="13" formatCode="0%"/>
      <border>
        <bottom style="thin">
          <color auto="1"/>
        </bottom>
        <vertical/>
        <horizontal/>
      </border>
    </dxf>
    <dxf>
      <fill>
        <patternFill>
          <bgColor rgb="FFFF0000"/>
        </patternFill>
      </fill>
    </dxf>
    <dxf>
      <font>
        <color rgb="FF9C0006"/>
      </font>
      <fill>
        <patternFill>
          <bgColor rgb="FFFFC7CE"/>
        </patternFill>
      </fill>
    </dxf>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numFmt numFmtId="32" formatCode="_(&quot;$&quot;* #,##0_);_(&quot;$&quot;* \(#,##0\);_(&quot;$&quot;* &quot;-&quot;_);_(@_)"/>
      <alignment horizontal="general" vertical="center" textRotation="0" wrapText="1" indent="0" justifyLastLine="0" shrinkToFit="0" readingOrder="0"/>
      <border diagonalUp="0" diagonalDown="0" outline="0">
        <left/>
        <right/>
        <top/>
        <bottom style="mediumDashed">
          <color auto="1"/>
        </bottom>
      </border>
    </dxf>
    <dxf>
      <numFmt numFmtId="32" formatCode="_(&quot;$&quot;* #,##0_);_(&quot;$&quot;* \(#,##0\);_(&quot;$&quot;* &quot;-&quot;_);_(@_)"/>
      <alignment vertical="center" textRotation="0" wrapText="1" justifyLastLine="0" shrinkToFit="0" readingOrder="0"/>
    </dxf>
    <dxf>
      <numFmt numFmtId="32" formatCode="_(&quot;$&quot;* #,##0_);_(&quot;$&quot;* \(#,##0\);_(&quot;$&quot;* &quot;-&quot;_);_(@_)"/>
      <alignment horizontal="center" vertical="center" textRotation="0" wrapText="1" indent="0" justifyLastLine="0" shrinkToFit="0" readingOrder="0"/>
      <border diagonalUp="0" diagonalDown="0" outline="0">
        <left/>
        <right/>
        <top/>
        <bottom style="mediumDashed">
          <color auto="1"/>
        </bottom>
      </border>
    </dxf>
    <dxf>
      <numFmt numFmtId="32" formatCode="_(&quot;$&quot;* #,##0_);_(&quot;$&quot;* \(#,##0\);_(&quot;$&quot;* &quot;-&quot;_);_(@_)"/>
      <alignment horizontal="center" vertical="center" textRotation="0" wrapText="1" indent="0" justifyLastLine="0" shrinkToFit="0" readingOrder="0"/>
    </dxf>
    <dxf>
      <numFmt numFmtId="32" formatCode="_(&quot;$&quot;* #,##0_);_(&quot;$&quot;* \(#,##0\);_(&quot;$&quot;* &quot;-&quot;_);_(@_)"/>
      <alignment horizontal="center" vertical="center" textRotation="0" wrapText="1" indent="0" justifyLastLine="0" shrinkToFit="0" readingOrder="0"/>
      <border diagonalUp="0" diagonalDown="0" outline="0">
        <left/>
        <right/>
        <top/>
        <bottom style="mediumDashed">
          <color auto="1"/>
        </bottom>
      </border>
    </dxf>
    <dxf>
      <numFmt numFmtId="32" formatCode="_(&quot;$&quot;* #,##0_);_(&quot;$&quot;* \(#,##0\);_(&quot;$&quot;* &quot;-&quot;_);_(@_)"/>
      <alignment horizontal="center" vertical="center" textRotation="0" wrapText="1" indent="0" justifyLastLine="0" shrinkToFit="0" readingOrder="0"/>
    </dxf>
    <dxf>
      <numFmt numFmtId="32" formatCode="_(&quot;$&quot;* #,##0_);_(&quot;$&quot;* \(#,##0\);_(&quot;$&quot;* &quot;-&quot;_);_(@_)"/>
      <alignment horizontal="center" vertical="center" textRotation="0" wrapText="1" indent="0" justifyLastLine="0" shrinkToFit="0" readingOrder="0"/>
      <border diagonalUp="0" diagonalDown="0" outline="0">
        <left/>
        <right/>
        <top/>
        <bottom style="mediumDashed">
          <color auto="1"/>
        </bottom>
      </border>
    </dxf>
    <dxf>
      <numFmt numFmtId="32" formatCode="_(&quot;$&quot;* #,##0_);_(&quot;$&quot;* \(#,##0\);_(&quot;$&quot;* &quot;-&quot;_);_(@_)"/>
      <alignment horizontal="center" vertical="center" textRotation="0" wrapText="1" indent="0" justifyLastLine="0" shrinkToFit="0" readingOrder="0"/>
    </dxf>
    <dxf>
      <numFmt numFmtId="177" formatCode="#,##0.000"/>
      <alignment horizontal="center" vertical="center" textRotation="0" wrapText="1" indent="0" justifyLastLine="0" shrinkToFit="0" readingOrder="0"/>
      <border diagonalUp="0" diagonalDown="0" outline="0">
        <left/>
        <right/>
        <top/>
        <bottom style="mediumDashed">
          <color auto="1"/>
        </bottom>
      </border>
    </dxf>
    <dxf>
      <numFmt numFmtId="177" formatCode="#,##0.00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right/>
        <top/>
        <bottom style="mediumDashed">
          <color auto="1"/>
        </bottom>
      </border>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border diagonalUp="0" diagonalDown="0" outline="0">
        <left/>
        <right/>
        <top/>
        <bottom style="mediumDashed">
          <color auto="1"/>
        </bottom>
      </border>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border diagonalUp="0" diagonalDown="0" outline="0">
        <left/>
        <right/>
        <top/>
        <bottom style="mediumDashed">
          <color auto="1"/>
        </bottom>
      </border>
    </dxf>
    <dxf>
      <alignment horizontal="center" vertical="center" textRotation="0" wrapText="1" indent="0" justifyLastLine="0" shrinkToFit="0" readingOrder="0"/>
      <protection locked="1" hidden="0"/>
    </dxf>
    <dxf>
      <numFmt numFmtId="166" formatCode="&quot;$&quot;#,##0"/>
      <alignment horizontal="center" vertical="center" textRotation="0" wrapText="1" indent="0" justifyLastLine="0" shrinkToFit="0" readingOrder="0"/>
      <border diagonalUp="0" diagonalDown="0" outline="0">
        <left/>
        <right/>
        <top/>
        <bottom style="mediumDashed">
          <color auto="1"/>
        </bottom>
      </border>
    </dxf>
    <dxf>
      <numFmt numFmtId="166" formatCode="&quot;$&quot;#,##0"/>
      <alignment horizontal="center" vertical="center" textRotation="0" wrapText="1" indent="0" justifyLastLine="0" shrinkToFit="0" readingOrder="0"/>
      <protection locked="1" hidden="0"/>
    </dxf>
    <dxf>
      <numFmt numFmtId="166" formatCode="&quot;$&quot;#,##0"/>
      <alignment horizontal="center" vertical="center" textRotation="0" wrapText="1" indent="0" justifyLastLine="0" shrinkToFit="0" readingOrder="0"/>
      <border diagonalUp="0" diagonalDown="0" outline="0">
        <left/>
        <right/>
        <top/>
        <bottom style="mediumDashed">
          <color auto="1"/>
        </bottom>
      </border>
    </dxf>
    <dxf>
      <numFmt numFmtId="166" formatCode="&quot;$&quot;#,##0"/>
      <alignment horizontal="center" vertical="center" textRotation="0" wrapText="1" indent="0" justifyLastLine="0" shrinkToFit="0" readingOrder="0"/>
      <protection locked="1" hidden="0"/>
    </dxf>
    <dxf>
      <numFmt numFmtId="166" formatCode="&quot;$&quot;#,##0"/>
      <alignment horizontal="center" vertical="center" textRotation="0" wrapText="1" indent="0" justifyLastLine="0" shrinkToFit="0" readingOrder="0"/>
      <border diagonalUp="0" diagonalDown="0" outline="0">
        <left/>
        <right/>
        <top/>
        <bottom style="mediumDashed">
          <color auto="1"/>
        </bottom>
      </border>
    </dxf>
    <dxf>
      <numFmt numFmtId="166" formatCode="&quot;$&quot;#,##0"/>
      <alignment horizontal="center" vertical="center" textRotation="0" wrapText="1" indent="0" justifyLastLine="0" shrinkToFit="0" readingOrder="0"/>
      <protection locked="1" hidden="0"/>
    </dxf>
    <dxf>
      <numFmt numFmtId="32" formatCode="_(&quot;$&quot;* #,##0_);_(&quot;$&quot;* \(#,##0\);_(&quot;$&quot;* &quot;-&quot;_);_(@_)"/>
      <alignment horizontal="center" vertical="center" textRotation="0" wrapText="1" indent="0" justifyLastLine="0" shrinkToFit="0" readingOrder="0"/>
      <border diagonalUp="0" diagonalDown="0" outline="0">
        <left/>
        <right/>
        <top/>
        <bottom style="mediumDashed">
          <color auto="1"/>
        </bottom>
      </border>
    </dxf>
    <dxf>
      <numFmt numFmtId="32" formatCode="_(&quot;$&quot;* #,##0_);_(&quot;$&quot;* \(#,##0\);_(&quot;$&quot;* &quot;-&quot;_);_(@_)"/>
      <alignment horizontal="center" vertical="center" textRotation="0" wrapText="1" indent="0" justifyLastLine="0" shrinkToFit="0" readingOrder="0"/>
      <protection locked="1" hidden="0"/>
    </dxf>
    <dxf>
      <alignment horizontal="center" vertical="center" textRotation="0" wrapText="1" indent="0" justifyLastLine="0" shrinkToFit="0" readingOrder="0"/>
      <border diagonalUp="0" diagonalDown="0" outline="0">
        <left/>
        <right/>
        <top/>
        <bottom style="mediumDashed">
          <color auto="1"/>
        </bottom>
      </border>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border diagonalUp="0" diagonalDown="0" outline="0">
        <left/>
        <right/>
        <top/>
        <bottom style="mediumDashed">
          <color auto="1"/>
        </bottom>
      </border>
    </dxf>
    <dxf>
      <alignment horizontal="center" vertical="center" textRotation="0" wrapText="1" indent="0" justifyLastLine="0" shrinkToFit="0" readingOrder="0"/>
      <border diagonalUp="0" diagonalDown="0">
        <left/>
        <right/>
        <top/>
        <bottom style="mediumDashed">
          <color auto="1"/>
        </bottom>
        <vertical/>
        <horizontal/>
      </border>
      <protection locked="1" hidden="0"/>
    </dxf>
    <dxf>
      <alignment horizontal="center" vertical="center" textRotation="0" wrapText="1" indent="0" justifyLastLine="0" shrinkToFit="0" readingOrder="0"/>
      <border diagonalUp="0" diagonalDown="0" outline="0">
        <left/>
        <right/>
        <top/>
        <bottom style="mediumDashed">
          <color auto="1"/>
        </bottom>
      </border>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border diagonalUp="0" diagonalDown="0" outline="0">
        <left/>
        <right/>
        <top/>
        <bottom style="mediumDashed">
          <color auto="1"/>
        </bottom>
      </border>
    </dxf>
    <dxf>
      <numFmt numFmtId="0" formatCode="General"/>
      <alignment horizontal="center" vertical="center" textRotation="0" wrapText="1" indent="0" justifyLastLine="0" shrinkToFit="0" readingOrder="0"/>
      <protection locked="1" hidden="0"/>
    </dxf>
    <dxf>
      <numFmt numFmtId="32" formatCode="_(&quot;$&quot;* #,##0_);_(&quot;$&quot;* \(#,##0\);_(&quot;$&quot;* &quot;-&quot;_);_(@_)"/>
      <alignment horizontal="center" vertical="center" textRotation="0" wrapText="1" indent="0" justifyLastLine="0" shrinkToFit="0" readingOrder="0"/>
    </dxf>
    <dxf>
      <border outline="0">
        <bottom style="mediumDashed">
          <color auto="1"/>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3" formatCode="0%"/>
      <border>
        <bottom style="thin">
          <color auto="1"/>
        </bottom>
        <vertical/>
        <horizontal/>
      </border>
    </dxf>
    <dxf>
      <fill>
        <patternFill>
          <bgColor rgb="FFFF0000"/>
        </patternFill>
      </fill>
    </dxf>
    <dxf>
      <font>
        <b val="0"/>
        <i val="0"/>
        <strike val="0"/>
        <condense val="0"/>
        <extend val="0"/>
        <outline val="0"/>
        <shadow val="0"/>
        <u val="none"/>
        <vertAlign val="baseline"/>
        <sz val="12"/>
        <color theme="1"/>
        <name val="Aptos"/>
        <family val="2"/>
        <scheme val="none"/>
      </font>
      <alignment horizontal="left" vertical="center" textRotation="0" wrapText="0" indent="3" justifyLastLine="0" shrinkToFit="0" readingOrder="0"/>
    </dxf>
    <dxf>
      <font>
        <b val="0"/>
        <i val="0"/>
        <strike val="0"/>
        <condense val="0"/>
        <extend val="0"/>
        <outline val="0"/>
        <shadow val="0"/>
        <u val="none"/>
        <vertAlign val="baseline"/>
        <sz val="12"/>
        <color theme="1"/>
        <name val="Aptos"/>
        <family val="2"/>
        <scheme val="none"/>
      </font>
      <numFmt numFmtId="0" formatCode="General"/>
      <alignment horizontal="left" vertical="center" textRotation="0" wrapText="0" indent="3" justifyLastLine="0" shrinkToFit="0" readingOrder="0"/>
    </dxf>
    <dxf>
      <numFmt numFmtId="0" formatCode="General"/>
    </dxf>
    <dxf>
      <numFmt numFmtId="0" formatCode="General"/>
    </dxf>
    <dxf>
      <font>
        <b val="0"/>
        <i val="0"/>
        <strike val="0"/>
        <condense val="0"/>
        <extend val="0"/>
        <outline val="0"/>
        <shadow val="0"/>
        <u val="none"/>
        <vertAlign val="baseline"/>
        <sz val="12"/>
        <color theme="1"/>
        <name val="Aptos"/>
        <family val="2"/>
        <scheme val="none"/>
      </font>
      <alignment horizontal="left" vertical="center" textRotation="0" wrapText="0" indent="3" justifyLastLine="0" shrinkToFit="0" readingOrder="0"/>
    </dxf>
    <dxf>
      <font>
        <b val="0"/>
        <i val="0"/>
        <strike val="0"/>
        <condense val="0"/>
        <extend val="0"/>
        <outline val="0"/>
        <shadow val="0"/>
        <u val="none"/>
        <vertAlign val="baseline"/>
        <sz val="12"/>
        <color theme="1"/>
        <name val="Aptos"/>
        <family val="2"/>
        <scheme val="none"/>
      </font>
      <numFmt numFmtId="0" formatCode="General"/>
      <alignment horizontal="left" vertical="center" textRotation="0" wrapText="0" indent="3" justifyLastLine="0" shrinkToFit="0" readingOrder="0"/>
    </dxf>
    <dxf>
      <numFmt numFmtId="0" formatCode="General"/>
    </dxf>
    <dxf>
      <numFmt numFmtId="0" formatCode="General"/>
    </dxf>
    <dxf>
      <font>
        <b val="0"/>
        <i val="0"/>
        <strike val="0"/>
        <condense val="0"/>
        <extend val="0"/>
        <outline val="0"/>
        <shadow val="0"/>
        <u val="none"/>
        <vertAlign val="baseline"/>
        <sz val="12"/>
        <color theme="1"/>
        <name val="Aptos"/>
        <family val="2"/>
        <scheme val="none"/>
      </font>
      <alignment horizontal="left" vertical="center" textRotation="0" wrapText="0" indent="3" justifyLastLine="0" shrinkToFit="0" readingOrder="0"/>
    </dxf>
    <dxf>
      <font>
        <b val="0"/>
        <i val="0"/>
        <strike val="0"/>
        <condense val="0"/>
        <extend val="0"/>
        <outline val="0"/>
        <shadow val="0"/>
        <u val="none"/>
        <vertAlign val="baseline"/>
        <sz val="12"/>
        <color theme="1"/>
        <name val="Aptos"/>
        <family val="2"/>
        <scheme val="none"/>
      </font>
      <numFmt numFmtId="0" formatCode="General"/>
      <alignment horizontal="left" vertical="center" textRotation="0" wrapText="0" indent="3" justifyLastLine="0" shrinkToFit="0" readingOrder="0"/>
    </dxf>
    <dxf>
      <numFmt numFmtId="0" formatCode="General"/>
    </dxf>
    <dxf>
      <numFmt numFmtId="0" formatCode="General"/>
    </dxf>
    <dxf>
      <font>
        <b val="0"/>
        <i val="0"/>
        <strike val="0"/>
        <condense val="0"/>
        <extend val="0"/>
        <outline val="0"/>
        <shadow val="0"/>
        <u val="none"/>
        <vertAlign val="baseline"/>
        <sz val="12"/>
        <color theme="1"/>
        <name val="Aptos"/>
        <family val="2"/>
        <scheme val="none"/>
      </font>
      <alignment horizontal="left" vertical="center" textRotation="0" wrapText="0" indent="3" justifyLastLine="0" shrinkToFit="0" readingOrder="0"/>
    </dxf>
    <dxf>
      <font>
        <b val="0"/>
        <i val="0"/>
        <strike val="0"/>
        <condense val="0"/>
        <extend val="0"/>
        <outline val="0"/>
        <shadow val="0"/>
        <u val="none"/>
        <vertAlign val="baseline"/>
        <sz val="12"/>
        <color theme="1"/>
        <name val="Aptos"/>
        <family val="2"/>
        <scheme val="none"/>
      </font>
      <numFmt numFmtId="0" formatCode="General"/>
      <alignment horizontal="left" vertical="center" textRotation="0" wrapText="0" indent="3" justifyLastLine="0" shrinkToFit="0" readingOrder="0"/>
    </dxf>
    <dxf>
      <numFmt numFmtId="0" formatCode="General"/>
    </dxf>
    <dxf>
      <numFmt numFmtId="0" formatCode="General"/>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ill>
        <patternFill>
          <bgColor rgb="FFCCFFCC"/>
        </patternFill>
      </fill>
      <border>
        <left style="thin">
          <color auto="1"/>
        </left>
        <right style="thin">
          <color auto="1"/>
        </right>
        <vertical/>
        <horizontal/>
      </border>
    </dxf>
    <dxf>
      <fill>
        <patternFill>
          <bgColor rgb="FFCCFFCC"/>
        </patternFill>
      </fill>
      <border>
        <left style="thin">
          <color auto="1"/>
        </left>
        <right style="thin">
          <color auto="1"/>
        </right>
        <vertical/>
        <horizontal/>
      </border>
    </dxf>
    <dxf>
      <fill>
        <patternFill>
          <bgColor rgb="FFCCFFCC"/>
        </patternFill>
      </fill>
      <border>
        <left style="thin">
          <color auto="1"/>
        </left>
        <right style="thin">
          <color auto="1"/>
        </right>
        <vertical/>
        <horizontal/>
      </border>
    </dxf>
    <dxf>
      <fill>
        <patternFill>
          <bgColor rgb="FFCCFFCC"/>
        </patternFill>
      </fill>
      <border>
        <left style="thin">
          <color auto="1"/>
        </left>
        <right style="thin">
          <color auto="1"/>
        </right>
        <vertical/>
        <horizontal/>
      </border>
    </dxf>
    <dxf>
      <fill>
        <patternFill>
          <bgColor indexed="43"/>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bgColor rgb="FFFF3300"/>
        </patternFill>
      </fill>
      <border>
        <left style="thin">
          <color auto="1"/>
        </left>
        <right style="thin">
          <color auto="1"/>
        </right>
        <top style="thin">
          <color auto="1"/>
        </top>
        <bottom style="thin">
          <color auto="1"/>
        </bottom>
        <vertical/>
        <horizontal/>
      </border>
    </dxf>
    <dxf>
      <fill>
        <patternFill>
          <bgColor rgb="FFFF3300"/>
        </patternFill>
      </fill>
      <border>
        <left style="thin">
          <color auto="1"/>
        </left>
        <right style="thin">
          <color auto="1"/>
        </right>
        <top style="thin">
          <color auto="1"/>
        </top>
        <bottom style="thin">
          <color auto="1"/>
        </bottom>
        <vertical/>
        <horizontal/>
      </border>
    </dxf>
    <dxf>
      <fill>
        <patternFill>
          <bgColor theme="4"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C00000"/>
      </font>
      <fill>
        <patternFill>
          <bgColor rgb="FFFF7C80"/>
        </patternFill>
      </fill>
    </dxf>
    <dxf>
      <font>
        <color rgb="FFC00000"/>
      </font>
      <fill>
        <patternFill>
          <bgColor rgb="FFFF7C80"/>
        </patternFill>
      </fill>
    </dxf>
    <dxf>
      <font>
        <color rgb="FFC00000"/>
      </font>
      <fill>
        <patternFill>
          <bgColor rgb="FFFF7C80"/>
        </patternFill>
      </fill>
    </dxf>
    <dxf>
      <font>
        <color rgb="FFC00000"/>
      </font>
      <fill>
        <patternFill>
          <bgColor rgb="FFFF7C80"/>
        </patternFill>
      </fill>
    </dxf>
    <dxf>
      <font>
        <color rgb="FFC00000"/>
      </font>
      <fill>
        <patternFill>
          <bgColor rgb="FFFF7C80"/>
        </patternFill>
      </fill>
    </dxf>
    <dxf>
      <font>
        <color rgb="FFC00000"/>
      </font>
      <fill>
        <patternFill>
          <bgColor rgb="FFFF7C80"/>
        </patternFill>
      </fill>
    </dxf>
    <dxf>
      <font>
        <color rgb="FFC00000"/>
      </font>
      <fill>
        <patternFill>
          <bgColor rgb="FFFF7C80"/>
        </patternFill>
      </fill>
    </dxf>
    <dxf>
      <font>
        <color rgb="FF9C0006"/>
      </font>
      <fill>
        <patternFill>
          <bgColor rgb="FFFFC7CE"/>
        </patternFill>
      </fill>
    </dxf>
    <dxf>
      <font>
        <color rgb="FF9C0006"/>
      </font>
      <fill>
        <patternFill>
          <bgColor rgb="FFFFC7CE"/>
        </patternFill>
      </fill>
    </dxf>
    <dxf>
      <fill>
        <patternFill>
          <bgColor theme="8" tint="0.3999450666829432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theme="8" tint="0.39994506668294322"/>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fgColor theme="0"/>
          <bgColor theme="8" tint="0.59996337778862885"/>
        </patternFill>
      </fill>
      <border>
        <right/>
        <top/>
        <bottom style="thin">
          <color auto="1"/>
        </bottom>
        <vertical/>
        <horizontal/>
      </border>
    </dxf>
    <dxf>
      <fill>
        <patternFill>
          <bgColor rgb="FFFF0000"/>
        </patternFill>
      </fill>
    </dxf>
    <dxf>
      <font>
        <color theme="0"/>
      </font>
      <border>
        <left/>
        <right/>
        <top/>
        <bottom/>
        <vertical/>
        <horizontal/>
      </border>
    </dxf>
    <dxf>
      <font>
        <color theme="0"/>
      </font>
      <fill>
        <patternFill>
          <fgColor theme="0"/>
        </patternFill>
      </fill>
      <border>
        <left/>
        <right/>
        <top/>
        <bottom/>
        <vertical/>
        <horizontal/>
      </border>
    </dxf>
    <dxf>
      <font>
        <color theme="0"/>
      </font>
      <border>
        <left/>
        <right/>
        <top/>
        <bottom/>
        <vertical/>
        <horizontal/>
      </border>
    </dxf>
    <dxf>
      <font>
        <color theme="0"/>
      </font>
      <fill>
        <patternFill>
          <fgColor theme="0"/>
        </patternFill>
      </fill>
      <border>
        <left/>
        <right/>
        <top/>
        <bottom/>
        <vertical/>
        <horizontal/>
      </border>
    </dxf>
    <dxf>
      <font>
        <color theme="0"/>
      </font>
      <border>
        <left/>
        <right/>
        <top/>
        <bottom/>
        <vertical/>
        <horizontal/>
      </border>
    </dxf>
    <dxf>
      <font>
        <color theme="0"/>
      </font>
      <fill>
        <patternFill>
          <fgColor theme="0"/>
        </patternFill>
      </fill>
      <border>
        <left/>
        <right/>
        <top/>
        <bottom/>
        <vertical/>
        <horizontal/>
      </border>
    </dxf>
    <dxf>
      <font>
        <color theme="0"/>
      </font>
      <border>
        <left/>
        <right/>
        <top/>
        <bottom/>
        <vertical/>
        <horizontal/>
      </border>
    </dxf>
    <dxf>
      <font>
        <color theme="0"/>
      </font>
      <fill>
        <patternFill>
          <fgColor theme="0"/>
        </patternFill>
      </fill>
      <border>
        <left/>
        <right/>
        <top/>
        <bottom/>
        <vertical/>
        <horizontal/>
      </border>
    </dxf>
    <dxf>
      <font>
        <color theme="0"/>
      </font>
      <border>
        <left/>
        <right/>
        <top/>
        <bottom/>
        <vertical/>
        <horizontal/>
      </border>
    </dxf>
    <dxf>
      <font>
        <color theme="0"/>
      </font>
      <fill>
        <patternFill>
          <fgColor theme="0"/>
        </patternFill>
      </fill>
      <border>
        <left/>
        <right/>
        <top/>
        <bottom/>
        <vertical/>
        <horizontal/>
      </border>
    </dxf>
    <dxf>
      <font>
        <color theme="0"/>
      </font>
      <border>
        <left/>
        <right/>
        <top/>
        <bottom/>
        <vertical/>
        <horizontal/>
      </border>
    </dxf>
    <dxf>
      <font>
        <color theme="0"/>
      </font>
      <fill>
        <patternFill>
          <fgColor theme="0"/>
        </patternFill>
      </fill>
      <border>
        <left/>
        <right/>
        <top/>
        <bottom/>
        <vertical/>
        <horizontal/>
      </border>
    </dxf>
    <dxf>
      <font>
        <color theme="0"/>
      </font>
      <border>
        <left/>
        <right/>
        <top/>
        <bottom/>
        <vertical/>
        <horizontal/>
      </border>
    </dxf>
    <dxf>
      <font>
        <color rgb="FFFF0000"/>
      </font>
      <fill>
        <patternFill>
          <bgColor rgb="FFFF8F8F"/>
        </patternFill>
      </fill>
    </dxf>
    <dxf>
      <fill>
        <patternFill>
          <bgColor rgb="FFFF3300"/>
        </patternFill>
      </fill>
      <border>
        <left style="thin">
          <color auto="1"/>
        </left>
        <right style="thin">
          <color auto="1"/>
        </right>
        <top style="thin">
          <color auto="1"/>
        </top>
        <bottom style="thin">
          <color auto="1"/>
        </bottom>
        <vertical/>
        <horizontal/>
      </border>
    </dxf>
    <dxf>
      <font>
        <b/>
        <i val="0"/>
        <color rgb="FFF00224"/>
      </font>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FF7C80"/>
      <color rgb="FFFF5050"/>
      <color rgb="FFFF3300"/>
      <color rgb="FFFF8F8F"/>
      <color rgb="FFFF0000"/>
      <color rgb="FFF00224"/>
      <color rgb="FFFFFFCC"/>
      <color rgb="FFCCFFCC"/>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cid:image001.jpg@01D3AB17.B81ECC6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cid:image001.jpg@01D3AB17.B81ECC60" TargetMode="External"/><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cid:image001.jpg@01D3AB17.B81ECC60" TargetMode="External"/><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cid:image001.jpg@01D3AB17.B81ECC60" TargetMode="External"/><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2" Type="http://schemas.openxmlformats.org/officeDocument/2006/relationships/image" Target="cid:image001.jpg@01D3AB17.B81ECC60" TargetMode="External"/><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28575</xdr:rowOff>
    </xdr:from>
    <xdr:to>
      <xdr:col>3</xdr:col>
      <xdr:colOff>761480</xdr:colOff>
      <xdr:row>3</xdr:row>
      <xdr:rowOff>69426</xdr:rowOff>
    </xdr:to>
    <xdr:pic>
      <xdr:nvPicPr>
        <xdr:cNvPr id="2" name="Picture 1" descr="cid:image001.jpg@01D3AB17.B81ECC60">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09600" y="28575"/>
          <a:ext cx="2075930" cy="602826"/>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28575</xdr:rowOff>
    </xdr:from>
    <xdr:to>
      <xdr:col>3</xdr:col>
      <xdr:colOff>599555</xdr:colOff>
      <xdr:row>3</xdr:row>
      <xdr:rowOff>69426</xdr:rowOff>
    </xdr:to>
    <xdr:pic>
      <xdr:nvPicPr>
        <xdr:cNvPr id="2" name="Picture 1" descr="cid:image001.jpg@01D3AB17.B81ECC60">
          <a:extLst>
            <a:ext uri="{FF2B5EF4-FFF2-40B4-BE49-F238E27FC236}">
              <a16:creationId xmlns:a16="http://schemas.microsoft.com/office/drawing/2014/main" id="{E3A882D7-0E78-40C3-AA75-07A4D9118FBB}"/>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09600" y="28575"/>
          <a:ext cx="2075930" cy="602826"/>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675755</xdr:colOff>
      <xdr:row>3</xdr:row>
      <xdr:rowOff>59901</xdr:rowOff>
    </xdr:to>
    <xdr:pic>
      <xdr:nvPicPr>
        <xdr:cNvPr id="2" name="Picture 1" descr="cid:image001.jpg@01D3AB17.B81ECC60">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0" y="0"/>
          <a:ext cx="2075930" cy="60282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369091</xdr:colOff>
      <xdr:row>5</xdr:row>
      <xdr:rowOff>11906</xdr:rowOff>
    </xdr:from>
    <xdr:to>
      <xdr:col>9</xdr:col>
      <xdr:colOff>918799</xdr:colOff>
      <xdr:row>11</xdr:row>
      <xdr:rowOff>119062</xdr:rowOff>
    </xdr:to>
    <xdr:pic>
      <xdr:nvPicPr>
        <xdr:cNvPr id="2" name="Picture 1">
          <a:extLst>
            <a:ext uri="{FF2B5EF4-FFF2-40B4-BE49-F238E27FC236}">
              <a16:creationId xmlns:a16="http://schemas.microsoft.com/office/drawing/2014/main" id="{5B2FAFA2-B0D5-42B2-B602-41584F29208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476747" y="928687"/>
          <a:ext cx="4407333" cy="125015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424285</xdr:colOff>
      <xdr:row>3</xdr:row>
      <xdr:rowOff>88447</xdr:rowOff>
    </xdr:to>
    <xdr:pic>
      <xdr:nvPicPr>
        <xdr:cNvPr id="2" name="Picture 1">
          <a:extLst>
            <a:ext uri="{FF2B5EF4-FFF2-40B4-BE49-F238E27FC236}">
              <a16:creationId xmlns:a16="http://schemas.microsoft.com/office/drawing/2014/main" id="{52A8E89E-EC57-F216-EB32-666C19412A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247642" cy="639536"/>
        </a:xfrm>
        <a:prstGeom prst="rect">
          <a:avLst/>
        </a:prstGeom>
        <a:noFill/>
        <a:ln>
          <a:noFill/>
        </a:ln>
      </xdr:spPr>
    </xdr:pic>
    <xdr:clientData/>
  </xdr:twoCellAnchor>
  <xdr:twoCellAnchor>
    <xdr:from>
      <xdr:col>2</xdr:col>
      <xdr:colOff>146050</xdr:colOff>
      <xdr:row>19</xdr:row>
      <xdr:rowOff>171450</xdr:rowOff>
    </xdr:from>
    <xdr:to>
      <xdr:col>8</xdr:col>
      <xdr:colOff>407768</xdr:colOff>
      <xdr:row>22</xdr:row>
      <xdr:rowOff>44450</xdr:rowOff>
    </xdr:to>
    <xdr:sp macro="" textlink="Worksheet_Com!L3">
      <xdr:nvSpPr>
        <xdr:cNvPr id="3" name="TextBox 2">
          <a:extLst>
            <a:ext uri="{FF2B5EF4-FFF2-40B4-BE49-F238E27FC236}">
              <a16:creationId xmlns:a16="http://schemas.microsoft.com/office/drawing/2014/main" id="{DD49FCA3-1769-A7EF-89C7-84E62F4B6DCF}"/>
            </a:ext>
          </a:extLst>
        </xdr:cNvPr>
        <xdr:cNvSpPr txBox="1"/>
      </xdr:nvSpPr>
      <xdr:spPr>
        <a:xfrm>
          <a:off x="1282700" y="3860800"/>
          <a:ext cx="5151218" cy="425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B507BB-AE12-49FD-AB61-A69D896A0027}" type="TxLink">
            <a:rPr lang="en-US" sz="1000" b="1" i="0" u="none" strike="noStrike" kern="1200">
              <a:solidFill>
                <a:srgbClr val="000000"/>
              </a:solidFill>
              <a:latin typeface="Arial"/>
              <a:cs typeface="Arial"/>
            </a:rPr>
            <a:pPr/>
            <a:t> </a:t>
          </a:fld>
          <a:endParaRPr lang="en-US" sz="1000" b="1" kern="12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675755</xdr:colOff>
      <xdr:row>3</xdr:row>
      <xdr:rowOff>59901</xdr:rowOff>
    </xdr:to>
    <xdr:pic>
      <xdr:nvPicPr>
        <xdr:cNvPr id="2" name="Picture 1" descr="cid:image001.jpg@01D3AB17.B81ECC60">
          <a:extLst>
            <a:ext uri="{FF2B5EF4-FFF2-40B4-BE49-F238E27FC236}">
              <a16:creationId xmlns:a16="http://schemas.microsoft.com/office/drawing/2014/main" id="{4239C438-E2D0-4066-9E82-64E7E048F931}"/>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428625" y="0"/>
          <a:ext cx="2075930" cy="602826"/>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590549</xdr:colOff>
      <xdr:row>1</xdr:row>
      <xdr:rowOff>9525</xdr:rowOff>
    </xdr:from>
    <xdr:ext cx="5181601" cy="1428750"/>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590549" y="200025"/>
          <a:ext cx="5181601" cy="1428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endParaRPr lang="en-US" sz="1100"/>
        </a:p>
        <a:p>
          <a:endParaRPr lang="en-US" sz="1100"/>
        </a:p>
        <a:p>
          <a:endParaRPr lang="en-US" sz="1100"/>
        </a:p>
        <a:p>
          <a:endParaRPr lang="en-US" sz="1100"/>
        </a:p>
        <a:p>
          <a:r>
            <a:rPr lang="en-US" sz="1100"/>
            <a:t>6371 Business Blvd, Suite 200</a:t>
          </a:r>
        </a:p>
        <a:p>
          <a:r>
            <a:rPr lang="en-US" sz="1100"/>
            <a:t>Sarasota,</a:t>
          </a:r>
          <a:r>
            <a:rPr lang="en-US" sz="1100" baseline="0"/>
            <a:t> FL 34240</a:t>
          </a:r>
          <a:endParaRPr lang="en-US" sz="1100"/>
        </a:p>
      </xdr:txBody>
    </xdr:sp>
    <xdr:clientData/>
  </xdr:oneCellAnchor>
  <xdr:twoCellAnchor>
    <xdr:from>
      <xdr:col>0</xdr:col>
      <xdr:colOff>47625</xdr:colOff>
      <xdr:row>16</xdr:row>
      <xdr:rowOff>209548</xdr:rowOff>
    </xdr:from>
    <xdr:to>
      <xdr:col>5</xdr:col>
      <xdr:colOff>342900</xdr:colOff>
      <xdr:row>37</xdr:row>
      <xdr:rowOff>95249</xdr:rowOff>
    </xdr:to>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47625" y="3238498"/>
          <a:ext cx="3181350" cy="3905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a:lnSpc>
              <a:spcPts val="1200"/>
            </a:lnSpc>
          </a:pPr>
          <a:r>
            <a:rPr lang="en-US" sz="900">
              <a:solidFill>
                <a:schemeClr val="dk1"/>
              </a:solidFill>
              <a:latin typeface="Times New Roman" pitchFamily="18" charset="0"/>
              <a:ea typeface="+mn-ea"/>
              <a:cs typeface="Times New Roman" pitchFamily="18" charset="0"/>
            </a:rPr>
            <a:t>General Aggregate Limit</a:t>
          </a:r>
        </a:p>
        <a:p>
          <a:pPr marL="0">
            <a:lnSpc>
              <a:spcPts val="1200"/>
            </a:lnSpc>
          </a:pPr>
          <a:r>
            <a:rPr lang="en-US" sz="900">
              <a:solidFill>
                <a:schemeClr val="dk1"/>
              </a:solidFill>
              <a:latin typeface="Times New Roman" pitchFamily="18" charset="0"/>
              <a:ea typeface="+mn-ea"/>
              <a:cs typeface="Times New Roman" pitchFamily="18" charset="0"/>
            </a:rPr>
            <a:t>Premises – Each Occurrence Limit</a:t>
          </a:r>
        </a:p>
        <a:p>
          <a:pPr marL="0">
            <a:lnSpc>
              <a:spcPts val="1200"/>
            </a:lnSpc>
          </a:pPr>
          <a:r>
            <a:rPr lang="en-US" sz="900">
              <a:solidFill>
                <a:schemeClr val="dk1"/>
              </a:solidFill>
              <a:latin typeface="Times New Roman" pitchFamily="18" charset="0"/>
              <a:ea typeface="+mn-ea"/>
              <a:cs typeface="Times New Roman" pitchFamily="18" charset="0"/>
            </a:rPr>
            <a:t>	Property Damage Deductible</a:t>
          </a:r>
        </a:p>
        <a:p>
          <a:pPr marL="0">
            <a:lnSpc>
              <a:spcPts val="1200"/>
            </a:lnSpc>
          </a:pPr>
          <a:r>
            <a:rPr lang="en-US" sz="900">
              <a:solidFill>
                <a:schemeClr val="dk1"/>
              </a:solidFill>
              <a:latin typeface="Times New Roman" pitchFamily="18" charset="0"/>
              <a:ea typeface="+mn-ea"/>
              <a:cs typeface="Times New Roman" pitchFamily="18" charset="0"/>
            </a:rPr>
            <a:t>Medical Expense - Each Person Limit                   </a:t>
          </a:r>
        </a:p>
        <a:p>
          <a:pPr marL="0">
            <a:lnSpc>
              <a:spcPts val="1200"/>
            </a:lnSpc>
          </a:pPr>
          <a:r>
            <a:rPr lang="en-US" sz="900">
              <a:solidFill>
                <a:schemeClr val="dk1"/>
              </a:solidFill>
              <a:latin typeface="Times New Roman" pitchFamily="18" charset="0"/>
              <a:ea typeface="+mn-ea"/>
              <a:cs typeface="Times New Roman" pitchFamily="18" charset="0"/>
            </a:rPr>
            <a:t>Damage to Premises Rented to You – Any One Fire Limit</a:t>
          </a:r>
        </a:p>
        <a:p>
          <a:pPr marL="0">
            <a:lnSpc>
              <a:spcPts val="1200"/>
            </a:lnSpc>
          </a:pPr>
          <a:r>
            <a:rPr lang="en-US" sz="900">
              <a:solidFill>
                <a:schemeClr val="dk1"/>
              </a:solidFill>
              <a:latin typeface="Times New Roman" pitchFamily="18" charset="0"/>
              <a:ea typeface="+mn-ea"/>
              <a:cs typeface="Times New Roman" pitchFamily="18" charset="0"/>
            </a:rPr>
            <a:t>Personal and Advertising Injury – Aggregate Limit</a:t>
          </a:r>
        </a:p>
        <a:p>
          <a:pPr marL="0" marR="0" indent="0" defTabSz="914400" eaLnBrk="1" fontAlgn="auto" latinLnBrk="0" hangingPunct="1">
            <a:lnSpc>
              <a:spcPts val="1200"/>
            </a:lnSpc>
            <a:spcBef>
              <a:spcPts val="0"/>
            </a:spcBef>
            <a:spcAft>
              <a:spcPts val="0"/>
            </a:spcAft>
            <a:buClrTx/>
            <a:buSzTx/>
            <a:buFontTx/>
            <a:buNone/>
            <a:tabLst/>
            <a:defRPr/>
          </a:pPr>
          <a:r>
            <a:rPr lang="en-US" sz="900">
              <a:latin typeface="Times New Roman" pitchFamily="18" charset="0"/>
              <a:cs typeface="Times New Roman" pitchFamily="18" charset="0"/>
            </a:rPr>
            <a:t>Products – Completed Operations </a:t>
          </a:r>
        </a:p>
        <a:p>
          <a:pPr marL="0">
            <a:lnSpc>
              <a:spcPts val="1200"/>
            </a:lnSpc>
          </a:pPr>
          <a:r>
            <a:rPr lang="en-US" sz="900">
              <a:solidFill>
                <a:schemeClr val="dk1"/>
              </a:solidFill>
              <a:latin typeface="Times New Roman" pitchFamily="18" charset="0"/>
              <a:ea typeface="+mn-ea"/>
              <a:cs typeface="Times New Roman" pitchFamily="18" charset="0"/>
            </a:rPr>
            <a:t>	Aggregate Limit</a:t>
          </a:r>
        </a:p>
        <a:p>
          <a:pPr marL="0">
            <a:lnSpc>
              <a:spcPts val="1200"/>
            </a:lnSpc>
          </a:pPr>
          <a:r>
            <a:rPr lang="en-US" sz="900">
              <a:solidFill>
                <a:schemeClr val="dk1"/>
              </a:solidFill>
              <a:latin typeface="Times New Roman" pitchFamily="18" charset="0"/>
              <a:ea typeface="+mn-ea"/>
              <a:cs typeface="Times New Roman" pitchFamily="18" charset="0"/>
            </a:rPr>
            <a:t>	Occurrence Limit</a:t>
          </a:r>
        </a:p>
        <a:p>
          <a:pPr marL="0">
            <a:lnSpc>
              <a:spcPts val="1200"/>
            </a:lnSpc>
          </a:pPr>
          <a:r>
            <a:rPr lang="en-US" sz="900">
              <a:solidFill>
                <a:schemeClr val="dk1"/>
              </a:solidFill>
              <a:latin typeface="Times New Roman" pitchFamily="18" charset="0"/>
              <a:ea typeface="+mn-ea"/>
              <a:cs typeface="Times New Roman" pitchFamily="18" charset="0"/>
            </a:rPr>
            <a:t>	Each Person Limit</a:t>
          </a:r>
        </a:p>
        <a:p>
          <a:pPr marL="0" marR="0" indent="0" defTabSz="914400" eaLnBrk="1" fontAlgn="auto" latinLnBrk="0" hangingPunct="1">
            <a:lnSpc>
              <a:spcPts val="1200"/>
            </a:lnSpc>
            <a:spcBef>
              <a:spcPts val="0"/>
            </a:spcBef>
            <a:spcAft>
              <a:spcPts val="0"/>
            </a:spcAft>
            <a:buClrTx/>
            <a:buSzTx/>
            <a:buFontTx/>
            <a:buNone/>
            <a:tabLst/>
            <a:defRPr/>
          </a:pPr>
          <a:r>
            <a:rPr lang="en-US" sz="900">
              <a:latin typeface="Times New Roman" pitchFamily="18" charset="0"/>
              <a:cs typeface="Times New Roman" pitchFamily="18" charset="0"/>
            </a:rPr>
            <a:t>Hangarkeepers Liability</a:t>
          </a:r>
        </a:p>
        <a:p>
          <a:pPr marL="0">
            <a:lnSpc>
              <a:spcPts val="1200"/>
            </a:lnSpc>
          </a:pPr>
          <a:r>
            <a:rPr lang="en-US" sz="900">
              <a:solidFill>
                <a:schemeClr val="dk1"/>
              </a:solidFill>
              <a:latin typeface="Times New Roman" pitchFamily="18" charset="0"/>
              <a:ea typeface="+mn-ea"/>
              <a:cs typeface="Times New Roman" pitchFamily="18" charset="0"/>
            </a:rPr>
            <a:t>	Each </a:t>
          </a:r>
          <a:r>
            <a:rPr lang="en-US" sz="900" b="1">
              <a:solidFill>
                <a:schemeClr val="dk1"/>
              </a:solidFill>
              <a:latin typeface="Times New Roman" pitchFamily="18" charset="0"/>
              <a:ea typeface="+mn-ea"/>
              <a:cs typeface="Times New Roman" pitchFamily="18" charset="0"/>
            </a:rPr>
            <a:t>Aircraft</a:t>
          </a:r>
          <a:r>
            <a:rPr lang="en-US" sz="900">
              <a:solidFill>
                <a:schemeClr val="dk1"/>
              </a:solidFill>
              <a:latin typeface="Times New Roman" pitchFamily="18" charset="0"/>
              <a:ea typeface="+mn-ea"/>
              <a:cs typeface="Times New Roman" pitchFamily="18" charset="0"/>
            </a:rPr>
            <a:t> – Limit </a:t>
          </a:r>
        </a:p>
        <a:p>
          <a:pPr marL="0">
            <a:lnSpc>
              <a:spcPts val="1200"/>
            </a:lnSpc>
          </a:pPr>
          <a:r>
            <a:rPr lang="en-US" sz="900">
              <a:solidFill>
                <a:schemeClr val="dk1"/>
              </a:solidFill>
              <a:latin typeface="Times New Roman" pitchFamily="18" charset="0"/>
              <a:ea typeface="+mn-ea"/>
              <a:cs typeface="Times New Roman" pitchFamily="18" charset="0"/>
            </a:rPr>
            <a:t>	Each </a:t>
          </a:r>
          <a:r>
            <a:rPr lang="en-US" sz="900" b="1">
              <a:solidFill>
                <a:schemeClr val="dk1"/>
              </a:solidFill>
              <a:latin typeface="Times New Roman" pitchFamily="18" charset="0"/>
              <a:ea typeface="+mn-ea"/>
              <a:cs typeface="Times New Roman" pitchFamily="18" charset="0"/>
            </a:rPr>
            <a:t>Loss</a:t>
          </a:r>
          <a:r>
            <a:rPr lang="en-US" sz="900">
              <a:solidFill>
                <a:schemeClr val="dk1"/>
              </a:solidFill>
              <a:latin typeface="Times New Roman" pitchFamily="18" charset="0"/>
              <a:ea typeface="+mn-ea"/>
              <a:cs typeface="Times New Roman" pitchFamily="18" charset="0"/>
            </a:rPr>
            <a:t> – Limit </a:t>
          </a:r>
        </a:p>
        <a:p>
          <a:pPr marL="0">
            <a:lnSpc>
              <a:spcPts val="1200"/>
            </a:lnSpc>
          </a:pPr>
          <a:r>
            <a:rPr lang="en-US" sz="900">
              <a:solidFill>
                <a:schemeClr val="dk1"/>
              </a:solidFill>
              <a:latin typeface="Times New Roman" pitchFamily="18" charset="0"/>
              <a:ea typeface="+mn-ea"/>
              <a:cs typeface="Times New Roman" pitchFamily="18" charset="0"/>
            </a:rPr>
            <a:t>	Deductible Each Turbine Powered </a:t>
          </a:r>
          <a:r>
            <a:rPr lang="en-US" sz="900" b="1">
              <a:solidFill>
                <a:schemeClr val="dk1"/>
              </a:solidFill>
              <a:latin typeface="Times New Roman" pitchFamily="18" charset="0"/>
              <a:ea typeface="+mn-ea"/>
              <a:cs typeface="Times New Roman" pitchFamily="18" charset="0"/>
            </a:rPr>
            <a:t>Aircraft</a:t>
          </a:r>
        </a:p>
        <a:p>
          <a:pPr marL="0">
            <a:lnSpc>
              <a:spcPts val="1200"/>
            </a:lnSpc>
          </a:pPr>
          <a:r>
            <a:rPr lang="en-US" sz="900">
              <a:solidFill>
                <a:schemeClr val="dk1"/>
              </a:solidFill>
              <a:latin typeface="Times New Roman" pitchFamily="18" charset="0"/>
              <a:ea typeface="+mn-ea"/>
              <a:cs typeface="Times New Roman" pitchFamily="18" charset="0"/>
            </a:rPr>
            <a:t>	Deductible Each Other </a:t>
          </a:r>
          <a:r>
            <a:rPr lang="en-US" sz="900" b="1">
              <a:solidFill>
                <a:schemeClr val="dk1"/>
              </a:solidFill>
              <a:latin typeface="Times New Roman" pitchFamily="18" charset="0"/>
              <a:ea typeface="+mn-ea"/>
              <a:cs typeface="Times New Roman" pitchFamily="18" charset="0"/>
            </a:rPr>
            <a:t>Aircraft</a:t>
          </a:r>
        </a:p>
        <a:p>
          <a:pPr marL="0">
            <a:lnSpc>
              <a:spcPts val="1200"/>
            </a:lnSpc>
          </a:pPr>
          <a:r>
            <a:rPr lang="en-US" sz="900" b="1">
              <a:solidFill>
                <a:schemeClr val="dk1"/>
              </a:solidFill>
              <a:latin typeface="Times New Roman" pitchFamily="18" charset="0"/>
              <a:ea typeface="+mn-ea"/>
              <a:cs typeface="Times New Roman" pitchFamily="18" charset="0"/>
            </a:rPr>
            <a:t>Additional</a:t>
          </a:r>
          <a:r>
            <a:rPr lang="en-US" sz="900" b="1" baseline="0">
              <a:solidFill>
                <a:schemeClr val="dk1"/>
              </a:solidFill>
              <a:latin typeface="Times New Roman" pitchFamily="18" charset="0"/>
              <a:ea typeface="+mn-ea"/>
              <a:cs typeface="Times New Roman" pitchFamily="18" charset="0"/>
            </a:rPr>
            <a:t> Coverage's</a:t>
          </a:r>
          <a:endParaRPr lang="en-US" sz="900" b="1">
            <a:solidFill>
              <a:schemeClr val="dk1"/>
            </a:solidFill>
            <a:latin typeface="Times New Roman" pitchFamily="18" charset="0"/>
            <a:ea typeface="+mn-ea"/>
            <a:cs typeface="Times New Roman" pitchFamily="18" charset="0"/>
          </a:endParaRPr>
        </a:p>
        <a:p>
          <a:pPr marL="0">
            <a:lnSpc>
              <a:spcPts val="1200"/>
            </a:lnSpc>
          </a:pPr>
          <a:r>
            <a:rPr lang="en-US" sz="900" b="1">
              <a:solidFill>
                <a:schemeClr val="dk1"/>
              </a:solidFill>
              <a:latin typeface="Times New Roman" pitchFamily="18" charset="0"/>
              <a:ea typeface="+mn-ea"/>
              <a:cs typeface="Times New Roman" pitchFamily="18" charset="0"/>
            </a:rPr>
            <a:t>TRIPRA</a:t>
          </a:r>
        </a:p>
        <a:p>
          <a:pPr marL="0">
            <a:lnSpc>
              <a:spcPts val="1200"/>
            </a:lnSpc>
          </a:pPr>
          <a:r>
            <a:rPr lang="en-US" sz="900" b="1">
              <a:solidFill>
                <a:schemeClr val="dk1"/>
              </a:solidFill>
              <a:latin typeface="Times New Roman" pitchFamily="18" charset="0"/>
              <a:ea typeface="+mn-ea"/>
              <a:cs typeface="Times New Roman" pitchFamily="18" charset="0"/>
            </a:rPr>
            <a:t>Taxes/Surcharges</a:t>
          </a:r>
        </a:p>
        <a:p>
          <a:pPr marL="0">
            <a:lnSpc>
              <a:spcPts val="1200"/>
            </a:lnSpc>
          </a:pPr>
          <a:r>
            <a:rPr lang="en-US" sz="900" b="1">
              <a:solidFill>
                <a:schemeClr val="dk1"/>
              </a:solidFill>
              <a:latin typeface="Times New Roman" pitchFamily="18" charset="0"/>
              <a:ea typeface="+mn-ea"/>
              <a:cs typeface="Times New Roman" pitchFamily="18" charset="0"/>
            </a:rPr>
            <a:t>TOTAL PREMIUM</a:t>
          </a:r>
          <a:endParaRPr lang="en-US" sz="900">
            <a:latin typeface="Times New Roman" pitchFamily="18" charset="0"/>
            <a:cs typeface="Times New Roman" pitchFamily="18" charset="0"/>
          </a:endParaRPr>
        </a:p>
      </xdr:txBody>
    </xdr:sp>
    <xdr:clientData/>
  </xdr:twoCellAnchor>
  <xdr:twoCellAnchor>
    <xdr:from>
      <xdr:col>0</xdr:col>
      <xdr:colOff>219075</xdr:colOff>
      <xdr:row>102</xdr:row>
      <xdr:rowOff>95250</xdr:rowOff>
    </xdr:from>
    <xdr:to>
      <xdr:col>8</xdr:col>
      <xdr:colOff>1057275</xdr:colOff>
      <xdr:row>149</xdr:row>
      <xdr:rowOff>95250</xdr:rowOff>
    </xdr:to>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219075" y="19526250"/>
          <a:ext cx="5686425" cy="895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a:t>
          </a:r>
        </a:p>
        <a:p>
          <a:pPr algn="ctr"/>
          <a:r>
            <a:rPr lang="en-US" sz="1100" b="1">
              <a:solidFill>
                <a:schemeClr val="dk1"/>
              </a:solidFill>
              <a:latin typeface="+mn-lt"/>
              <a:ea typeface="+mn-ea"/>
              <a:cs typeface="+mn-cs"/>
            </a:rPr>
            <a:t>POLICYHOLDER DISCLOSURE </a:t>
          </a:r>
        </a:p>
        <a:p>
          <a:pPr algn="ctr"/>
          <a:r>
            <a:rPr lang="en-US" sz="1100" b="1">
              <a:solidFill>
                <a:schemeClr val="dk1"/>
              </a:solidFill>
              <a:latin typeface="+mn-lt"/>
              <a:ea typeface="+mn-ea"/>
              <a:cs typeface="+mn-cs"/>
            </a:rPr>
            <a:t>NOTICE TERRORISM INSURANCE COVERAGE</a:t>
          </a:r>
        </a:p>
        <a:p>
          <a:r>
            <a:rPr lang="en-US" sz="1100" b="1" u="none" strike="noStrike">
              <a:solidFill>
                <a:schemeClr val="dk1"/>
              </a:solidFill>
              <a:latin typeface="+mn-lt"/>
              <a:ea typeface="+mn-ea"/>
              <a:cs typeface="+mn-cs"/>
            </a:rPr>
            <a:t> </a:t>
          </a:r>
          <a:endParaRPr lang="en-US" sz="1100" b="1" u="sng">
            <a:solidFill>
              <a:schemeClr val="dk1"/>
            </a:solidFill>
            <a:latin typeface="+mn-lt"/>
            <a:ea typeface="+mn-ea"/>
            <a:cs typeface="+mn-cs"/>
          </a:endParaRPr>
        </a:p>
        <a:p>
          <a:r>
            <a:rPr lang="en-US" sz="1100" b="1" u="none" strike="noStrike">
              <a:solidFill>
                <a:schemeClr val="dk1"/>
              </a:solidFill>
              <a:latin typeface="+mn-lt"/>
              <a:ea typeface="+mn-ea"/>
              <a:cs typeface="+mn-cs"/>
            </a:rPr>
            <a:t> </a:t>
          </a:r>
          <a:endParaRPr lang="en-US" sz="1100" b="1" u="sng">
            <a:solidFill>
              <a:schemeClr val="dk1"/>
            </a:solidFill>
            <a:latin typeface="+mn-lt"/>
            <a:ea typeface="+mn-ea"/>
            <a:cs typeface="+mn-cs"/>
          </a:endParaRPr>
        </a:p>
        <a:p>
          <a:pPr algn="just"/>
          <a:r>
            <a:rPr lang="en-US" sz="1000">
              <a:solidFill>
                <a:schemeClr val="dk1"/>
              </a:solidFill>
              <a:latin typeface="Arial" pitchFamily="34" charset="0"/>
              <a:ea typeface="+mn-ea"/>
              <a:cs typeface="Arial" pitchFamily="34" charset="0"/>
            </a:rPr>
            <a:t>Coverage for acts of terrorism will be included in your policy. You are hereby notified that under the Terrorism Risk Insurance Act, as amended in 2007, the definition of act of terrorism has changed. </a:t>
          </a:r>
          <a:r>
            <a:rPr lang="en-US" sz="1000" i="1">
              <a:solidFill>
                <a:schemeClr val="dk1"/>
              </a:solidFill>
              <a:latin typeface="Arial" pitchFamily="34" charset="0"/>
              <a:ea typeface="+mn-ea"/>
              <a:cs typeface="Arial" pitchFamily="34" charset="0"/>
            </a:rPr>
            <a:t>As defined in Section 102(1) of the Act:</a:t>
          </a:r>
          <a:r>
            <a:rPr lang="en-US" sz="1000">
              <a:solidFill>
                <a:schemeClr val="dk1"/>
              </a:solidFill>
              <a:latin typeface="Arial" pitchFamily="34" charset="0"/>
              <a:ea typeface="+mn-ea"/>
              <a:cs typeface="Arial" pitchFamily="34" charset="0"/>
            </a:rPr>
            <a:t> The term “act of terrorism” means any act that is certified by the Secretary of the Treasury  in concurrence with the Secretary of State, and the Attorney General of the United States — to be an act of terrorism; to be a violent act or an act that is dangerous to human life, property; or infrastructure; to have resulted in damage within the United States, or outside the United States in the case of certain air carriers or vessels or the premises of a United States mission; and to have been committed by an individual or individuals as part of an effort to coerce the civilian population of the United States or to influence the policy or affect the conduct of the United States Government by coercion. </a:t>
          </a:r>
        </a:p>
        <a:p>
          <a:r>
            <a:rPr lang="en-US" sz="1100">
              <a:solidFill>
                <a:schemeClr val="dk1"/>
              </a:solidFill>
              <a:latin typeface="+mn-lt"/>
              <a:ea typeface="+mn-ea"/>
              <a:cs typeface="+mn-cs"/>
            </a:rPr>
            <a:t> </a:t>
          </a:r>
        </a:p>
        <a:p>
          <a:r>
            <a:rPr lang="en-US" sz="1000">
              <a:solidFill>
                <a:schemeClr val="dk1"/>
              </a:solidFill>
              <a:latin typeface="Arial" pitchFamily="34" charset="0"/>
              <a:ea typeface="+mn-ea"/>
              <a:cs typeface="Arial" pitchFamily="34" charset="0"/>
            </a:rPr>
            <a:t>PLEASE NOTE IN ADVANCE THAT: </a:t>
          </a:r>
        </a:p>
        <a:p>
          <a:pPr lvl="0" algn="just"/>
          <a:r>
            <a:rPr lang="en-US" sz="1000">
              <a:solidFill>
                <a:schemeClr val="dk1"/>
              </a:solidFill>
              <a:latin typeface="Arial" pitchFamily="34" charset="0"/>
              <a:ea typeface="+mn-ea"/>
              <a:cs typeface="Arial" pitchFamily="34" charset="0"/>
            </a:rPr>
            <a:t>WHERE COVERAGE WILL BE PROVIDED BY THE POLICY FOR LOSSES RESULTING </a:t>
          </a:r>
          <a:r>
            <a:rPr lang="en-US" sz="1000" baseline="0">
              <a:solidFill>
                <a:schemeClr val="dk1"/>
              </a:solidFill>
              <a:latin typeface="Arial" pitchFamily="34" charset="0"/>
              <a:ea typeface="+mn-ea"/>
              <a:cs typeface="Arial" pitchFamily="34" charset="0"/>
            </a:rPr>
            <a:t> </a:t>
          </a:r>
          <a:r>
            <a:rPr lang="en-US" sz="1000">
              <a:solidFill>
                <a:schemeClr val="dk1"/>
              </a:solidFill>
              <a:latin typeface="Arial" pitchFamily="34" charset="0"/>
              <a:ea typeface="+mn-ea"/>
              <a:cs typeface="Arial" pitchFamily="34" charset="0"/>
            </a:rPr>
            <a:t>FROM CERTIFIED ACTS OF TERRORISM, SUCH LOSSES MAY BE PARTIALLY REIMBURSED BY THE UNITED STATES GOVERNMENT UNDER A FORMULA ESTABLISHED BY FEDERAL LAW. HOWEVER, YOUR POLICY MAY CONTAIN OTHER EXCLUSIONS WHICH MIGHT AFFECT YOUR COVERAGE, SUCH AS AN EXCLUSION FOR NUCLEAR EVENTS. UNDER THE FORMULA, THE UNITED STATES GOVERNMENT GENERALLY REIMBURSES 85% OF COVERED TERRORISM LOSSES EXCEEDING THE STATUTORILY ESTABLISHED DEDUCTIBLE PAID BY THE INSURANCE COMPANY PROVIDING THE COVERAGE. </a:t>
          </a:r>
        </a:p>
        <a:p>
          <a:pPr lvl="0"/>
          <a:endParaRPr lang="en-US" sz="1000">
            <a:solidFill>
              <a:schemeClr val="dk1"/>
            </a:solidFill>
            <a:latin typeface="Arial" pitchFamily="34" charset="0"/>
            <a:ea typeface="+mn-ea"/>
            <a:cs typeface="Arial" pitchFamily="34" charset="0"/>
          </a:endParaRPr>
        </a:p>
        <a:p>
          <a:pPr lvl="0" algn="just"/>
          <a:r>
            <a:rPr lang="en-US" sz="1000">
              <a:solidFill>
                <a:schemeClr val="dk1"/>
              </a:solidFill>
              <a:latin typeface="Arial" pitchFamily="34" charset="0"/>
              <a:ea typeface="+mn-ea"/>
              <a:cs typeface="Arial" pitchFamily="34" charset="0"/>
            </a:rPr>
            <a:t>THE TERRORISM RISK INSURANCE ACT, AS AMENDED, CONTAINS A $100 BILLION CAP THAT LIMITS U. S. GOVERNMENT REIMBURSEMENT AS WELL AS INSURER’S LIABILITY FOR LOSSES RESULTING FROM CERTIFIED ACTS OF TERRORISM WHEN THE AMOUNT OF SUCH LOSSES IN ANY ONE CALENDAR YEAR EXCEEDS $100 BILLION. IF THE AGGREGATE INSURED LOSSES FOR ALL INSURERS EXCEED $100 BILLION, YOU COVERAGE MAY RE REDUCED.</a:t>
          </a:r>
        </a:p>
        <a:p>
          <a:pPr lvl="0"/>
          <a:endParaRPr lang="en-US" sz="1000">
            <a:solidFill>
              <a:schemeClr val="dk1"/>
            </a:solidFill>
            <a:latin typeface="Arial" pitchFamily="34" charset="0"/>
            <a:ea typeface="+mn-ea"/>
            <a:cs typeface="Arial" pitchFamily="34" charset="0"/>
          </a:endParaRPr>
        </a:p>
        <a:p>
          <a:pPr lvl="0" algn="just"/>
          <a:r>
            <a:rPr lang="en-US" sz="1000">
              <a:solidFill>
                <a:schemeClr val="dk1"/>
              </a:solidFill>
              <a:latin typeface="Arial" pitchFamily="34" charset="0"/>
              <a:ea typeface="+mn-ea"/>
              <a:cs typeface="Arial" pitchFamily="34" charset="0"/>
            </a:rPr>
            <a:t>NO PREMIUM WILL BE CHARGED FOR ACTS OF TERRORISM COVERAGE WHICH WILL BE AUTOMATICALLY PROVIDED WITH YOUR POLICY, AND NO CHARGES WILL BE INCLUDED FOR THE PORTION OF LOSS THAT MAY BE COVERED BY THE FEDERAL GOVERNMENT UNDER THE ACT.</a:t>
          </a:r>
        </a:p>
      </xdr:txBody>
    </xdr:sp>
    <xdr:clientData/>
  </xdr:twoCellAnchor>
  <xdr:oneCellAnchor>
    <xdr:from>
      <xdr:col>0</xdr:col>
      <xdr:colOff>590549</xdr:colOff>
      <xdr:row>1</xdr:row>
      <xdr:rowOff>4306</xdr:rowOff>
    </xdr:from>
    <xdr:ext cx="2071915" cy="592663"/>
    <xdr:pic>
      <xdr:nvPicPr>
        <xdr:cNvPr id="11" name="Picture 10" descr="cid:image001.jpg@01D3AB17.B81ECC60">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590549" y="194806"/>
          <a:ext cx="2071915" cy="592663"/>
        </a:xfrm>
        <a:prstGeom prst="rect">
          <a:avLst/>
        </a:prstGeom>
        <a:noFill/>
        <a:ln>
          <a:noFill/>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28F9A-6F44-46AC-87D9-0433BA890960}" name="Table2" displayName="Table2" ref="CB3:CT18" totalsRowShown="0">
  <autoFilter ref="CB3:CT18" xr:uid="{BAA28F9A-6F44-46AC-87D9-0433BA890960}"/>
  <tableColumns count="19">
    <tableColumn id="1" xr3:uid="{D68F4A3B-91E7-4E1E-8589-05FE75B7C4F4}" name="Column1"/>
    <tableColumn id="2" xr3:uid="{C95D846A-48E6-4C8F-A8F9-197EB97D1D51}" name="Column2"/>
    <tableColumn id="3" xr3:uid="{F064EA1D-3193-4098-94EC-AC93395F283C}" name="Column3"/>
    <tableColumn id="4" xr3:uid="{BAAAA3C6-06A9-4A24-9E56-BB537CE9AC5B}" name="Column4"/>
    <tableColumn id="5" xr3:uid="{5CFE44A5-1D55-46D6-ADD6-4DC5F7C388B0}" name="N#s" dataDxfId="119">
      <calculatedColumnFormula>IF($AH$5="","",$AH$5)</calculatedColumnFormula>
    </tableColumn>
    <tableColumn id="19" xr3:uid="{55664A29-E4A0-4585-BF36-C0B1761F1C7B}" name="Column5"/>
    <tableColumn id="18" xr3:uid="{884ADD60-1807-4300-8962-FEAE7B8D12CB}" name="Pilot" dataDxfId="118">
      <calculatedColumnFormula>IF(AND($AE$4&lt;&gt;$AY$1,$AH$6&gt;""),CONCATENATE($AH$6," or"),IF(AND($AE$4&lt;&gt;$AY$1,$AH$6=""),"",IF($AH$6=""," NEED PILOT NAMME NO VALID COVERAGE",$AH$6)))</calculatedColumnFormula>
    </tableColumn>
    <tableColumn id="6" xr3:uid="{C0D36CCD-916E-4CC3-AEDE-0BCB57831BC0}" name="Start"/>
    <tableColumn id="17" xr3:uid="{29CD0C5A-7B5E-4566-9BE9-317D120EB696}" name="Lic" dataDxfId="117">
      <calculatedColumnFormula>IF($AK$4="Com","Commercial","ATP")</calculatedColumnFormula>
    </tableColumn>
    <tableColumn id="16" xr3:uid="{64377FF3-9715-4BB6-A2C3-AF597EC26540}" name="Column7" dataDxfId="116"/>
    <tableColumn id="7" xr3:uid="{AA621925-D719-4E94-8D91-64B7B3CDB8E0}" name="TT"/>
    <tableColumn id="8" xr3:uid="{DAB3AEFE-5E77-4E83-BCAA-7AE73120475C}" name="Column8"/>
    <tableColumn id="9" xr3:uid="{8119A96C-3F2C-4C4A-A23A-D442C1EF67FB}" name="Turbine"/>
    <tableColumn id="10" xr3:uid="{B78C6946-4B3A-466B-B27F-FFDFED1EF45F}" name="Column10"/>
    <tableColumn id="11" xr3:uid="{E8849A12-C82F-4B82-B03D-CF6A419F8DE1}" name="ME/RG/RW"/>
    <tableColumn id="12" xr3:uid="{830BE0FA-ECD3-45CB-819C-7E6DBE491B13}" name="Column12"/>
    <tableColumn id="13" xr3:uid="{E4CF232F-7BEA-4E3C-B450-A5CC5D4336E0}" name="MM"/>
    <tableColumn id="14" xr3:uid="{0F6AC633-0AFF-4C82-9F40-1CC5E56434E8}" name="Column14"/>
    <tableColumn id="15" xr3:uid="{71692A26-68F3-46E4-8C48-EC64E31A6B49}" name="Column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3BCC7-30E4-4B23-B7D4-F4B34481B448}" name="Table27" displayName="Table27" ref="CB22:CT37" totalsRowShown="0">
  <autoFilter ref="CB22:CT37" xr:uid="{80D3BCC7-30E4-4B23-B7D4-F4B34481B448}"/>
  <tableColumns count="19">
    <tableColumn id="1" xr3:uid="{550BBFE5-E5C7-4F45-8BA0-7A731FE960DC}" name="Column1"/>
    <tableColumn id="2" xr3:uid="{F9254F5F-C7F4-4609-BEA9-5D7574FEC978}" name="Column2"/>
    <tableColumn id="3" xr3:uid="{D7FC1FEB-59B9-4645-8F7C-251E23039125}" name="Column3"/>
    <tableColumn id="4" xr3:uid="{B8BFB1A8-F1BB-410C-AAE7-371C1539DFDE}" name="Column4"/>
    <tableColumn id="5" xr3:uid="{DA159F82-2680-4B36-BEB1-E62D304EFBB0}" name="N#s" dataDxfId="115">
      <calculatedColumnFormula>IF($AH$12="","",$AH$12)</calculatedColumnFormula>
    </tableColumn>
    <tableColumn id="19" xr3:uid="{CE9DA736-1B21-43E7-BE54-7BC47766AD2F}" name="Column5"/>
    <tableColumn id="18" xr3:uid="{436A1E89-6DA7-4A8C-958D-1F96C0A9375D}" name="Pilot" dataDxfId="114">
      <calculatedColumnFormula>IF(AND($AE$18&lt;&gt;$AY$1,$AH$20&gt;""),CONCATENATE($AH$20," or"),IF(AND($AE$18&lt;&gt;$AY$1,$AH$20=""),$AH$20,IF($AH$20=""," NEED PILOT NAMME NO VALID COVERAGE",$AH$20)))</calculatedColumnFormula>
    </tableColumn>
    <tableColumn id="6" xr3:uid="{4D7775D1-EA70-425E-913C-5C740585C3D9}" name="Start"/>
    <tableColumn id="17" xr3:uid="{D963DFB0-3F80-450A-9491-FCCD50B025E7}" name="Lic" dataDxfId="113">
      <calculatedColumnFormula>IF($AK$11="Com","Commercial","ATP")</calculatedColumnFormula>
    </tableColumn>
    <tableColumn id="16" xr3:uid="{12F64A7E-AEA3-420C-A5EC-B1929E7EBBC3}" name="Column7" dataDxfId="112"/>
    <tableColumn id="7" xr3:uid="{96434314-6CB9-4397-836A-4F6F2D5D1BA1}" name="TT"/>
    <tableColumn id="8" xr3:uid="{BE0F8A7F-E35E-4F95-AB35-243A67261117}" name="Column8"/>
    <tableColumn id="9" xr3:uid="{A03D846E-CA18-4E81-9AFC-A8921F4DE3DA}" name="Turbine"/>
    <tableColumn id="10" xr3:uid="{CEB00666-5D9F-4EA9-9751-38B46175BE92}" name="Column10"/>
    <tableColumn id="11" xr3:uid="{D90FDB1C-1C9F-44C4-8E36-1901E930C5C4}" name="ME/RG/RW"/>
    <tableColumn id="12" xr3:uid="{4E893FFD-F9D7-4E5A-9D94-1291A6A54A8F}" name="Column12"/>
    <tableColumn id="13" xr3:uid="{95C9A7FC-2C8B-46FC-A371-C3D0019C59FF}" name="MM"/>
    <tableColumn id="14" xr3:uid="{11391F51-B372-4B7A-8F3C-953BD1FF54E4}" name="Column14"/>
    <tableColumn id="15" xr3:uid="{4182CE1D-8839-4A31-B8C8-6EBD7FDD7496}" name="Column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36A1885-9FA9-44E0-85FE-24237E778587}" name="Table278" displayName="Table278" ref="CB40:CT55" totalsRowShown="0">
  <autoFilter ref="CB40:CT55" xr:uid="{D36A1885-9FA9-44E0-85FE-24237E778587}"/>
  <tableColumns count="19">
    <tableColumn id="1" xr3:uid="{38119A01-51A6-42B1-9E61-377274D6515C}" name="Column1"/>
    <tableColumn id="2" xr3:uid="{6B13798A-3C89-4928-A108-D10658261C6C}" name="Column2"/>
    <tableColumn id="3" xr3:uid="{F230F77F-C934-4823-945E-0D80F69E61C7}" name="Column3"/>
    <tableColumn id="4" xr3:uid="{D8DD0159-BAE3-48B4-95FD-29F773C17371}" name="Column4"/>
    <tableColumn id="5" xr3:uid="{D64508CA-5378-409B-93B8-6CFA4966ACBD}" name="N#s" dataDxfId="111">
      <calculatedColumnFormula>IF($AH$12="","",$AH$12)</calculatedColumnFormula>
    </tableColumn>
    <tableColumn id="19" xr3:uid="{24BF6D8D-307D-4C1A-8259-C71E95F5C6D4}" name="Column5"/>
    <tableColumn id="18" xr3:uid="{EEFA56B5-2520-41A2-923F-7D458C75CE7A}" name="Pilot" dataDxfId="110">
      <calculatedColumnFormula>IF(AND($AE$11&lt;&gt;$AY$1,$AH$13&gt;""),CONCATENATE($AH$13," or"),IF(AND($AE$11&lt;&gt;$AY$1,$AH$13=""),$AH$13,IF($AH$13=""," NEED PILOT NAMME NO VALID COVERAGE",$AH$13)))</calculatedColumnFormula>
    </tableColumn>
    <tableColumn id="6" xr3:uid="{AF6701C9-849E-463B-A88C-8043009D417B}" name="Start"/>
    <tableColumn id="17" xr3:uid="{AF644A5A-47D8-40FF-96B3-A4439BF5D907}" name="Lic" dataDxfId="109">
      <calculatedColumnFormula>IF($AK$11="Com","Commercial","ATP")</calculatedColumnFormula>
    </tableColumn>
    <tableColumn id="16" xr3:uid="{2AAAFF2C-1425-41DB-822B-3344EFD461E8}" name="Column7" dataDxfId="108"/>
    <tableColumn id="7" xr3:uid="{DF4C11BF-05E7-4A38-B66B-CDAA7992CBF4}" name="TT"/>
    <tableColumn id="8" xr3:uid="{95F69432-23AF-4FDF-A126-EC229D0730C7}" name="Column8"/>
    <tableColumn id="9" xr3:uid="{8B2A85DC-0BF0-44F7-B552-61DF13ED20CA}" name="Turbine"/>
    <tableColumn id="10" xr3:uid="{B26D07F4-4092-433F-997B-7544ACE8D6A2}" name="Column10"/>
    <tableColumn id="11" xr3:uid="{3203796A-A43C-4B9B-B2A5-40766B708BCA}" name="ME/RG/RW"/>
    <tableColumn id="12" xr3:uid="{974313DE-179B-403F-BE75-C452B2284CE1}" name="Column12"/>
    <tableColumn id="13" xr3:uid="{124DFBB2-CA2A-4D35-B40D-64CF6ABB27FE}" name="MM"/>
    <tableColumn id="14" xr3:uid="{EBC8866C-FDE0-4AB7-9C68-1E56A00A6352}" name="Column14"/>
    <tableColumn id="15" xr3:uid="{7C37195E-8D99-4679-BA16-2FFD863471CA}" name="Column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513BA13-7DD3-4ED0-BEEE-E2A0D4A55BBB}" name="Table27810" displayName="Table27810" ref="CB58:CT73" totalsRowShown="0">
  <autoFilter ref="CB58:CT73" xr:uid="{B513BA13-7DD3-4ED0-BEEE-E2A0D4A55BBB}"/>
  <tableColumns count="19">
    <tableColumn id="1" xr3:uid="{660496BC-7795-4162-AA5D-D72C4D6FE52D}" name="Column1"/>
    <tableColumn id="2" xr3:uid="{82172451-5CA0-40AE-B07B-DDF2F9C79770}" name="Column2"/>
    <tableColumn id="3" xr3:uid="{D8642044-6748-4ECB-9339-A4030FCFF5E5}" name="Column3"/>
    <tableColumn id="4" xr3:uid="{DD8265D7-33DD-47AF-A60F-A2EA920C18E7}" name="Column4"/>
    <tableColumn id="5" xr3:uid="{E1B555CB-0582-4491-8BD0-10A2ECB296EF}" name="N#s" dataDxfId="107">
      <calculatedColumnFormula>IF($AH$12="","",$AH$12)</calculatedColumnFormula>
    </tableColumn>
    <tableColumn id="19" xr3:uid="{D2C0A373-78EB-4F23-BCF3-4EA36311823A}" name="Column5"/>
    <tableColumn id="18" xr3:uid="{B4286985-F9A0-4D63-8F10-D95855425E77}" name="Pilot" dataDxfId="106">
      <calculatedColumnFormula>IF(BZ59=0,"",BZ59)</calculatedColumnFormula>
    </tableColumn>
    <tableColumn id="6" xr3:uid="{9874AA9A-C85C-47BF-A045-ECCD59CD9140}" name="Start"/>
    <tableColumn id="17" xr3:uid="{54B97205-6251-448D-9BF6-6FBCDAA0AE84}" name="Lic" dataDxfId="105">
      <calculatedColumnFormula>IF($AK$11="Com","Commercial","ATP")</calculatedColumnFormula>
    </tableColumn>
    <tableColumn id="16" xr3:uid="{E2631245-0145-47FF-A295-FB0013F164BA}" name="Column7" dataDxfId="104"/>
    <tableColumn id="7" xr3:uid="{8DDA7380-E0DF-4022-A2B4-FD542C0E82C8}" name="TT"/>
    <tableColumn id="8" xr3:uid="{CDC6E798-231C-4F4F-A3AD-7627D6A93960}" name="Column8"/>
    <tableColumn id="9" xr3:uid="{2B4552C1-FD50-4D96-9DD1-0EF9A0C0DC80}" name="Turbine"/>
    <tableColumn id="10" xr3:uid="{96B65C11-E53A-4960-9580-9FCBB562FD6C}" name="Column10"/>
    <tableColumn id="11" xr3:uid="{702E58FF-13AD-486B-9BED-11CB80570413}" name="ME/RG/RW"/>
    <tableColumn id="12" xr3:uid="{2FA65F70-6C05-4F5C-AFDD-991730C284C9}" name="Column12"/>
    <tableColumn id="13" xr3:uid="{A0A78425-D3AF-4F5B-BD4F-8A4CD3689C8F}" name="MM"/>
    <tableColumn id="14" xr3:uid="{53C85ED0-3842-4A31-8B64-47E0BDF28199}" name="Column14"/>
    <tableColumn id="15" xr3:uid="{E0371FC3-7DBA-4321-A2CC-F83AAF9F14B2}" name="Column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0:Q38" totalsRowShown="0" headerRowDxfId="97" dataDxfId="96" totalsRowDxfId="94" tableBorderDxfId="95">
  <tableColumns count="16">
    <tableColumn id="1" xr3:uid="{00000000-0010-0000-0000-000001000000}" name="N#" dataDxfId="93" totalsRowDxfId="92">
      <calculatedColumnFormula>IF(Aircraft!F4="","",Rating!C10)</calculatedColumnFormula>
    </tableColumn>
    <tableColumn id="2" xr3:uid="{00000000-0010-0000-0000-000002000000}" name="Year" dataDxfId="91" totalsRowDxfId="90">
      <calculatedColumnFormula>IF(B11="","",Aircraft!H4)</calculatedColumnFormula>
    </tableColumn>
    <tableColumn id="3" xr3:uid="{00000000-0010-0000-0000-000003000000}" name="Make/Model" dataDxfId="89" totalsRowDxfId="88">
      <calculatedColumnFormula>IF(B11="","",Rating!E10)</calculatedColumnFormula>
    </tableColumn>
    <tableColumn id="5" xr3:uid="{00000000-0010-0000-0000-000005000000}" name="Seats_x000a_Crew/Pax" dataDxfId="87" totalsRowDxfId="86">
      <calculatedColumnFormula>IF(Aircraft!AI4&gt;0,Aircraft!AI4,Aircraft!AE4)</calculatedColumnFormula>
    </tableColumn>
    <tableColumn id="6" xr3:uid="{00000000-0010-0000-0000-000006000000}" name="H/V" dataDxfId="85" totalsRowDxfId="84">
      <calculatedColumnFormula>IF(D11="","",IF(OR(Aircraft!P4=0,Aircraft!P4=""),0,Aircraft!P4))</calculatedColumnFormula>
    </tableColumn>
    <tableColumn id="7" xr3:uid="{00000000-0010-0000-0000-000007000000}" name="Hull Cov." dataDxfId="83" totalsRowDxfId="82">
      <calculatedColumnFormula>IF(D11="","",IF(Aircraft!S4="N","F.","G."))</calculatedColumnFormula>
    </tableColumn>
    <tableColumn id="15" xr3:uid="{00000000-0010-0000-0000-00000F000000}" name="Liability " dataDxfId="81" totalsRowDxfId="80">
      <calculatedColumnFormula>IF(Aircraft!W4="","",Aircraft!W4)</calculatedColumnFormula>
    </tableColumn>
    <tableColumn id="4" xr3:uid="{00000000-0010-0000-0000-000004000000}" name="Med" dataDxfId="79" totalsRowDxfId="78">
      <calculatedColumnFormula>IF(Aircraft!Y4="","",Aircraft!Y4)</calculatedColumnFormula>
    </tableColumn>
    <tableColumn id="8" xr3:uid="{00000000-0010-0000-0000-000008000000}" name="USE" dataDxfId="77" totalsRowDxfId="76">
      <calculatedColumnFormula>IF(D11="","",Rating!H10)</calculatedColumnFormula>
    </tableColumn>
    <tableColumn id="16" xr3:uid="{00000000-0010-0000-0000-000010000000}" name="A/P" dataDxfId="75" totalsRowDxfId="74">
      <calculatedColumnFormula>IF(Aircraft!U4="","",Aircraft!U4)</calculatedColumnFormula>
    </tableColumn>
    <tableColumn id="9" xr3:uid="{00000000-0010-0000-0000-000009000000}" name="Deducts_x000a_NIM/*IM" dataDxfId="73" totalsRowDxfId="72">
      <calculatedColumnFormula>IF(D11="","",IF(F11=0,"N/A",Aircraft!BH4))</calculatedColumnFormula>
    </tableColumn>
    <tableColumn id="10" xr3:uid="{00000000-0010-0000-0000-00000A000000}" name="Hull Rate" dataDxfId="71" totalsRowDxfId="70">
      <calculatedColumnFormula>IF(D11="","",IF(F11=0,0,PRODUCT(Worksheet_Com!N6,100)))</calculatedColumnFormula>
    </tableColumn>
    <tableColumn id="11" xr3:uid="{00000000-0010-0000-0000-00000B000000}" name="Liab Prem" dataDxfId="69" totalsRowDxfId="68">
      <calculatedColumnFormula>IF(H11="","",Worksheet_Com!P6)</calculatedColumnFormula>
    </tableColumn>
    <tableColumn id="12" xr3:uid="{00000000-0010-0000-0000-00000C000000}" name="Med Prem" dataDxfId="67" totalsRowDxfId="66">
      <calculatedColumnFormula>IF(I11="","",Worksheet_Com!Q6)</calculatedColumnFormula>
    </tableColumn>
    <tableColumn id="13" xr3:uid="{00000000-0010-0000-0000-00000D000000}" name="Hull Prem" dataDxfId="65" totalsRowDxfId="64">
      <calculatedColumnFormula>IF(F11="","",IF(F11=0,0,Worksheet_Com!O6))</calculatedColumnFormula>
    </tableColumn>
    <tableColumn id="14" xr3:uid="{00000000-0010-0000-0000-00000E000000}" name="Total" dataDxfId="63" totalsRowDxfId="62">
      <calculatedColumnFormula>IF(B11="","",SUM(N11:P11))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aircraftbluebook.com/" TargetMode="External"/><Relationship Id="rId1" Type="http://schemas.openxmlformats.org/officeDocument/2006/relationships/hyperlink" Target="http://www.airnav.com/airport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2.bin"/><Relationship Id="rId5" Type="http://schemas.openxmlformats.org/officeDocument/2006/relationships/table" Target="../tables/table4.xml"/><Relationship Id="rId4"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hyperlink" Target="https://revenue.ky.gov/Business/Insurance-Premiums-Tax-Surcharge/Pages/default.aspx" TargetMode="External"/><Relationship Id="rId1" Type="http://schemas.openxmlformats.org/officeDocument/2006/relationships/hyperlink" Target="http://insurance.ky.gov/Docs.aspx?Div_ID=13" TargetMode="External"/><Relationship Id="rId4"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C4B9D-5B85-4AC4-81CA-AA9F8CD917CF}">
  <sheetPr codeName="Sheet22">
    <tabColor rgb="FFFFFF00"/>
  </sheetPr>
  <dimension ref="A1:L500"/>
  <sheetViews>
    <sheetView workbookViewId="0">
      <selection activeCell="B2" sqref="B2"/>
    </sheetView>
  </sheetViews>
  <sheetFormatPr defaultColWidth="0" defaultRowHeight="14.25" zeroHeight="1"/>
  <cols>
    <col min="1" max="1" width="8.5" style="412" customWidth="1"/>
    <col min="2" max="2" width="16" style="416" customWidth="1"/>
    <col min="3" max="3" width="11.375" style="416" customWidth="1"/>
    <col min="4" max="4" width="108.25" style="417" customWidth="1"/>
    <col min="5" max="5" width="14.875" style="418" customWidth="1"/>
    <col min="6" max="6" width="12.125" style="419" bestFit="1" customWidth="1"/>
    <col min="7" max="7" width="13.375" style="416" customWidth="1"/>
    <col min="8" max="8" width="11.125" style="416" customWidth="1"/>
    <col min="9" max="9" width="0" style="113" hidden="1" customWidth="1"/>
    <col min="10" max="16384" width="0" style="113" hidden="1"/>
  </cols>
  <sheetData>
    <row r="1" spans="1:12" customFormat="1" ht="15">
      <c r="A1" s="413" t="s">
        <v>0</v>
      </c>
      <c r="B1" s="413" t="s">
        <v>1</v>
      </c>
      <c r="C1" s="413" t="s">
        <v>2</v>
      </c>
      <c r="D1" s="420" t="s">
        <v>3</v>
      </c>
      <c r="E1" s="414" t="s">
        <v>4</v>
      </c>
      <c r="F1" s="415" t="s">
        <v>5</v>
      </c>
      <c r="G1" s="421" t="s">
        <v>6</v>
      </c>
      <c r="H1" s="421" t="s">
        <v>7</v>
      </c>
      <c r="K1" s="422" t="s">
        <v>2</v>
      </c>
      <c r="L1" s="422" t="s">
        <v>7</v>
      </c>
    </row>
    <row r="2" spans="1:12">
      <c r="A2" s="412" t="str">
        <f>IF(B2="","",1)</f>
        <v/>
      </c>
      <c r="K2" s="423" t="s">
        <v>8</v>
      </c>
      <c r="L2" s="424" t="s">
        <v>9</v>
      </c>
    </row>
    <row r="3" spans="1:12">
      <c r="A3" s="412" t="str">
        <f>IF(B3="","",A2+1)</f>
        <v/>
      </c>
      <c r="K3" s="423" t="s">
        <v>10</v>
      </c>
      <c r="L3" s="424" t="s">
        <v>11</v>
      </c>
    </row>
    <row r="4" spans="1:12">
      <c r="A4" s="412" t="str">
        <f t="shared" ref="A4:A67" si="0">IF(B4="","",A3+1)</f>
        <v/>
      </c>
      <c r="K4" s="423" t="s">
        <v>12</v>
      </c>
      <c r="L4" s="423"/>
    </row>
    <row r="5" spans="1:12">
      <c r="A5" s="412" t="str">
        <f t="shared" si="0"/>
        <v/>
      </c>
      <c r="K5" s="423" t="s">
        <v>13</v>
      </c>
      <c r="L5" s="423"/>
    </row>
    <row r="6" spans="1:12">
      <c r="A6" s="412" t="str">
        <f t="shared" si="0"/>
        <v/>
      </c>
      <c r="K6" s="423"/>
      <c r="L6" s="423"/>
    </row>
    <row r="7" spans="1:12">
      <c r="A7" s="412" t="str">
        <f t="shared" si="0"/>
        <v/>
      </c>
      <c r="K7" s="423"/>
      <c r="L7" s="423"/>
    </row>
    <row r="8" spans="1:12">
      <c r="A8" s="412" t="str">
        <f t="shared" si="0"/>
        <v/>
      </c>
    </row>
    <row r="9" spans="1:12">
      <c r="A9" s="412" t="str">
        <f t="shared" si="0"/>
        <v/>
      </c>
    </row>
    <row r="10" spans="1:12">
      <c r="A10" s="412" t="str">
        <f t="shared" si="0"/>
        <v/>
      </c>
    </row>
    <row r="11" spans="1:12">
      <c r="A11" s="412" t="str">
        <f t="shared" si="0"/>
        <v/>
      </c>
    </row>
    <row r="12" spans="1:12">
      <c r="A12" s="412" t="str">
        <f t="shared" si="0"/>
        <v/>
      </c>
    </row>
    <row r="13" spans="1:12">
      <c r="A13" s="412" t="str">
        <f t="shared" si="0"/>
        <v/>
      </c>
    </row>
    <row r="14" spans="1:12">
      <c r="A14" s="412" t="str">
        <f t="shared" si="0"/>
        <v/>
      </c>
    </row>
    <row r="15" spans="1:12">
      <c r="A15" s="412" t="str">
        <f t="shared" si="0"/>
        <v/>
      </c>
    </row>
    <row r="16" spans="1:12">
      <c r="A16" s="412" t="str">
        <f t="shared" si="0"/>
        <v/>
      </c>
    </row>
    <row r="17" spans="1:1">
      <c r="A17" s="412" t="str">
        <f t="shared" si="0"/>
        <v/>
      </c>
    </row>
    <row r="18" spans="1:1">
      <c r="A18" s="412" t="str">
        <f t="shared" si="0"/>
        <v/>
      </c>
    </row>
    <row r="19" spans="1:1">
      <c r="A19" s="412" t="str">
        <f t="shared" si="0"/>
        <v/>
      </c>
    </row>
    <row r="20" spans="1:1">
      <c r="A20" s="412" t="str">
        <f t="shared" si="0"/>
        <v/>
      </c>
    </row>
    <row r="21" spans="1:1">
      <c r="A21" s="412" t="str">
        <f t="shared" si="0"/>
        <v/>
      </c>
    </row>
    <row r="22" spans="1:1">
      <c r="A22" s="412" t="str">
        <f t="shared" si="0"/>
        <v/>
      </c>
    </row>
    <row r="23" spans="1:1">
      <c r="A23" s="412" t="str">
        <f t="shared" si="0"/>
        <v/>
      </c>
    </row>
    <row r="24" spans="1:1">
      <c r="A24" s="412" t="str">
        <f t="shared" si="0"/>
        <v/>
      </c>
    </row>
    <row r="25" spans="1:1">
      <c r="A25" s="412" t="str">
        <f t="shared" si="0"/>
        <v/>
      </c>
    </row>
    <row r="26" spans="1:1">
      <c r="A26" s="412" t="str">
        <f t="shared" si="0"/>
        <v/>
      </c>
    </row>
    <row r="27" spans="1:1">
      <c r="A27" s="412" t="str">
        <f t="shared" si="0"/>
        <v/>
      </c>
    </row>
    <row r="28" spans="1:1">
      <c r="A28" s="412" t="str">
        <f t="shared" si="0"/>
        <v/>
      </c>
    </row>
    <row r="29" spans="1:1">
      <c r="A29" s="412" t="str">
        <f t="shared" si="0"/>
        <v/>
      </c>
    </row>
    <row r="30" spans="1:1">
      <c r="A30" s="412" t="str">
        <f t="shared" si="0"/>
        <v/>
      </c>
    </row>
    <row r="31" spans="1:1">
      <c r="A31" s="412" t="str">
        <f t="shared" si="0"/>
        <v/>
      </c>
    </row>
    <row r="32" spans="1:1">
      <c r="A32" s="412" t="str">
        <f t="shared" si="0"/>
        <v/>
      </c>
    </row>
    <row r="33" spans="1:1">
      <c r="A33" s="412" t="str">
        <f t="shared" si="0"/>
        <v/>
      </c>
    </row>
    <row r="34" spans="1:1">
      <c r="A34" s="412" t="str">
        <f t="shared" si="0"/>
        <v/>
      </c>
    </row>
    <row r="35" spans="1:1">
      <c r="A35" s="412" t="str">
        <f t="shared" si="0"/>
        <v/>
      </c>
    </row>
    <row r="36" spans="1:1">
      <c r="A36" s="412" t="str">
        <f t="shared" si="0"/>
        <v/>
      </c>
    </row>
    <row r="37" spans="1:1">
      <c r="A37" s="412" t="str">
        <f t="shared" si="0"/>
        <v/>
      </c>
    </row>
    <row r="38" spans="1:1">
      <c r="A38" s="412" t="str">
        <f t="shared" si="0"/>
        <v/>
      </c>
    </row>
    <row r="39" spans="1:1">
      <c r="A39" s="412" t="str">
        <f t="shared" si="0"/>
        <v/>
      </c>
    </row>
    <row r="40" spans="1:1">
      <c r="A40" s="412" t="str">
        <f t="shared" si="0"/>
        <v/>
      </c>
    </row>
    <row r="41" spans="1:1">
      <c r="A41" s="412" t="str">
        <f t="shared" si="0"/>
        <v/>
      </c>
    </row>
    <row r="42" spans="1:1">
      <c r="A42" s="412" t="str">
        <f t="shared" si="0"/>
        <v/>
      </c>
    </row>
    <row r="43" spans="1:1">
      <c r="A43" s="412" t="str">
        <f t="shared" si="0"/>
        <v/>
      </c>
    </row>
    <row r="44" spans="1:1">
      <c r="A44" s="412" t="str">
        <f t="shared" si="0"/>
        <v/>
      </c>
    </row>
    <row r="45" spans="1:1">
      <c r="A45" s="412" t="str">
        <f t="shared" si="0"/>
        <v/>
      </c>
    </row>
    <row r="46" spans="1:1">
      <c r="A46" s="412" t="str">
        <f t="shared" si="0"/>
        <v/>
      </c>
    </row>
    <row r="47" spans="1:1">
      <c r="A47" s="412" t="str">
        <f t="shared" si="0"/>
        <v/>
      </c>
    </row>
    <row r="48" spans="1:1">
      <c r="A48" s="412" t="str">
        <f t="shared" si="0"/>
        <v/>
      </c>
    </row>
    <row r="49" spans="1:1">
      <c r="A49" s="412" t="str">
        <f t="shared" si="0"/>
        <v/>
      </c>
    </row>
    <row r="50" spans="1:1">
      <c r="A50" s="412" t="str">
        <f t="shared" si="0"/>
        <v/>
      </c>
    </row>
    <row r="51" spans="1:1">
      <c r="A51" s="412" t="str">
        <f t="shared" si="0"/>
        <v/>
      </c>
    </row>
    <row r="52" spans="1:1">
      <c r="A52" s="412" t="str">
        <f t="shared" si="0"/>
        <v/>
      </c>
    </row>
    <row r="53" spans="1:1">
      <c r="A53" s="412" t="str">
        <f t="shared" si="0"/>
        <v/>
      </c>
    </row>
    <row r="54" spans="1:1">
      <c r="A54" s="412" t="str">
        <f t="shared" si="0"/>
        <v/>
      </c>
    </row>
    <row r="55" spans="1:1">
      <c r="A55" s="412" t="str">
        <f t="shared" si="0"/>
        <v/>
      </c>
    </row>
    <row r="56" spans="1:1">
      <c r="A56" s="412" t="str">
        <f t="shared" si="0"/>
        <v/>
      </c>
    </row>
    <row r="57" spans="1:1">
      <c r="A57" s="412" t="str">
        <f t="shared" si="0"/>
        <v/>
      </c>
    </row>
    <row r="58" spans="1:1">
      <c r="A58" s="412" t="str">
        <f t="shared" si="0"/>
        <v/>
      </c>
    </row>
    <row r="59" spans="1:1">
      <c r="A59" s="412" t="str">
        <f t="shared" si="0"/>
        <v/>
      </c>
    </row>
    <row r="60" spans="1:1">
      <c r="A60" s="412" t="str">
        <f t="shared" si="0"/>
        <v/>
      </c>
    </row>
    <row r="61" spans="1:1">
      <c r="A61" s="412" t="str">
        <f t="shared" si="0"/>
        <v/>
      </c>
    </row>
    <row r="62" spans="1:1">
      <c r="A62" s="412" t="str">
        <f t="shared" si="0"/>
        <v/>
      </c>
    </row>
    <row r="63" spans="1:1">
      <c r="A63" s="412" t="str">
        <f t="shared" si="0"/>
        <v/>
      </c>
    </row>
    <row r="64" spans="1:1">
      <c r="A64" s="412" t="str">
        <f t="shared" si="0"/>
        <v/>
      </c>
    </row>
    <row r="65" spans="1:1">
      <c r="A65" s="412" t="str">
        <f t="shared" si="0"/>
        <v/>
      </c>
    </row>
    <row r="66" spans="1:1">
      <c r="A66" s="412" t="str">
        <f t="shared" si="0"/>
        <v/>
      </c>
    </row>
    <row r="67" spans="1:1">
      <c r="A67" s="412" t="str">
        <f t="shared" si="0"/>
        <v/>
      </c>
    </row>
    <row r="68" spans="1:1">
      <c r="A68" s="412" t="str">
        <f t="shared" ref="A68:A131" si="1">IF(B68="","",A67+1)</f>
        <v/>
      </c>
    </row>
    <row r="69" spans="1:1">
      <c r="A69" s="412" t="str">
        <f t="shared" si="1"/>
        <v/>
      </c>
    </row>
    <row r="70" spans="1:1">
      <c r="A70" s="412" t="str">
        <f t="shared" si="1"/>
        <v/>
      </c>
    </row>
    <row r="71" spans="1:1">
      <c r="A71" s="412" t="str">
        <f t="shared" si="1"/>
        <v/>
      </c>
    </row>
    <row r="72" spans="1:1">
      <c r="A72" s="412" t="str">
        <f t="shared" si="1"/>
        <v/>
      </c>
    </row>
    <row r="73" spans="1:1">
      <c r="A73" s="412" t="str">
        <f t="shared" si="1"/>
        <v/>
      </c>
    </row>
    <row r="74" spans="1:1">
      <c r="A74" s="412" t="str">
        <f t="shared" si="1"/>
        <v/>
      </c>
    </row>
    <row r="75" spans="1:1">
      <c r="A75" s="412" t="str">
        <f t="shared" si="1"/>
        <v/>
      </c>
    </row>
    <row r="76" spans="1:1">
      <c r="A76" s="412" t="str">
        <f t="shared" si="1"/>
        <v/>
      </c>
    </row>
    <row r="77" spans="1:1">
      <c r="A77" s="412" t="str">
        <f t="shared" si="1"/>
        <v/>
      </c>
    </row>
    <row r="78" spans="1:1">
      <c r="A78" s="412" t="str">
        <f t="shared" si="1"/>
        <v/>
      </c>
    </row>
    <row r="79" spans="1:1">
      <c r="A79" s="412" t="str">
        <f t="shared" si="1"/>
        <v/>
      </c>
    </row>
    <row r="80" spans="1:1">
      <c r="A80" s="412" t="str">
        <f t="shared" si="1"/>
        <v/>
      </c>
    </row>
    <row r="81" spans="1:1">
      <c r="A81" s="412" t="str">
        <f t="shared" si="1"/>
        <v/>
      </c>
    </row>
    <row r="82" spans="1:1">
      <c r="A82" s="412" t="str">
        <f t="shared" si="1"/>
        <v/>
      </c>
    </row>
    <row r="83" spans="1:1">
      <c r="A83" s="412" t="str">
        <f t="shared" si="1"/>
        <v/>
      </c>
    </row>
    <row r="84" spans="1:1">
      <c r="A84" s="412" t="str">
        <f t="shared" si="1"/>
        <v/>
      </c>
    </row>
    <row r="85" spans="1:1">
      <c r="A85" s="412" t="str">
        <f t="shared" si="1"/>
        <v/>
      </c>
    </row>
    <row r="86" spans="1:1">
      <c r="A86" s="412" t="str">
        <f t="shared" si="1"/>
        <v/>
      </c>
    </row>
    <row r="87" spans="1:1">
      <c r="A87" s="412" t="str">
        <f t="shared" si="1"/>
        <v/>
      </c>
    </row>
    <row r="88" spans="1:1">
      <c r="A88" s="412" t="str">
        <f t="shared" si="1"/>
        <v/>
      </c>
    </row>
    <row r="89" spans="1:1">
      <c r="A89" s="412" t="str">
        <f t="shared" si="1"/>
        <v/>
      </c>
    </row>
    <row r="90" spans="1:1">
      <c r="A90" s="412" t="str">
        <f t="shared" si="1"/>
        <v/>
      </c>
    </row>
    <row r="91" spans="1:1">
      <c r="A91" s="412" t="str">
        <f t="shared" si="1"/>
        <v/>
      </c>
    </row>
    <row r="92" spans="1:1">
      <c r="A92" s="412" t="str">
        <f t="shared" si="1"/>
        <v/>
      </c>
    </row>
    <row r="93" spans="1:1">
      <c r="A93" s="412" t="str">
        <f t="shared" si="1"/>
        <v/>
      </c>
    </row>
    <row r="94" spans="1:1">
      <c r="A94" s="412" t="str">
        <f t="shared" si="1"/>
        <v/>
      </c>
    </row>
    <row r="95" spans="1:1">
      <c r="A95" s="412" t="str">
        <f t="shared" si="1"/>
        <v/>
      </c>
    </row>
    <row r="96" spans="1:1">
      <c r="A96" s="412" t="str">
        <f t="shared" si="1"/>
        <v/>
      </c>
    </row>
    <row r="97" spans="1:1">
      <c r="A97" s="412" t="str">
        <f t="shared" si="1"/>
        <v/>
      </c>
    </row>
    <row r="98" spans="1:1">
      <c r="A98" s="412" t="str">
        <f t="shared" si="1"/>
        <v/>
      </c>
    </row>
    <row r="99" spans="1:1">
      <c r="A99" s="412" t="str">
        <f t="shared" si="1"/>
        <v/>
      </c>
    </row>
    <row r="100" spans="1:1">
      <c r="A100" s="412" t="str">
        <f t="shared" si="1"/>
        <v/>
      </c>
    </row>
    <row r="101" spans="1:1">
      <c r="A101" s="412" t="str">
        <f t="shared" si="1"/>
        <v/>
      </c>
    </row>
    <row r="102" spans="1:1">
      <c r="A102" s="412" t="str">
        <f t="shared" si="1"/>
        <v/>
      </c>
    </row>
    <row r="103" spans="1:1">
      <c r="A103" s="412" t="str">
        <f t="shared" si="1"/>
        <v/>
      </c>
    </row>
    <row r="104" spans="1:1">
      <c r="A104" s="412" t="str">
        <f t="shared" si="1"/>
        <v/>
      </c>
    </row>
    <row r="105" spans="1:1">
      <c r="A105" s="412" t="str">
        <f t="shared" si="1"/>
        <v/>
      </c>
    </row>
    <row r="106" spans="1:1">
      <c r="A106" s="412" t="str">
        <f t="shared" si="1"/>
        <v/>
      </c>
    </row>
    <row r="107" spans="1:1">
      <c r="A107" s="412" t="str">
        <f t="shared" si="1"/>
        <v/>
      </c>
    </row>
    <row r="108" spans="1:1">
      <c r="A108" s="412" t="str">
        <f t="shared" si="1"/>
        <v/>
      </c>
    </row>
    <row r="109" spans="1:1">
      <c r="A109" s="412" t="str">
        <f t="shared" si="1"/>
        <v/>
      </c>
    </row>
    <row r="110" spans="1:1">
      <c r="A110" s="412" t="str">
        <f t="shared" si="1"/>
        <v/>
      </c>
    </row>
    <row r="111" spans="1:1">
      <c r="A111" s="412" t="str">
        <f t="shared" si="1"/>
        <v/>
      </c>
    </row>
    <row r="112" spans="1:1">
      <c r="A112" s="412" t="str">
        <f t="shared" si="1"/>
        <v/>
      </c>
    </row>
    <row r="113" spans="1:1">
      <c r="A113" s="412" t="str">
        <f t="shared" si="1"/>
        <v/>
      </c>
    </row>
    <row r="114" spans="1:1">
      <c r="A114" s="412" t="str">
        <f t="shared" si="1"/>
        <v/>
      </c>
    </row>
    <row r="115" spans="1:1">
      <c r="A115" s="412" t="str">
        <f t="shared" si="1"/>
        <v/>
      </c>
    </row>
    <row r="116" spans="1:1">
      <c r="A116" s="412" t="str">
        <f t="shared" si="1"/>
        <v/>
      </c>
    </row>
    <row r="117" spans="1:1">
      <c r="A117" s="412" t="str">
        <f t="shared" si="1"/>
        <v/>
      </c>
    </row>
    <row r="118" spans="1:1">
      <c r="A118" s="412" t="str">
        <f t="shared" si="1"/>
        <v/>
      </c>
    </row>
    <row r="119" spans="1:1">
      <c r="A119" s="412" t="str">
        <f t="shared" si="1"/>
        <v/>
      </c>
    </row>
    <row r="120" spans="1:1">
      <c r="A120" s="412" t="str">
        <f t="shared" si="1"/>
        <v/>
      </c>
    </row>
    <row r="121" spans="1:1">
      <c r="A121" s="412" t="str">
        <f t="shared" si="1"/>
        <v/>
      </c>
    </row>
    <row r="122" spans="1:1">
      <c r="A122" s="412" t="str">
        <f t="shared" si="1"/>
        <v/>
      </c>
    </row>
    <row r="123" spans="1:1">
      <c r="A123" s="412" t="str">
        <f t="shared" si="1"/>
        <v/>
      </c>
    </row>
    <row r="124" spans="1:1">
      <c r="A124" s="412" t="str">
        <f t="shared" si="1"/>
        <v/>
      </c>
    </row>
    <row r="125" spans="1:1">
      <c r="A125" s="412" t="str">
        <f t="shared" si="1"/>
        <v/>
      </c>
    </row>
    <row r="126" spans="1:1">
      <c r="A126" s="412" t="str">
        <f t="shared" si="1"/>
        <v/>
      </c>
    </row>
    <row r="127" spans="1:1">
      <c r="A127" s="412" t="str">
        <f t="shared" si="1"/>
        <v/>
      </c>
    </row>
    <row r="128" spans="1:1">
      <c r="A128" s="412" t="str">
        <f t="shared" si="1"/>
        <v/>
      </c>
    </row>
    <row r="129" spans="1:1">
      <c r="A129" s="412" t="str">
        <f t="shared" si="1"/>
        <v/>
      </c>
    </row>
    <row r="130" spans="1:1">
      <c r="A130" s="412" t="str">
        <f t="shared" si="1"/>
        <v/>
      </c>
    </row>
    <row r="131" spans="1:1">
      <c r="A131" s="412" t="str">
        <f t="shared" si="1"/>
        <v/>
      </c>
    </row>
    <row r="132" spans="1:1">
      <c r="A132" s="412" t="str">
        <f t="shared" ref="A132:A195" si="2">IF(B132="","",A131+1)</f>
        <v/>
      </c>
    </row>
    <row r="133" spans="1:1">
      <c r="A133" s="412" t="str">
        <f t="shared" si="2"/>
        <v/>
      </c>
    </row>
    <row r="134" spans="1:1">
      <c r="A134" s="412" t="str">
        <f t="shared" si="2"/>
        <v/>
      </c>
    </row>
    <row r="135" spans="1:1">
      <c r="A135" s="412" t="str">
        <f t="shared" si="2"/>
        <v/>
      </c>
    </row>
    <row r="136" spans="1:1">
      <c r="A136" s="412" t="str">
        <f t="shared" si="2"/>
        <v/>
      </c>
    </row>
    <row r="137" spans="1:1">
      <c r="A137" s="412" t="str">
        <f t="shared" si="2"/>
        <v/>
      </c>
    </row>
    <row r="138" spans="1:1">
      <c r="A138" s="412" t="str">
        <f t="shared" si="2"/>
        <v/>
      </c>
    </row>
    <row r="139" spans="1:1">
      <c r="A139" s="412" t="str">
        <f t="shared" si="2"/>
        <v/>
      </c>
    </row>
    <row r="140" spans="1:1">
      <c r="A140" s="412" t="str">
        <f t="shared" si="2"/>
        <v/>
      </c>
    </row>
    <row r="141" spans="1:1">
      <c r="A141" s="412" t="str">
        <f t="shared" si="2"/>
        <v/>
      </c>
    </row>
    <row r="142" spans="1:1">
      <c r="A142" s="412" t="str">
        <f t="shared" si="2"/>
        <v/>
      </c>
    </row>
    <row r="143" spans="1:1">
      <c r="A143" s="412" t="str">
        <f t="shared" si="2"/>
        <v/>
      </c>
    </row>
    <row r="144" spans="1:1">
      <c r="A144" s="412" t="str">
        <f t="shared" si="2"/>
        <v/>
      </c>
    </row>
    <row r="145" spans="1:1">
      <c r="A145" s="412" t="str">
        <f t="shared" si="2"/>
        <v/>
      </c>
    </row>
    <row r="146" spans="1:1">
      <c r="A146" s="412" t="str">
        <f t="shared" si="2"/>
        <v/>
      </c>
    </row>
    <row r="147" spans="1:1">
      <c r="A147" s="412" t="str">
        <f t="shared" si="2"/>
        <v/>
      </c>
    </row>
    <row r="148" spans="1:1">
      <c r="A148" s="412" t="str">
        <f t="shared" si="2"/>
        <v/>
      </c>
    </row>
    <row r="149" spans="1:1">
      <c r="A149" s="412" t="str">
        <f t="shared" si="2"/>
        <v/>
      </c>
    </row>
    <row r="150" spans="1:1">
      <c r="A150" s="412" t="str">
        <f t="shared" si="2"/>
        <v/>
      </c>
    </row>
    <row r="151" spans="1:1">
      <c r="A151" s="412" t="str">
        <f t="shared" si="2"/>
        <v/>
      </c>
    </row>
    <row r="152" spans="1:1">
      <c r="A152" s="412" t="str">
        <f t="shared" si="2"/>
        <v/>
      </c>
    </row>
    <row r="153" spans="1:1">
      <c r="A153" s="412" t="str">
        <f t="shared" si="2"/>
        <v/>
      </c>
    </row>
    <row r="154" spans="1:1">
      <c r="A154" s="412" t="str">
        <f t="shared" si="2"/>
        <v/>
      </c>
    </row>
    <row r="155" spans="1:1">
      <c r="A155" s="412" t="str">
        <f t="shared" si="2"/>
        <v/>
      </c>
    </row>
    <row r="156" spans="1:1">
      <c r="A156" s="412" t="str">
        <f t="shared" si="2"/>
        <v/>
      </c>
    </row>
    <row r="157" spans="1:1">
      <c r="A157" s="412" t="str">
        <f t="shared" si="2"/>
        <v/>
      </c>
    </row>
    <row r="158" spans="1:1">
      <c r="A158" s="412" t="str">
        <f t="shared" si="2"/>
        <v/>
      </c>
    </row>
    <row r="159" spans="1:1">
      <c r="A159" s="412" t="str">
        <f t="shared" si="2"/>
        <v/>
      </c>
    </row>
    <row r="160" spans="1:1">
      <c r="A160" s="412" t="str">
        <f t="shared" si="2"/>
        <v/>
      </c>
    </row>
    <row r="161" spans="1:1">
      <c r="A161" s="412" t="str">
        <f t="shared" si="2"/>
        <v/>
      </c>
    </row>
    <row r="162" spans="1:1">
      <c r="A162" s="412" t="str">
        <f t="shared" si="2"/>
        <v/>
      </c>
    </row>
    <row r="163" spans="1:1">
      <c r="A163" s="412" t="str">
        <f t="shared" si="2"/>
        <v/>
      </c>
    </row>
    <row r="164" spans="1:1">
      <c r="A164" s="412" t="str">
        <f t="shared" si="2"/>
        <v/>
      </c>
    </row>
    <row r="165" spans="1:1">
      <c r="A165" s="412" t="str">
        <f t="shared" si="2"/>
        <v/>
      </c>
    </row>
    <row r="166" spans="1:1">
      <c r="A166" s="412" t="str">
        <f t="shared" si="2"/>
        <v/>
      </c>
    </row>
    <row r="167" spans="1:1">
      <c r="A167" s="412" t="str">
        <f t="shared" si="2"/>
        <v/>
      </c>
    </row>
    <row r="168" spans="1:1">
      <c r="A168" s="412" t="str">
        <f t="shared" si="2"/>
        <v/>
      </c>
    </row>
    <row r="169" spans="1:1">
      <c r="A169" s="412" t="str">
        <f t="shared" si="2"/>
        <v/>
      </c>
    </row>
    <row r="170" spans="1:1">
      <c r="A170" s="412" t="str">
        <f t="shared" si="2"/>
        <v/>
      </c>
    </row>
    <row r="171" spans="1:1">
      <c r="A171" s="412" t="str">
        <f t="shared" si="2"/>
        <v/>
      </c>
    </row>
    <row r="172" spans="1:1">
      <c r="A172" s="412" t="str">
        <f t="shared" si="2"/>
        <v/>
      </c>
    </row>
    <row r="173" spans="1:1">
      <c r="A173" s="412" t="str">
        <f t="shared" si="2"/>
        <v/>
      </c>
    </row>
    <row r="174" spans="1:1">
      <c r="A174" s="412" t="str">
        <f t="shared" si="2"/>
        <v/>
      </c>
    </row>
    <row r="175" spans="1:1">
      <c r="A175" s="412" t="str">
        <f t="shared" si="2"/>
        <v/>
      </c>
    </row>
    <row r="176" spans="1:1">
      <c r="A176" s="412" t="str">
        <f t="shared" si="2"/>
        <v/>
      </c>
    </row>
    <row r="177" spans="1:1">
      <c r="A177" s="412" t="str">
        <f t="shared" si="2"/>
        <v/>
      </c>
    </row>
    <row r="178" spans="1:1">
      <c r="A178" s="412" t="str">
        <f t="shared" si="2"/>
        <v/>
      </c>
    </row>
    <row r="179" spans="1:1">
      <c r="A179" s="412" t="str">
        <f t="shared" si="2"/>
        <v/>
      </c>
    </row>
    <row r="180" spans="1:1">
      <c r="A180" s="412" t="str">
        <f t="shared" si="2"/>
        <v/>
      </c>
    </row>
    <row r="181" spans="1:1">
      <c r="A181" s="412" t="str">
        <f t="shared" si="2"/>
        <v/>
      </c>
    </row>
    <row r="182" spans="1:1">
      <c r="A182" s="412" t="str">
        <f t="shared" si="2"/>
        <v/>
      </c>
    </row>
    <row r="183" spans="1:1">
      <c r="A183" s="412" t="str">
        <f t="shared" si="2"/>
        <v/>
      </c>
    </row>
    <row r="184" spans="1:1">
      <c r="A184" s="412" t="str">
        <f t="shared" si="2"/>
        <v/>
      </c>
    </row>
    <row r="185" spans="1:1">
      <c r="A185" s="412" t="str">
        <f t="shared" si="2"/>
        <v/>
      </c>
    </row>
    <row r="186" spans="1:1">
      <c r="A186" s="412" t="str">
        <f t="shared" si="2"/>
        <v/>
      </c>
    </row>
    <row r="187" spans="1:1">
      <c r="A187" s="412" t="str">
        <f t="shared" si="2"/>
        <v/>
      </c>
    </row>
    <row r="188" spans="1:1">
      <c r="A188" s="412" t="str">
        <f t="shared" si="2"/>
        <v/>
      </c>
    </row>
    <row r="189" spans="1:1">
      <c r="A189" s="412" t="str">
        <f t="shared" si="2"/>
        <v/>
      </c>
    </row>
    <row r="190" spans="1:1">
      <c r="A190" s="412" t="str">
        <f t="shared" si="2"/>
        <v/>
      </c>
    </row>
    <row r="191" spans="1:1">
      <c r="A191" s="412" t="str">
        <f t="shared" si="2"/>
        <v/>
      </c>
    </row>
    <row r="192" spans="1:1">
      <c r="A192" s="412" t="str">
        <f t="shared" si="2"/>
        <v/>
      </c>
    </row>
    <row r="193" spans="1:1">
      <c r="A193" s="412" t="str">
        <f t="shared" si="2"/>
        <v/>
      </c>
    </row>
    <row r="194" spans="1:1">
      <c r="A194" s="412" t="str">
        <f t="shared" si="2"/>
        <v/>
      </c>
    </row>
    <row r="195" spans="1:1">
      <c r="A195" s="412" t="str">
        <f t="shared" si="2"/>
        <v/>
      </c>
    </row>
    <row r="196" spans="1:1">
      <c r="A196" s="412" t="str">
        <f t="shared" ref="A196:A259" si="3">IF(B196="","",A195+1)</f>
        <v/>
      </c>
    </row>
    <row r="197" spans="1:1">
      <c r="A197" s="412" t="str">
        <f t="shared" si="3"/>
        <v/>
      </c>
    </row>
    <row r="198" spans="1:1">
      <c r="A198" s="412" t="str">
        <f t="shared" si="3"/>
        <v/>
      </c>
    </row>
    <row r="199" spans="1:1">
      <c r="A199" s="412" t="str">
        <f t="shared" si="3"/>
        <v/>
      </c>
    </row>
    <row r="200" spans="1:1">
      <c r="A200" s="412" t="str">
        <f t="shared" si="3"/>
        <v/>
      </c>
    </row>
    <row r="201" spans="1:1">
      <c r="A201" s="412" t="str">
        <f t="shared" si="3"/>
        <v/>
      </c>
    </row>
    <row r="202" spans="1:1">
      <c r="A202" s="412" t="str">
        <f t="shared" si="3"/>
        <v/>
      </c>
    </row>
    <row r="203" spans="1:1">
      <c r="A203" s="412" t="str">
        <f t="shared" si="3"/>
        <v/>
      </c>
    </row>
    <row r="204" spans="1:1">
      <c r="A204" s="412" t="str">
        <f t="shared" si="3"/>
        <v/>
      </c>
    </row>
    <row r="205" spans="1:1">
      <c r="A205" s="412" t="str">
        <f t="shared" si="3"/>
        <v/>
      </c>
    </row>
    <row r="206" spans="1:1">
      <c r="A206" s="412" t="str">
        <f t="shared" si="3"/>
        <v/>
      </c>
    </row>
    <row r="207" spans="1:1">
      <c r="A207" s="412" t="str">
        <f t="shared" si="3"/>
        <v/>
      </c>
    </row>
    <row r="208" spans="1:1">
      <c r="A208" s="412" t="str">
        <f t="shared" si="3"/>
        <v/>
      </c>
    </row>
    <row r="209" spans="1:1">
      <c r="A209" s="412" t="str">
        <f t="shared" si="3"/>
        <v/>
      </c>
    </row>
    <row r="210" spans="1:1">
      <c r="A210" s="412" t="str">
        <f t="shared" si="3"/>
        <v/>
      </c>
    </row>
    <row r="211" spans="1:1">
      <c r="A211" s="412" t="str">
        <f t="shared" si="3"/>
        <v/>
      </c>
    </row>
    <row r="212" spans="1:1">
      <c r="A212" s="412" t="str">
        <f t="shared" si="3"/>
        <v/>
      </c>
    </row>
    <row r="213" spans="1:1">
      <c r="A213" s="412" t="str">
        <f t="shared" si="3"/>
        <v/>
      </c>
    </row>
    <row r="214" spans="1:1">
      <c r="A214" s="412" t="str">
        <f t="shared" si="3"/>
        <v/>
      </c>
    </row>
    <row r="215" spans="1:1">
      <c r="A215" s="412" t="str">
        <f t="shared" si="3"/>
        <v/>
      </c>
    </row>
    <row r="216" spans="1:1">
      <c r="A216" s="412" t="str">
        <f t="shared" si="3"/>
        <v/>
      </c>
    </row>
    <row r="217" spans="1:1">
      <c r="A217" s="412" t="str">
        <f t="shared" si="3"/>
        <v/>
      </c>
    </row>
    <row r="218" spans="1:1">
      <c r="A218" s="412" t="str">
        <f t="shared" si="3"/>
        <v/>
      </c>
    </row>
    <row r="219" spans="1:1">
      <c r="A219" s="412" t="str">
        <f t="shared" si="3"/>
        <v/>
      </c>
    </row>
    <row r="220" spans="1:1">
      <c r="A220" s="412" t="str">
        <f t="shared" si="3"/>
        <v/>
      </c>
    </row>
    <row r="221" spans="1:1">
      <c r="A221" s="412" t="str">
        <f t="shared" si="3"/>
        <v/>
      </c>
    </row>
    <row r="222" spans="1:1">
      <c r="A222" s="412" t="str">
        <f t="shared" si="3"/>
        <v/>
      </c>
    </row>
    <row r="223" spans="1:1">
      <c r="A223" s="412" t="str">
        <f t="shared" si="3"/>
        <v/>
      </c>
    </row>
    <row r="224" spans="1:1">
      <c r="A224" s="412" t="str">
        <f t="shared" si="3"/>
        <v/>
      </c>
    </row>
    <row r="225" spans="1:1">
      <c r="A225" s="412" t="str">
        <f t="shared" si="3"/>
        <v/>
      </c>
    </row>
    <row r="226" spans="1:1">
      <c r="A226" s="412" t="str">
        <f t="shared" si="3"/>
        <v/>
      </c>
    </row>
    <row r="227" spans="1:1">
      <c r="A227" s="412" t="str">
        <f t="shared" si="3"/>
        <v/>
      </c>
    </row>
    <row r="228" spans="1:1">
      <c r="A228" s="412" t="str">
        <f t="shared" si="3"/>
        <v/>
      </c>
    </row>
    <row r="229" spans="1:1">
      <c r="A229" s="412" t="str">
        <f t="shared" si="3"/>
        <v/>
      </c>
    </row>
    <row r="230" spans="1:1">
      <c r="A230" s="412" t="str">
        <f t="shared" si="3"/>
        <v/>
      </c>
    </row>
    <row r="231" spans="1:1">
      <c r="A231" s="412" t="str">
        <f t="shared" si="3"/>
        <v/>
      </c>
    </row>
    <row r="232" spans="1:1">
      <c r="A232" s="412" t="str">
        <f t="shared" si="3"/>
        <v/>
      </c>
    </row>
    <row r="233" spans="1:1">
      <c r="A233" s="412" t="str">
        <f t="shared" si="3"/>
        <v/>
      </c>
    </row>
    <row r="234" spans="1:1">
      <c r="A234" s="412" t="str">
        <f t="shared" si="3"/>
        <v/>
      </c>
    </row>
    <row r="235" spans="1:1">
      <c r="A235" s="412" t="str">
        <f t="shared" si="3"/>
        <v/>
      </c>
    </row>
    <row r="236" spans="1:1">
      <c r="A236" s="412" t="str">
        <f t="shared" si="3"/>
        <v/>
      </c>
    </row>
    <row r="237" spans="1:1">
      <c r="A237" s="412" t="str">
        <f t="shared" si="3"/>
        <v/>
      </c>
    </row>
    <row r="238" spans="1:1">
      <c r="A238" s="412" t="str">
        <f t="shared" si="3"/>
        <v/>
      </c>
    </row>
    <row r="239" spans="1:1">
      <c r="A239" s="412" t="str">
        <f t="shared" si="3"/>
        <v/>
      </c>
    </row>
    <row r="240" spans="1:1">
      <c r="A240" s="412" t="str">
        <f t="shared" si="3"/>
        <v/>
      </c>
    </row>
    <row r="241" spans="1:1">
      <c r="A241" s="412" t="str">
        <f t="shared" si="3"/>
        <v/>
      </c>
    </row>
    <row r="242" spans="1:1">
      <c r="A242" s="412" t="str">
        <f t="shared" si="3"/>
        <v/>
      </c>
    </row>
    <row r="243" spans="1:1">
      <c r="A243" s="412" t="str">
        <f t="shared" si="3"/>
        <v/>
      </c>
    </row>
    <row r="244" spans="1:1">
      <c r="A244" s="412" t="str">
        <f t="shared" si="3"/>
        <v/>
      </c>
    </row>
    <row r="245" spans="1:1">
      <c r="A245" s="412" t="str">
        <f t="shared" si="3"/>
        <v/>
      </c>
    </row>
    <row r="246" spans="1:1">
      <c r="A246" s="412" t="str">
        <f t="shared" si="3"/>
        <v/>
      </c>
    </row>
    <row r="247" spans="1:1">
      <c r="A247" s="412" t="str">
        <f t="shared" si="3"/>
        <v/>
      </c>
    </row>
    <row r="248" spans="1:1">
      <c r="A248" s="412" t="str">
        <f t="shared" si="3"/>
        <v/>
      </c>
    </row>
    <row r="249" spans="1:1">
      <c r="A249" s="412" t="str">
        <f t="shared" si="3"/>
        <v/>
      </c>
    </row>
    <row r="250" spans="1:1">
      <c r="A250" s="412" t="str">
        <f t="shared" si="3"/>
        <v/>
      </c>
    </row>
    <row r="251" spans="1:1">
      <c r="A251" s="412" t="str">
        <f t="shared" si="3"/>
        <v/>
      </c>
    </row>
    <row r="252" spans="1:1">
      <c r="A252" s="412" t="str">
        <f t="shared" si="3"/>
        <v/>
      </c>
    </row>
    <row r="253" spans="1:1">
      <c r="A253" s="412" t="str">
        <f t="shared" si="3"/>
        <v/>
      </c>
    </row>
    <row r="254" spans="1:1">
      <c r="A254" s="412" t="str">
        <f t="shared" si="3"/>
        <v/>
      </c>
    </row>
    <row r="255" spans="1:1">
      <c r="A255" s="412" t="str">
        <f t="shared" si="3"/>
        <v/>
      </c>
    </row>
    <row r="256" spans="1:1">
      <c r="A256" s="412" t="str">
        <f t="shared" si="3"/>
        <v/>
      </c>
    </row>
    <row r="257" spans="1:1">
      <c r="A257" s="412" t="str">
        <f t="shared" si="3"/>
        <v/>
      </c>
    </row>
    <row r="258" spans="1:1">
      <c r="A258" s="412" t="str">
        <f t="shared" si="3"/>
        <v/>
      </c>
    </row>
    <row r="259" spans="1:1">
      <c r="A259" s="412" t="str">
        <f t="shared" si="3"/>
        <v/>
      </c>
    </row>
    <row r="260" spans="1:1">
      <c r="A260" s="412" t="str">
        <f t="shared" ref="A260:A323" si="4">IF(B260="","",A259+1)</f>
        <v/>
      </c>
    </row>
    <row r="261" spans="1:1">
      <c r="A261" s="412" t="str">
        <f t="shared" si="4"/>
        <v/>
      </c>
    </row>
    <row r="262" spans="1:1">
      <c r="A262" s="412" t="str">
        <f t="shared" si="4"/>
        <v/>
      </c>
    </row>
    <row r="263" spans="1:1">
      <c r="A263" s="412" t="str">
        <f t="shared" si="4"/>
        <v/>
      </c>
    </row>
    <row r="264" spans="1:1">
      <c r="A264" s="412" t="str">
        <f t="shared" si="4"/>
        <v/>
      </c>
    </row>
    <row r="265" spans="1:1">
      <c r="A265" s="412" t="str">
        <f t="shared" si="4"/>
        <v/>
      </c>
    </row>
    <row r="266" spans="1:1">
      <c r="A266" s="412" t="str">
        <f t="shared" si="4"/>
        <v/>
      </c>
    </row>
    <row r="267" spans="1:1">
      <c r="A267" s="412" t="str">
        <f t="shared" si="4"/>
        <v/>
      </c>
    </row>
    <row r="268" spans="1:1">
      <c r="A268" s="412" t="str">
        <f t="shared" si="4"/>
        <v/>
      </c>
    </row>
    <row r="269" spans="1:1">
      <c r="A269" s="412" t="str">
        <f t="shared" si="4"/>
        <v/>
      </c>
    </row>
    <row r="270" spans="1:1">
      <c r="A270" s="412" t="str">
        <f t="shared" si="4"/>
        <v/>
      </c>
    </row>
    <row r="271" spans="1:1">
      <c r="A271" s="412" t="str">
        <f t="shared" si="4"/>
        <v/>
      </c>
    </row>
    <row r="272" spans="1:1">
      <c r="A272" s="412" t="str">
        <f t="shared" si="4"/>
        <v/>
      </c>
    </row>
    <row r="273" spans="1:1">
      <c r="A273" s="412" t="str">
        <f t="shared" si="4"/>
        <v/>
      </c>
    </row>
    <row r="274" spans="1:1">
      <c r="A274" s="412" t="str">
        <f t="shared" si="4"/>
        <v/>
      </c>
    </row>
    <row r="275" spans="1:1">
      <c r="A275" s="412" t="str">
        <f t="shared" si="4"/>
        <v/>
      </c>
    </row>
    <row r="276" spans="1:1">
      <c r="A276" s="412" t="str">
        <f t="shared" si="4"/>
        <v/>
      </c>
    </row>
    <row r="277" spans="1:1">
      <c r="A277" s="412" t="str">
        <f t="shared" si="4"/>
        <v/>
      </c>
    </row>
    <row r="278" spans="1:1">
      <c r="A278" s="412" t="str">
        <f t="shared" si="4"/>
        <v/>
      </c>
    </row>
    <row r="279" spans="1:1">
      <c r="A279" s="412" t="str">
        <f t="shared" si="4"/>
        <v/>
      </c>
    </row>
    <row r="280" spans="1:1">
      <c r="A280" s="412" t="str">
        <f t="shared" si="4"/>
        <v/>
      </c>
    </row>
    <row r="281" spans="1:1">
      <c r="A281" s="412" t="str">
        <f t="shared" si="4"/>
        <v/>
      </c>
    </row>
    <row r="282" spans="1:1">
      <c r="A282" s="412" t="str">
        <f t="shared" si="4"/>
        <v/>
      </c>
    </row>
    <row r="283" spans="1:1">
      <c r="A283" s="412" t="str">
        <f t="shared" si="4"/>
        <v/>
      </c>
    </row>
    <row r="284" spans="1:1">
      <c r="A284" s="412" t="str">
        <f t="shared" si="4"/>
        <v/>
      </c>
    </row>
    <row r="285" spans="1:1">
      <c r="A285" s="412" t="str">
        <f t="shared" si="4"/>
        <v/>
      </c>
    </row>
    <row r="286" spans="1:1">
      <c r="A286" s="412" t="str">
        <f t="shared" si="4"/>
        <v/>
      </c>
    </row>
    <row r="287" spans="1:1">
      <c r="A287" s="412" t="str">
        <f t="shared" si="4"/>
        <v/>
      </c>
    </row>
    <row r="288" spans="1:1">
      <c r="A288" s="412" t="str">
        <f t="shared" si="4"/>
        <v/>
      </c>
    </row>
    <row r="289" spans="1:1">
      <c r="A289" s="412" t="str">
        <f t="shared" si="4"/>
        <v/>
      </c>
    </row>
    <row r="290" spans="1:1">
      <c r="A290" s="412" t="str">
        <f t="shared" si="4"/>
        <v/>
      </c>
    </row>
    <row r="291" spans="1:1">
      <c r="A291" s="412" t="str">
        <f t="shared" si="4"/>
        <v/>
      </c>
    </row>
    <row r="292" spans="1:1">
      <c r="A292" s="412" t="str">
        <f t="shared" si="4"/>
        <v/>
      </c>
    </row>
    <row r="293" spans="1:1">
      <c r="A293" s="412" t="str">
        <f t="shared" si="4"/>
        <v/>
      </c>
    </row>
    <row r="294" spans="1:1">
      <c r="A294" s="412" t="str">
        <f t="shared" si="4"/>
        <v/>
      </c>
    </row>
    <row r="295" spans="1:1">
      <c r="A295" s="412" t="str">
        <f t="shared" si="4"/>
        <v/>
      </c>
    </row>
    <row r="296" spans="1:1">
      <c r="A296" s="412" t="str">
        <f t="shared" si="4"/>
        <v/>
      </c>
    </row>
    <row r="297" spans="1:1">
      <c r="A297" s="412" t="str">
        <f t="shared" si="4"/>
        <v/>
      </c>
    </row>
    <row r="298" spans="1:1">
      <c r="A298" s="412" t="str">
        <f t="shared" si="4"/>
        <v/>
      </c>
    </row>
    <row r="299" spans="1:1">
      <c r="A299" s="412" t="str">
        <f t="shared" si="4"/>
        <v/>
      </c>
    </row>
    <row r="300" spans="1:1">
      <c r="A300" s="412" t="str">
        <f t="shared" si="4"/>
        <v/>
      </c>
    </row>
    <row r="301" spans="1:1">
      <c r="A301" s="412" t="str">
        <f t="shared" si="4"/>
        <v/>
      </c>
    </row>
    <row r="302" spans="1:1">
      <c r="A302" s="412" t="str">
        <f t="shared" si="4"/>
        <v/>
      </c>
    </row>
    <row r="303" spans="1:1">
      <c r="A303" s="412" t="str">
        <f t="shared" si="4"/>
        <v/>
      </c>
    </row>
    <row r="304" spans="1:1">
      <c r="A304" s="412" t="str">
        <f t="shared" si="4"/>
        <v/>
      </c>
    </row>
    <row r="305" spans="1:1">
      <c r="A305" s="412" t="str">
        <f t="shared" si="4"/>
        <v/>
      </c>
    </row>
    <row r="306" spans="1:1">
      <c r="A306" s="412" t="str">
        <f t="shared" si="4"/>
        <v/>
      </c>
    </row>
    <row r="307" spans="1:1">
      <c r="A307" s="412" t="str">
        <f t="shared" si="4"/>
        <v/>
      </c>
    </row>
    <row r="308" spans="1:1">
      <c r="A308" s="412" t="str">
        <f t="shared" si="4"/>
        <v/>
      </c>
    </row>
    <row r="309" spans="1:1">
      <c r="A309" s="412" t="str">
        <f t="shared" si="4"/>
        <v/>
      </c>
    </row>
    <row r="310" spans="1:1">
      <c r="A310" s="412" t="str">
        <f t="shared" si="4"/>
        <v/>
      </c>
    </row>
    <row r="311" spans="1:1">
      <c r="A311" s="412" t="str">
        <f t="shared" si="4"/>
        <v/>
      </c>
    </row>
    <row r="312" spans="1:1">
      <c r="A312" s="412" t="str">
        <f t="shared" si="4"/>
        <v/>
      </c>
    </row>
    <row r="313" spans="1:1">
      <c r="A313" s="412" t="str">
        <f t="shared" si="4"/>
        <v/>
      </c>
    </row>
    <row r="314" spans="1:1">
      <c r="A314" s="412" t="str">
        <f t="shared" si="4"/>
        <v/>
      </c>
    </row>
    <row r="315" spans="1:1">
      <c r="A315" s="412" t="str">
        <f t="shared" si="4"/>
        <v/>
      </c>
    </row>
    <row r="316" spans="1:1">
      <c r="A316" s="412" t="str">
        <f t="shared" si="4"/>
        <v/>
      </c>
    </row>
    <row r="317" spans="1:1">
      <c r="A317" s="412" t="str">
        <f t="shared" si="4"/>
        <v/>
      </c>
    </row>
    <row r="318" spans="1:1">
      <c r="A318" s="412" t="str">
        <f t="shared" si="4"/>
        <v/>
      </c>
    </row>
    <row r="319" spans="1:1">
      <c r="A319" s="412" t="str">
        <f t="shared" si="4"/>
        <v/>
      </c>
    </row>
    <row r="320" spans="1:1">
      <c r="A320" s="412" t="str">
        <f t="shared" si="4"/>
        <v/>
      </c>
    </row>
    <row r="321" spans="1:1">
      <c r="A321" s="412" t="str">
        <f t="shared" si="4"/>
        <v/>
      </c>
    </row>
    <row r="322" spans="1:1">
      <c r="A322" s="412" t="str">
        <f t="shared" si="4"/>
        <v/>
      </c>
    </row>
    <row r="323" spans="1:1">
      <c r="A323" s="412" t="str">
        <f t="shared" si="4"/>
        <v/>
      </c>
    </row>
    <row r="324" spans="1:1">
      <c r="A324" s="412" t="str">
        <f t="shared" ref="A324:A387" si="5">IF(B324="","",A323+1)</f>
        <v/>
      </c>
    </row>
    <row r="325" spans="1:1">
      <c r="A325" s="412" t="str">
        <f t="shared" si="5"/>
        <v/>
      </c>
    </row>
    <row r="326" spans="1:1">
      <c r="A326" s="412" t="str">
        <f t="shared" si="5"/>
        <v/>
      </c>
    </row>
    <row r="327" spans="1:1">
      <c r="A327" s="412" t="str">
        <f t="shared" si="5"/>
        <v/>
      </c>
    </row>
    <row r="328" spans="1:1">
      <c r="A328" s="412" t="str">
        <f t="shared" si="5"/>
        <v/>
      </c>
    </row>
    <row r="329" spans="1:1">
      <c r="A329" s="412" t="str">
        <f t="shared" si="5"/>
        <v/>
      </c>
    </row>
    <row r="330" spans="1:1">
      <c r="A330" s="412" t="str">
        <f t="shared" si="5"/>
        <v/>
      </c>
    </row>
    <row r="331" spans="1:1">
      <c r="A331" s="412" t="str">
        <f t="shared" si="5"/>
        <v/>
      </c>
    </row>
    <row r="332" spans="1:1">
      <c r="A332" s="412" t="str">
        <f t="shared" si="5"/>
        <v/>
      </c>
    </row>
    <row r="333" spans="1:1">
      <c r="A333" s="412" t="str">
        <f t="shared" si="5"/>
        <v/>
      </c>
    </row>
    <row r="334" spans="1:1">
      <c r="A334" s="412" t="str">
        <f t="shared" si="5"/>
        <v/>
      </c>
    </row>
    <row r="335" spans="1:1">
      <c r="A335" s="412" t="str">
        <f t="shared" si="5"/>
        <v/>
      </c>
    </row>
    <row r="336" spans="1:1">
      <c r="A336" s="412" t="str">
        <f t="shared" si="5"/>
        <v/>
      </c>
    </row>
    <row r="337" spans="1:1">
      <c r="A337" s="412" t="str">
        <f t="shared" si="5"/>
        <v/>
      </c>
    </row>
    <row r="338" spans="1:1">
      <c r="A338" s="412" t="str">
        <f t="shared" si="5"/>
        <v/>
      </c>
    </row>
    <row r="339" spans="1:1">
      <c r="A339" s="412" t="str">
        <f t="shared" si="5"/>
        <v/>
      </c>
    </row>
    <row r="340" spans="1:1">
      <c r="A340" s="412" t="str">
        <f t="shared" si="5"/>
        <v/>
      </c>
    </row>
    <row r="341" spans="1:1">
      <c r="A341" s="412" t="str">
        <f t="shared" si="5"/>
        <v/>
      </c>
    </row>
    <row r="342" spans="1:1">
      <c r="A342" s="412" t="str">
        <f t="shared" si="5"/>
        <v/>
      </c>
    </row>
    <row r="343" spans="1:1">
      <c r="A343" s="412" t="str">
        <f t="shared" si="5"/>
        <v/>
      </c>
    </row>
    <row r="344" spans="1:1">
      <c r="A344" s="412" t="str">
        <f t="shared" si="5"/>
        <v/>
      </c>
    </row>
    <row r="345" spans="1:1">
      <c r="A345" s="412" t="str">
        <f t="shared" si="5"/>
        <v/>
      </c>
    </row>
    <row r="346" spans="1:1">
      <c r="A346" s="412" t="str">
        <f t="shared" si="5"/>
        <v/>
      </c>
    </row>
    <row r="347" spans="1:1">
      <c r="A347" s="412" t="str">
        <f t="shared" si="5"/>
        <v/>
      </c>
    </row>
    <row r="348" spans="1:1">
      <c r="A348" s="412" t="str">
        <f t="shared" si="5"/>
        <v/>
      </c>
    </row>
    <row r="349" spans="1:1">
      <c r="A349" s="412" t="str">
        <f t="shared" si="5"/>
        <v/>
      </c>
    </row>
    <row r="350" spans="1:1">
      <c r="A350" s="412" t="str">
        <f t="shared" si="5"/>
        <v/>
      </c>
    </row>
    <row r="351" spans="1:1">
      <c r="A351" s="412" t="str">
        <f t="shared" si="5"/>
        <v/>
      </c>
    </row>
    <row r="352" spans="1:1">
      <c r="A352" s="412" t="str">
        <f t="shared" si="5"/>
        <v/>
      </c>
    </row>
    <row r="353" spans="1:1">
      <c r="A353" s="412" t="str">
        <f t="shared" si="5"/>
        <v/>
      </c>
    </row>
    <row r="354" spans="1:1">
      <c r="A354" s="412" t="str">
        <f t="shared" si="5"/>
        <v/>
      </c>
    </row>
    <row r="355" spans="1:1">
      <c r="A355" s="412" t="str">
        <f t="shared" si="5"/>
        <v/>
      </c>
    </row>
    <row r="356" spans="1:1">
      <c r="A356" s="412" t="str">
        <f t="shared" si="5"/>
        <v/>
      </c>
    </row>
    <row r="357" spans="1:1">
      <c r="A357" s="412" t="str">
        <f t="shared" si="5"/>
        <v/>
      </c>
    </row>
    <row r="358" spans="1:1">
      <c r="A358" s="412" t="str">
        <f t="shared" si="5"/>
        <v/>
      </c>
    </row>
    <row r="359" spans="1:1">
      <c r="A359" s="412" t="str">
        <f t="shared" si="5"/>
        <v/>
      </c>
    </row>
    <row r="360" spans="1:1">
      <c r="A360" s="412" t="str">
        <f t="shared" si="5"/>
        <v/>
      </c>
    </row>
    <row r="361" spans="1:1">
      <c r="A361" s="412" t="str">
        <f t="shared" si="5"/>
        <v/>
      </c>
    </row>
    <row r="362" spans="1:1">
      <c r="A362" s="412" t="str">
        <f t="shared" si="5"/>
        <v/>
      </c>
    </row>
    <row r="363" spans="1:1">
      <c r="A363" s="412" t="str">
        <f t="shared" si="5"/>
        <v/>
      </c>
    </row>
    <row r="364" spans="1:1">
      <c r="A364" s="412" t="str">
        <f t="shared" si="5"/>
        <v/>
      </c>
    </row>
    <row r="365" spans="1:1">
      <c r="A365" s="412" t="str">
        <f t="shared" si="5"/>
        <v/>
      </c>
    </row>
    <row r="366" spans="1:1">
      <c r="A366" s="412" t="str">
        <f t="shared" si="5"/>
        <v/>
      </c>
    </row>
    <row r="367" spans="1:1">
      <c r="A367" s="412" t="str">
        <f t="shared" si="5"/>
        <v/>
      </c>
    </row>
    <row r="368" spans="1:1">
      <c r="A368" s="412" t="str">
        <f t="shared" si="5"/>
        <v/>
      </c>
    </row>
    <row r="369" spans="1:1">
      <c r="A369" s="412" t="str">
        <f t="shared" si="5"/>
        <v/>
      </c>
    </row>
    <row r="370" spans="1:1">
      <c r="A370" s="412" t="str">
        <f t="shared" si="5"/>
        <v/>
      </c>
    </row>
    <row r="371" spans="1:1">
      <c r="A371" s="412" t="str">
        <f t="shared" si="5"/>
        <v/>
      </c>
    </row>
    <row r="372" spans="1:1">
      <c r="A372" s="412" t="str">
        <f t="shared" si="5"/>
        <v/>
      </c>
    </row>
    <row r="373" spans="1:1">
      <c r="A373" s="412" t="str">
        <f t="shared" si="5"/>
        <v/>
      </c>
    </row>
    <row r="374" spans="1:1">
      <c r="A374" s="412" t="str">
        <f t="shared" si="5"/>
        <v/>
      </c>
    </row>
    <row r="375" spans="1:1">
      <c r="A375" s="412" t="str">
        <f t="shared" si="5"/>
        <v/>
      </c>
    </row>
    <row r="376" spans="1:1">
      <c r="A376" s="412" t="str">
        <f t="shared" si="5"/>
        <v/>
      </c>
    </row>
    <row r="377" spans="1:1">
      <c r="A377" s="412" t="str">
        <f t="shared" si="5"/>
        <v/>
      </c>
    </row>
    <row r="378" spans="1:1">
      <c r="A378" s="412" t="str">
        <f t="shared" si="5"/>
        <v/>
      </c>
    </row>
    <row r="379" spans="1:1">
      <c r="A379" s="412" t="str">
        <f t="shared" si="5"/>
        <v/>
      </c>
    </row>
    <row r="380" spans="1:1">
      <c r="A380" s="412" t="str">
        <f t="shared" si="5"/>
        <v/>
      </c>
    </row>
    <row r="381" spans="1:1">
      <c r="A381" s="412" t="str">
        <f t="shared" si="5"/>
        <v/>
      </c>
    </row>
    <row r="382" spans="1:1">
      <c r="A382" s="412" t="str">
        <f t="shared" si="5"/>
        <v/>
      </c>
    </row>
    <row r="383" spans="1:1">
      <c r="A383" s="412" t="str">
        <f t="shared" si="5"/>
        <v/>
      </c>
    </row>
    <row r="384" spans="1:1">
      <c r="A384" s="412" t="str">
        <f t="shared" si="5"/>
        <v/>
      </c>
    </row>
    <row r="385" spans="1:1">
      <c r="A385" s="412" t="str">
        <f t="shared" si="5"/>
        <v/>
      </c>
    </row>
    <row r="386" spans="1:1">
      <c r="A386" s="412" t="str">
        <f t="shared" si="5"/>
        <v/>
      </c>
    </row>
    <row r="387" spans="1:1">
      <c r="A387" s="412" t="str">
        <f t="shared" si="5"/>
        <v/>
      </c>
    </row>
    <row r="388" spans="1:1">
      <c r="A388" s="412" t="str">
        <f t="shared" ref="A388:A451" si="6">IF(B388="","",A387+1)</f>
        <v/>
      </c>
    </row>
    <row r="389" spans="1:1">
      <c r="A389" s="412" t="str">
        <f t="shared" si="6"/>
        <v/>
      </c>
    </row>
    <row r="390" spans="1:1">
      <c r="A390" s="412" t="str">
        <f t="shared" si="6"/>
        <v/>
      </c>
    </row>
    <row r="391" spans="1:1">
      <c r="A391" s="412" t="str">
        <f t="shared" si="6"/>
        <v/>
      </c>
    </row>
    <row r="392" spans="1:1">
      <c r="A392" s="412" t="str">
        <f t="shared" si="6"/>
        <v/>
      </c>
    </row>
    <row r="393" spans="1:1">
      <c r="A393" s="412" t="str">
        <f t="shared" si="6"/>
        <v/>
      </c>
    </row>
    <row r="394" spans="1:1">
      <c r="A394" s="412" t="str">
        <f t="shared" si="6"/>
        <v/>
      </c>
    </row>
    <row r="395" spans="1:1">
      <c r="A395" s="412" t="str">
        <f t="shared" si="6"/>
        <v/>
      </c>
    </row>
    <row r="396" spans="1:1">
      <c r="A396" s="412" t="str">
        <f t="shared" si="6"/>
        <v/>
      </c>
    </row>
    <row r="397" spans="1:1">
      <c r="A397" s="412" t="str">
        <f t="shared" si="6"/>
        <v/>
      </c>
    </row>
    <row r="398" spans="1:1">
      <c r="A398" s="412" t="str">
        <f t="shared" si="6"/>
        <v/>
      </c>
    </row>
    <row r="399" spans="1:1">
      <c r="A399" s="412" t="str">
        <f t="shared" si="6"/>
        <v/>
      </c>
    </row>
    <row r="400" spans="1:1">
      <c r="A400" s="412" t="str">
        <f t="shared" si="6"/>
        <v/>
      </c>
    </row>
    <row r="401" spans="1:1">
      <c r="A401" s="412" t="str">
        <f t="shared" si="6"/>
        <v/>
      </c>
    </row>
    <row r="402" spans="1:1">
      <c r="A402" s="412" t="str">
        <f t="shared" si="6"/>
        <v/>
      </c>
    </row>
    <row r="403" spans="1:1">
      <c r="A403" s="412" t="str">
        <f t="shared" si="6"/>
        <v/>
      </c>
    </row>
    <row r="404" spans="1:1">
      <c r="A404" s="412" t="str">
        <f t="shared" si="6"/>
        <v/>
      </c>
    </row>
    <row r="405" spans="1:1">
      <c r="A405" s="412" t="str">
        <f t="shared" si="6"/>
        <v/>
      </c>
    </row>
    <row r="406" spans="1:1">
      <c r="A406" s="412" t="str">
        <f t="shared" si="6"/>
        <v/>
      </c>
    </row>
    <row r="407" spans="1:1">
      <c r="A407" s="412" t="str">
        <f t="shared" si="6"/>
        <v/>
      </c>
    </row>
    <row r="408" spans="1:1">
      <c r="A408" s="412" t="str">
        <f t="shared" si="6"/>
        <v/>
      </c>
    </row>
    <row r="409" spans="1:1">
      <c r="A409" s="412" t="str">
        <f t="shared" si="6"/>
        <v/>
      </c>
    </row>
    <row r="410" spans="1:1">
      <c r="A410" s="412" t="str">
        <f t="shared" si="6"/>
        <v/>
      </c>
    </row>
    <row r="411" spans="1:1">
      <c r="A411" s="412" t="str">
        <f t="shared" si="6"/>
        <v/>
      </c>
    </row>
    <row r="412" spans="1:1">
      <c r="A412" s="412" t="str">
        <f t="shared" si="6"/>
        <v/>
      </c>
    </row>
    <row r="413" spans="1:1">
      <c r="A413" s="412" t="str">
        <f t="shared" si="6"/>
        <v/>
      </c>
    </row>
    <row r="414" spans="1:1">
      <c r="A414" s="412" t="str">
        <f t="shared" si="6"/>
        <v/>
      </c>
    </row>
    <row r="415" spans="1:1">
      <c r="A415" s="412" t="str">
        <f t="shared" si="6"/>
        <v/>
      </c>
    </row>
    <row r="416" spans="1:1">
      <c r="A416" s="412" t="str">
        <f t="shared" si="6"/>
        <v/>
      </c>
    </row>
    <row r="417" spans="1:1">
      <c r="A417" s="412" t="str">
        <f t="shared" si="6"/>
        <v/>
      </c>
    </row>
    <row r="418" spans="1:1">
      <c r="A418" s="412" t="str">
        <f t="shared" si="6"/>
        <v/>
      </c>
    </row>
    <row r="419" spans="1:1">
      <c r="A419" s="412" t="str">
        <f t="shared" si="6"/>
        <v/>
      </c>
    </row>
    <row r="420" spans="1:1">
      <c r="A420" s="412" t="str">
        <f t="shared" si="6"/>
        <v/>
      </c>
    </row>
    <row r="421" spans="1:1">
      <c r="A421" s="412" t="str">
        <f t="shared" si="6"/>
        <v/>
      </c>
    </row>
    <row r="422" spans="1:1">
      <c r="A422" s="412" t="str">
        <f t="shared" si="6"/>
        <v/>
      </c>
    </row>
    <row r="423" spans="1:1">
      <c r="A423" s="412" t="str">
        <f t="shared" si="6"/>
        <v/>
      </c>
    </row>
    <row r="424" spans="1:1">
      <c r="A424" s="412" t="str">
        <f t="shared" si="6"/>
        <v/>
      </c>
    </row>
    <row r="425" spans="1:1">
      <c r="A425" s="412" t="str">
        <f t="shared" si="6"/>
        <v/>
      </c>
    </row>
    <row r="426" spans="1:1">
      <c r="A426" s="412" t="str">
        <f t="shared" si="6"/>
        <v/>
      </c>
    </row>
    <row r="427" spans="1:1">
      <c r="A427" s="412" t="str">
        <f t="shared" si="6"/>
        <v/>
      </c>
    </row>
    <row r="428" spans="1:1">
      <c r="A428" s="412" t="str">
        <f t="shared" si="6"/>
        <v/>
      </c>
    </row>
    <row r="429" spans="1:1">
      <c r="A429" s="412" t="str">
        <f t="shared" si="6"/>
        <v/>
      </c>
    </row>
    <row r="430" spans="1:1">
      <c r="A430" s="412" t="str">
        <f t="shared" si="6"/>
        <v/>
      </c>
    </row>
    <row r="431" spans="1:1">
      <c r="A431" s="412" t="str">
        <f t="shared" si="6"/>
        <v/>
      </c>
    </row>
    <row r="432" spans="1:1">
      <c r="A432" s="412" t="str">
        <f t="shared" si="6"/>
        <v/>
      </c>
    </row>
    <row r="433" spans="1:1">
      <c r="A433" s="412" t="str">
        <f t="shared" si="6"/>
        <v/>
      </c>
    </row>
    <row r="434" spans="1:1">
      <c r="A434" s="412" t="str">
        <f t="shared" si="6"/>
        <v/>
      </c>
    </row>
    <row r="435" spans="1:1">
      <c r="A435" s="412" t="str">
        <f t="shared" si="6"/>
        <v/>
      </c>
    </row>
    <row r="436" spans="1:1">
      <c r="A436" s="412" t="str">
        <f t="shared" si="6"/>
        <v/>
      </c>
    </row>
    <row r="437" spans="1:1">
      <c r="A437" s="412" t="str">
        <f t="shared" si="6"/>
        <v/>
      </c>
    </row>
    <row r="438" spans="1:1">
      <c r="A438" s="412" t="str">
        <f t="shared" si="6"/>
        <v/>
      </c>
    </row>
    <row r="439" spans="1:1">
      <c r="A439" s="412" t="str">
        <f t="shared" si="6"/>
        <v/>
      </c>
    </row>
    <row r="440" spans="1:1">
      <c r="A440" s="412" t="str">
        <f t="shared" si="6"/>
        <v/>
      </c>
    </row>
    <row r="441" spans="1:1">
      <c r="A441" s="412" t="str">
        <f t="shared" si="6"/>
        <v/>
      </c>
    </row>
    <row r="442" spans="1:1">
      <c r="A442" s="412" t="str">
        <f t="shared" si="6"/>
        <v/>
      </c>
    </row>
    <row r="443" spans="1:1">
      <c r="A443" s="412" t="str">
        <f t="shared" si="6"/>
        <v/>
      </c>
    </row>
    <row r="444" spans="1:1">
      <c r="A444" s="412" t="str">
        <f t="shared" si="6"/>
        <v/>
      </c>
    </row>
    <row r="445" spans="1:1">
      <c r="A445" s="412" t="str">
        <f t="shared" si="6"/>
        <v/>
      </c>
    </row>
    <row r="446" spans="1:1">
      <c r="A446" s="412" t="str">
        <f t="shared" si="6"/>
        <v/>
      </c>
    </row>
    <row r="447" spans="1:1">
      <c r="A447" s="412" t="str">
        <f t="shared" si="6"/>
        <v/>
      </c>
    </row>
    <row r="448" spans="1:1">
      <c r="A448" s="412" t="str">
        <f t="shared" si="6"/>
        <v/>
      </c>
    </row>
    <row r="449" spans="1:1">
      <c r="A449" s="412" t="str">
        <f t="shared" si="6"/>
        <v/>
      </c>
    </row>
    <row r="450" spans="1:1">
      <c r="A450" s="412" t="str">
        <f t="shared" si="6"/>
        <v/>
      </c>
    </row>
    <row r="451" spans="1:1">
      <c r="A451" s="412" t="str">
        <f t="shared" si="6"/>
        <v/>
      </c>
    </row>
    <row r="452" spans="1:1">
      <c r="A452" s="412" t="str">
        <f t="shared" ref="A452:A500" si="7">IF(B452="","",A451+1)</f>
        <v/>
      </c>
    </row>
    <row r="453" spans="1:1">
      <c r="A453" s="412" t="str">
        <f t="shared" si="7"/>
        <v/>
      </c>
    </row>
    <row r="454" spans="1:1">
      <c r="A454" s="412" t="str">
        <f t="shared" si="7"/>
        <v/>
      </c>
    </row>
    <row r="455" spans="1:1">
      <c r="A455" s="412" t="str">
        <f t="shared" si="7"/>
        <v/>
      </c>
    </row>
    <row r="456" spans="1:1">
      <c r="A456" s="412" t="str">
        <f t="shared" si="7"/>
        <v/>
      </c>
    </row>
    <row r="457" spans="1:1">
      <c r="A457" s="412" t="str">
        <f t="shared" si="7"/>
        <v/>
      </c>
    </row>
    <row r="458" spans="1:1">
      <c r="A458" s="412" t="str">
        <f t="shared" si="7"/>
        <v/>
      </c>
    </row>
    <row r="459" spans="1:1">
      <c r="A459" s="412" t="str">
        <f t="shared" si="7"/>
        <v/>
      </c>
    </row>
    <row r="460" spans="1:1">
      <c r="A460" s="412" t="str">
        <f t="shared" si="7"/>
        <v/>
      </c>
    </row>
    <row r="461" spans="1:1">
      <c r="A461" s="412" t="str">
        <f t="shared" si="7"/>
        <v/>
      </c>
    </row>
    <row r="462" spans="1:1">
      <c r="A462" s="412" t="str">
        <f t="shared" si="7"/>
        <v/>
      </c>
    </row>
    <row r="463" spans="1:1">
      <c r="A463" s="412" t="str">
        <f t="shared" si="7"/>
        <v/>
      </c>
    </row>
    <row r="464" spans="1:1">
      <c r="A464" s="412" t="str">
        <f t="shared" si="7"/>
        <v/>
      </c>
    </row>
    <row r="465" spans="1:1">
      <c r="A465" s="412" t="str">
        <f t="shared" si="7"/>
        <v/>
      </c>
    </row>
    <row r="466" spans="1:1">
      <c r="A466" s="412" t="str">
        <f t="shared" si="7"/>
        <v/>
      </c>
    </row>
    <row r="467" spans="1:1">
      <c r="A467" s="412" t="str">
        <f t="shared" si="7"/>
        <v/>
      </c>
    </row>
    <row r="468" spans="1:1">
      <c r="A468" s="412" t="str">
        <f t="shared" si="7"/>
        <v/>
      </c>
    </row>
    <row r="469" spans="1:1">
      <c r="A469" s="412" t="str">
        <f t="shared" si="7"/>
        <v/>
      </c>
    </row>
    <row r="470" spans="1:1">
      <c r="A470" s="412" t="str">
        <f t="shared" si="7"/>
        <v/>
      </c>
    </row>
    <row r="471" spans="1:1">
      <c r="A471" s="412" t="str">
        <f t="shared" si="7"/>
        <v/>
      </c>
    </row>
    <row r="472" spans="1:1">
      <c r="A472" s="412" t="str">
        <f t="shared" si="7"/>
        <v/>
      </c>
    </row>
    <row r="473" spans="1:1">
      <c r="A473" s="412" t="str">
        <f t="shared" si="7"/>
        <v/>
      </c>
    </row>
    <row r="474" spans="1:1">
      <c r="A474" s="412" t="str">
        <f t="shared" si="7"/>
        <v/>
      </c>
    </row>
    <row r="475" spans="1:1">
      <c r="A475" s="412" t="str">
        <f t="shared" si="7"/>
        <v/>
      </c>
    </row>
    <row r="476" spans="1:1">
      <c r="A476" s="412" t="str">
        <f t="shared" si="7"/>
        <v/>
      </c>
    </row>
    <row r="477" spans="1:1">
      <c r="A477" s="412" t="str">
        <f t="shared" si="7"/>
        <v/>
      </c>
    </row>
    <row r="478" spans="1:1">
      <c r="A478" s="412" t="str">
        <f t="shared" si="7"/>
        <v/>
      </c>
    </row>
    <row r="479" spans="1:1">
      <c r="A479" s="412" t="str">
        <f t="shared" si="7"/>
        <v/>
      </c>
    </row>
    <row r="480" spans="1:1">
      <c r="A480" s="412" t="str">
        <f t="shared" si="7"/>
        <v/>
      </c>
    </row>
    <row r="481" spans="1:1">
      <c r="A481" s="412" t="str">
        <f t="shared" si="7"/>
        <v/>
      </c>
    </row>
    <row r="482" spans="1:1">
      <c r="A482" s="412" t="str">
        <f t="shared" si="7"/>
        <v/>
      </c>
    </row>
    <row r="483" spans="1:1">
      <c r="A483" s="412" t="str">
        <f t="shared" si="7"/>
        <v/>
      </c>
    </row>
    <row r="484" spans="1:1">
      <c r="A484" s="412" t="str">
        <f t="shared" si="7"/>
        <v/>
      </c>
    </row>
    <row r="485" spans="1:1">
      <c r="A485" s="412" t="str">
        <f t="shared" si="7"/>
        <v/>
      </c>
    </row>
    <row r="486" spans="1:1">
      <c r="A486" s="412" t="str">
        <f t="shared" si="7"/>
        <v/>
      </c>
    </row>
    <row r="487" spans="1:1">
      <c r="A487" s="412" t="str">
        <f t="shared" si="7"/>
        <v/>
      </c>
    </row>
    <row r="488" spans="1:1">
      <c r="A488" s="412" t="str">
        <f t="shared" si="7"/>
        <v/>
      </c>
    </row>
    <row r="489" spans="1:1">
      <c r="A489" s="412" t="str">
        <f t="shared" si="7"/>
        <v/>
      </c>
    </row>
    <row r="490" spans="1:1">
      <c r="A490" s="412" t="str">
        <f t="shared" si="7"/>
        <v/>
      </c>
    </row>
    <row r="491" spans="1:1">
      <c r="A491" s="412" t="str">
        <f t="shared" si="7"/>
        <v/>
      </c>
    </row>
    <row r="492" spans="1:1">
      <c r="A492" s="412" t="str">
        <f t="shared" si="7"/>
        <v/>
      </c>
    </row>
    <row r="493" spans="1:1">
      <c r="A493" s="412" t="str">
        <f t="shared" si="7"/>
        <v/>
      </c>
    </row>
    <row r="494" spans="1:1">
      <c r="A494" s="412" t="str">
        <f t="shared" si="7"/>
        <v/>
      </c>
    </row>
    <row r="495" spans="1:1">
      <c r="A495" s="412" t="str">
        <f t="shared" si="7"/>
        <v/>
      </c>
    </row>
    <row r="496" spans="1:1">
      <c r="A496" s="412" t="str">
        <f t="shared" si="7"/>
        <v/>
      </c>
    </row>
    <row r="497" spans="1:1">
      <c r="A497" s="412" t="str">
        <f t="shared" si="7"/>
        <v/>
      </c>
    </row>
    <row r="498" spans="1:1">
      <c r="A498" s="412" t="str">
        <f t="shared" si="7"/>
        <v/>
      </c>
    </row>
    <row r="499" spans="1:1">
      <c r="A499" s="412" t="str">
        <f t="shared" si="7"/>
        <v/>
      </c>
    </row>
    <row r="500" spans="1:1">
      <c r="A500" s="412" t="str">
        <f t="shared" si="7"/>
        <v/>
      </c>
    </row>
  </sheetData>
  <sheetProtection sheet="1" objects="1" scenarios="1" selectLockedCells="1"/>
  <dataValidations count="2">
    <dataValidation type="list" allowBlank="1" showInputMessage="1" showErrorMessage="1" sqref="C2:C1048576" xr:uid="{528FB25A-7BED-4A73-B68F-5CD7B19C94A7}">
      <formula1>$K$2:$K$5</formula1>
    </dataValidation>
    <dataValidation type="list" allowBlank="1" showInputMessage="1" showErrorMessage="1" sqref="H2:H500" xr:uid="{6FF7C24C-F956-4CAA-9F68-3942E18ED981}">
      <formula1>$L$2:$L$3</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50"/>
  </sheetPr>
  <dimension ref="A1:M14"/>
  <sheetViews>
    <sheetView zoomScaleNormal="120" workbookViewId="0">
      <selection activeCell="C9" sqref="C9"/>
    </sheetView>
  </sheetViews>
  <sheetFormatPr defaultColWidth="0" defaultRowHeight="14.25" zeroHeight="1"/>
  <cols>
    <col min="1" max="2" width="9" customWidth="1"/>
    <col min="3" max="3" width="17.375" customWidth="1"/>
    <col min="4" max="4" width="15.25" bestFit="1" customWidth="1"/>
    <col min="5" max="5" width="20" bestFit="1" customWidth="1"/>
    <col min="6" max="6" width="6.75" customWidth="1"/>
    <col min="7" max="7" width="11.125" customWidth="1"/>
    <col min="8" max="8" width="5.625" bestFit="1" customWidth="1"/>
    <col min="9" max="9" width="4.625" customWidth="1"/>
    <col min="10" max="10" width="5.25" customWidth="1"/>
    <col min="11" max="12" width="10.25" customWidth="1"/>
    <col min="13" max="13" width="9.625" customWidth="1"/>
    <col min="14" max="16384" width="9" hidden="1"/>
  </cols>
  <sheetData>
    <row r="1" spans="1:13" ht="16.5" thickTop="1" thickBot="1">
      <c r="A1" s="2"/>
      <c r="B1" s="67" t="s">
        <v>14</v>
      </c>
      <c r="C1" s="2"/>
      <c r="D1" s="7" t="s">
        <v>15</v>
      </c>
      <c r="E1" s="386" t="s">
        <v>16</v>
      </c>
      <c r="F1" s="312" t="s">
        <v>11</v>
      </c>
      <c r="G1" s="2"/>
      <c r="H1" s="2"/>
      <c r="I1" s="2"/>
      <c r="J1" s="2"/>
      <c r="K1" s="2"/>
      <c r="L1" s="2"/>
      <c r="M1" s="2"/>
    </row>
    <row r="2" spans="1:13" ht="16.5" thickTop="1" thickBot="1">
      <c r="A2" s="2"/>
      <c r="B2" s="312" t="s">
        <v>11</v>
      </c>
      <c r="C2" s="568" t="str">
        <f>IF(B2="Yes","Add Policy # =&gt;","")</f>
        <v/>
      </c>
      <c r="D2" s="312"/>
      <c r="E2" s="386" t="s">
        <v>17</v>
      </c>
      <c r="F2" s="871"/>
      <c r="G2" s="872"/>
      <c r="H2" s="872"/>
      <c r="I2" s="872"/>
      <c r="J2" s="872"/>
      <c r="K2" s="872"/>
      <c r="L2" s="873"/>
      <c r="M2" s="2"/>
    </row>
    <row r="3" spans="1:13" ht="16.5" thickTop="1" thickBot="1">
      <c r="A3" s="2"/>
      <c r="B3" s="67" t="s">
        <v>18</v>
      </c>
      <c r="C3" s="2"/>
      <c r="D3" s="7" t="s">
        <v>19</v>
      </c>
      <c r="E3" s="386" t="s">
        <v>20</v>
      </c>
      <c r="F3" s="871"/>
      <c r="G3" s="872"/>
      <c r="H3" s="872"/>
      <c r="I3" s="872"/>
      <c r="J3" s="872"/>
      <c r="K3" s="872"/>
      <c r="L3" s="873"/>
      <c r="M3" s="2"/>
    </row>
    <row r="4" spans="1:13" ht="16.5" thickTop="1" thickBot="1">
      <c r="A4" s="2"/>
      <c r="B4" s="764">
        <v>0.15</v>
      </c>
      <c r="C4" s="2"/>
      <c r="D4" s="91"/>
      <c r="E4" s="386" t="s">
        <v>21</v>
      </c>
      <c r="F4" s="876"/>
      <c r="G4" s="877"/>
      <c r="H4" s="877"/>
      <c r="I4" s="877"/>
      <c r="J4" s="877"/>
      <c r="K4" s="877"/>
      <c r="L4" s="878"/>
      <c r="M4" s="2"/>
    </row>
    <row r="5" spans="1:13" ht="15.75" thickTop="1">
      <c r="A5" s="2"/>
      <c r="B5" s="67" t="str">
        <f>IF(B4&gt;0.15,"MGR Approval Needed","")</f>
        <v/>
      </c>
      <c r="C5" s="2"/>
      <c r="D5" s="2"/>
      <c r="E5" s="2"/>
      <c r="F5" s="879"/>
      <c r="G5" s="880"/>
      <c r="H5" s="880"/>
      <c r="I5" s="880"/>
      <c r="J5" s="880"/>
      <c r="K5" s="880"/>
      <c r="L5" s="881"/>
      <c r="M5" s="2"/>
    </row>
    <row r="6" spans="1:13">
      <c r="A6" s="2"/>
      <c r="B6" s="2"/>
      <c r="C6" s="2"/>
      <c r="D6" s="2"/>
      <c r="E6" s="2"/>
      <c r="F6" s="879"/>
      <c r="G6" s="880"/>
      <c r="H6" s="880"/>
      <c r="I6" s="880"/>
      <c r="J6" s="880"/>
      <c r="K6" s="880"/>
      <c r="L6" s="881"/>
      <c r="M6" s="2"/>
    </row>
    <row r="7" spans="1:13" ht="15" thickBot="1">
      <c r="A7" s="2"/>
      <c r="B7" s="2"/>
      <c r="C7" s="2"/>
      <c r="D7" s="2"/>
      <c r="E7" s="2"/>
      <c r="F7" s="882"/>
      <c r="G7" s="883"/>
      <c r="H7" s="883"/>
      <c r="I7" s="883"/>
      <c r="J7" s="883"/>
      <c r="K7" s="883"/>
      <c r="L7" s="884"/>
      <c r="M7" s="2"/>
    </row>
    <row r="8" spans="1:13" ht="16.5" thickTop="1" thickBot="1">
      <c r="A8" s="2"/>
      <c r="B8" s="2"/>
      <c r="C8" s="7" t="s">
        <v>4539</v>
      </c>
      <c r="D8" s="2"/>
      <c r="E8" s="386" t="s">
        <v>22</v>
      </c>
      <c r="F8" s="885"/>
      <c r="G8" s="886"/>
      <c r="H8" s="886"/>
      <c r="I8" s="886"/>
      <c r="J8" s="886"/>
      <c r="K8" s="886"/>
      <c r="L8" s="887"/>
      <c r="M8" s="2"/>
    </row>
    <row r="9" spans="1:13" ht="15.75" thickTop="1" thickBot="1">
      <c r="A9" s="2"/>
      <c r="B9" s="2"/>
      <c r="C9" s="312" t="s">
        <v>4548</v>
      </c>
      <c r="D9" s="2"/>
      <c r="E9" s="2"/>
      <c r="F9" s="2"/>
      <c r="G9" s="2"/>
      <c r="H9" s="2"/>
      <c r="I9" s="2"/>
      <c r="J9" s="2"/>
      <c r="K9" s="2"/>
      <c r="L9" s="2"/>
      <c r="M9" s="2"/>
    </row>
    <row r="10" spans="1:13" ht="16.5" thickTop="1" thickBot="1">
      <c r="A10" s="2"/>
      <c r="B10" s="2"/>
      <c r="C10" s="2"/>
      <c r="D10" s="2"/>
      <c r="E10" s="386" t="s">
        <v>23</v>
      </c>
      <c r="F10" s="874"/>
      <c r="G10" s="875"/>
      <c r="H10" s="160" t="s">
        <v>24</v>
      </c>
      <c r="I10" s="869" t="str">
        <f>IF(F10="","",DATE(YEAR(F10)+1,MONTH(F10),DAY(F10)))</f>
        <v/>
      </c>
      <c r="J10" s="870"/>
      <c r="K10" s="58"/>
      <c r="L10" s="58"/>
      <c r="M10" s="2"/>
    </row>
    <row r="11" spans="1:13" ht="16.5" customHeight="1" thickTop="1" thickBot="1">
      <c r="A11" s="2"/>
      <c r="B11" s="2"/>
      <c r="C11" s="2"/>
      <c r="D11" s="867" t="s">
        <v>25</v>
      </c>
      <c r="E11" s="868"/>
      <c r="F11" s="862"/>
      <c r="G11" s="863"/>
      <c r="H11" s="863"/>
      <c r="I11" s="863"/>
      <c r="J11" s="863"/>
      <c r="K11" s="864"/>
      <c r="L11" s="2"/>
      <c r="M11" s="2"/>
    </row>
    <row r="12" spans="1:13" ht="16.5" thickTop="1" thickBot="1">
      <c r="A12" s="2"/>
      <c r="B12" s="2"/>
      <c r="C12" s="2"/>
      <c r="D12" s="2"/>
      <c r="E12" s="386" t="s">
        <v>26</v>
      </c>
      <c r="F12" s="862"/>
      <c r="G12" s="863"/>
      <c r="H12" s="863"/>
      <c r="I12" s="863"/>
      <c r="J12" s="863"/>
      <c r="K12" s="864"/>
      <c r="L12" s="2"/>
      <c r="M12" s="2"/>
    </row>
    <row r="13" spans="1:13" ht="16.5" thickTop="1" thickBot="1">
      <c r="A13" s="2"/>
      <c r="B13" s="2"/>
      <c r="C13" s="2"/>
      <c r="D13" s="2"/>
      <c r="E13" s="386" t="s">
        <v>27</v>
      </c>
      <c r="F13" s="865"/>
      <c r="G13" s="866"/>
      <c r="H13" s="3" t="s">
        <v>28</v>
      </c>
      <c r="I13" s="6"/>
      <c r="J13" s="3" t="s">
        <v>29</v>
      </c>
      <c r="K13" s="78"/>
      <c r="L13" s="2"/>
      <c r="M13" s="2"/>
    </row>
    <row r="14" spans="1:13" ht="15.75" thickTop="1">
      <c r="A14" s="2"/>
      <c r="B14" s="2"/>
      <c r="C14" s="2"/>
      <c r="D14" s="2"/>
      <c r="E14" s="386"/>
      <c r="F14" s="386"/>
      <c r="G14" s="386"/>
      <c r="H14" s="386"/>
      <c r="I14" s="386"/>
      <c r="J14" s="386"/>
      <c r="K14" s="386"/>
      <c r="L14" s="2"/>
      <c r="M14" s="2"/>
    </row>
  </sheetData>
  <sheetProtection algorithmName="SHA-512" hashValue="YTxmU0IxQ2wt920fxXiZMvVn+6EQnkq0H2HWOtojHexh/j0fTwMrGK6D35BxdFV1xH2mY9VjFp/gtc60fl6E3Q==" saltValue="3+TWjZevPAhm4M/GuWeEVA==" spinCount="100000" sheet="1" selectLockedCells="1"/>
  <dataConsolidate/>
  <mergeCells count="10">
    <mergeCell ref="F12:K12"/>
    <mergeCell ref="F13:G13"/>
    <mergeCell ref="D11:E11"/>
    <mergeCell ref="I10:J10"/>
    <mergeCell ref="F2:L2"/>
    <mergeCell ref="F10:G10"/>
    <mergeCell ref="F3:L3"/>
    <mergeCell ref="F4:L7"/>
    <mergeCell ref="F11:K11"/>
    <mergeCell ref="F8:L8"/>
  </mergeCells>
  <conditionalFormatting sqref="B4">
    <cfRule type="cellIs" dxfId="247" priority="1" operator="greaterThan">
      <formula>0.15</formula>
    </cfRule>
  </conditionalFormatting>
  <dataValidations count="7">
    <dataValidation type="list" allowBlank="1" showInputMessage="1" showErrorMessage="1" sqref="I13" xr:uid="{00000000-0002-0000-0000-000000000000}">
      <formula1>States</formula1>
    </dataValidation>
    <dataValidation type="list" allowBlank="1" showInputMessage="1" showErrorMessage="1" sqref="F1" xr:uid="{00000000-0002-0000-0000-000005000000}">
      <formula1>"No, Yes"</formula1>
    </dataValidation>
    <dataValidation type="list" allowBlank="1" showInputMessage="1" showErrorMessage="1" sqref="D4" xr:uid="{00000000-0002-0000-0000-000010000000}">
      <formula1>"Adriana Martinez, Andrew Potter, Connor Taylor,Venee Williams, Greg Snediker, John Nobles, Robert Lombardo, Travis Tyre, Michael Puglisi, Kaden Herbert"</formula1>
    </dataValidation>
    <dataValidation type="list" allowBlank="1" showInputMessage="1" showErrorMessage="1" sqref="F8:L8" xr:uid="{5022A2A4-997E-40A4-9CDD-6384D50846AA}">
      <formula1>"Individual / Individual Names, Corp / Assoc. / LLC / Partnership / Trust / Estate"</formula1>
    </dataValidation>
    <dataValidation type="list" allowBlank="1" showInputMessage="1" showErrorMessage="1" sqref="B2" xr:uid="{EA053A72-976B-4137-BDEB-D8F0938D5A07}">
      <formula1>"Yes, No"</formula1>
    </dataValidation>
    <dataValidation type="list" allowBlank="1" showInputMessage="1" showErrorMessage="1" sqref="B4" xr:uid="{DA00CE90-F362-45BD-9940-A94C889EF37D}">
      <formula1>"0,.01,.02,.03,.04,.05,.06,.07,.08,.09,.10,.11,.12,.13,.14,.15,.16,.17,.175"</formula1>
    </dataValidation>
    <dataValidation type="list" allowBlank="1" showInputMessage="1" showErrorMessage="1" sqref="C9" xr:uid="{6AA284D0-FBCA-47E1-A190-3222FA094F5F}">
      <formula1>"Commercial,Reporter,OwnerTurbine,Platinum,QSFollow,GL,All"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B050"/>
  </sheetPr>
  <dimension ref="A1:BJ1048576"/>
  <sheetViews>
    <sheetView zoomScaleNormal="100" workbookViewId="0">
      <selection activeCell="S3" sqref="S3"/>
    </sheetView>
  </sheetViews>
  <sheetFormatPr defaultColWidth="19.5" defaultRowHeight="14.25" zeroHeight="1"/>
  <cols>
    <col min="1" max="1" width="3.75" customWidth="1"/>
    <col min="2" max="2" width="3.625" customWidth="1"/>
    <col min="3" max="3" width="3.875" customWidth="1"/>
    <col min="4" max="4" width="3.25" customWidth="1"/>
    <col min="5" max="5" width="2.625" customWidth="1"/>
    <col min="6" max="6" width="10" customWidth="1"/>
    <col min="7" max="7" width="2.625" customWidth="1"/>
    <col min="8" max="8" width="7.125" customWidth="1"/>
    <col min="9" max="9" width="2.625" customWidth="1"/>
    <col min="10" max="11" width="9" customWidth="1"/>
    <col min="12" max="12" width="19.5" customWidth="1"/>
    <col min="13" max="13" width="2.625" customWidth="1"/>
    <col min="14" max="14" width="4.75" customWidth="1"/>
    <col min="15" max="15" width="2.625" customWidth="1"/>
    <col min="16" max="16" width="10.875" bestFit="1" customWidth="1"/>
    <col min="17" max="18" width="2.625" customWidth="1"/>
    <col min="19" max="19" width="4.375" customWidth="1"/>
    <col min="20" max="20" width="2.625" customWidth="1"/>
    <col min="21" max="21" width="7.125" customWidth="1"/>
    <col min="22" max="22" width="2.625" customWidth="1"/>
    <col min="23" max="23" width="24.5" customWidth="1"/>
    <col min="24" max="24" width="2.625" customWidth="1"/>
    <col min="25" max="25" width="9" customWidth="1"/>
    <col min="26" max="26" width="2.625" customWidth="1"/>
    <col min="27" max="27" width="9.125" customWidth="1"/>
    <col min="28" max="28" width="1.75" customWidth="1"/>
    <col min="29" max="29" width="10.125" customWidth="1"/>
    <col min="30" max="30" width="2.625" customWidth="1"/>
    <col min="31" max="31" width="9" customWidth="1"/>
    <col min="32" max="32" width="2.625" customWidth="1"/>
    <col min="33" max="33" width="9.625" bestFit="1" customWidth="1"/>
    <col min="34" max="34" width="2.625" customWidth="1"/>
    <col min="35" max="35" width="9" customWidth="1"/>
    <col min="36" max="36" width="2.625" customWidth="1"/>
    <col min="37" max="37" width="9" customWidth="1"/>
    <col min="38" max="38" width="2.625" customWidth="1"/>
    <col min="39" max="39" width="16.375" bestFit="1" customWidth="1"/>
    <col min="40" max="40" width="2.625" customWidth="1"/>
    <col min="41" max="41" width="8.5" customWidth="1"/>
  </cols>
  <sheetData>
    <row r="1" spans="1:62" ht="14.25" customHeight="1">
      <c r="A1" s="894" t="s">
        <v>30</v>
      </c>
      <c r="B1" s="894"/>
      <c r="C1" s="895"/>
      <c r="D1" s="895"/>
      <c r="E1" s="895"/>
      <c r="F1" s="895"/>
      <c r="G1" s="895"/>
      <c r="H1" s="895"/>
      <c r="I1" s="895"/>
      <c r="J1" s="895"/>
      <c r="K1" s="895"/>
      <c r="L1" s="895"/>
      <c r="M1" s="165"/>
      <c r="N1" s="165"/>
      <c r="O1" s="165"/>
      <c r="P1" s="165"/>
      <c r="Q1" s="165"/>
      <c r="R1" s="165"/>
      <c r="S1" s="891" t="s">
        <v>31</v>
      </c>
      <c r="T1" s="892"/>
      <c r="U1" s="892"/>
      <c r="V1" s="892"/>
      <c r="W1" s="892"/>
      <c r="X1" s="892"/>
      <c r="Y1" s="165"/>
      <c r="Z1" s="165"/>
      <c r="AA1" s="165"/>
      <c r="AB1" s="165"/>
      <c r="AC1" s="165"/>
      <c r="AD1" s="165"/>
      <c r="AE1" s="165"/>
      <c r="AF1" s="165"/>
      <c r="AG1" s="165"/>
      <c r="AH1" s="165"/>
      <c r="AI1" s="165"/>
      <c r="AJ1" s="165"/>
      <c r="AK1" s="165"/>
      <c r="AL1" s="165"/>
      <c r="AM1" s="165"/>
      <c r="AN1" s="165"/>
      <c r="AO1" s="165"/>
      <c r="AP1" s="165"/>
      <c r="AQ1" s="165"/>
      <c r="AR1" s="165"/>
      <c r="AS1" s="165"/>
      <c r="AT1" s="165"/>
      <c r="AU1" s="165"/>
      <c r="AV1" s="165"/>
    </row>
    <row r="2" spans="1:62" ht="14.25" customHeight="1">
      <c r="A2" s="895"/>
      <c r="B2" s="895"/>
      <c r="C2" s="895"/>
      <c r="D2" s="895"/>
      <c r="E2" s="895"/>
      <c r="F2" s="895"/>
      <c r="G2" s="895"/>
      <c r="H2" s="895"/>
      <c r="I2" s="895"/>
      <c r="J2" s="895"/>
      <c r="K2" s="895"/>
      <c r="L2" s="895"/>
      <c r="M2" s="165"/>
      <c r="N2" s="165"/>
      <c r="O2" s="165"/>
      <c r="P2" s="165"/>
      <c r="Q2" s="165"/>
      <c r="R2" s="165"/>
      <c r="S2" s="892"/>
      <c r="T2" s="892"/>
      <c r="U2" s="892"/>
      <c r="V2" s="892"/>
      <c r="W2" s="892"/>
      <c r="X2" s="892"/>
      <c r="Y2" s="165"/>
      <c r="Z2" s="165"/>
      <c r="AA2" s="893" t="s">
        <v>32</v>
      </c>
      <c r="AB2" s="893"/>
      <c r="AC2" s="893"/>
      <c r="AD2" s="165"/>
      <c r="AE2" s="165"/>
      <c r="AF2" s="165"/>
      <c r="AG2" s="165"/>
      <c r="AH2" s="165"/>
      <c r="AI2" s="165"/>
      <c r="AJ2" s="165"/>
      <c r="AK2" s="165"/>
      <c r="AL2" s="165"/>
      <c r="AM2" s="165"/>
      <c r="AN2" s="165"/>
      <c r="AO2" s="165"/>
      <c r="AP2" s="165"/>
      <c r="AQ2" s="165"/>
      <c r="AR2" s="165"/>
      <c r="AS2" s="165"/>
      <c r="AT2" s="165"/>
      <c r="AU2" s="165"/>
      <c r="AV2" s="165"/>
    </row>
    <row r="3" spans="1:62" ht="15">
      <c r="A3" s="7" t="s">
        <v>33</v>
      </c>
      <c r="B3" s="7" t="s">
        <v>34</v>
      </c>
      <c r="C3" s="601"/>
      <c r="D3" s="2"/>
      <c r="E3" s="2"/>
      <c r="F3" s="67" t="s">
        <v>35</v>
      </c>
      <c r="G3" s="2"/>
      <c r="H3" s="67" t="s">
        <v>36</v>
      </c>
      <c r="I3" s="2"/>
      <c r="J3" s="893" t="s">
        <v>37</v>
      </c>
      <c r="K3" s="893"/>
      <c r="L3" s="893"/>
      <c r="M3" s="2"/>
      <c r="N3" s="7" t="s">
        <v>38</v>
      </c>
      <c r="O3" s="2"/>
      <c r="P3" s="7" t="s">
        <v>39</v>
      </c>
      <c r="Q3" s="7" t="s">
        <v>40</v>
      </c>
      <c r="R3" s="2"/>
      <c r="S3" s="67" t="s">
        <v>41</v>
      </c>
      <c r="T3" s="2"/>
      <c r="U3" s="67" t="s">
        <v>42</v>
      </c>
      <c r="V3" s="2"/>
      <c r="W3" s="67" t="s">
        <v>43</v>
      </c>
      <c r="X3" s="395"/>
      <c r="Y3" s="67" t="s">
        <v>44</v>
      </c>
      <c r="Z3" s="67"/>
      <c r="AA3" s="385" t="s">
        <v>45</v>
      </c>
      <c r="AB3" s="385"/>
      <c r="AC3" s="385" t="s">
        <v>46</v>
      </c>
      <c r="AD3" s="2"/>
      <c r="AE3" s="67" t="s">
        <v>47</v>
      </c>
      <c r="AF3" s="2"/>
      <c r="AG3" s="7" t="s">
        <v>48</v>
      </c>
      <c r="AH3" s="2"/>
      <c r="AI3" s="67" t="s">
        <v>49</v>
      </c>
      <c r="AJ3" s="2"/>
      <c r="AK3" s="67" t="s">
        <v>50</v>
      </c>
      <c r="AL3" s="2"/>
      <c r="AM3" s="67" t="s">
        <v>51</v>
      </c>
      <c r="AN3" s="67"/>
      <c r="AO3" s="67" t="s">
        <v>52</v>
      </c>
      <c r="AP3" s="67"/>
      <c r="AQ3" s="67"/>
      <c r="AR3" s="67"/>
      <c r="AS3" s="2"/>
      <c r="AT3" s="2"/>
      <c r="AU3" s="2"/>
      <c r="AV3" s="2"/>
      <c r="AX3" t="s">
        <v>53</v>
      </c>
      <c r="AY3" t="s">
        <v>54</v>
      </c>
      <c r="AZ3" t="s">
        <v>55</v>
      </c>
      <c r="BB3" t="s">
        <v>56</v>
      </c>
      <c r="BC3" t="s">
        <v>57</v>
      </c>
      <c r="BH3" t="str">
        <f>RIGHT(AC4,1)</f>
        <v/>
      </c>
    </row>
    <row r="4" spans="1:62" ht="15">
      <c r="A4" s="602" t="s">
        <v>2907</v>
      </c>
      <c r="B4" s="602" t="s">
        <v>2907</v>
      </c>
      <c r="C4" s="601">
        <f t="shared" ref="C4:C33" si="0">IFERROR(MATCH(J4,ACSelect,0),"")</f>
        <v>170</v>
      </c>
      <c r="D4" s="2">
        <v>1</v>
      </c>
      <c r="E4" s="2"/>
      <c r="F4" s="104"/>
      <c r="G4" s="2"/>
      <c r="H4" s="104"/>
      <c r="I4" s="2"/>
      <c r="J4" s="888" t="s">
        <v>525</v>
      </c>
      <c r="K4" s="889"/>
      <c r="L4" s="890"/>
      <c r="M4" s="2"/>
      <c r="N4" s="103" t="s">
        <v>125</v>
      </c>
      <c r="O4" s="2"/>
      <c r="P4" s="111">
        <v>100000</v>
      </c>
      <c r="Q4" s="67" t="str">
        <f t="shared" ref="Q4:Q33" si="1">IF(P4="","",IF(P4&lt;BE4,"&lt;",IF(P4&gt;BF4,"&gt;","")))</f>
        <v>&gt;</v>
      </c>
      <c r="R4" s="2"/>
      <c r="S4" s="103" t="s">
        <v>58</v>
      </c>
      <c r="T4" s="2"/>
      <c r="U4" s="103"/>
      <c r="V4" s="2"/>
      <c r="W4" s="103" t="s">
        <v>60</v>
      </c>
      <c r="X4" s="2"/>
      <c r="Y4" s="103">
        <v>3000</v>
      </c>
      <c r="Z4" s="2"/>
      <c r="AA4" s="162"/>
      <c r="AB4" s="164" t="s">
        <v>59</v>
      </c>
      <c r="AC4" s="163"/>
      <c r="AD4" s="2"/>
      <c r="AE4" s="390">
        <f t="shared" ref="AE4:AE11" si="2">IFERROR(VLOOKUP(C4,Aircraftlist,11)+1,"")</f>
        <v>4</v>
      </c>
      <c r="AF4" s="2"/>
      <c r="AG4" s="315" t="s">
        <v>11</v>
      </c>
      <c r="AH4" s="2"/>
      <c r="AI4" s="315"/>
      <c r="AJ4" s="2"/>
      <c r="AK4" s="390" t="str">
        <f t="shared" ref="AK4:AK13" si="3">IFERROR(VLOOKUP(C4,Aircraftlist,12),"")</f>
        <v>STD</v>
      </c>
      <c r="AL4" s="2"/>
      <c r="AM4" s="110" t="str">
        <f t="shared" ref="AM4:AM67" si="4">IFERROR(VLOOKUP(MATCH($AY4,GearBasic,0),GearEasyRead,2),"")</f>
        <v>Straight Floats</v>
      </c>
      <c r="AN4" s="86"/>
      <c r="AO4" s="110" t="str">
        <f>IFERROR(IF(VLOOKUP($C4,Aircraftlist,14)="O",0,VLOOKUP(BC4,RateTableRef,2)),"")</f>
        <v>SE_P</v>
      </c>
      <c r="AP4" s="86"/>
      <c r="AQ4" s="86"/>
      <c r="AR4" s="86">
        <v>1</v>
      </c>
      <c r="AS4" s="2" t="str" cm="1">
        <f t="array" ref="AS4:AS46">ComLimits</f>
        <v>$500,000/EX</v>
      </c>
      <c r="AT4" s="770">
        <v>500000</v>
      </c>
      <c r="AU4" s="770">
        <f>IFERROR(VLOOKUP(MATCH($W4,_xlfn.ANCHORARRAY(AS$4),0),$AR4:$AT46,3),"")</f>
        <v>500000</v>
      </c>
      <c r="AV4" s="2"/>
      <c r="AX4" t="str">
        <f t="shared" ref="AX4:AX17" si="5">IF(N4="Y","S",IFERROR(VLOOKUP(C4,Aircraftlist,16),""))</f>
        <v>S</v>
      </c>
      <c r="AY4" t="str">
        <f>IF(J4="","",IF(AX4="F",WorksheetAC_old_keep!$F$3,IF(AX4="C",WorksheetAC_old_keep!$F$2,IF(AX4="R",WorksheetAC_old_keep!$F$4,IF(AX4=AE43,WorksheetAC_old_keep!$F$5,IF(AX4="T",WorksheetAC_old_keep!$F$6,IF(AX4="S",WorksheetAC_old_keep!$F$7,IF(AX4="A",WorksheetAC_old_keep!$F$8,IF(AX4="B",WorksheetAC_old_keep!$F$9,"")))))))))</f>
        <v>Float</v>
      </c>
      <c r="AZ4" t="str">
        <f t="shared" ref="AZ4:AZ67" si="6">IFERROR(VLOOKUP(MATCH($AY4,GearBasic,0),GearEasyRead,2),"")</f>
        <v>Straight Floats</v>
      </c>
      <c r="BA4" t="s">
        <v>60</v>
      </c>
      <c r="BB4">
        <f t="shared" ref="BB4:BB33" si="7">IF(AI4="",AE4,AI4)</f>
        <v>4</v>
      </c>
      <c r="BC4">
        <f t="shared" ref="BC4:BC67" si="8">IFERROR(VLOOKUP($C4,Aircraftlist,13),"")</f>
        <v>1</v>
      </c>
      <c r="BE4" s="11">
        <f t="shared" ref="BE4:BE33" si="9">IFERROR(VLOOKUP(C4,Aircraftlist,8),"")</f>
        <v>13500</v>
      </c>
      <c r="BF4" s="11">
        <f t="shared" ref="BF4:BF33" si="10">IFERROR(VLOOKUP(C4,Aircraftlist,9),"")</f>
        <v>40000</v>
      </c>
      <c r="BH4" t="str">
        <f t="shared" ref="BH4:BH33" si="11">IF(J4="","",IF(OR(P4="",P4=0),"NA/NA",CONCATENATE(TEXT(AA4,"$#,###"),AB4,IF(AC4&lt;50,TEXT(AC4,"0%"),TEXT(AC4,"$#,###")))))</f>
        <v>$/0%</v>
      </c>
      <c r="BJ4" t="str">
        <f>LEFT(AO4,2)</f>
        <v>SE</v>
      </c>
    </row>
    <row r="5" spans="1:62" ht="15">
      <c r="A5" s="602"/>
      <c r="B5" s="602"/>
      <c r="C5" s="470">
        <f t="shared" si="0"/>
        <v>5</v>
      </c>
      <c r="D5" s="2">
        <v>2</v>
      </c>
      <c r="E5" s="2"/>
      <c r="F5" s="104"/>
      <c r="G5" s="2"/>
      <c r="H5" s="104"/>
      <c r="I5" s="2"/>
      <c r="J5" s="888" t="s">
        <v>141</v>
      </c>
      <c r="K5" s="889"/>
      <c r="L5" s="890"/>
      <c r="M5" s="2"/>
      <c r="N5" s="103" t="s">
        <v>58</v>
      </c>
      <c r="O5" s="2"/>
      <c r="P5" s="111">
        <v>100000</v>
      </c>
      <c r="Q5" s="67" t="str">
        <f t="shared" si="1"/>
        <v>&lt;</v>
      </c>
      <c r="R5" s="2"/>
      <c r="S5" s="103" t="s">
        <v>58</v>
      </c>
      <c r="T5" s="2"/>
      <c r="U5" s="103"/>
      <c r="V5" s="2"/>
      <c r="W5" s="103" t="s">
        <v>60</v>
      </c>
      <c r="X5" s="2"/>
      <c r="Y5" s="103">
        <v>5000</v>
      </c>
      <c r="Z5" s="2"/>
      <c r="AA5" s="162"/>
      <c r="AB5" s="164" t="s">
        <v>59</v>
      </c>
      <c r="AC5" s="163"/>
      <c r="AD5" s="2"/>
      <c r="AE5" s="390">
        <v>5</v>
      </c>
      <c r="AF5" s="2"/>
      <c r="AG5" s="315" t="s">
        <v>11</v>
      </c>
      <c r="AH5" s="2"/>
      <c r="AI5" s="315"/>
      <c r="AJ5" s="2"/>
      <c r="AK5" s="390" t="str">
        <f t="shared" si="3"/>
        <v>MSX</v>
      </c>
      <c r="AL5" s="2"/>
      <c r="AM5" s="110" t="str">
        <f t="shared" si="4"/>
        <v>Retract Tricycle</v>
      </c>
      <c r="AN5" s="86"/>
      <c r="AO5" s="110" t="str">
        <f t="shared" ref="AO5:AO33" si="12">IFERROR(IF(VLOOKUP($C5,Aircraftlist,15)="O",0,VLOOKUP(BC5,RateTableRef,2)),"")</f>
        <v>METP</v>
      </c>
      <c r="AP5" s="86"/>
      <c r="AQ5" s="86"/>
      <c r="AR5" s="86">
        <v>2</v>
      </c>
      <c r="AS5" s="2" t="str">
        <v>$500,000/$50,000</v>
      </c>
      <c r="AT5" s="770">
        <v>500000</v>
      </c>
      <c r="AU5" s="770" t="str">
        <f>IFERROR(VLOOKUP(MATCH($W5,_xlfn.ANCHORARRAY(AS$4),0),$AR5:$AT47,3),"")</f>
        <v/>
      </c>
      <c r="AV5" s="2"/>
      <c r="AX5" t="str">
        <f t="shared" si="5"/>
        <v>R</v>
      </c>
      <c r="AY5" t="str">
        <f>IF(J5="","",IF(AX5="F",WorksheetAC_old_keep!$F$3,IF(AX5="C",WorksheetAC_old_keep!$F$2,IF(AX5="R",WorksheetAC_old_keep!$F$4,IF(AX5=AE44,WorksheetAC_old_keep!$F$5,IF(AX5="T",WorksheetAC_old_keep!$F$6,IF(AX5="S",WorksheetAC_old_keep!$F$7,IF(AX5="A",WorksheetAC_old_keep!$F$8,IF(AX5="B",WorksheetAC_old_keep!$F$9,"")))))))))</f>
        <v>RT</v>
      </c>
      <c r="AZ5" t="str">
        <f t="shared" si="6"/>
        <v>Retract Tricycle</v>
      </c>
      <c r="BA5" t="s">
        <v>61</v>
      </c>
      <c r="BB5">
        <f t="shared" si="7"/>
        <v>5</v>
      </c>
      <c r="BC5">
        <f t="shared" si="8"/>
        <v>5</v>
      </c>
      <c r="BE5" s="11">
        <f t="shared" si="9"/>
        <v>150000</v>
      </c>
      <c r="BF5" s="11">
        <f t="shared" si="10"/>
        <v>500000</v>
      </c>
      <c r="BH5" t="str">
        <f t="shared" si="11"/>
        <v>$/0%</v>
      </c>
      <c r="BJ5" t="str">
        <f t="shared" ref="BJ5:BJ33" si="13">LEFT(AO5,2)</f>
        <v>ME</v>
      </c>
    </row>
    <row r="6" spans="1:62" ht="15">
      <c r="A6" s="602"/>
      <c r="B6" s="602"/>
      <c r="C6" s="470">
        <f t="shared" si="0"/>
        <v>5</v>
      </c>
      <c r="D6" s="2">
        <v>3</v>
      </c>
      <c r="E6" s="2"/>
      <c r="F6" s="104"/>
      <c r="G6" s="2"/>
      <c r="H6" s="104"/>
      <c r="I6" s="2"/>
      <c r="J6" s="888" t="s">
        <v>141</v>
      </c>
      <c r="K6" s="889"/>
      <c r="L6" s="890"/>
      <c r="M6" s="2"/>
      <c r="N6" s="103" t="s">
        <v>58</v>
      </c>
      <c r="O6" s="2"/>
      <c r="P6" s="111">
        <v>100000</v>
      </c>
      <c r="Q6" s="67" t="str">
        <f t="shared" si="1"/>
        <v>&lt;</v>
      </c>
      <c r="R6" s="2"/>
      <c r="S6" s="103" t="s">
        <v>58</v>
      </c>
      <c r="T6" s="2"/>
      <c r="U6" s="103"/>
      <c r="V6" s="2"/>
      <c r="W6" s="103" t="s">
        <v>60</v>
      </c>
      <c r="X6" s="2"/>
      <c r="Y6" s="103">
        <v>5000</v>
      </c>
      <c r="Z6" s="2"/>
      <c r="AA6" s="162"/>
      <c r="AB6" s="164" t="s">
        <v>59</v>
      </c>
      <c r="AC6" s="163"/>
      <c r="AD6" s="2"/>
      <c r="AE6" s="390">
        <v>3</v>
      </c>
      <c r="AF6" s="2"/>
      <c r="AG6" s="315" t="s">
        <v>11</v>
      </c>
      <c r="AH6" s="2"/>
      <c r="AI6" s="315"/>
      <c r="AJ6" s="2"/>
      <c r="AK6" s="390" t="str">
        <f t="shared" si="3"/>
        <v>MSX</v>
      </c>
      <c r="AL6" s="2"/>
      <c r="AM6" s="110" t="str">
        <f t="shared" si="4"/>
        <v>Retract Tricycle</v>
      </c>
      <c r="AN6" s="86"/>
      <c r="AO6" s="110" t="str">
        <f t="shared" si="12"/>
        <v>METP</v>
      </c>
      <c r="AP6" s="86"/>
      <c r="AQ6" s="86"/>
      <c r="AR6" s="86">
        <v>3</v>
      </c>
      <c r="AS6" s="2" t="str">
        <v>$500,000/$100,000</v>
      </c>
      <c r="AT6" s="770">
        <v>500000</v>
      </c>
      <c r="AU6" s="770" t="str">
        <f t="shared" ref="AU6:AU68" si="14">IFERROR(VLOOKUP(MATCH($W6,_xlfn.ANCHORARRAY(AS$4),0),$AR6:$AT48,3),"")</f>
        <v/>
      </c>
      <c r="AV6" s="2"/>
      <c r="AX6" t="str">
        <f t="shared" si="5"/>
        <v>R</v>
      </c>
      <c r="AY6" t="str">
        <f>IF(J6="","",IF(AX6="F",WorksheetAC_old_keep!$F$3,IF(AX6="C",WorksheetAC_old_keep!$F$2,IF(AX6="R",WorksheetAC_old_keep!$F$4,IF(AX6=AE45,WorksheetAC_old_keep!$F$5,IF(AX6="T",WorksheetAC_old_keep!$F$6,IF(AX6="S",WorksheetAC_old_keep!$F$7,IF(AX6="A",WorksheetAC_old_keep!$F$8,IF(AX6="B",WorksheetAC_old_keep!$F$9,"")))))))))</f>
        <v>RT</v>
      </c>
      <c r="AZ6" t="str">
        <f t="shared" si="6"/>
        <v>Retract Tricycle</v>
      </c>
      <c r="BA6" t="s">
        <v>62</v>
      </c>
      <c r="BB6">
        <f t="shared" si="7"/>
        <v>3</v>
      </c>
      <c r="BC6">
        <f t="shared" si="8"/>
        <v>5</v>
      </c>
      <c r="BE6" s="11">
        <f t="shared" si="9"/>
        <v>150000</v>
      </c>
      <c r="BF6" s="11">
        <f t="shared" si="10"/>
        <v>500000</v>
      </c>
      <c r="BH6" t="str">
        <f t="shared" si="11"/>
        <v>$/0%</v>
      </c>
      <c r="BJ6" t="str">
        <f t="shared" si="13"/>
        <v>ME</v>
      </c>
    </row>
    <row r="7" spans="1:62" ht="15">
      <c r="A7" s="602"/>
      <c r="B7" s="602"/>
      <c r="C7" s="470">
        <f t="shared" si="0"/>
        <v>136</v>
      </c>
      <c r="D7" s="2">
        <v>4</v>
      </c>
      <c r="E7" s="2"/>
      <c r="F7" s="104"/>
      <c r="G7" s="2"/>
      <c r="H7" s="104"/>
      <c r="I7" s="2"/>
      <c r="J7" s="888" t="s">
        <v>455</v>
      </c>
      <c r="K7" s="889"/>
      <c r="L7" s="890"/>
      <c r="M7" s="2"/>
      <c r="N7" s="103" t="s">
        <v>58</v>
      </c>
      <c r="O7" s="2"/>
      <c r="P7" s="111"/>
      <c r="Q7" s="67" t="str">
        <f t="shared" si="1"/>
        <v/>
      </c>
      <c r="R7" s="2"/>
      <c r="S7" s="103" t="s">
        <v>58</v>
      </c>
      <c r="T7" s="2"/>
      <c r="U7" s="103"/>
      <c r="V7" s="2"/>
      <c r="W7" s="103"/>
      <c r="X7" s="2"/>
      <c r="Y7" s="103"/>
      <c r="Z7" s="2"/>
      <c r="AA7" s="162"/>
      <c r="AB7" s="164" t="s">
        <v>59</v>
      </c>
      <c r="AC7" s="163"/>
      <c r="AD7" s="2"/>
      <c r="AE7" s="390">
        <f t="shared" si="2"/>
        <v>7</v>
      </c>
      <c r="AF7" s="2"/>
      <c r="AG7" s="315" t="s">
        <v>11</v>
      </c>
      <c r="AH7" s="2"/>
      <c r="AI7" s="315"/>
      <c r="AJ7" s="2"/>
      <c r="AK7" s="390" t="str">
        <f t="shared" si="3"/>
        <v>STD</v>
      </c>
      <c r="AL7" s="2"/>
      <c r="AM7" s="110" t="str">
        <f t="shared" si="4"/>
        <v>Fixed Tricycle</v>
      </c>
      <c r="AN7" s="86"/>
      <c r="AO7" s="110" t="str">
        <f t="shared" si="12"/>
        <v>RW_T</v>
      </c>
      <c r="AP7" s="86"/>
      <c r="AQ7" s="86"/>
      <c r="AR7" s="86">
        <v>4</v>
      </c>
      <c r="AS7" s="2" t="str">
        <v>$1,000,000/EX</v>
      </c>
      <c r="AT7" s="770">
        <v>1000000</v>
      </c>
      <c r="AU7" s="770" t="str">
        <f t="shared" si="14"/>
        <v/>
      </c>
      <c r="AV7" s="2"/>
      <c r="AX7" t="str">
        <f t="shared" si="5"/>
        <v>F</v>
      </c>
      <c r="AY7" t="str">
        <f>IF(J7="","",IF(AX7="F",WorksheetAC_old_keep!$F$3,IF(AX7="C",WorksheetAC_old_keep!$F$2,IF(AX7="R",WorksheetAC_old_keep!$F$4,IF(AX7=AE46,WorksheetAC_old_keep!$F$5,IF(AX7="T",WorksheetAC_old_keep!$F$6,IF(AX7="S",WorksheetAC_old_keep!$F$7,IF(AX7="A",WorksheetAC_old_keep!$F$8,IF(AX7="B",WorksheetAC_old_keep!$F$9,"")))))))))</f>
        <v>FT</v>
      </c>
      <c r="AZ7" t="str">
        <f t="shared" si="6"/>
        <v>Fixed Tricycle</v>
      </c>
      <c r="BA7" t="s">
        <v>63</v>
      </c>
      <c r="BB7">
        <f t="shared" si="7"/>
        <v>7</v>
      </c>
      <c r="BC7">
        <f t="shared" si="8"/>
        <v>7</v>
      </c>
      <c r="BE7" s="11">
        <f t="shared" si="9"/>
        <v>900000</v>
      </c>
      <c r="BF7" s="11">
        <f t="shared" si="10"/>
        <v>1625000</v>
      </c>
      <c r="BH7" t="str">
        <f t="shared" si="11"/>
        <v>NA/NA</v>
      </c>
      <c r="BJ7" t="str">
        <f t="shared" si="13"/>
        <v>RW</v>
      </c>
    </row>
    <row r="8" spans="1:62" ht="15">
      <c r="A8" s="602"/>
      <c r="B8" s="602"/>
      <c r="C8" s="470" t="str">
        <f t="shared" si="0"/>
        <v/>
      </c>
      <c r="D8" s="2">
        <v>5</v>
      </c>
      <c r="E8" s="2"/>
      <c r="F8" s="104"/>
      <c r="G8" s="2"/>
      <c r="H8" s="104"/>
      <c r="I8" s="2"/>
      <c r="J8" s="888"/>
      <c r="K8" s="889"/>
      <c r="L8" s="890"/>
      <c r="M8" s="2"/>
      <c r="N8" s="103" t="s">
        <v>58</v>
      </c>
      <c r="O8" s="2"/>
      <c r="P8" s="111"/>
      <c r="Q8" s="67" t="str">
        <f t="shared" si="1"/>
        <v/>
      </c>
      <c r="R8" s="2"/>
      <c r="S8" s="103" t="s">
        <v>58</v>
      </c>
      <c r="T8" s="2"/>
      <c r="U8" s="103"/>
      <c r="V8" s="2"/>
      <c r="W8" s="103"/>
      <c r="X8" s="2"/>
      <c r="Y8" s="103"/>
      <c r="Z8" s="2"/>
      <c r="AA8" s="162"/>
      <c r="AB8" s="164" t="s">
        <v>59</v>
      </c>
      <c r="AC8" s="163"/>
      <c r="AD8" s="2"/>
      <c r="AE8" s="390" t="str">
        <f t="shared" si="2"/>
        <v/>
      </c>
      <c r="AF8" s="2"/>
      <c r="AG8" s="315" t="s">
        <v>11</v>
      </c>
      <c r="AH8" s="2"/>
      <c r="AI8" s="315"/>
      <c r="AJ8" s="2"/>
      <c r="AK8" s="390" t="str">
        <f t="shared" si="3"/>
        <v/>
      </c>
      <c r="AL8" s="2"/>
      <c r="AM8" s="110" t="str">
        <f t="shared" si="4"/>
        <v/>
      </c>
      <c r="AN8" s="86"/>
      <c r="AO8" s="110" t="str">
        <f t="shared" si="12"/>
        <v/>
      </c>
      <c r="AP8" s="86"/>
      <c r="AQ8" s="86"/>
      <c r="AR8" s="86">
        <v>5</v>
      </c>
      <c r="AS8" s="2" t="str">
        <v>$1,000,000/$100,000.</v>
      </c>
      <c r="AT8" s="770">
        <v>1000000</v>
      </c>
      <c r="AU8" s="770" t="str">
        <f t="shared" si="14"/>
        <v/>
      </c>
      <c r="AV8" s="2"/>
      <c r="AX8" t="str">
        <f t="shared" si="5"/>
        <v/>
      </c>
      <c r="AY8" t="str">
        <f>IF(J8="","",IF(AX8="F",WorksheetAC_old_keep!$F$3,IF(AX8="C",WorksheetAC_old_keep!$F$2,IF(AX8="R",WorksheetAC_old_keep!$F$4,IF(AX8=AE47,WorksheetAC_old_keep!$F$5,IF(AX8="T",WorksheetAC_old_keep!$F$6,IF(AX8="S",WorksheetAC_old_keep!$F$7,IF(AX8="A",WorksheetAC_old_keep!$F$8,IF(AX8="B",WorksheetAC_old_keep!$F$9,"")))))))))</f>
        <v/>
      </c>
      <c r="AZ8" t="str">
        <f t="shared" si="6"/>
        <v/>
      </c>
      <c r="BA8" t="s">
        <v>64</v>
      </c>
      <c r="BB8" t="str">
        <f t="shared" si="7"/>
        <v/>
      </c>
      <c r="BC8" t="str">
        <f t="shared" si="8"/>
        <v/>
      </c>
      <c r="BE8" s="11" t="str">
        <f t="shared" si="9"/>
        <v/>
      </c>
      <c r="BF8" s="11" t="str">
        <f t="shared" si="10"/>
        <v/>
      </c>
      <c r="BH8" t="str">
        <f t="shared" si="11"/>
        <v/>
      </c>
      <c r="BJ8" t="str">
        <f t="shared" si="13"/>
        <v/>
      </c>
    </row>
    <row r="9" spans="1:62" ht="15">
      <c r="A9" s="602"/>
      <c r="B9" s="602"/>
      <c r="C9" s="470" t="str">
        <f t="shared" si="0"/>
        <v/>
      </c>
      <c r="D9" s="2">
        <v>6</v>
      </c>
      <c r="E9" s="2"/>
      <c r="F9" s="104"/>
      <c r="G9" s="2"/>
      <c r="H9" s="104"/>
      <c r="I9" s="2"/>
      <c r="J9" s="888"/>
      <c r="K9" s="889"/>
      <c r="L9" s="890"/>
      <c r="M9" s="2"/>
      <c r="N9" s="103" t="s">
        <v>58</v>
      </c>
      <c r="O9" s="2"/>
      <c r="P9" s="111"/>
      <c r="Q9" s="67" t="str">
        <f t="shared" si="1"/>
        <v/>
      </c>
      <c r="R9" s="2"/>
      <c r="S9" s="103" t="s">
        <v>58</v>
      </c>
      <c r="T9" s="2"/>
      <c r="U9" s="103"/>
      <c r="V9" s="2"/>
      <c r="W9" s="103"/>
      <c r="X9" s="2"/>
      <c r="Y9" s="103"/>
      <c r="Z9" s="2"/>
      <c r="AA9" s="162"/>
      <c r="AB9" s="164" t="s">
        <v>59</v>
      </c>
      <c r="AC9" s="163"/>
      <c r="AD9" s="2"/>
      <c r="AE9" s="390" t="str">
        <f t="shared" si="2"/>
        <v/>
      </c>
      <c r="AF9" s="2"/>
      <c r="AG9" s="315" t="s">
        <v>11</v>
      </c>
      <c r="AH9" s="2"/>
      <c r="AI9" s="315"/>
      <c r="AJ9" s="2"/>
      <c r="AK9" s="390" t="str">
        <f t="shared" si="3"/>
        <v/>
      </c>
      <c r="AL9" s="2"/>
      <c r="AM9" s="110" t="str">
        <f t="shared" si="4"/>
        <v/>
      </c>
      <c r="AN9" s="86"/>
      <c r="AO9" s="110" t="str">
        <f t="shared" si="12"/>
        <v/>
      </c>
      <c r="AP9" s="86"/>
      <c r="AQ9" s="86"/>
      <c r="AR9" s="86">
        <v>6</v>
      </c>
      <c r="AS9" s="2" t="str">
        <v>$1,000,000/$200,000</v>
      </c>
      <c r="AT9" s="770">
        <v>1000000</v>
      </c>
      <c r="AU9" s="770" t="str">
        <f t="shared" si="14"/>
        <v/>
      </c>
      <c r="AV9" s="2"/>
      <c r="AX9" t="str">
        <f t="shared" si="5"/>
        <v/>
      </c>
      <c r="AY9" t="str">
        <f>IF(J9="","",IF(AX9="F",WorksheetAC_old_keep!$F$3,IF(AX9="C",WorksheetAC_old_keep!$F$2,IF(AX9="R",WorksheetAC_old_keep!$F$4,IF(AX9=AE48,WorksheetAC_old_keep!$F$5,IF(AX9="T",WorksheetAC_old_keep!$F$6,IF(AX9="S",WorksheetAC_old_keep!$F$7,IF(AX9="A",WorksheetAC_old_keep!$F$8,IF(AX9="B",WorksheetAC_old_keep!$F$9,"")))))))))</f>
        <v/>
      </c>
      <c r="AZ9" t="str">
        <f t="shared" si="6"/>
        <v/>
      </c>
      <c r="BA9" t="s">
        <v>65</v>
      </c>
      <c r="BB9" t="str">
        <f t="shared" si="7"/>
        <v/>
      </c>
      <c r="BC9" t="str">
        <f t="shared" si="8"/>
        <v/>
      </c>
      <c r="BE9" s="11" t="str">
        <f t="shared" si="9"/>
        <v/>
      </c>
      <c r="BF9" s="11" t="str">
        <f t="shared" si="10"/>
        <v/>
      </c>
      <c r="BH9" t="str">
        <f t="shared" si="11"/>
        <v/>
      </c>
      <c r="BJ9" t="str">
        <f t="shared" si="13"/>
        <v/>
      </c>
    </row>
    <row r="10" spans="1:62" ht="15">
      <c r="A10" s="602"/>
      <c r="B10" s="602"/>
      <c r="C10" s="470" t="str">
        <f t="shared" si="0"/>
        <v/>
      </c>
      <c r="D10" s="2">
        <v>7</v>
      </c>
      <c r="E10" s="2"/>
      <c r="F10" s="104"/>
      <c r="G10" s="2"/>
      <c r="H10" s="104"/>
      <c r="I10" s="2"/>
      <c r="J10" s="888"/>
      <c r="K10" s="889"/>
      <c r="L10" s="890"/>
      <c r="M10" s="2"/>
      <c r="N10" s="103" t="s">
        <v>58</v>
      </c>
      <c r="O10" s="2"/>
      <c r="P10" s="111"/>
      <c r="Q10" s="67" t="str">
        <f t="shared" si="1"/>
        <v/>
      </c>
      <c r="R10" s="2"/>
      <c r="S10" s="103" t="s">
        <v>58</v>
      </c>
      <c r="T10" s="2"/>
      <c r="U10" s="103"/>
      <c r="V10" s="2"/>
      <c r="W10" s="103"/>
      <c r="X10" s="2"/>
      <c r="Y10" s="103"/>
      <c r="Z10" s="2"/>
      <c r="AA10" s="162"/>
      <c r="AB10" s="164" t="s">
        <v>59</v>
      </c>
      <c r="AC10" s="163"/>
      <c r="AD10" s="2"/>
      <c r="AE10" s="390" t="str">
        <f t="shared" si="2"/>
        <v/>
      </c>
      <c r="AF10" s="2"/>
      <c r="AG10" s="315" t="s">
        <v>11</v>
      </c>
      <c r="AH10" s="2"/>
      <c r="AI10" s="315"/>
      <c r="AJ10" s="2"/>
      <c r="AK10" s="390" t="str">
        <f t="shared" si="3"/>
        <v/>
      </c>
      <c r="AL10" s="2"/>
      <c r="AM10" s="110" t="str">
        <f t="shared" si="4"/>
        <v/>
      </c>
      <c r="AN10" s="86"/>
      <c r="AO10" s="110" t="str">
        <f t="shared" si="12"/>
        <v/>
      </c>
      <c r="AP10" s="86"/>
      <c r="AQ10" s="86"/>
      <c r="AR10" s="86">
        <v>7</v>
      </c>
      <c r="AS10" s="2" t="str">
        <v>$1,000,000/$250,000.</v>
      </c>
      <c r="AT10" s="770">
        <v>1000000</v>
      </c>
      <c r="AU10" s="770" t="str">
        <f t="shared" si="14"/>
        <v/>
      </c>
      <c r="AV10" s="2"/>
      <c r="AX10" t="str">
        <f t="shared" si="5"/>
        <v/>
      </c>
      <c r="AY10" t="str">
        <f>IF(J10="","",IF(AX10="F",WorksheetAC_old_keep!$F$3,IF(AX10="C",WorksheetAC_old_keep!$F$2,IF(AX10="R",WorksheetAC_old_keep!$F$4,IF(AX10=AE49,WorksheetAC_old_keep!$F$5,IF(AX10="T",WorksheetAC_old_keep!$F$6,IF(AX10="S",WorksheetAC_old_keep!$F$7,IF(AX10="A",WorksheetAC_old_keep!$F$8,IF(AX10="B",WorksheetAC_old_keep!$F$9,"")))))))))</f>
        <v/>
      </c>
      <c r="AZ10" t="str">
        <f t="shared" si="6"/>
        <v/>
      </c>
      <c r="BA10" t="s">
        <v>66</v>
      </c>
      <c r="BB10" t="str">
        <f t="shared" si="7"/>
        <v/>
      </c>
      <c r="BC10" t="str">
        <f t="shared" si="8"/>
        <v/>
      </c>
      <c r="BE10" s="11" t="str">
        <f t="shared" si="9"/>
        <v/>
      </c>
      <c r="BF10" s="11" t="str">
        <f t="shared" si="10"/>
        <v/>
      </c>
      <c r="BH10" t="str">
        <f t="shared" si="11"/>
        <v/>
      </c>
      <c r="BJ10" t="str">
        <f t="shared" si="13"/>
        <v/>
      </c>
    </row>
    <row r="11" spans="1:62" ht="15">
      <c r="A11" s="602"/>
      <c r="B11" s="602"/>
      <c r="C11" s="470" t="str">
        <f t="shared" si="0"/>
        <v/>
      </c>
      <c r="D11" s="2">
        <v>8</v>
      </c>
      <c r="E11" s="2"/>
      <c r="F11" s="104"/>
      <c r="G11" s="2"/>
      <c r="H11" s="104"/>
      <c r="I11" s="2"/>
      <c r="J11" s="888"/>
      <c r="K11" s="889"/>
      <c r="L11" s="890"/>
      <c r="M11" s="2"/>
      <c r="N11" s="103" t="s">
        <v>58</v>
      </c>
      <c r="O11" s="2"/>
      <c r="P11" s="111"/>
      <c r="Q11" s="67" t="str">
        <f t="shared" si="1"/>
        <v/>
      </c>
      <c r="R11" s="2"/>
      <c r="S11" s="103" t="s">
        <v>58</v>
      </c>
      <c r="T11" s="2"/>
      <c r="U11" s="103"/>
      <c r="V11" s="2"/>
      <c r="W11" s="103"/>
      <c r="X11" s="2"/>
      <c r="Y11" s="103"/>
      <c r="Z11" s="2"/>
      <c r="AA11" s="162"/>
      <c r="AB11" s="164" t="s">
        <v>59</v>
      </c>
      <c r="AC11" s="163"/>
      <c r="AD11" s="2"/>
      <c r="AE11" s="390" t="str">
        <f t="shared" si="2"/>
        <v/>
      </c>
      <c r="AF11" s="2"/>
      <c r="AG11" s="315" t="s">
        <v>11</v>
      </c>
      <c r="AH11" s="2"/>
      <c r="AI11" s="315"/>
      <c r="AJ11" s="2"/>
      <c r="AK11" s="390" t="str">
        <f t="shared" si="3"/>
        <v/>
      </c>
      <c r="AL11" s="2"/>
      <c r="AM11" s="110" t="str">
        <f t="shared" si="4"/>
        <v/>
      </c>
      <c r="AN11" s="86"/>
      <c r="AO11" s="110" t="str">
        <f t="shared" si="12"/>
        <v/>
      </c>
      <c r="AP11" s="86"/>
      <c r="AQ11" s="86"/>
      <c r="AR11" s="86">
        <v>8</v>
      </c>
      <c r="AS11" s="2" t="str">
        <v>$1,000,000/$300,000.</v>
      </c>
      <c r="AT11" s="770">
        <v>1000000</v>
      </c>
      <c r="AU11" s="770" t="str">
        <f t="shared" si="14"/>
        <v/>
      </c>
      <c r="AV11" s="2"/>
      <c r="AX11" t="str">
        <f t="shared" si="5"/>
        <v/>
      </c>
      <c r="AY11" t="str">
        <f>IF(J11="","",IF(AX11="F",WorksheetAC_old_keep!$F$3,IF(AX11="C",WorksheetAC_old_keep!$F$2,IF(AX11="R",WorksheetAC_old_keep!$F$4,IF(AX11=AE50,WorksheetAC_old_keep!$F$5,IF(AX11="T",WorksheetAC_old_keep!$F$6,IF(AX11="S",WorksheetAC_old_keep!$F$7,IF(AX11="A",WorksheetAC_old_keep!$F$8,IF(AX11="B",WorksheetAC_old_keep!$F$9,"")))))))))</f>
        <v/>
      </c>
      <c r="AZ11" t="str">
        <f t="shared" si="6"/>
        <v/>
      </c>
      <c r="BA11" s="53" t="s">
        <v>67</v>
      </c>
      <c r="BB11" t="str">
        <f t="shared" si="7"/>
        <v/>
      </c>
      <c r="BC11" t="str">
        <f t="shared" si="8"/>
        <v/>
      </c>
      <c r="BE11" s="11" t="str">
        <f t="shared" si="9"/>
        <v/>
      </c>
      <c r="BF11" s="11" t="str">
        <f t="shared" si="10"/>
        <v/>
      </c>
      <c r="BH11" t="str">
        <f t="shared" si="11"/>
        <v/>
      </c>
      <c r="BJ11" t="str">
        <f t="shared" si="13"/>
        <v/>
      </c>
    </row>
    <row r="12" spans="1:62" ht="15">
      <c r="A12" s="602"/>
      <c r="B12" s="602"/>
      <c r="C12" s="470" t="str">
        <f t="shared" si="0"/>
        <v/>
      </c>
      <c r="D12" s="2">
        <v>9</v>
      </c>
      <c r="E12" s="2"/>
      <c r="F12" s="104"/>
      <c r="G12" s="2"/>
      <c r="H12" s="104"/>
      <c r="I12" s="2"/>
      <c r="J12" s="888"/>
      <c r="K12" s="889"/>
      <c r="L12" s="890"/>
      <c r="M12" s="2"/>
      <c r="N12" s="103" t="s">
        <v>58</v>
      </c>
      <c r="O12" s="2"/>
      <c r="P12" s="111"/>
      <c r="Q12" s="67" t="str">
        <f t="shared" si="1"/>
        <v/>
      </c>
      <c r="R12" s="2"/>
      <c r="S12" s="103" t="s">
        <v>58</v>
      </c>
      <c r="T12" s="2"/>
      <c r="U12" s="103"/>
      <c r="V12" s="2"/>
      <c r="W12" s="103"/>
      <c r="X12" s="2"/>
      <c r="Y12" s="103"/>
      <c r="Z12" s="2"/>
      <c r="AA12" s="162"/>
      <c r="AB12" s="164" t="s">
        <v>59</v>
      </c>
      <c r="AC12" s="163"/>
      <c r="AD12" s="2"/>
      <c r="AE12" s="390" t="str">
        <f>IFERROR(VLOOKUP(C12,Aircraftlist,11)+1,"")</f>
        <v/>
      </c>
      <c r="AF12" s="2"/>
      <c r="AG12" s="315" t="s">
        <v>11</v>
      </c>
      <c r="AH12" s="2"/>
      <c r="AI12" s="315"/>
      <c r="AJ12" s="2"/>
      <c r="AK12" s="390" t="str">
        <f t="shared" si="3"/>
        <v/>
      </c>
      <c r="AL12" s="2"/>
      <c r="AM12" s="110" t="str">
        <f t="shared" si="4"/>
        <v/>
      </c>
      <c r="AN12" s="86"/>
      <c r="AO12" s="110" t="str">
        <f t="shared" si="12"/>
        <v/>
      </c>
      <c r="AP12" s="86"/>
      <c r="AQ12" s="86"/>
      <c r="AR12" s="86">
        <v>9</v>
      </c>
      <c r="AS12" s="2" t="str">
        <v>$1,000,000/$500,000.</v>
      </c>
      <c r="AT12" s="770">
        <v>1000000</v>
      </c>
      <c r="AU12" s="770" t="str">
        <f t="shared" si="14"/>
        <v/>
      </c>
      <c r="AV12" s="2"/>
      <c r="AX12" t="str">
        <f t="shared" si="5"/>
        <v/>
      </c>
      <c r="AY12" t="str">
        <f>IF(J12="","",IF(AX12="F",WorksheetAC_old_keep!$F$3,IF(AX12="C",WorksheetAC_old_keep!$F$2,IF(AX12="R",WorksheetAC_old_keep!$F$4,IF(AX12=AE51,WorksheetAC_old_keep!$F$5,IF(AX12="T",WorksheetAC_old_keep!$F$6,IF(AX12="S",WorksheetAC_old_keep!$F$7,IF(AX12="A",WorksheetAC_old_keep!$F$8,IF(AX12="B",WorksheetAC_old_keep!$F$9,"")))))))))</f>
        <v/>
      </c>
      <c r="AZ12" t="str">
        <f t="shared" si="6"/>
        <v/>
      </c>
      <c r="BA12" s="53" t="s">
        <v>68</v>
      </c>
      <c r="BB12" t="str">
        <f t="shared" si="7"/>
        <v/>
      </c>
      <c r="BC12" t="str">
        <f t="shared" si="8"/>
        <v/>
      </c>
      <c r="BE12" s="11" t="str">
        <f t="shared" si="9"/>
        <v/>
      </c>
      <c r="BF12" s="11" t="str">
        <f t="shared" si="10"/>
        <v/>
      </c>
      <c r="BH12" t="str">
        <f t="shared" si="11"/>
        <v/>
      </c>
      <c r="BJ12" t="str">
        <f t="shared" si="13"/>
        <v/>
      </c>
    </row>
    <row r="13" spans="1:62" ht="15">
      <c r="A13" s="602"/>
      <c r="B13" s="602"/>
      <c r="C13" s="470" t="str">
        <f t="shared" si="0"/>
        <v/>
      </c>
      <c r="D13" s="2">
        <v>10</v>
      </c>
      <c r="E13" s="2"/>
      <c r="F13" s="104"/>
      <c r="G13" s="2"/>
      <c r="H13" s="104"/>
      <c r="I13" s="2"/>
      <c r="J13" s="888"/>
      <c r="K13" s="889"/>
      <c r="L13" s="890"/>
      <c r="M13" s="2"/>
      <c r="N13" s="103" t="s">
        <v>58</v>
      </c>
      <c r="O13" s="2"/>
      <c r="P13" s="111"/>
      <c r="Q13" s="67" t="str">
        <f t="shared" si="1"/>
        <v/>
      </c>
      <c r="R13" s="2"/>
      <c r="S13" s="103" t="s">
        <v>58</v>
      </c>
      <c r="T13" s="2"/>
      <c r="U13" s="103"/>
      <c r="V13" s="2"/>
      <c r="W13" s="103"/>
      <c r="X13" s="2"/>
      <c r="Y13" s="103"/>
      <c r="Z13" s="2"/>
      <c r="AA13" s="162"/>
      <c r="AB13" s="164" t="s">
        <v>59</v>
      </c>
      <c r="AC13" s="163"/>
      <c r="AD13" s="2"/>
      <c r="AE13" s="390" t="str">
        <f t="shared" ref="AE13:AE33" si="15">IFERROR(VLOOKUP(C13,Aircraftlist,11)+1,"")</f>
        <v/>
      </c>
      <c r="AF13" s="2"/>
      <c r="AG13" s="315" t="s">
        <v>11</v>
      </c>
      <c r="AH13" s="2"/>
      <c r="AI13" s="315"/>
      <c r="AJ13" s="2"/>
      <c r="AK13" s="390" t="str">
        <f t="shared" si="3"/>
        <v/>
      </c>
      <c r="AL13" s="2"/>
      <c r="AM13" s="110" t="str">
        <f t="shared" si="4"/>
        <v/>
      </c>
      <c r="AN13" s="86"/>
      <c r="AO13" s="110" t="str">
        <f t="shared" si="12"/>
        <v/>
      </c>
      <c r="AP13" s="86"/>
      <c r="AQ13" s="86"/>
      <c r="AR13" s="86">
        <v>10</v>
      </c>
      <c r="AS13" s="2" t="str">
        <v>$1,000,000 CSL</v>
      </c>
      <c r="AT13" s="770">
        <v>1000000</v>
      </c>
      <c r="AU13" s="770" t="str">
        <f t="shared" si="14"/>
        <v/>
      </c>
      <c r="AV13" s="2"/>
      <c r="AX13" t="str">
        <f t="shared" si="5"/>
        <v/>
      </c>
      <c r="AY13" t="str">
        <f>IF(J13="","",IF(AX13="F",WorksheetAC_old_keep!$F$3,IF(AX13="C",WorksheetAC_old_keep!$F$2,IF(AX13="R",WorksheetAC_old_keep!$F$4,IF(AX13=AE52,WorksheetAC_old_keep!$F$5,IF(AX13="T",WorksheetAC_old_keep!$F$6,IF(AX13="S",WorksheetAC_old_keep!$F$7,IF(AX13="A",WorksheetAC_old_keep!$F$8,IF(AX13="B",WorksheetAC_old_keep!$F$9,"")))))))))</f>
        <v/>
      </c>
      <c r="AZ13" t="str">
        <f t="shared" si="6"/>
        <v/>
      </c>
      <c r="BA13" s="53" t="s">
        <v>69</v>
      </c>
      <c r="BB13" t="str">
        <f t="shared" si="7"/>
        <v/>
      </c>
      <c r="BC13" t="str">
        <f t="shared" si="8"/>
        <v/>
      </c>
      <c r="BE13" s="11" t="str">
        <f t="shared" si="9"/>
        <v/>
      </c>
      <c r="BF13" s="11" t="str">
        <f t="shared" si="10"/>
        <v/>
      </c>
      <c r="BH13" t="str">
        <f t="shared" si="11"/>
        <v/>
      </c>
      <c r="BJ13" t="str">
        <f t="shared" si="13"/>
        <v/>
      </c>
    </row>
    <row r="14" spans="1:62" ht="15">
      <c r="A14" s="602"/>
      <c r="B14" s="602"/>
      <c r="C14" s="470" t="str">
        <f t="shared" si="0"/>
        <v/>
      </c>
      <c r="D14" s="2">
        <v>11</v>
      </c>
      <c r="E14" s="2"/>
      <c r="F14" s="104"/>
      <c r="G14" s="2"/>
      <c r="H14" s="104"/>
      <c r="I14" s="2"/>
      <c r="J14" s="888"/>
      <c r="K14" s="889"/>
      <c r="L14" s="890"/>
      <c r="M14" s="2"/>
      <c r="N14" s="103" t="s">
        <v>58</v>
      </c>
      <c r="O14" s="2"/>
      <c r="P14" s="111"/>
      <c r="Q14" s="67" t="str">
        <f t="shared" si="1"/>
        <v/>
      </c>
      <c r="R14" s="2"/>
      <c r="S14" s="103" t="s">
        <v>58</v>
      </c>
      <c r="T14" s="2"/>
      <c r="U14" s="103"/>
      <c r="V14" s="2"/>
      <c r="W14" s="103"/>
      <c r="X14" s="2"/>
      <c r="Y14" s="103"/>
      <c r="Z14" s="2"/>
      <c r="AA14" s="162"/>
      <c r="AB14" s="164" t="s">
        <v>59</v>
      </c>
      <c r="AC14" s="163"/>
      <c r="AD14" s="2"/>
      <c r="AE14" s="390" t="str">
        <f t="shared" si="15"/>
        <v/>
      </c>
      <c r="AF14" s="2"/>
      <c r="AG14" s="315" t="s">
        <v>11</v>
      </c>
      <c r="AH14" s="2"/>
      <c r="AI14" s="315"/>
      <c r="AJ14" s="2"/>
      <c r="AK14" s="390" t="str">
        <f t="shared" ref="AK14:AK33" si="16">IFERROR(VLOOKUP(C14,Aircraftlist,12),"")</f>
        <v/>
      </c>
      <c r="AL14" s="2"/>
      <c r="AM14" s="110" t="str">
        <f t="shared" si="4"/>
        <v/>
      </c>
      <c r="AN14" s="86"/>
      <c r="AO14" s="110" t="str">
        <f t="shared" si="12"/>
        <v/>
      </c>
      <c r="AP14" s="86"/>
      <c r="AQ14" s="86"/>
      <c r="AR14" s="86">
        <v>11</v>
      </c>
      <c r="AS14" s="2" t="str">
        <v>$2,000,000/EX</v>
      </c>
      <c r="AT14" s="770">
        <v>2000000</v>
      </c>
      <c r="AU14" s="770" t="str">
        <f t="shared" si="14"/>
        <v/>
      </c>
      <c r="AV14" s="2"/>
      <c r="AX14" t="str">
        <f t="shared" si="5"/>
        <v/>
      </c>
      <c r="AY14" t="str">
        <f>IF(J14="","",IF(AX14="F",WorksheetAC_old_keep!$F$3,IF(AX14="C",WorksheetAC_old_keep!$F$2,IF(AX14="R",WorksheetAC_old_keep!$F$4,IF(AX14=AE53,WorksheetAC_old_keep!$F$5,IF(AX14="T",WorksheetAC_old_keep!$F$6,IF(AX14="S",WorksheetAC_old_keep!$F$7,IF(AX14="A",WorksheetAC_old_keep!$F$8,IF(AX14="B",WorksheetAC_old_keep!$F$9,"")))))))))</f>
        <v/>
      </c>
      <c r="AZ14" t="str">
        <f t="shared" si="6"/>
        <v/>
      </c>
      <c r="BA14" s="53" t="s">
        <v>70</v>
      </c>
      <c r="BB14" t="str">
        <f t="shared" si="7"/>
        <v/>
      </c>
      <c r="BC14" t="str">
        <f t="shared" si="8"/>
        <v/>
      </c>
      <c r="BE14" s="11" t="str">
        <f t="shared" si="9"/>
        <v/>
      </c>
      <c r="BF14" s="11" t="str">
        <f t="shared" si="10"/>
        <v/>
      </c>
      <c r="BH14" t="str">
        <f t="shared" si="11"/>
        <v/>
      </c>
      <c r="BJ14" t="str">
        <f t="shared" si="13"/>
        <v/>
      </c>
    </row>
    <row r="15" spans="1:62" ht="15">
      <c r="A15" s="602"/>
      <c r="B15" s="602"/>
      <c r="C15" s="470" t="str">
        <f t="shared" si="0"/>
        <v/>
      </c>
      <c r="D15" s="2">
        <v>12</v>
      </c>
      <c r="E15" s="2"/>
      <c r="F15" s="104"/>
      <c r="G15" s="2"/>
      <c r="H15" s="104"/>
      <c r="I15" s="2"/>
      <c r="J15" s="888"/>
      <c r="K15" s="889"/>
      <c r="L15" s="890"/>
      <c r="M15" s="2"/>
      <c r="N15" s="103" t="s">
        <v>58</v>
      </c>
      <c r="O15" s="2"/>
      <c r="P15" s="111"/>
      <c r="Q15" s="67" t="str">
        <f t="shared" si="1"/>
        <v/>
      </c>
      <c r="R15" s="2"/>
      <c r="S15" s="103" t="s">
        <v>58</v>
      </c>
      <c r="T15" s="2"/>
      <c r="U15" s="103"/>
      <c r="V15" s="2"/>
      <c r="W15" s="103"/>
      <c r="X15" s="2"/>
      <c r="Y15" s="103"/>
      <c r="Z15" s="2"/>
      <c r="AA15" s="162"/>
      <c r="AB15" s="164" t="s">
        <v>59</v>
      </c>
      <c r="AC15" s="163"/>
      <c r="AD15" s="2"/>
      <c r="AE15" s="390" t="str">
        <f t="shared" si="15"/>
        <v/>
      </c>
      <c r="AF15" s="2"/>
      <c r="AG15" s="315" t="s">
        <v>11</v>
      </c>
      <c r="AH15" s="2"/>
      <c r="AI15" s="315"/>
      <c r="AJ15" s="2"/>
      <c r="AK15" s="390" t="str">
        <f t="shared" si="16"/>
        <v/>
      </c>
      <c r="AL15" s="2"/>
      <c r="AM15" s="110" t="str">
        <f t="shared" si="4"/>
        <v/>
      </c>
      <c r="AN15" s="86"/>
      <c r="AO15" s="110" t="str">
        <f t="shared" si="12"/>
        <v/>
      </c>
      <c r="AP15" s="86"/>
      <c r="AQ15" s="86"/>
      <c r="AR15" s="86">
        <v>12</v>
      </c>
      <c r="AS15" s="2" t="str">
        <v>$2,000,000/$100,000</v>
      </c>
      <c r="AT15" s="770">
        <v>2000000</v>
      </c>
      <c r="AU15" s="770" t="str">
        <f t="shared" si="14"/>
        <v/>
      </c>
      <c r="AV15" s="2"/>
      <c r="AX15" t="str">
        <f t="shared" si="5"/>
        <v/>
      </c>
      <c r="AY15" t="str">
        <f>IF(J15="","",IF(AX15="F",WorksheetAC_old_keep!$F$3,IF(AX15="C",WorksheetAC_old_keep!$F$2,IF(AX15="R",WorksheetAC_old_keep!$F$4,IF(AX15=AE54,WorksheetAC_old_keep!$F$5,IF(AX15="T",WorksheetAC_old_keep!$F$6,IF(AX15="S",WorksheetAC_old_keep!$F$7,IF(AX15="A",WorksheetAC_old_keep!$F$8,IF(AX15="B",WorksheetAC_old_keep!$F$9,"")))))))))</f>
        <v/>
      </c>
      <c r="AZ15" t="str">
        <f t="shared" si="6"/>
        <v/>
      </c>
      <c r="BA15" s="53" t="s">
        <v>71</v>
      </c>
      <c r="BB15" t="str">
        <f t="shared" si="7"/>
        <v/>
      </c>
      <c r="BC15" t="str">
        <f t="shared" si="8"/>
        <v/>
      </c>
      <c r="BE15" s="11" t="str">
        <f t="shared" si="9"/>
        <v/>
      </c>
      <c r="BF15" s="11" t="str">
        <f t="shared" si="10"/>
        <v/>
      </c>
      <c r="BH15" t="str">
        <f t="shared" si="11"/>
        <v/>
      </c>
      <c r="BJ15" t="str">
        <f t="shared" si="13"/>
        <v/>
      </c>
    </row>
    <row r="16" spans="1:62" ht="15">
      <c r="A16" s="602"/>
      <c r="B16" s="602"/>
      <c r="C16" s="454" t="str">
        <f t="shared" si="0"/>
        <v/>
      </c>
      <c r="D16" s="2">
        <v>13</v>
      </c>
      <c r="E16" s="2"/>
      <c r="F16" s="104"/>
      <c r="G16" s="2"/>
      <c r="H16" s="104"/>
      <c r="I16" s="2"/>
      <c r="J16" s="888"/>
      <c r="K16" s="889"/>
      <c r="L16" s="890"/>
      <c r="M16" s="2"/>
      <c r="N16" s="103" t="s">
        <v>58</v>
      </c>
      <c r="O16" s="2"/>
      <c r="P16" s="111"/>
      <c r="Q16" s="67" t="str">
        <f t="shared" si="1"/>
        <v/>
      </c>
      <c r="R16" s="2"/>
      <c r="S16" s="103" t="s">
        <v>58</v>
      </c>
      <c r="T16" s="2"/>
      <c r="U16" s="103"/>
      <c r="V16" s="2"/>
      <c r="W16" s="103"/>
      <c r="X16" s="2"/>
      <c r="Y16" s="103"/>
      <c r="Z16" s="2"/>
      <c r="AA16" s="162"/>
      <c r="AB16" s="164" t="s">
        <v>59</v>
      </c>
      <c r="AC16" s="163"/>
      <c r="AD16" s="2"/>
      <c r="AE16" s="390" t="str">
        <f t="shared" si="15"/>
        <v/>
      </c>
      <c r="AF16" s="2"/>
      <c r="AG16" s="315" t="s">
        <v>11</v>
      </c>
      <c r="AH16" s="2"/>
      <c r="AI16" s="315"/>
      <c r="AJ16" s="2"/>
      <c r="AK16" s="390" t="str">
        <f t="shared" si="16"/>
        <v/>
      </c>
      <c r="AL16" s="2"/>
      <c r="AM16" s="110" t="str">
        <f t="shared" si="4"/>
        <v/>
      </c>
      <c r="AN16" s="86"/>
      <c r="AO16" s="110" t="str">
        <f t="shared" si="12"/>
        <v/>
      </c>
      <c r="AP16" s="86"/>
      <c r="AQ16" s="86"/>
      <c r="AR16" s="86">
        <v>13</v>
      </c>
      <c r="AS16" s="2" t="str">
        <v>$2,000,000/$200,000</v>
      </c>
      <c r="AT16" s="770">
        <v>2000000</v>
      </c>
      <c r="AU16" s="770" t="str">
        <f t="shared" si="14"/>
        <v/>
      </c>
      <c r="AV16" s="2"/>
      <c r="AX16" t="str">
        <f t="shared" si="5"/>
        <v/>
      </c>
      <c r="AY16" t="str">
        <f>IF(J16="","",IF(AX16="F",WorksheetAC_old_keep!$F$3,IF(AX16="C",WorksheetAC_old_keep!$F$2,IF(AX16="R",WorksheetAC_old_keep!$F$4,IF(AX16=AE55,WorksheetAC_old_keep!$F$5,IF(AX16="T",WorksheetAC_old_keep!$F$6,IF(AX16="S",WorksheetAC_old_keep!$F$7,IF(AX16="A",WorksheetAC_old_keep!$F$8,IF(AX16="B",WorksheetAC_old_keep!$F$9,"")))))))))</f>
        <v/>
      </c>
      <c r="AZ16" t="str">
        <f t="shared" si="6"/>
        <v/>
      </c>
      <c r="BA16" s="53" t="s">
        <v>72</v>
      </c>
      <c r="BB16" t="str">
        <f t="shared" si="7"/>
        <v/>
      </c>
      <c r="BC16" t="str">
        <f t="shared" si="8"/>
        <v/>
      </c>
      <c r="BE16" s="11" t="str">
        <f t="shared" si="9"/>
        <v/>
      </c>
      <c r="BF16" s="11" t="str">
        <f t="shared" si="10"/>
        <v/>
      </c>
      <c r="BH16" t="str">
        <f t="shared" si="11"/>
        <v/>
      </c>
      <c r="BJ16" t="str">
        <f t="shared" si="13"/>
        <v/>
      </c>
    </row>
    <row r="17" spans="1:62" ht="15">
      <c r="A17" s="602"/>
      <c r="B17" s="602"/>
      <c r="C17" s="454" t="str">
        <f t="shared" si="0"/>
        <v/>
      </c>
      <c r="D17" s="2">
        <v>14</v>
      </c>
      <c r="E17" s="2"/>
      <c r="F17" s="104"/>
      <c r="G17" s="2"/>
      <c r="H17" s="104"/>
      <c r="I17" s="2"/>
      <c r="J17" s="888"/>
      <c r="K17" s="889"/>
      <c r="L17" s="890"/>
      <c r="M17" s="2"/>
      <c r="N17" s="103" t="s">
        <v>58</v>
      </c>
      <c r="O17" s="2"/>
      <c r="P17" s="111"/>
      <c r="Q17" s="67" t="str">
        <f t="shared" si="1"/>
        <v/>
      </c>
      <c r="R17" s="2"/>
      <c r="S17" s="103" t="s">
        <v>58</v>
      </c>
      <c r="T17" s="2"/>
      <c r="U17" s="103"/>
      <c r="V17" s="2"/>
      <c r="W17" s="103"/>
      <c r="X17" s="2"/>
      <c r="Y17" s="103"/>
      <c r="Z17" s="2"/>
      <c r="AA17" s="162"/>
      <c r="AB17" s="164" t="s">
        <v>59</v>
      </c>
      <c r="AC17" s="163"/>
      <c r="AD17" s="2"/>
      <c r="AE17" s="390" t="str">
        <f t="shared" si="15"/>
        <v/>
      </c>
      <c r="AF17" s="2"/>
      <c r="AG17" s="315" t="s">
        <v>11</v>
      </c>
      <c r="AH17" s="2"/>
      <c r="AI17" s="315"/>
      <c r="AJ17" s="2"/>
      <c r="AK17" s="390" t="str">
        <f t="shared" si="16"/>
        <v/>
      </c>
      <c r="AL17" s="2"/>
      <c r="AM17" s="110" t="str">
        <f t="shared" si="4"/>
        <v/>
      </c>
      <c r="AN17" s="86"/>
      <c r="AO17" s="110" t="str">
        <f t="shared" si="12"/>
        <v/>
      </c>
      <c r="AP17" s="86"/>
      <c r="AQ17" s="86"/>
      <c r="AR17" s="86">
        <v>14</v>
      </c>
      <c r="AS17" s="2" t="str">
        <v>$2,000,000/$250,000</v>
      </c>
      <c r="AT17" s="770">
        <v>2000000</v>
      </c>
      <c r="AU17" s="770" t="str">
        <f t="shared" si="14"/>
        <v/>
      </c>
      <c r="AV17" s="2"/>
      <c r="AW17" t="s">
        <v>73</v>
      </c>
      <c r="AX17" t="str">
        <f t="shared" si="5"/>
        <v/>
      </c>
      <c r="AY17" t="str">
        <f>IF(J17="","",IF(AX17="F",WorksheetAC_old_keep!$F$3,IF(AX17="C",WorksheetAC_old_keep!$F$2,IF(AX17="R",WorksheetAC_old_keep!$F$4,IF(AX17=AE56,WorksheetAC_old_keep!$F$5,IF(AX17="T",WorksheetAC_old_keep!$F$6,IF(AX17="S",WorksheetAC_old_keep!$F$7,IF(AX17="A",WorksheetAC_old_keep!$F$8,IF(AX17="B",WorksheetAC_old_keep!$F$9,"")))))))))</f>
        <v/>
      </c>
      <c r="AZ17" t="str">
        <f t="shared" si="6"/>
        <v/>
      </c>
      <c r="BA17" s="53" t="s">
        <v>74</v>
      </c>
      <c r="BB17" t="str">
        <f t="shared" si="7"/>
        <v/>
      </c>
      <c r="BC17" t="str">
        <f t="shared" si="8"/>
        <v/>
      </c>
      <c r="BE17" s="11" t="str">
        <f t="shared" si="9"/>
        <v/>
      </c>
      <c r="BF17" s="11" t="str">
        <f t="shared" si="10"/>
        <v/>
      </c>
      <c r="BH17" t="str">
        <f t="shared" si="11"/>
        <v/>
      </c>
      <c r="BJ17" t="str">
        <f t="shared" si="13"/>
        <v/>
      </c>
    </row>
    <row r="18" spans="1:62" ht="15">
      <c r="A18" s="602"/>
      <c r="B18" s="602"/>
      <c r="C18" s="454" t="str">
        <f t="shared" si="0"/>
        <v/>
      </c>
      <c r="D18" s="2">
        <v>15</v>
      </c>
      <c r="E18" s="2"/>
      <c r="F18" s="104"/>
      <c r="G18" s="2"/>
      <c r="H18" s="104"/>
      <c r="I18" s="2"/>
      <c r="J18" s="888"/>
      <c r="K18" s="889"/>
      <c r="L18" s="890"/>
      <c r="M18" s="2"/>
      <c r="N18" s="103" t="s">
        <v>58</v>
      </c>
      <c r="O18" s="2"/>
      <c r="P18" s="111"/>
      <c r="Q18" s="67" t="str">
        <f t="shared" si="1"/>
        <v/>
      </c>
      <c r="R18" s="2"/>
      <c r="S18" s="103" t="s">
        <v>58</v>
      </c>
      <c r="T18" s="2"/>
      <c r="U18" s="103"/>
      <c r="V18" s="2"/>
      <c r="W18" s="103"/>
      <c r="X18" s="2"/>
      <c r="Y18" s="103"/>
      <c r="Z18" s="2"/>
      <c r="AA18" s="162"/>
      <c r="AB18" s="164" t="s">
        <v>59</v>
      </c>
      <c r="AC18" s="163"/>
      <c r="AD18" s="2"/>
      <c r="AE18" s="390" t="str">
        <f t="shared" si="15"/>
        <v/>
      </c>
      <c r="AF18" s="2"/>
      <c r="AG18" s="315" t="s">
        <v>11</v>
      </c>
      <c r="AH18" s="2"/>
      <c r="AI18" s="315"/>
      <c r="AJ18" s="2"/>
      <c r="AK18" s="390" t="str">
        <f t="shared" si="16"/>
        <v/>
      </c>
      <c r="AL18" s="2"/>
      <c r="AM18" s="110" t="str">
        <f t="shared" si="4"/>
        <v/>
      </c>
      <c r="AN18" s="86"/>
      <c r="AO18" s="110" t="str">
        <f t="shared" si="12"/>
        <v/>
      </c>
      <c r="AP18" s="86"/>
      <c r="AQ18" s="86"/>
      <c r="AR18" s="86">
        <v>15</v>
      </c>
      <c r="AS18" s="2" t="str">
        <v>$2,000,000/$300,000</v>
      </c>
      <c r="AT18" s="770">
        <v>2000000</v>
      </c>
      <c r="AU18" s="770" t="str">
        <f t="shared" si="14"/>
        <v/>
      </c>
      <c r="AV18" s="2"/>
      <c r="AW18" t="s">
        <v>75</v>
      </c>
      <c r="AX18" t="str">
        <f t="shared" ref="AX18:AX33" si="17">IF(N18="Y","S",IFERROR(VLOOKUP(C18,Aircraftlist,16),""))</f>
        <v/>
      </c>
      <c r="AY18" t="str">
        <f>IF(J18="","",IF(AX18="F",WorksheetAC_old_keep!$F$3,IF(AX18="C",WorksheetAC_old_keep!$F$2,IF(AX18="R",WorksheetAC_old_keep!$F$4,IF(AX18=AE57,WorksheetAC_old_keep!$F$5,IF(AX18="T",WorksheetAC_old_keep!$F$6,IF(AX18="S",WorksheetAC_old_keep!$F$7,IF(AX18="A",WorksheetAC_old_keep!$F$8,IF(AX18="B",WorksheetAC_old_keep!$F$9,"")))))))))</f>
        <v/>
      </c>
      <c r="AZ18" t="str">
        <f t="shared" si="6"/>
        <v/>
      </c>
      <c r="BA18" s="53" t="s">
        <v>76</v>
      </c>
      <c r="BB18" t="str">
        <f t="shared" si="7"/>
        <v/>
      </c>
      <c r="BC18" t="str">
        <f t="shared" si="8"/>
        <v/>
      </c>
      <c r="BE18" s="11" t="str">
        <f t="shared" si="9"/>
        <v/>
      </c>
      <c r="BF18" s="11" t="str">
        <f t="shared" si="10"/>
        <v/>
      </c>
      <c r="BH18" t="str">
        <f t="shared" si="11"/>
        <v/>
      </c>
      <c r="BJ18" t="str">
        <f t="shared" si="13"/>
        <v/>
      </c>
    </row>
    <row r="19" spans="1:62" ht="15">
      <c r="A19" s="602"/>
      <c r="B19" s="602"/>
      <c r="C19" s="454" t="str">
        <f t="shared" si="0"/>
        <v/>
      </c>
      <c r="D19" s="2">
        <v>16</v>
      </c>
      <c r="E19" s="2"/>
      <c r="F19" s="104"/>
      <c r="G19" s="2"/>
      <c r="H19" s="104"/>
      <c r="I19" s="2"/>
      <c r="J19" s="888"/>
      <c r="K19" s="889"/>
      <c r="L19" s="890"/>
      <c r="M19" s="2"/>
      <c r="N19" s="103" t="s">
        <v>58</v>
      </c>
      <c r="O19" s="2"/>
      <c r="P19" s="111"/>
      <c r="Q19" s="67" t="str">
        <f t="shared" si="1"/>
        <v/>
      </c>
      <c r="R19" s="2"/>
      <c r="S19" s="103" t="s">
        <v>58</v>
      </c>
      <c r="T19" s="2"/>
      <c r="U19" s="103"/>
      <c r="V19" s="2"/>
      <c r="W19" s="103"/>
      <c r="X19" s="2"/>
      <c r="Y19" s="103"/>
      <c r="Z19" s="2"/>
      <c r="AA19" s="162"/>
      <c r="AB19" s="164" t="s">
        <v>59</v>
      </c>
      <c r="AC19" s="163"/>
      <c r="AD19" s="2"/>
      <c r="AE19" s="390" t="str">
        <f t="shared" si="15"/>
        <v/>
      </c>
      <c r="AF19" s="2"/>
      <c r="AG19" s="315" t="s">
        <v>11</v>
      </c>
      <c r="AH19" s="2"/>
      <c r="AI19" s="315"/>
      <c r="AJ19" s="2"/>
      <c r="AK19" s="390" t="str">
        <f t="shared" si="16"/>
        <v/>
      </c>
      <c r="AL19" s="2"/>
      <c r="AM19" s="110" t="str">
        <f t="shared" si="4"/>
        <v/>
      </c>
      <c r="AN19" s="86"/>
      <c r="AO19" s="110" t="str">
        <f t="shared" si="12"/>
        <v/>
      </c>
      <c r="AP19" s="86"/>
      <c r="AQ19" s="86"/>
      <c r="AR19" s="86">
        <v>16</v>
      </c>
      <c r="AS19" s="2" t="str">
        <v>$2,000,000/$500,000</v>
      </c>
      <c r="AT19" s="770">
        <v>2000000</v>
      </c>
      <c r="AU19" s="770" t="str">
        <f t="shared" si="14"/>
        <v/>
      </c>
      <c r="AV19" s="2"/>
      <c r="AW19" t="s">
        <v>77</v>
      </c>
      <c r="AX19" t="str">
        <f t="shared" si="17"/>
        <v/>
      </c>
      <c r="AY19" t="str">
        <f>IF(J19="","",IF(AX19="F",WorksheetAC_old_keep!$F$3,IF(AX19="C",WorksheetAC_old_keep!$F$2,IF(AX19="R",WorksheetAC_old_keep!$F$4,IF(AX19=AE58,WorksheetAC_old_keep!$F$5,IF(AX19="T",WorksheetAC_old_keep!$F$6,IF(AX19="S",WorksheetAC_old_keep!$F$7,IF(AX19="A",WorksheetAC_old_keep!$F$8,IF(AX19="B",WorksheetAC_old_keep!$F$9,"")))))))))</f>
        <v/>
      </c>
      <c r="AZ19" t="str">
        <f t="shared" si="6"/>
        <v/>
      </c>
      <c r="BA19" s="53" t="s">
        <v>78</v>
      </c>
      <c r="BB19" t="str">
        <f t="shared" si="7"/>
        <v/>
      </c>
      <c r="BC19" t="str">
        <f t="shared" si="8"/>
        <v/>
      </c>
      <c r="BE19" s="11" t="str">
        <f t="shared" si="9"/>
        <v/>
      </c>
      <c r="BF19" s="11" t="str">
        <f t="shared" si="10"/>
        <v/>
      </c>
      <c r="BH19" t="str">
        <f t="shared" si="11"/>
        <v/>
      </c>
      <c r="BJ19" t="str">
        <f t="shared" si="13"/>
        <v/>
      </c>
    </row>
    <row r="20" spans="1:62" ht="15">
      <c r="A20" s="602"/>
      <c r="B20" s="602"/>
      <c r="C20" s="454" t="str">
        <f t="shared" si="0"/>
        <v/>
      </c>
      <c r="D20" s="2">
        <v>17</v>
      </c>
      <c r="E20" s="2"/>
      <c r="F20" s="104"/>
      <c r="G20" s="2"/>
      <c r="H20" s="104"/>
      <c r="I20" s="2"/>
      <c r="J20" s="888"/>
      <c r="K20" s="889"/>
      <c r="L20" s="890"/>
      <c r="M20" s="2"/>
      <c r="N20" s="103" t="s">
        <v>58</v>
      </c>
      <c r="O20" s="2"/>
      <c r="P20" s="111"/>
      <c r="Q20" s="67" t="str">
        <f t="shared" si="1"/>
        <v/>
      </c>
      <c r="R20" s="2"/>
      <c r="S20" s="103" t="s">
        <v>58</v>
      </c>
      <c r="T20" s="2"/>
      <c r="U20" s="103"/>
      <c r="V20" s="2"/>
      <c r="W20" s="103"/>
      <c r="X20" s="2"/>
      <c r="Y20" s="103"/>
      <c r="Z20" s="2"/>
      <c r="AA20" s="162"/>
      <c r="AB20" s="164" t="s">
        <v>59</v>
      </c>
      <c r="AC20" s="163"/>
      <c r="AD20" s="2"/>
      <c r="AE20" s="390" t="str">
        <f t="shared" si="15"/>
        <v/>
      </c>
      <c r="AF20" s="2"/>
      <c r="AG20" s="315" t="s">
        <v>11</v>
      </c>
      <c r="AH20" s="2"/>
      <c r="AI20" s="315"/>
      <c r="AJ20" s="2"/>
      <c r="AK20" s="390" t="str">
        <f t="shared" si="16"/>
        <v/>
      </c>
      <c r="AL20" s="2"/>
      <c r="AM20" s="110" t="str">
        <f t="shared" si="4"/>
        <v/>
      </c>
      <c r="AN20" s="86"/>
      <c r="AO20" s="110" t="str">
        <f t="shared" si="12"/>
        <v/>
      </c>
      <c r="AP20" s="86"/>
      <c r="AQ20" s="86"/>
      <c r="AR20" s="86">
        <v>17</v>
      </c>
      <c r="AS20" s="2" t="str">
        <v>$2,000,000 CSL</v>
      </c>
      <c r="AT20" s="770">
        <v>2000000</v>
      </c>
      <c r="AU20" s="770" t="str">
        <f t="shared" si="14"/>
        <v/>
      </c>
      <c r="AV20" s="2"/>
      <c r="AW20" t="s">
        <v>79</v>
      </c>
      <c r="AX20" t="str">
        <f t="shared" si="17"/>
        <v/>
      </c>
      <c r="AY20" t="str">
        <f>IF(J20="","",IF(AX20="F",WorksheetAC_old_keep!$F$3,IF(AX20="C",WorksheetAC_old_keep!$F$2,IF(AX20="R",WorksheetAC_old_keep!$F$4,IF(AX20=AE59,WorksheetAC_old_keep!$F$5,IF(AX20="T",WorksheetAC_old_keep!$F$6,IF(AX20="S",WorksheetAC_old_keep!$F$7,IF(AX20="A",WorksheetAC_old_keep!$F$8,IF(AX20="B",WorksheetAC_old_keep!$F$9,"")))))))))</f>
        <v/>
      </c>
      <c r="AZ20" t="str">
        <f t="shared" si="6"/>
        <v/>
      </c>
      <c r="BA20" s="53" t="s">
        <v>80</v>
      </c>
      <c r="BB20" t="str">
        <f t="shared" si="7"/>
        <v/>
      </c>
      <c r="BC20" t="str">
        <f t="shared" si="8"/>
        <v/>
      </c>
      <c r="BE20" s="11" t="str">
        <f t="shared" si="9"/>
        <v/>
      </c>
      <c r="BF20" s="11" t="str">
        <f t="shared" si="10"/>
        <v/>
      </c>
      <c r="BH20" t="str">
        <f t="shared" si="11"/>
        <v/>
      </c>
      <c r="BJ20" t="str">
        <f t="shared" si="13"/>
        <v/>
      </c>
    </row>
    <row r="21" spans="1:62" ht="15">
      <c r="A21" s="602"/>
      <c r="B21" s="602"/>
      <c r="C21" s="454" t="str">
        <f t="shared" si="0"/>
        <v/>
      </c>
      <c r="D21" s="2">
        <v>18</v>
      </c>
      <c r="E21" s="2"/>
      <c r="F21" s="104"/>
      <c r="G21" s="2"/>
      <c r="H21" s="104"/>
      <c r="I21" s="2"/>
      <c r="J21" s="888"/>
      <c r="K21" s="889"/>
      <c r="L21" s="890"/>
      <c r="M21" s="2"/>
      <c r="N21" s="103" t="s">
        <v>58</v>
      </c>
      <c r="O21" s="2"/>
      <c r="P21" s="111"/>
      <c r="Q21" s="67" t="str">
        <f t="shared" si="1"/>
        <v/>
      </c>
      <c r="R21" s="2"/>
      <c r="S21" s="103" t="s">
        <v>58</v>
      </c>
      <c r="T21" s="2"/>
      <c r="U21" s="103"/>
      <c r="V21" s="2"/>
      <c r="W21" s="103"/>
      <c r="X21" s="2"/>
      <c r="Y21" s="103"/>
      <c r="Z21" s="2"/>
      <c r="AA21" s="162"/>
      <c r="AB21" s="164" t="s">
        <v>59</v>
      </c>
      <c r="AC21" s="163"/>
      <c r="AD21" s="2"/>
      <c r="AE21" s="390" t="str">
        <f t="shared" si="15"/>
        <v/>
      </c>
      <c r="AF21" s="2"/>
      <c r="AG21" s="315" t="s">
        <v>11</v>
      </c>
      <c r="AH21" s="2"/>
      <c r="AI21" s="315"/>
      <c r="AJ21" s="2"/>
      <c r="AK21" s="390" t="str">
        <f t="shared" si="16"/>
        <v/>
      </c>
      <c r="AL21" s="2"/>
      <c r="AM21" s="110" t="str">
        <f t="shared" si="4"/>
        <v/>
      </c>
      <c r="AN21" s="86"/>
      <c r="AO21" s="110" t="str">
        <f t="shared" si="12"/>
        <v/>
      </c>
      <c r="AP21" s="86"/>
      <c r="AQ21" s="86"/>
      <c r="AR21" s="86">
        <v>18</v>
      </c>
      <c r="AS21" s="2" t="str">
        <v>$3,000,000 CSL</v>
      </c>
      <c r="AT21" s="770">
        <v>3000000</v>
      </c>
      <c r="AU21" s="770" t="str">
        <f t="shared" si="14"/>
        <v/>
      </c>
      <c r="AV21" s="2"/>
      <c r="AW21" t="s">
        <v>81</v>
      </c>
      <c r="AX21" t="str">
        <f t="shared" si="17"/>
        <v/>
      </c>
      <c r="AY21" t="str">
        <f>IF(J21="","",IF(AX21="F",WorksheetAC_old_keep!$F$3,IF(AX21="C",WorksheetAC_old_keep!$F$2,IF(AX21="R",WorksheetAC_old_keep!$F$4,IF(AX21=AE60,WorksheetAC_old_keep!$F$5,IF(AX21="T",WorksheetAC_old_keep!$F$6,IF(AX21="S",WorksheetAC_old_keep!$F$7,IF(AX21="A",WorksheetAC_old_keep!$F$8,IF(AX21="B",WorksheetAC_old_keep!$F$9,"")))))))))</f>
        <v/>
      </c>
      <c r="AZ21" t="str">
        <f t="shared" si="6"/>
        <v/>
      </c>
      <c r="BA21" s="53" t="s">
        <v>82</v>
      </c>
      <c r="BB21" t="str">
        <f t="shared" si="7"/>
        <v/>
      </c>
      <c r="BC21" t="str">
        <f t="shared" si="8"/>
        <v/>
      </c>
      <c r="BE21" s="11" t="str">
        <f t="shared" si="9"/>
        <v/>
      </c>
      <c r="BF21" s="11" t="str">
        <f t="shared" si="10"/>
        <v/>
      </c>
      <c r="BH21" t="str">
        <f t="shared" si="11"/>
        <v/>
      </c>
      <c r="BJ21" t="str">
        <f t="shared" si="13"/>
        <v/>
      </c>
    </row>
    <row r="22" spans="1:62" ht="15">
      <c r="A22" s="602"/>
      <c r="B22" s="602"/>
      <c r="C22" s="454" t="str">
        <f t="shared" si="0"/>
        <v/>
      </c>
      <c r="D22" s="2">
        <v>19</v>
      </c>
      <c r="E22" s="2"/>
      <c r="F22" s="104"/>
      <c r="G22" s="2"/>
      <c r="H22" s="104"/>
      <c r="I22" s="2"/>
      <c r="J22" s="888"/>
      <c r="K22" s="889"/>
      <c r="L22" s="890"/>
      <c r="M22" s="2"/>
      <c r="N22" s="103" t="s">
        <v>58</v>
      </c>
      <c r="O22" s="2"/>
      <c r="P22" s="111"/>
      <c r="Q22" s="67" t="str">
        <f t="shared" si="1"/>
        <v/>
      </c>
      <c r="R22" s="2"/>
      <c r="S22" s="103" t="s">
        <v>58</v>
      </c>
      <c r="T22" s="2"/>
      <c r="U22" s="103"/>
      <c r="V22" s="2"/>
      <c r="W22" s="103"/>
      <c r="X22" s="2"/>
      <c r="Y22" s="103"/>
      <c r="Z22" s="2"/>
      <c r="AA22" s="162"/>
      <c r="AB22" s="164" t="s">
        <v>59</v>
      </c>
      <c r="AC22" s="163"/>
      <c r="AD22" s="2"/>
      <c r="AE22" s="390" t="str">
        <f t="shared" si="15"/>
        <v/>
      </c>
      <c r="AF22" s="2"/>
      <c r="AG22" s="315" t="s">
        <v>11</v>
      </c>
      <c r="AH22" s="2"/>
      <c r="AI22" s="315"/>
      <c r="AJ22" s="2"/>
      <c r="AK22" s="390" t="str">
        <f t="shared" si="16"/>
        <v/>
      </c>
      <c r="AL22" s="2"/>
      <c r="AM22" s="110" t="str">
        <f t="shared" si="4"/>
        <v/>
      </c>
      <c r="AN22" s="86"/>
      <c r="AO22" s="110" t="str">
        <f t="shared" si="12"/>
        <v/>
      </c>
      <c r="AP22" s="86"/>
      <c r="AQ22" s="86"/>
      <c r="AR22" s="86">
        <v>19</v>
      </c>
      <c r="AS22" s="2" t="str">
        <v>$4,000,000 CSL</v>
      </c>
      <c r="AT22" s="770">
        <v>4000000</v>
      </c>
      <c r="AU22" s="770" t="str">
        <f t="shared" si="14"/>
        <v/>
      </c>
      <c r="AV22" s="2"/>
      <c r="AW22" t="s">
        <v>83</v>
      </c>
      <c r="AX22" t="str">
        <f t="shared" si="17"/>
        <v/>
      </c>
      <c r="AY22" t="str">
        <f>IF(J22="","",IF(AX22="F",WorksheetAC_old_keep!$F$3,IF(AX22="C",WorksheetAC_old_keep!$F$2,IF(AX22="R",WorksheetAC_old_keep!$F$4,IF(AX22=AE61,WorksheetAC_old_keep!$F$5,IF(AX22="T",WorksheetAC_old_keep!$F$6,IF(AX22="S",WorksheetAC_old_keep!$F$7,IF(AX22="A",WorksheetAC_old_keep!$F$8,IF(AX22="B",WorksheetAC_old_keep!$F$9,"")))))))))</f>
        <v/>
      </c>
      <c r="AZ22" t="str">
        <f t="shared" si="6"/>
        <v/>
      </c>
      <c r="BA22" s="53" t="s">
        <v>84</v>
      </c>
      <c r="BB22" t="str">
        <f t="shared" si="7"/>
        <v/>
      </c>
      <c r="BC22" t="str">
        <f t="shared" si="8"/>
        <v/>
      </c>
      <c r="BE22" s="11" t="str">
        <f t="shared" si="9"/>
        <v/>
      </c>
      <c r="BF22" s="11" t="str">
        <f t="shared" si="10"/>
        <v/>
      </c>
      <c r="BH22" t="str">
        <f t="shared" si="11"/>
        <v/>
      </c>
      <c r="BJ22" t="str">
        <f t="shared" si="13"/>
        <v/>
      </c>
    </row>
    <row r="23" spans="1:62" ht="15">
      <c r="A23" s="602"/>
      <c r="B23" s="602"/>
      <c r="C23" s="454" t="str">
        <f t="shared" si="0"/>
        <v/>
      </c>
      <c r="D23" s="2">
        <v>20</v>
      </c>
      <c r="E23" s="2"/>
      <c r="F23" s="104"/>
      <c r="G23" s="2"/>
      <c r="H23" s="104"/>
      <c r="I23" s="2"/>
      <c r="J23" s="888"/>
      <c r="K23" s="889"/>
      <c r="L23" s="890"/>
      <c r="M23" s="2"/>
      <c r="N23" s="103" t="s">
        <v>58</v>
      </c>
      <c r="O23" s="2"/>
      <c r="P23" s="111"/>
      <c r="Q23" s="67" t="str">
        <f t="shared" si="1"/>
        <v/>
      </c>
      <c r="R23" s="2"/>
      <c r="S23" s="103" t="s">
        <v>58</v>
      </c>
      <c r="T23" s="2"/>
      <c r="U23" s="103"/>
      <c r="V23" s="2"/>
      <c r="W23" s="103"/>
      <c r="X23" s="2"/>
      <c r="Y23" s="103"/>
      <c r="Z23" s="2"/>
      <c r="AA23" s="162"/>
      <c r="AB23" s="164" t="s">
        <v>59</v>
      </c>
      <c r="AC23" s="163"/>
      <c r="AD23" s="2"/>
      <c r="AE23" s="390" t="str">
        <f t="shared" si="15"/>
        <v/>
      </c>
      <c r="AF23" s="2"/>
      <c r="AG23" s="315" t="s">
        <v>11</v>
      </c>
      <c r="AH23" s="2"/>
      <c r="AI23" s="315"/>
      <c r="AJ23" s="2"/>
      <c r="AK23" s="390" t="str">
        <f t="shared" si="16"/>
        <v/>
      </c>
      <c r="AL23" s="2"/>
      <c r="AM23" s="110" t="str">
        <f t="shared" si="4"/>
        <v/>
      </c>
      <c r="AN23" s="86"/>
      <c r="AO23" s="110" t="str">
        <f t="shared" si="12"/>
        <v/>
      </c>
      <c r="AP23" s="86"/>
      <c r="AQ23" s="86"/>
      <c r="AR23" s="86">
        <v>20</v>
      </c>
      <c r="AS23" s="2" t="str">
        <v>$5,000,000 CSL</v>
      </c>
      <c r="AT23" s="770">
        <v>5000000</v>
      </c>
      <c r="AU23" s="770" t="str">
        <f t="shared" si="14"/>
        <v/>
      </c>
      <c r="AV23" s="2"/>
      <c r="AW23" t="s">
        <v>85</v>
      </c>
      <c r="AX23" t="str">
        <f t="shared" si="17"/>
        <v/>
      </c>
      <c r="AY23" t="str">
        <f>IF(J23="","",IF(AX23="F",WorksheetAC_old_keep!$F$3,IF(AX23="C",WorksheetAC_old_keep!$F$2,IF(AX23="R",WorksheetAC_old_keep!$F$4,IF(AX23=AE62,WorksheetAC_old_keep!$F$5,IF(AX23="T",WorksheetAC_old_keep!$F$6,IF(AX23="S",WorksheetAC_old_keep!$F$7,IF(AX23="A",WorksheetAC_old_keep!$F$8,IF(AX23="B",WorksheetAC_old_keep!$F$9,"")))))))))</f>
        <v/>
      </c>
      <c r="AZ23" t="str">
        <f t="shared" si="6"/>
        <v/>
      </c>
      <c r="BA23" s="53" t="s">
        <v>86</v>
      </c>
      <c r="BB23" t="str">
        <f t="shared" si="7"/>
        <v/>
      </c>
      <c r="BC23" t="str">
        <f t="shared" si="8"/>
        <v/>
      </c>
      <c r="BE23" s="11" t="str">
        <f t="shared" si="9"/>
        <v/>
      </c>
      <c r="BF23" s="11" t="str">
        <f t="shared" si="10"/>
        <v/>
      </c>
      <c r="BH23" t="str">
        <f t="shared" si="11"/>
        <v/>
      </c>
      <c r="BJ23" t="str">
        <f t="shared" si="13"/>
        <v/>
      </c>
    </row>
    <row r="24" spans="1:62" ht="15">
      <c r="A24" s="602"/>
      <c r="B24" s="602"/>
      <c r="C24" s="454" t="str">
        <f t="shared" si="0"/>
        <v/>
      </c>
      <c r="D24" s="2">
        <v>21</v>
      </c>
      <c r="E24" s="2"/>
      <c r="F24" s="104"/>
      <c r="G24" s="2"/>
      <c r="H24" s="104"/>
      <c r="I24" s="2"/>
      <c r="J24" s="888"/>
      <c r="K24" s="889"/>
      <c r="L24" s="890"/>
      <c r="M24" s="2"/>
      <c r="N24" s="103" t="s">
        <v>58</v>
      </c>
      <c r="O24" s="2"/>
      <c r="P24" s="111"/>
      <c r="Q24" s="67" t="str">
        <f t="shared" si="1"/>
        <v/>
      </c>
      <c r="R24" s="2"/>
      <c r="S24" s="103" t="s">
        <v>58</v>
      </c>
      <c r="T24" s="2"/>
      <c r="U24" s="103"/>
      <c r="V24" s="2"/>
      <c r="W24" s="103"/>
      <c r="X24" s="2"/>
      <c r="Y24" s="103"/>
      <c r="Z24" s="2"/>
      <c r="AA24" s="162"/>
      <c r="AB24" s="164" t="s">
        <v>59</v>
      </c>
      <c r="AC24" s="163"/>
      <c r="AD24" s="2"/>
      <c r="AE24" s="390" t="str">
        <f t="shared" si="15"/>
        <v/>
      </c>
      <c r="AF24" s="2"/>
      <c r="AG24" s="315" t="s">
        <v>11</v>
      </c>
      <c r="AH24" s="2"/>
      <c r="AI24" s="315"/>
      <c r="AJ24" s="2"/>
      <c r="AK24" s="390" t="str">
        <f t="shared" si="16"/>
        <v/>
      </c>
      <c r="AL24" s="2"/>
      <c r="AM24" s="110" t="str">
        <f t="shared" si="4"/>
        <v/>
      </c>
      <c r="AN24" s="86"/>
      <c r="AO24" s="110" t="str">
        <f t="shared" si="12"/>
        <v/>
      </c>
      <c r="AP24" s="86"/>
      <c r="AQ24" s="86"/>
      <c r="AR24" s="86">
        <v>21</v>
      </c>
      <c r="AS24" s="2" t="str">
        <v>$6,000,000 CSL</v>
      </c>
      <c r="AT24" s="770">
        <v>6000000</v>
      </c>
      <c r="AU24" s="770" t="str">
        <f t="shared" si="14"/>
        <v/>
      </c>
      <c r="AV24" s="2"/>
      <c r="AX24" t="str">
        <f t="shared" si="17"/>
        <v/>
      </c>
      <c r="AY24" t="str">
        <f>IF(J24="","",IF(AX24="F",WorksheetAC_old_keep!$F$3,IF(AX24="C",WorksheetAC_old_keep!$F$2,IF(AX24="R",WorksheetAC_old_keep!$F$4,IF(AX24=AE63,WorksheetAC_old_keep!$F$5,IF(AX24="T",WorksheetAC_old_keep!$F$6,IF(AX24="S",WorksheetAC_old_keep!$F$7,IF(AX24="A",WorksheetAC_old_keep!$F$8,IF(AX24="B",WorksheetAC_old_keep!$F$9,"")))))))))</f>
        <v/>
      </c>
      <c r="AZ24" t="str">
        <f t="shared" si="6"/>
        <v/>
      </c>
      <c r="BA24" s="53" t="s">
        <v>87</v>
      </c>
      <c r="BB24" t="str">
        <f t="shared" si="7"/>
        <v/>
      </c>
      <c r="BC24" t="str">
        <f t="shared" si="8"/>
        <v/>
      </c>
      <c r="BE24" s="11" t="str">
        <f t="shared" si="9"/>
        <v/>
      </c>
      <c r="BF24" s="11" t="str">
        <f t="shared" si="10"/>
        <v/>
      </c>
      <c r="BH24" t="str">
        <f t="shared" si="11"/>
        <v/>
      </c>
      <c r="BJ24" t="str">
        <f t="shared" si="13"/>
        <v/>
      </c>
    </row>
    <row r="25" spans="1:62" ht="15">
      <c r="A25" s="602"/>
      <c r="B25" s="602"/>
      <c r="C25" s="454" t="str">
        <f t="shared" si="0"/>
        <v/>
      </c>
      <c r="D25" s="2">
        <v>22</v>
      </c>
      <c r="E25" s="2"/>
      <c r="F25" s="104"/>
      <c r="G25" s="2"/>
      <c r="H25" s="104"/>
      <c r="I25" s="2"/>
      <c r="J25" s="888"/>
      <c r="K25" s="889"/>
      <c r="L25" s="890"/>
      <c r="M25" s="2"/>
      <c r="N25" s="103" t="s">
        <v>58</v>
      </c>
      <c r="O25" s="2"/>
      <c r="P25" s="111"/>
      <c r="Q25" s="67" t="str">
        <f t="shared" si="1"/>
        <v/>
      </c>
      <c r="R25" s="2"/>
      <c r="S25" s="103" t="s">
        <v>58</v>
      </c>
      <c r="T25" s="2"/>
      <c r="U25" s="103"/>
      <c r="V25" s="2"/>
      <c r="W25" s="103"/>
      <c r="X25" s="2"/>
      <c r="Y25" s="103"/>
      <c r="Z25" s="2"/>
      <c r="AA25" s="162"/>
      <c r="AB25" s="164" t="s">
        <v>59</v>
      </c>
      <c r="AC25" s="163"/>
      <c r="AD25" s="2"/>
      <c r="AE25" s="390" t="str">
        <f t="shared" si="15"/>
        <v/>
      </c>
      <c r="AF25" s="2"/>
      <c r="AG25" s="315" t="s">
        <v>11</v>
      </c>
      <c r="AH25" s="2"/>
      <c r="AI25" s="315"/>
      <c r="AJ25" s="2"/>
      <c r="AK25" s="390" t="str">
        <f t="shared" si="16"/>
        <v/>
      </c>
      <c r="AL25" s="2"/>
      <c r="AM25" s="110" t="str">
        <f t="shared" si="4"/>
        <v/>
      </c>
      <c r="AN25" s="86"/>
      <c r="AO25" s="110" t="str">
        <f t="shared" si="12"/>
        <v/>
      </c>
      <c r="AP25" s="86"/>
      <c r="AQ25" s="86"/>
      <c r="AR25" s="86">
        <v>22</v>
      </c>
      <c r="AS25" s="2" t="str">
        <v>$7,000,000 CSL</v>
      </c>
      <c r="AT25" s="770">
        <v>7000000</v>
      </c>
      <c r="AU25" s="770" t="str">
        <f t="shared" si="14"/>
        <v/>
      </c>
      <c r="AV25" s="2"/>
      <c r="AX25" t="str">
        <f t="shared" si="17"/>
        <v/>
      </c>
      <c r="AY25" t="str">
        <f>IF(J25="","",IF(AX25="F",WorksheetAC_old_keep!$F$3,IF(AX25="C",WorksheetAC_old_keep!$F$2,IF(AX25="R",WorksheetAC_old_keep!$F$4,IF(AX25=AE64,WorksheetAC_old_keep!$F$5,IF(AX25="T",WorksheetAC_old_keep!$F$6,IF(AX25="S",WorksheetAC_old_keep!$F$7,IF(AX25="A",WorksheetAC_old_keep!$F$8,IF(AX25="B",WorksheetAC_old_keep!$F$9,"")))))))))</f>
        <v/>
      </c>
      <c r="AZ25" t="str">
        <f t="shared" si="6"/>
        <v/>
      </c>
      <c r="BA25" s="53" t="s">
        <v>88</v>
      </c>
      <c r="BB25" t="str">
        <f t="shared" si="7"/>
        <v/>
      </c>
      <c r="BC25" t="str">
        <f t="shared" si="8"/>
        <v/>
      </c>
      <c r="BE25" s="11" t="str">
        <f t="shared" si="9"/>
        <v/>
      </c>
      <c r="BF25" s="11" t="str">
        <f t="shared" si="10"/>
        <v/>
      </c>
      <c r="BH25" t="str">
        <f t="shared" si="11"/>
        <v/>
      </c>
      <c r="BJ25" t="str">
        <f t="shared" si="13"/>
        <v/>
      </c>
    </row>
    <row r="26" spans="1:62" ht="15">
      <c r="A26" s="602"/>
      <c r="B26" s="602"/>
      <c r="C26" s="454" t="str">
        <f t="shared" si="0"/>
        <v/>
      </c>
      <c r="D26" s="2">
        <v>23</v>
      </c>
      <c r="E26" s="2"/>
      <c r="F26" s="104"/>
      <c r="G26" s="2"/>
      <c r="H26" s="104"/>
      <c r="I26" s="2"/>
      <c r="J26" s="888"/>
      <c r="K26" s="889"/>
      <c r="L26" s="890"/>
      <c r="M26" s="2"/>
      <c r="N26" s="103" t="s">
        <v>58</v>
      </c>
      <c r="O26" s="2"/>
      <c r="P26" s="111"/>
      <c r="Q26" s="67" t="str">
        <f t="shared" si="1"/>
        <v/>
      </c>
      <c r="R26" s="2"/>
      <c r="S26" s="103" t="s">
        <v>58</v>
      </c>
      <c r="T26" s="2"/>
      <c r="U26" s="103"/>
      <c r="V26" s="2"/>
      <c r="W26" s="103"/>
      <c r="X26" s="2"/>
      <c r="Y26" s="103"/>
      <c r="Z26" s="2"/>
      <c r="AA26" s="162"/>
      <c r="AB26" s="164" t="s">
        <v>59</v>
      </c>
      <c r="AC26" s="163"/>
      <c r="AD26" s="2"/>
      <c r="AE26" s="390" t="str">
        <f t="shared" si="15"/>
        <v/>
      </c>
      <c r="AF26" s="2"/>
      <c r="AG26" s="315" t="s">
        <v>11</v>
      </c>
      <c r="AH26" s="2"/>
      <c r="AI26" s="315"/>
      <c r="AJ26" s="2"/>
      <c r="AK26" s="390" t="str">
        <f t="shared" si="16"/>
        <v/>
      </c>
      <c r="AL26" s="2"/>
      <c r="AM26" s="110" t="str">
        <f t="shared" si="4"/>
        <v/>
      </c>
      <c r="AN26" s="86"/>
      <c r="AO26" s="110" t="str">
        <f t="shared" si="12"/>
        <v/>
      </c>
      <c r="AP26" s="86"/>
      <c r="AQ26" s="86"/>
      <c r="AR26" s="86">
        <v>23</v>
      </c>
      <c r="AS26" s="2" t="str">
        <v>$8,000,000 CSL</v>
      </c>
      <c r="AT26" s="770">
        <v>8000000</v>
      </c>
      <c r="AU26" s="770" t="str">
        <f t="shared" si="14"/>
        <v/>
      </c>
      <c r="AV26" s="2"/>
      <c r="AX26" t="str">
        <f t="shared" si="17"/>
        <v/>
      </c>
      <c r="AY26" t="str">
        <f>IF(J26="","",IF(AX26="F",WorksheetAC_old_keep!$F$3,IF(AX26="C",WorksheetAC_old_keep!$F$2,IF(AX26="R",WorksheetAC_old_keep!$F$4,IF(AX26=AE65,WorksheetAC_old_keep!$F$5,IF(AX26="T",WorksheetAC_old_keep!$F$6,IF(AX26="S",WorksheetAC_old_keep!$F$7,IF(AX26="A",WorksheetAC_old_keep!$F$8,IF(AX26="B",WorksheetAC_old_keep!$F$9,"")))))))))</f>
        <v/>
      </c>
      <c r="AZ26" t="str">
        <f t="shared" si="6"/>
        <v/>
      </c>
      <c r="BB26" t="str">
        <f t="shared" si="7"/>
        <v/>
      </c>
      <c r="BC26" t="str">
        <f t="shared" si="8"/>
        <v/>
      </c>
      <c r="BE26" s="11" t="str">
        <f t="shared" si="9"/>
        <v/>
      </c>
      <c r="BF26" s="11" t="str">
        <f t="shared" si="10"/>
        <v/>
      </c>
      <c r="BH26" t="str">
        <f t="shared" si="11"/>
        <v/>
      </c>
      <c r="BJ26" t="str">
        <f t="shared" si="13"/>
        <v/>
      </c>
    </row>
    <row r="27" spans="1:62" ht="15">
      <c r="A27" s="602"/>
      <c r="B27" s="602"/>
      <c r="C27" s="454" t="str">
        <f t="shared" si="0"/>
        <v/>
      </c>
      <c r="D27" s="2">
        <v>24</v>
      </c>
      <c r="E27" s="2"/>
      <c r="F27" s="104"/>
      <c r="G27" s="2"/>
      <c r="H27" s="104"/>
      <c r="I27" s="2"/>
      <c r="J27" s="888"/>
      <c r="K27" s="889"/>
      <c r="L27" s="890"/>
      <c r="M27" s="2"/>
      <c r="N27" s="103" t="s">
        <v>58</v>
      </c>
      <c r="O27" s="2"/>
      <c r="P27" s="111"/>
      <c r="Q27" s="67" t="str">
        <f t="shared" si="1"/>
        <v/>
      </c>
      <c r="R27" s="2"/>
      <c r="S27" s="103" t="s">
        <v>58</v>
      </c>
      <c r="T27" s="2"/>
      <c r="U27" s="103"/>
      <c r="V27" s="2"/>
      <c r="W27" s="103"/>
      <c r="X27" s="2"/>
      <c r="Y27" s="103"/>
      <c r="Z27" s="2"/>
      <c r="AA27" s="162"/>
      <c r="AB27" s="164" t="s">
        <v>59</v>
      </c>
      <c r="AC27" s="163"/>
      <c r="AD27" s="2"/>
      <c r="AE27" s="390" t="str">
        <f t="shared" si="15"/>
        <v/>
      </c>
      <c r="AF27" s="2"/>
      <c r="AG27" s="315" t="s">
        <v>11</v>
      </c>
      <c r="AH27" s="2"/>
      <c r="AI27" s="315"/>
      <c r="AJ27" s="2"/>
      <c r="AK27" s="390" t="str">
        <f t="shared" si="16"/>
        <v/>
      </c>
      <c r="AL27" s="2"/>
      <c r="AM27" s="110" t="str">
        <f t="shared" si="4"/>
        <v/>
      </c>
      <c r="AN27" s="86"/>
      <c r="AO27" s="110" t="str">
        <f t="shared" si="12"/>
        <v/>
      </c>
      <c r="AP27" s="86"/>
      <c r="AQ27" s="86"/>
      <c r="AR27" s="86">
        <v>24</v>
      </c>
      <c r="AS27" s="2" t="str">
        <v>$9,000,000 CSL</v>
      </c>
      <c r="AT27" s="770">
        <v>9000000</v>
      </c>
      <c r="AU27" s="770" t="str">
        <f t="shared" si="14"/>
        <v/>
      </c>
      <c r="AV27" s="2"/>
      <c r="AX27" t="str">
        <f t="shared" si="17"/>
        <v/>
      </c>
      <c r="AY27" t="str">
        <f>IF(J27="","",IF(AX27="F",WorksheetAC_old_keep!$F$3,IF(AX27="C",WorksheetAC_old_keep!$F$2,IF(AX27="R",WorksheetAC_old_keep!$F$4,IF(AX27=AE66,WorksheetAC_old_keep!$F$5,IF(AX27="T",WorksheetAC_old_keep!$F$6,IF(AX27="S",WorksheetAC_old_keep!$F$7,IF(AX27="A",WorksheetAC_old_keep!$F$8,IF(AX27="B",WorksheetAC_old_keep!$F$9,"")))))))))</f>
        <v/>
      </c>
      <c r="AZ27" t="str">
        <f t="shared" si="6"/>
        <v/>
      </c>
      <c r="BB27" t="str">
        <f t="shared" si="7"/>
        <v/>
      </c>
      <c r="BC27" t="str">
        <f t="shared" si="8"/>
        <v/>
      </c>
      <c r="BE27" s="11" t="str">
        <f t="shared" si="9"/>
        <v/>
      </c>
      <c r="BF27" s="11" t="str">
        <f t="shared" si="10"/>
        <v/>
      </c>
      <c r="BH27" t="str">
        <f t="shared" si="11"/>
        <v/>
      </c>
      <c r="BJ27" t="str">
        <f t="shared" si="13"/>
        <v/>
      </c>
    </row>
    <row r="28" spans="1:62" ht="15">
      <c r="A28" s="602"/>
      <c r="B28" s="602"/>
      <c r="C28" s="454" t="str">
        <f t="shared" si="0"/>
        <v/>
      </c>
      <c r="D28" s="2">
        <v>25</v>
      </c>
      <c r="E28" s="2"/>
      <c r="F28" s="104"/>
      <c r="G28" s="2"/>
      <c r="H28" s="104"/>
      <c r="I28" s="2"/>
      <c r="J28" s="888"/>
      <c r="K28" s="889"/>
      <c r="L28" s="890"/>
      <c r="M28" s="2"/>
      <c r="N28" s="103" t="s">
        <v>58</v>
      </c>
      <c r="O28" s="2"/>
      <c r="P28" s="111"/>
      <c r="Q28" s="67" t="str">
        <f t="shared" si="1"/>
        <v/>
      </c>
      <c r="R28" s="2"/>
      <c r="S28" s="103" t="s">
        <v>58</v>
      </c>
      <c r="T28" s="2"/>
      <c r="U28" s="103"/>
      <c r="V28" s="2"/>
      <c r="W28" s="103"/>
      <c r="X28" s="2"/>
      <c r="Y28" s="103"/>
      <c r="Z28" s="2"/>
      <c r="AA28" s="162"/>
      <c r="AB28" s="164" t="s">
        <v>59</v>
      </c>
      <c r="AC28" s="163"/>
      <c r="AD28" s="2"/>
      <c r="AE28" s="390" t="str">
        <f t="shared" si="15"/>
        <v/>
      </c>
      <c r="AF28" s="2"/>
      <c r="AG28" s="315" t="s">
        <v>11</v>
      </c>
      <c r="AH28" s="2"/>
      <c r="AI28" s="315"/>
      <c r="AJ28" s="2"/>
      <c r="AK28" s="390" t="str">
        <f t="shared" si="16"/>
        <v/>
      </c>
      <c r="AL28" s="2"/>
      <c r="AM28" s="110" t="str">
        <f t="shared" si="4"/>
        <v/>
      </c>
      <c r="AN28" s="86"/>
      <c r="AO28" s="110" t="str">
        <f t="shared" si="12"/>
        <v/>
      </c>
      <c r="AP28" s="86"/>
      <c r="AQ28" s="86"/>
      <c r="AR28" s="86">
        <v>25</v>
      </c>
      <c r="AS28" s="2" t="str">
        <v>$10,000,000 CSL</v>
      </c>
      <c r="AT28" s="770">
        <v>10000000</v>
      </c>
      <c r="AU28" s="770" t="str">
        <f t="shared" si="14"/>
        <v/>
      </c>
      <c r="AV28" s="2"/>
      <c r="AX28" t="str">
        <f t="shared" si="17"/>
        <v/>
      </c>
      <c r="AY28" t="str">
        <f>IF(J28="","",IF(AX28="F",WorksheetAC_old_keep!$F$3,IF(AX28="C",WorksheetAC_old_keep!$F$2,IF(AX28="R",WorksheetAC_old_keep!$F$4,IF(AX28=AE67,WorksheetAC_old_keep!$F$5,IF(AX28="T",WorksheetAC_old_keep!$F$6,IF(AX28="S",WorksheetAC_old_keep!$F$7,IF(AX28="A",WorksheetAC_old_keep!$F$8,IF(AX28="B",WorksheetAC_old_keep!$F$9,"")))))))))</f>
        <v/>
      </c>
      <c r="AZ28" t="str">
        <f t="shared" si="6"/>
        <v/>
      </c>
      <c r="BB28" t="str">
        <f t="shared" si="7"/>
        <v/>
      </c>
      <c r="BC28" t="str">
        <f t="shared" si="8"/>
        <v/>
      </c>
      <c r="BE28" s="11" t="str">
        <f t="shared" si="9"/>
        <v/>
      </c>
      <c r="BF28" s="11" t="str">
        <f t="shared" si="10"/>
        <v/>
      </c>
      <c r="BH28" t="str">
        <f t="shared" si="11"/>
        <v/>
      </c>
      <c r="BJ28" t="str">
        <f t="shared" si="13"/>
        <v/>
      </c>
    </row>
    <row r="29" spans="1:62" ht="15">
      <c r="A29" s="602"/>
      <c r="B29" s="602"/>
      <c r="C29" s="454" t="str">
        <f t="shared" si="0"/>
        <v/>
      </c>
      <c r="D29" s="2">
        <v>26</v>
      </c>
      <c r="E29" s="2"/>
      <c r="F29" s="104"/>
      <c r="G29" s="2"/>
      <c r="H29" s="104"/>
      <c r="I29" s="2"/>
      <c r="J29" s="888"/>
      <c r="K29" s="889"/>
      <c r="L29" s="890"/>
      <c r="M29" s="2"/>
      <c r="N29" s="103" t="s">
        <v>58</v>
      </c>
      <c r="O29" s="2"/>
      <c r="P29" s="111"/>
      <c r="Q29" s="67" t="str">
        <f t="shared" si="1"/>
        <v/>
      </c>
      <c r="R29" s="2"/>
      <c r="S29" s="103" t="s">
        <v>58</v>
      </c>
      <c r="T29" s="2"/>
      <c r="U29" s="103"/>
      <c r="V29" s="2"/>
      <c r="W29" s="103"/>
      <c r="X29" s="2"/>
      <c r="Y29" s="103"/>
      <c r="Z29" s="2"/>
      <c r="AA29" s="162"/>
      <c r="AB29" s="164" t="s">
        <v>59</v>
      </c>
      <c r="AC29" s="163"/>
      <c r="AD29" s="2"/>
      <c r="AE29" s="390" t="str">
        <f t="shared" si="15"/>
        <v/>
      </c>
      <c r="AF29" s="2"/>
      <c r="AG29" s="315" t="s">
        <v>11</v>
      </c>
      <c r="AH29" s="2"/>
      <c r="AI29" s="315"/>
      <c r="AJ29" s="2"/>
      <c r="AK29" s="390" t="str">
        <f t="shared" si="16"/>
        <v/>
      </c>
      <c r="AL29" s="2"/>
      <c r="AM29" s="110" t="str">
        <f t="shared" si="4"/>
        <v/>
      </c>
      <c r="AN29" s="86"/>
      <c r="AO29" s="110" t="str">
        <f t="shared" si="12"/>
        <v/>
      </c>
      <c r="AP29" s="86"/>
      <c r="AQ29" s="86"/>
      <c r="AR29" s="86">
        <v>26</v>
      </c>
      <c r="AS29" s="2" t="str">
        <v>$15,000,000 CSL</v>
      </c>
      <c r="AT29" s="770">
        <v>15000000</v>
      </c>
      <c r="AU29" s="770" t="str">
        <f t="shared" si="14"/>
        <v/>
      </c>
      <c r="AV29" s="2"/>
      <c r="AX29" t="str">
        <f t="shared" si="17"/>
        <v/>
      </c>
      <c r="AY29" t="str">
        <f>IF(J29="","",IF(AX29="F",WorksheetAC_old_keep!$F$3,IF(AX29="C",WorksheetAC_old_keep!$F$2,IF(AX29="R",WorksheetAC_old_keep!$F$4,IF(AX29=AE68,WorksheetAC_old_keep!$F$5,IF(AX29="T",WorksheetAC_old_keep!$F$6,IF(AX29="S",WorksheetAC_old_keep!$F$7,IF(AX29="A",WorksheetAC_old_keep!$F$8,IF(AX29="B",WorksheetAC_old_keep!$F$9,"")))))))))</f>
        <v/>
      </c>
      <c r="AZ29" t="str">
        <f t="shared" si="6"/>
        <v/>
      </c>
      <c r="BB29" t="str">
        <f t="shared" si="7"/>
        <v/>
      </c>
      <c r="BC29" t="str">
        <f t="shared" si="8"/>
        <v/>
      </c>
      <c r="BE29" s="11" t="str">
        <f t="shared" si="9"/>
        <v/>
      </c>
      <c r="BF29" s="11" t="str">
        <f t="shared" si="10"/>
        <v/>
      </c>
      <c r="BH29" t="str">
        <f t="shared" si="11"/>
        <v/>
      </c>
      <c r="BJ29" t="str">
        <f t="shared" si="13"/>
        <v/>
      </c>
    </row>
    <row r="30" spans="1:62" ht="15">
      <c r="A30" s="602"/>
      <c r="B30" s="602"/>
      <c r="C30" s="69" t="str">
        <f t="shared" si="0"/>
        <v/>
      </c>
      <c r="D30" s="2">
        <v>27</v>
      </c>
      <c r="E30" s="2"/>
      <c r="F30" s="104"/>
      <c r="G30" s="2"/>
      <c r="H30" s="104"/>
      <c r="I30" s="2"/>
      <c r="J30" s="888"/>
      <c r="K30" s="889"/>
      <c r="L30" s="890"/>
      <c r="M30" s="2"/>
      <c r="N30" s="103" t="s">
        <v>58</v>
      </c>
      <c r="O30" s="2"/>
      <c r="P30" s="111"/>
      <c r="Q30" s="67" t="str">
        <f t="shared" si="1"/>
        <v/>
      </c>
      <c r="R30" s="2"/>
      <c r="S30" s="103" t="s">
        <v>58</v>
      </c>
      <c r="T30" s="2"/>
      <c r="U30" s="103"/>
      <c r="V30" s="2"/>
      <c r="W30" s="103"/>
      <c r="X30" s="2"/>
      <c r="Y30" s="103"/>
      <c r="Z30" s="2"/>
      <c r="AA30" s="162"/>
      <c r="AB30" s="164" t="s">
        <v>59</v>
      </c>
      <c r="AC30" s="163"/>
      <c r="AD30" s="2"/>
      <c r="AE30" s="390" t="str">
        <f t="shared" si="15"/>
        <v/>
      </c>
      <c r="AF30" s="2"/>
      <c r="AG30" s="315" t="s">
        <v>11</v>
      </c>
      <c r="AH30" s="2"/>
      <c r="AI30" s="315"/>
      <c r="AJ30" s="2"/>
      <c r="AK30" s="390" t="str">
        <f t="shared" si="16"/>
        <v/>
      </c>
      <c r="AL30" s="2"/>
      <c r="AM30" s="110" t="str">
        <f t="shared" si="4"/>
        <v/>
      </c>
      <c r="AN30" s="86"/>
      <c r="AO30" s="110" t="str">
        <f t="shared" si="12"/>
        <v/>
      </c>
      <c r="AP30" s="86"/>
      <c r="AQ30" s="86"/>
      <c r="AR30" s="86">
        <v>27</v>
      </c>
      <c r="AS30" s="2" t="str">
        <v>$20,000,000 CSL</v>
      </c>
      <c r="AT30" s="770">
        <v>20000000</v>
      </c>
      <c r="AU30" s="770" t="str">
        <f t="shared" si="14"/>
        <v/>
      </c>
      <c r="AV30" s="2"/>
      <c r="AX30" t="str">
        <f t="shared" si="17"/>
        <v/>
      </c>
      <c r="AY30" t="str">
        <f>IF(J30="","",IF(AX30="F",WorksheetAC_old_keep!$F$3,IF(AX30="C",WorksheetAC_old_keep!$F$2,IF(AX30="R",WorksheetAC_old_keep!$F$4,IF(AX30=AE69,WorksheetAC_old_keep!$F$5,IF(AX30="T",WorksheetAC_old_keep!$F$6,IF(AX30="S",WorksheetAC_old_keep!$F$7,IF(AX30="A",WorksheetAC_old_keep!$F$8,IF(AX30="B",WorksheetAC_old_keep!$F$9,"")))))))))</f>
        <v/>
      </c>
      <c r="AZ30" t="str">
        <f t="shared" si="6"/>
        <v/>
      </c>
      <c r="BB30" t="str">
        <f t="shared" si="7"/>
        <v/>
      </c>
      <c r="BC30" t="str">
        <f t="shared" si="8"/>
        <v/>
      </c>
      <c r="BE30" s="11" t="str">
        <f t="shared" si="9"/>
        <v/>
      </c>
      <c r="BF30" s="11" t="str">
        <f t="shared" si="10"/>
        <v/>
      </c>
      <c r="BH30" t="str">
        <f t="shared" si="11"/>
        <v/>
      </c>
      <c r="BJ30" t="str">
        <f t="shared" si="13"/>
        <v/>
      </c>
    </row>
    <row r="31" spans="1:62" ht="15">
      <c r="A31" s="602"/>
      <c r="B31" s="602"/>
      <c r="C31" s="69" t="str">
        <f t="shared" si="0"/>
        <v/>
      </c>
      <c r="D31" s="2">
        <v>28</v>
      </c>
      <c r="E31" s="2"/>
      <c r="F31" s="104"/>
      <c r="G31" s="2"/>
      <c r="H31" s="104"/>
      <c r="I31" s="2"/>
      <c r="J31" s="888"/>
      <c r="K31" s="889"/>
      <c r="L31" s="890"/>
      <c r="M31" s="2"/>
      <c r="N31" s="103" t="s">
        <v>58</v>
      </c>
      <c r="O31" s="2"/>
      <c r="P31" s="111"/>
      <c r="Q31" s="67" t="str">
        <f t="shared" si="1"/>
        <v/>
      </c>
      <c r="R31" s="2"/>
      <c r="S31" s="103" t="s">
        <v>58</v>
      </c>
      <c r="T31" s="2"/>
      <c r="U31" s="103"/>
      <c r="V31" s="2"/>
      <c r="W31" s="103"/>
      <c r="X31" s="2"/>
      <c r="Y31" s="103"/>
      <c r="Z31" s="2"/>
      <c r="AA31" s="162"/>
      <c r="AB31" s="164" t="s">
        <v>59</v>
      </c>
      <c r="AC31" s="163"/>
      <c r="AD31" s="2"/>
      <c r="AE31" s="390" t="str">
        <f t="shared" si="15"/>
        <v/>
      </c>
      <c r="AF31" s="2"/>
      <c r="AG31" s="315" t="s">
        <v>11</v>
      </c>
      <c r="AH31" s="2"/>
      <c r="AI31" s="315"/>
      <c r="AJ31" s="2"/>
      <c r="AK31" s="390" t="str">
        <f t="shared" si="16"/>
        <v/>
      </c>
      <c r="AL31" s="2"/>
      <c r="AM31" s="110" t="str">
        <f t="shared" si="4"/>
        <v/>
      </c>
      <c r="AN31" s="86"/>
      <c r="AO31" s="110" t="str">
        <f t="shared" si="12"/>
        <v/>
      </c>
      <c r="AP31" s="86"/>
      <c r="AQ31" s="86"/>
      <c r="AR31" s="86">
        <v>28</v>
      </c>
      <c r="AS31" s="2" t="str">
        <v>$25,000,000 CSL</v>
      </c>
      <c r="AT31" s="770">
        <v>25000000</v>
      </c>
      <c r="AU31" s="770" t="str">
        <f t="shared" si="14"/>
        <v/>
      </c>
      <c r="AV31" s="2"/>
      <c r="AX31" t="str">
        <f t="shared" si="17"/>
        <v/>
      </c>
      <c r="AY31" t="str">
        <f>IF(J31="","",IF(AX31="F",WorksheetAC_old_keep!$F$3,IF(AX31="C",WorksheetAC_old_keep!$F$2,IF(AX31="R",WorksheetAC_old_keep!$F$4,IF(AX31=AE70,WorksheetAC_old_keep!$F$5,IF(AX31="T",WorksheetAC_old_keep!$F$6,IF(AX31="S",WorksheetAC_old_keep!$F$7,IF(AX31="A",WorksheetAC_old_keep!$F$8,IF(AX31="B",WorksheetAC_old_keep!$F$9,"")))))))))</f>
        <v/>
      </c>
      <c r="AZ31" t="str">
        <f t="shared" si="6"/>
        <v/>
      </c>
      <c r="BB31" t="str">
        <f t="shared" si="7"/>
        <v/>
      </c>
      <c r="BC31" t="str">
        <f t="shared" si="8"/>
        <v/>
      </c>
      <c r="BE31" s="11" t="str">
        <f t="shared" si="9"/>
        <v/>
      </c>
      <c r="BF31" s="11" t="str">
        <f t="shared" si="10"/>
        <v/>
      </c>
      <c r="BH31" t="str">
        <f t="shared" si="11"/>
        <v/>
      </c>
      <c r="BJ31" t="str">
        <f t="shared" si="13"/>
        <v/>
      </c>
    </row>
    <row r="32" spans="1:62" ht="15">
      <c r="A32" s="602"/>
      <c r="B32" s="602"/>
      <c r="C32" s="69" t="str">
        <f t="shared" si="0"/>
        <v/>
      </c>
      <c r="D32" s="2">
        <v>29</v>
      </c>
      <c r="E32" s="2"/>
      <c r="F32" s="104"/>
      <c r="G32" s="2"/>
      <c r="H32" s="104"/>
      <c r="I32" s="2"/>
      <c r="J32" s="888"/>
      <c r="K32" s="889"/>
      <c r="L32" s="890"/>
      <c r="M32" s="2"/>
      <c r="N32" s="103" t="s">
        <v>58</v>
      </c>
      <c r="O32" s="2"/>
      <c r="P32" s="111"/>
      <c r="Q32" s="67" t="str">
        <f t="shared" si="1"/>
        <v/>
      </c>
      <c r="R32" s="2"/>
      <c r="S32" s="103" t="s">
        <v>58</v>
      </c>
      <c r="T32" s="2"/>
      <c r="U32" s="103"/>
      <c r="V32" s="2"/>
      <c r="W32" s="103"/>
      <c r="X32" s="2"/>
      <c r="Y32" s="103"/>
      <c r="Z32" s="2"/>
      <c r="AA32" s="162"/>
      <c r="AB32" s="164" t="s">
        <v>59</v>
      </c>
      <c r="AC32" s="163"/>
      <c r="AD32" s="2"/>
      <c r="AE32" s="390" t="str">
        <f t="shared" si="15"/>
        <v/>
      </c>
      <c r="AF32" s="2"/>
      <c r="AG32" s="315" t="s">
        <v>11</v>
      </c>
      <c r="AH32" s="2"/>
      <c r="AI32" s="315"/>
      <c r="AJ32" s="2"/>
      <c r="AK32" s="390" t="str">
        <f t="shared" si="16"/>
        <v/>
      </c>
      <c r="AL32" s="2"/>
      <c r="AM32" s="110" t="str">
        <f t="shared" si="4"/>
        <v/>
      </c>
      <c r="AN32" s="86"/>
      <c r="AO32" s="110" t="str">
        <f t="shared" si="12"/>
        <v/>
      </c>
      <c r="AP32" s="86"/>
      <c r="AQ32" s="86"/>
      <c r="AR32" s="86">
        <v>29</v>
      </c>
      <c r="AS32" s="2" t="str">
        <v>$30,000,000 CSL</v>
      </c>
      <c r="AT32" s="770">
        <v>30000000</v>
      </c>
      <c r="AU32" s="770" t="str">
        <f t="shared" si="14"/>
        <v/>
      </c>
      <c r="AV32" s="2"/>
      <c r="AX32" t="str">
        <f t="shared" si="17"/>
        <v/>
      </c>
      <c r="AY32" t="str">
        <f>IF(J32="","",IF(AX32="F",WorksheetAC_old_keep!$F$3,IF(AX32="C",WorksheetAC_old_keep!$F$2,IF(AX32="R",WorksheetAC_old_keep!$F$4,IF(AX32=AE71,WorksheetAC_old_keep!$F$5,IF(AX32="T",WorksheetAC_old_keep!$F$6,IF(AX32="S",WorksheetAC_old_keep!$F$7,IF(AX32="A",WorksheetAC_old_keep!$F$8,IF(AX32="B",WorksheetAC_old_keep!$F$9,"")))))))))</f>
        <v/>
      </c>
      <c r="AZ32" t="str">
        <f t="shared" si="6"/>
        <v/>
      </c>
      <c r="BB32" t="str">
        <f t="shared" si="7"/>
        <v/>
      </c>
      <c r="BC32" t="str">
        <f t="shared" si="8"/>
        <v/>
      </c>
      <c r="BE32" s="11" t="str">
        <f t="shared" si="9"/>
        <v/>
      </c>
      <c r="BF32" s="11" t="str">
        <f t="shared" si="10"/>
        <v/>
      </c>
      <c r="BH32" t="str">
        <f t="shared" si="11"/>
        <v/>
      </c>
      <c r="BJ32" t="str">
        <f t="shared" si="13"/>
        <v/>
      </c>
    </row>
    <row r="33" spans="1:62" ht="14.25" customHeight="1">
      <c r="A33" s="602"/>
      <c r="B33" s="602"/>
      <c r="C33" s="69" t="str">
        <f t="shared" si="0"/>
        <v/>
      </c>
      <c r="D33" s="2">
        <v>30</v>
      </c>
      <c r="E33" s="2"/>
      <c r="F33" s="104"/>
      <c r="G33" s="2"/>
      <c r="H33" s="104"/>
      <c r="I33" s="2"/>
      <c r="J33" s="888"/>
      <c r="K33" s="889"/>
      <c r="L33" s="890"/>
      <c r="M33" s="2"/>
      <c r="N33" s="103" t="s">
        <v>58</v>
      </c>
      <c r="O33" s="2"/>
      <c r="P33" s="111"/>
      <c r="Q33" s="67" t="str">
        <f t="shared" si="1"/>
        <v/>
      </c>
      <c r="R33" s="2"/>
      <c r="S33" s="103" t="s">
        <v>58</v>
      </c>
      <c r="T33" s="2"/>
      <c r="U33" s="103"/>
      <c r="V33" s="2"/>
      <c r="W33" s="103"/>
      <c r="X33" s="2"/>
      <c r="Y33" s="103"/>
      <c r="Z33" s="2"/>
      <c r="AA33" s="162"/>
      <c r="AB33" s="164" t="s">
        <v>59</v>
      </c>
      <c r="AC33" s="163"/>
      <c r="AD33" s="2"/>
      <c r="AE33" s="390" t="str">
        <f t="shared" si="15"/>
        <v/>
      </c>
      <c r="AF33" s="2"/>
      <c r="AG33" s="315" t="s">
        <v>11</v>
      </c>
      <c r="AH33" s="2"/>
      <c r="AI33" s="315"/>
      <c r="AJ33" s="2"/>
      <c r="AK33" s="390" t="str">
        <f t="shared" si="16"/>
        <v/>
      </c>
      <c r="AL33" s="2"/>
      <c r="AM33" s="110" t="str">
        <f t="shared" si="4"/>
        <v/>
      </c>
      <c r="AN33" s="86"/>
      <c r="AO33" s="110" t="str">
        <f t="shared" si="12"/>
        <v/>
      </c>
      <c r="AP33" s="86"/>
      <c r="AQ33" s="86"/>
      <c r="AR33" s="86">
        <v>30</v>
      </c>
      <c r="AS33" s="2" t="str">
        <v>$35,000,000 CSL</v>
      </c>
      <c r="AT33" s="770">
        <v>35000000</v>
      </c>
      <c r="AU33" s="770" t="str">
        <f t="shared" si="14"/>
        <v/>
      </c>
      <c r="AV33" s="2"/>
      <c r="AX33" t="str">
        <f t="shared" si="17"/>
        <v/>
      </c>
      <c r="AY33" t="str">
        <f>IF(J33="","",IF(AX33="F",WorksheetAC_old_keep!$F$3,IF(AX33="C",WorksheetAC_old_keep!$F$2,IF(AX33="R",WorksheetAC_old_keep!$F$4,IF(AX33=AE72,WorksheetAC_old_keep!$F$5,IF(AX33="T",WorksheetAC_old_keep!$F$6,IF(AX33="S",WorksheetAC_old_keep!$F$7,IF(AX33="A",WorksheetAC_old_keep!$F$8,IF(AX33="B",WorksheetAC_old_keep!$F$9,"")))))))))</f>
        <v/>
      </c>
      <c r="AZ33" t="str">
        <f t="shared" si="6"/>
        <v/>
      </c>
      <c r="BB33" t="str">
        <f t="shared" si="7"/>
        <v/>
      </c>
      <c r="BC33" t="str">
        <f t="shared" si="8"/>
        <v/>
      </c>
      <c r="BE33" s="11" t="str">
        <f t="shared" si="9"/>
        <v/>
      </c>
      <c r="BF33" s="11" t="str">
        <f t="shared" si="10"/>
        <v/>
      </c>
      <c r="BH33" t="str">
        <f t="shared" si="11"/>
        <v/>
      </c>
      <c r="BJ33" t="str">
        <f t="shared" si="13"/>
        <v/>
      </c>
    </row>
    <row r="34" spans="1:62" ht="15">
      <c r="A34" s="602"/>
      <c r="B34" s="602"/>
      <c r="C34" s="69" t="str">
        <f t="shared" ref="C34:C81" si="18">IFERROR(MATCH(J34,ACSelect,0),"")</f>
        <v/>
      </c>
      <c r="D34" s="2">
        <v>31</v>
      </c>
      <c r="E34" s="2"/>
      <c r="F34" s="104"/>
      <c r="G34" s="2"/>
      <c r="H34" s="104"/>
      <c r="I34" s="2"/>
      <c r="J34" s="888"/>
      <c r="K34" s="889"/>
      <c r="L34" s="890"/>
      <c r="M34" s="2"/>
      <c r="N34" s="103" t="s">
        <v>58</v>
      </c>
      <c r="O34" s="2"/>
      <c r="P34" s="111"/>
      <c r="Q34" s="67" t="str">
        <f t="shared" ref="Q34:Q81" si="19">IF(P34="","",IF(P34&lt;BE34,"&lt;",IF(P34&gt;BF34,"&gt;","")))</f>
        <v/>
      </c>
      <c r="R34" s="2"/>
      <c r="S34" s="103" t="s">
        <v>58</v>
      </c>
      <c r="T34" s="2"/>
      <c r="U34" s="103"/>
      <c r="V34" s="2"/>
      <c r="W34" s="103"/>
      <c r="X34" s="2"/>
      <c r="Y34" s="103"/>
      <c r="Z34" s="2"/>
      <c r="AA34" s="162"/>
      <c r="AB34" s="164" t="s">
        <v>59</v>
      </c>
      <c r="AC34" s="163"/>
      <c r="AD34" s="2"/>
      <c r="AE34" s="390" t="str">
        <f t="shared" ref="AE34:AE81" si="20">IFERROR(VLOOKUP(C34,Aircraftlist,11)+1,"")</f>
        <v/>
      </c>
      <c r="AF34" s="2"/>
      <c r="AG34" s="315" t="s">
        <v>11</v>
      </c>
      <c r="AH34" s="2"/>
      <c r="AI34" s="315"/>
      <c r="AJ34" s="2"/>
      <c r="AK34" s="390" t="str">
        <f t="shared" ref="AK34:AK81" si="21">IFERROR(VLOOKUP(C34,Aircraftlist,12),"")</f>
        <v/>
      </c>
      <c r="AL34" s="2"/>
      <c r="AM34" s="110" t="str">
        <f t="shared" si="4"/>
        <v/>
      </c>
      <c r="AN34" s="86"/>
      <c r="AO34" s="110" t="str">
        <f t="shared" ref="AO34:AO81" si="22">IFERROR(IF(VLOOKUP($C34,Aircraftlist,15)="O",0,VLOOKUP(BC34,RateTableRef,2)),"")</f>
        <v/>
      </c>
      <c r="AP34" s="86"/>
      <c r="AQ34" s="86"/>
      <c r="AR34" s="86">
        <v>31</v>
      </c>
      <c r="AS34" s="2" t="str">
        <v>$40,000,000 CSL</v>
      </c>
      <c r="AT34" s="770">
        <v>40000000</v>
      </c>
      <c r="AU34" s="770" t="str">
        <f t="shared" si="14"/>
        <v/>
      </c>
      <c r="AV34" s="2"/>
      <c r="AX34" t="str">
        <f t="shared" ref="AX34:AX81" si="23">IF(N34="Y","S",IFERROR(VLOOKUP(C34,Aircraftlist,16),""))</f>
        <v/>
      </c>
      <c r="AY34" t="str">
        <f>IF(J34="","",IF(AX34="F",WorksheetAC_old_keep!$F$3,IF(AX34="C",WorksheetAC_old_keep!$F$2,IF(AX34="R",WorksheetAC_old_keep!$F$4,IF(AX34=AE73,WorksheetAC_old_keep!$F$5,IF(AX34="T",WorksheetAC_old_keep!$F$6,IF(AX34="S",WorksheetAC_old_keep!$F$7,IF(AX34="A",WorksheetAC_old_keep!$F$8,IF(AX34="B",WorksheetAC_old_keep!$F$9,"")))))))))</f>
        <v/>
      </c>
      <c r="AZ34" t="str">
        <f t="shared" si="6"/>
        <v/>
      </c>
      <c r="BB34" t="str">
        <f t="shared" ref="BB34:BB81" si="24">IF(AI34="",AE34,AI34)</f>
        <v/>
      </c>
      <c r="BC34" t="str">
        <f t="shared" si="8"/>
        <v/>
      </c>
      <c r="BE34" s="11" t="str">
        <f t="shared" ref="BE34:BE81" si="25">IFERROR(VLOOKUP(C34,Aircraftlist,8),"")</f>
        <v/>
      </c>
      <c r="BF34" s="11" t="str">
        <f t="shared" ref="BF34:BF81" si="26">IFERROR(VLOOKUP(C34,Aircraftlist,9),"")</f>
        <v/>
      </c>
      <c r="BH34" t="str">
        <f t="shared" ref="BH34:BH81" si="27">IF(J34="","",IF(OR(P34="",P34=0),"NA/NA",CONCATENATE(TEXT(AA34,"$#,###"),AB34,IF(AC34&lt;50,TEXT(AC34,"0%"),TEXT(AC34,"$#,###")))))</f>
        <v/>
      </c>
      <c r="BJ34" t="str">
        <f t="shared" ref="BJ34:BJ81" si="28">LEFT(AO34,2)</f>
        <v/>
      </c>
    </row>
    <row r="35" spans="1:62" ht="15">
      <c r="A35" s="602"/>
      <c r="B35" s="602"/>
      <c r="C35" s="69" t="str">
        <f t="shared" si="18"/>
        <v/>
      </c>
      <c r="D35" s="2">
        <v>32</v>
      </c>
      <c r="E35" s="2"/>
      <c r="F35" s="104"/>
      <c r="G35" s="2"/>
      <c r="H35" s="104"/>
      <c r="I35" s="2"/>
      <c r="J35" s="888"/>
      <c r="K35" s="889"/>
      <c r="L35" s="890"/>
      <c r="M35" s="2"/>
      <c r="N35" s="103" t="s">
        <v>58</v>
      </c>
      <c r="O35" s="2"/>
      <c r="P35" s="111"/>
      <c r="Q35" s="67" t="str">
        <f t="shared" si="19"/>
        <v/>
      </c>
      <c r="R35" s="2"/>
      <c r="S35" s="103" t="s">
        <v>58</v>
      </c>
      <c r="T35" s="2"/>
      <c r="U35" s="103"/>
      <c r="V35" s="2"/>
      <c r="W35" s="103"/>
      <c r="X35" s="2"/>
      <c r="Y35" s="103"/>
      <c r="Z35" s="2"/>
      <c r="AA35" s="162"/>
      <c r="AB35" s="164" t="s">
        <v>59</v>
      </c>
      <c r="AC35" s="163"/>
      <c r="AD35" s="2"/>
      <c r="AE35" s="390" t="str">
        <f t="shared" si="20"/>
        <v/>
      </c>
      <c r="AF35" s="2"/>
      <c r="AG35" s="315" t="s">
        <v>11</v>
      </c>
      <c r="AH35" s="2"/>
      <c r="AI35" s="315"/>
      <c r="AJ35" s="2"/>
      <c r="AK35" s="390" t="str">
        <f t="shared" si="21"/>
        <v/>
      </c>
      <c r="AL35" s="2"/>
      <c r="AM35" s="110" t="str">
        <f t="shared" si="4"/>
        <v/>
      </c>
      <c r="AN35" s="86"/>
      <c r="AO35" s="110" t="str">
        <f t="shared" si="22"/>
        <v/>
      </c>
      <c r="AP35" s="86"/>
      <c r="AQ35" s="86"/>
      <c r="AR35" s="86">
        <v>32</v>
      </c>
      <c r="AS35" s="2" t="str">
        <v>$45,000,000 CSL</v>
      </c>
      <c r="AT35" s="770">
        <v>45000000</v>
      </c>
      <c r="AU35" s="770" t="str">
        <f t="shared" si="14"/>
        <v/>
      </c>
      <c r="AV35" s="2"/>
      <c r="AX35" t="str">
        <f t="shared" si="23"/>
        <v/>
      </c>
      <c r="AY35" t="str">
        <f>IF(J35="","",IF(AX35="F",WorksheetAC_old_keep!$F$3,IF(AX35="C",WorksheetAC_old_keep!$F$2,IF(AX35="R",WorksheetAC_old_keep!$F$4,IF(AX35=AE74,WorksheetAC_old_keep!$F$5,IF(AX35="T",WorksheetAC_old_keep!$F$6,IF(AX35="S",WorksheetAC_old_keep!$F$7,IF(AX35="A",WorksheetAC_old_keep!$F$8,IF(AX35="B",WorksheetAC_old_keep!$F$9,"")))))))))</f>
        <v/>
      </c>
      <c r="AZ35" t="str">
        <f t="shared" si="6"/>
        <v/>
      </c>
      <c r="BB35" t="str">
        <f t="shared" si="24"/>
        <v/>
      </c>
      <c r="BC35" t="str">
        <f t="shared" si="8"/>
        <v/>
      </c>
      <c r="BE35" s="11" t="str">
        <f t="shared" si="25"/>
        <v/>
      </c>
      <c r="BF35" s="11" t="str">
        <f t="shared" si="26"/>
        <v/>
      </c>
      <c r="BH35" t="str">
        <f t="shared" si="27"/>
        <v/>
      </c>
      <c r="BJ35" t="str">
        <f t="shared" si="28"/>
        <v/>
      </c>
    </row>
    <row r="36" spans="1:62" ht="15">
      <c r="A36" s="602"/>
      <c r="B36" s="602"/>
      <c r="C36" s="69" t="str">
        <f t="shared" si="18"/>
        <v/>
      </c>
      <c r="D36" s="2">
        <v>33</v>
      </c>
      <c r="E36" s="2"/>
      <c r="F36" s="104"/>
      <c r="G36" s="2"/>
      <c r="H36" s="104"/>
      <c r="I36" s="2"/>
      <c r="J36" s="888"/>
      <c r="K36" s="889"/>
      <c r="L36" s="890"/>
      <c r="M36" s="2"/>
      <c r="N36" s="103" t="s">
        <v>58</v>
      </c>
      <c r="O36" s="2"/>
      <c r="P36" s="111"/>
      <c r="Q36" s="67" t="str">
        <f t="shared" si="19"/>
        <v/>
      </c>
      <c r="R36" s="2"/>
      <c r="S36" s="103" t="s">
        <v>58</v>
      </c>
      <c r="T36" s="2"/>
      <c r="U36" s="103"/>
      <c r="V36" s="2"/>
      <c r="W36" s="103"/>
      <c r="X36" s="2"/>
      <c r="Y36" s="103"/>
      <c r="Z36" s="2"/>
      <c r="AA36" s="162"/>
      <c r="AB36" s="164" t="s">
        <v>59</v>
      </c>
      <c r="AC36" s="163"/>
      <c r="AD36" s="2"/>
      <c r="AE36" s="390" t="str">
        <f t="shared" si="20"/>
        <v/>
      </c>
      <c r="AF36" s="2"/>
      <c r="AG36" s="315" t="s">
        <v>11</v>
      </c>
      <c r="AH36" s="2"/>
      <c r="AI36" s="315"/>
      <c r="AJ36" s="2"/>
      <c r="AK36" s="390" t="str">
        <f t="shared" si="21"/>
        <v/>
      </c>
      <c r="AL36" s="2"/>
      <c r="AM36" s="110" t="str">
        <f t="shared" si="4"/>
        <v/>
      </c>
      <c r="AN36" s="86"/>
      <c r="AO36" s="110" t="str">
        <f t="shared" si="22"/>
        <v/>
      </c>
      <c r="AP36" s="86"/>
      <c r="AQ36" s="86"/>
      <c r="AR36" s="86">
        <v>33</v>
      </c>
      <c r="AS36" s="2" t="str">
        <v>$50,000,000 CSL</v>
      </c>
      <c r="AT36" s="770">
        <v>50000000</v>
      </c>
      <c r="AU36" s="770" t="str">
        <f t="shared" si="14"/>
        <v/>
      </c>
      <c r="AV36" s="2"/>
      <c r="AX36" t="str">
        <f t="shared" si="23"/>
        <v/>
      </c>
      <c r="AY36" t="str">
        <f>IF(J36="","",IF(AX36="F",WorksheetAC_old_keep!$F$3,IF(AX36="C",WorksheetAC_old_keep!$F$2,IF(AX36="R",WorksheetAC_old_keep!$F$4,IF(AX36=AE75,WorksheetAC_old_keep!$F$5,IF(AX36="T",WorksheetAC_old_keep!$F$6,IF(AX36="S",WorksheetAC_old_keep!$F$7,IF(AX36="A",WorksheetAC_old_keep!$F$8,IF(AX36="B",WorksheetAC_old_keep!$F$9,"")))))))))</f>
        <v/>
      </c>
      <c r="AZ36" t="str">
        <f t="shared" si="6"/>
        <v/>
      </c>
      <c r="BB36" t="str">
        <f t="shared" si="24"/>
        <v/>
      </c>
      <c r="BC36" t="str">
        <f t="shared" si="8"/>
        <v/>
      </c>
      <c r="BE36" s="11" t="str">
        <f t="shared" si="25"/>
        <v/>
      </c>
      <c r="BF36" s="11" t="str">
        <f t="shared" si="26"/>
        <v/>
      </c>
      <c r="BH36" t="str">
        <f t="shared" si="27"/>
        <v/>
      </c>
      <c r="BJ36" t="str">
        <f t="shared" si="28"/>
        <v/>
      </c>
    </row>
    <row r="37" spans="1:62" ht="15">
      <c r="A37" s="602"/>
      <c r="B37" s="602"/>
      <c r="C37" s="69" t="str">
        <f t="shared" si="18"/>
        <v/>
      </c>
      <c r="D37" s="2">
        <v>34</v>
      </c>
      <c r="E37" s="2"/>
      <c r="F37" s="104"/>
      <c r="G37" s="2"/>
      <c r="H37" s="104"/>
      <c r="I37" s="2"/>
      <c r="J37" s="888"/>
      <c r="K37" s="889"/>
      <c r="L37" s="890"/>
      <c r="M37" s="2"/>
      <c r="N37" s="103" t="s">
        <v>58</v>
      </c>
      <c r="O37" s="2"/>
      <c r="P37" s="111"/>
      <c r="Q37" s="67" t="str">
        <f t="shared" si="19"/>
        <v/>
      </c>
      <c r="R37" s="2"/>
      <c r="S37" s="103" t="s">
        <v>58</v>
      </c>
      <c r="T37" s="2"/>
      <c r="U37" s="103"/>
      <c r="V37" s="2"/>
      <c r="W37" s="103"/>
      <c r="X37" s="2"/>
      <c r="Y37" s="103"/>
      <c r="Z37" s="2"/>
      <c r="AA37" s="162"/>
      <c r="AB37" s="164" t="s">
        <v>59</v>
      </c>
      <c r="AC37" s="163"/>
      <c r="AD37" s="2"/>
      <c r="AE37" s="390" t="str">
        <f t="shared" si="20"/>
        <v/>
      </c>
      <c r="AF37" s="2"/>
      <c r="AG37" s="315" t="s">
        <v>11</v>
      </c>
      <c r="AH37" s="2"/>
      <c r="AI37" s="315"/>
      <c r="AJ37" s="2"/>
      <c r="AK37" s="390" t="str">
        <f t="shared" si="21"/>
        <v/>
      </c>
      <c r="AL37" s="2"/>
      <c r="AM37" s="110" t="str">
        <f t="shared" si="4"/>
        <v/>
      </c>
      <c r="AN37" s="86"/>
      <c r="AO37" s="110" t="str">
        <f t="shared" si="22"/>
        <v/>
      </c>
      <c r="AP37" s="86"/>
      <c r="AQ37" s="86"/>
      <c r="AR37" s="86">
        <v>34</v>
      </c>
      <c r="AS37" s="2" t="str">
        <v>$55,000,000 CSL</v>
      </c>
      <c r="AT37" s="770">
        <v>55000000</v>
      </c>
      <c r="AU37" s="770" t="str">
        <f t="shared" si="14"/>
        <v/>
      </c>
      <c r="AV37" s="2"/>
      <c r="AX37" t="str">
        <f t="shared" si="23"/>
        <v/>
      </c>
      <c r="AY37" t="str">
        <f>IF(J37="","",IF(AX37="F",WorksheetAC_old_keep!$F$3,IF(AX37="C",WorksheetAC_old_keep!$F$2,IF(AX37="R",WorksheetAC_old_keep!$F$4,IF(AX37=AE76,WorksheetAC_old_keep!$F$5,IF(AX37="T",WorksheetAC_old_keep!$F$6,IF(AX37="S",WorksheetAC_old_keep!$F$7,IF(AX37="A",WorksheetAC_old_keep!$F$8,IF(AX37="B",WorksheetAC_old_keep!$F$9,"")))))))))</f>
        <v/>
      </c>
      <c r="AZ37" t="str">
        <f t="shared" si="6"/>
        <v/>
      </c>
      <c r="BB37" t="str">
        <f t="shared" si="24"/>
        <v/>
      </c>
      <c r="BC37" t="str">
        <f t="shared" si="8"/>
        <v/>
      </c>
      <c r="BE37" s="11" t="str">
        <f t="shared" si="25"/>
        <v/>
      </c>
      <c r="BF37" s="11" t="str">
        <f t="shared" si="26"/>
        <v/>
      </c>
      <c r="BH37" t="str">
        <f t="shared" si="27"/>
        <v/>
      </c>
      <c r="BJ37" t="str">
        <f t="shared" si="28"/>
        <v/>
      </c>
    </row>
    <row r="38" spans="1:62" ht="15">
      <c r="A38" s="602"/>
      <c r="B38" s="602"/>
      <c r="C38" s="69" t="str">
        <f t="shared" si="18"/>
        <v/>
      </c>
      <c r="D38" s="2">
        <v>35</v>
      </c>
      <c r="E38" s="2"/>
      <c r="F38" s="104"/>
      <c r="G38" s="2"/>
      <c r="H38" s="104"/>
      <c r="I38" s="2"/>
      <c r="J38" s="888"/>
      <c r="K38" s="889"/>
      <c r="L38" s="890"/>
      <c r="M38" s="2"/>
      <c r="N38" s="103" t="s">
        <v>58</v>
      </c>
      <c r="O38" s="2"/>
      <c r="P38" s="111"/>
      <c r="Q38" s="67" t="str">
        <f t="shared" si="19"/>
        <v/>
      </c>
      <c r="R38" s="2"/>
      <c r="S38" s="103" t="s">
        <v>58</v>
      </c>
      <c r="T38" s="2"/>
      <c r="U38" s="103"/>
      <c r="V38" s="2"/>
      <c r="W38" s="103"/>
      <c r="X38" s="2"/>
      <c r="Y38" s="103"/>
      <c r="Z38" s="2"/>
      <c r="AA38" s="162"/>
      <c r="AB38" s="164" t="s">
        <v>59</v>
      </c>
      <c r="AC38" s="163"/>
      <c r="AD38" s="2"/>
      <c r="AE38" s="390" t="str">
        <f t="shared" si="20"/>
        <v/>
      </c>
      <c r="AF38" s="2"/>
      <c r="AG38" s="315" t="s">
        <v>11</v>
      </c>
      <c r="AH38" s="2"/>
      <c r="AI38" s="315"/>
      <c r="AJ38" s="2"/>
      <c r="AK38" s="390" t="str">
        <f t="shared" si="21"/>
        <v/>
      </c>
      <c r="AL38" s="2"/>
      <c r="AM38" s="110" t="str">
        <f t="shared" si="4"/>
        <v/>
      </c>
      <c r="AN38" s="86"/>
      <c r="AO38" s="110" t="str">
        <f t="shared" si="22"/>
        <v/>
      </c>
      <c r="AP38" s="86"/>
      <c r="AQ38" s="86"/>
      <c r="AR38" s="86">
        <v>35</v>
      </c>
      <c r="AS38" s="2" t="str">
        <v>$60,000,000 CSL</v>
      </c>
      <c r="AT38" s="770">
        <v>60000000</v>
      </c>
      <c r="AU38" s="770" t="str">
        <f t="shared" si="14"/>
        <v/>
      </c>
      <c r="AV38" s="2"/>
      <c r="AX38" t="str">
        <f t="shared" si="23"/>
        <v/>
      </c>
      <c r="AY38" t="str">
        <f>IF(J38="","",IF(AX38="F",WorksheetAC_old_keep!$F$3,IF(AX38="C",WorksheetAC_old_keep!$F$2,IF(AX38="R",WorksheetAC_old_keep!$F$4,IF(AX38=AE77,WorksheetAC_old_keep!$F$5,IF(AX38="T",WorksheetAC_old_keep!$F$6,IF(AX38="S",WorksheetAC_old_keep!$F$7,IF(AX38="A",WorksheetAC_old_keep!$F$8,IF(AX38="B",WorksheetAC_old_keep!$F$9,"")))))))))</f>
        <v/>
      </c>
      <c r="AZ38" t="str">
        <f t="shared" si="6"/>
        <v/>
      </c>
      <c r="BB38" t="str">
        <f t="shared" si="24"/>
        <v/>
      </c>
      <c r="BC38" t="str">
        <f t="shared" si="8"/>
        <v/>
      </c>
      <c r="BE38" s="11" t="str">
        <f t="shared" si="25"/>
        <v/>
      </c>
      <c r="BF38" s="11" t="str">
        <f t="shared" si="26"/>
        <v/>
      </c>
      <c r="BH38" t="str">
        <f t="shared" si="27"/>
        <v/>
      </c>
      <c r="BJ38" t="str">
        <f t="shared" si="28"/>
        <v/>
      </c>
    </row>
    <row r="39" spans="1:62" ht="15">
      <c r="A39" s="602"/>
      <c r="B39" s="602"/>
      <c r="C39" s="69" t="str">
        <f t="shared" si="18"/>
        <v/>
      </c>
      <c r="D39" s="2">
        <v>36</v>
      </c>
      <c r="E39" s="2"/>
      <c r="F39" s="104"/>
      <c r="G39" s="2"/>
      <c r="H39" s="104"/>
      <c r="I39" s="2"/>
      <c r="J39" s="888"/>
      <c r="K39" s="889"/>
      <c r="L39" s="890"/>
      <c r="M39" s="2"/>
      <c r="N39" s="103" t="s">
        <v>58</v>
      </c>
      <c r="O39" s="2"/>
      <c r="P39" s="111"/>
      <c r="Q39" s="67" t="str">
        <f t="shared" si="19"/>
        <v/>
      </c>
      <c r="R39" s="2"/>
      <c r="S39" s="103" t="s">
        <v>58</v>
      </c>
      <c r="T39" s="2"/>
      <c r="U39" s="103"/>
      <c r="V39" s="2"/>
      <c r="W39" s="103"/>
      <c r="X39" s="2"/>
      <c r="Y39" s="103"/>
      <c r="Z39" s="2"/>
      <c r="AA39" s="162"/>
      <c r="AB39" s="164" t="s">
        <v>59</v>
      </c>
      <c r="AC39" s="163"/>
      <c r="AD39" s="2"/>
      <c r="AE39" s="390" t="str">
        <f t="shared" si="20"/>
        <v/>
      </c>
      <c r="AF39" s="2"/>
      <c r="AG39" s="315" t="s">
        <v>11</v>
      </c>
      <c r="AH39" s="2"/>
      <c r="AI39" s="315"/>
      <c r="AJ39" s="2"/>
      <c r="AK39" s="390" t="str">
        <f t="shared" si="21"/>
        <v/>
      </c>
      <c r="AL39" s="2"/>
      <c r="AM39" s="110" t="str">
        <f t="shared" si="4"/>
        <v/>
      </c>
      <c r="AN39" s="86"/>
      <c r="AO39" s="110" t="str">
        <f t="shared" si="22"/>
        <v/>
      </c>
      <c r="AP39" s="86"/>
      <c r="AQ39" s="86"/>
      <c r="AR39" s="86">
        <v>36</v>
      </c>
      <c r="AS39" s="2" t="str">
        <v>$65,000,000 CSL</v>
      </c>
      <c r="AT39" s="770">
        <v>65000000</v>
      </c>
      <c r="AU39" s="770" t="str">
        <f t="shared" si="14"/>
        <v/>
      </c>
      <c r="AV39" s="2"/>
      <c r="AX39" t="str">
        <f t="shared" si="23"/>
        <v/>
      </c>
      <c r="AY39" t="str">
        <f>IF(J39="","",IF(AX39="F",WorksheetAC_old_keep!$F$3,IF(AX39="C",WorksheetAC_old_keep!$F$2,IF(AX39="R",WorksheetAC_old_keep!$F$4,IF(AX39=AE78,WorksheetAC_old_keep!$F$5,IF(AX39="T",WorksheetAC_old_keep!$F$6,IF(AX39="S",WorksheetAC_old_keep!$F$7,IF(AX39="A",WorksheetAC_old_keep!$F$8,IF(AX39="B",WorksheetAC_old_keep!$F$9,"")))))))))</f>
        <v/>
      </c>
      <c r="AZ39" t="str">
        <f t="shared" si="6"/>
        <v/>
      </c>
      <c r="BB39" t="str">
        <f t="shared" si="24"/>
        <v/>
      </c>
      <c r="BC39" t="str">
        <f t="shared" si="8"/>
        <v/>
      </c>
      <c r="BE39" s="11" t="str">
        <f t="shared" si="25"/>
        <v/>
      </c>
      <c r="BF39" s="11" t="str">
        <f t="shared" si="26"/>
        <v/>
      </c>
      <c r="BH39" t="str">
        <f t="shared" si="27"/>
        <v/>
      </c>
      <c r="BJ39" t="str">
        <f t="shared" si="28"/>
        <v/>
      </c>
    </row>
    <row r="40" spans="1:62" ht="15">
      <c r="A40" s="602"/>
      <c r="B40" s="602"/>
      <c r="C40" s="69" t="str">
        <f t="shared" si="18"/>
        <v/>
      </c>
      <c r="D40" s="2">
        <v>37</v>
      </c>
      <c r="E40" s="2"/>
      <c r="F40" s="104"/>
      <c r="G40" s="2"/>
      <c r="H40" s="104"/>
      <c r="I40" s="2"/>
      <c r="J40" s="888"/>
      <c r="K40" s="889"/>
      <c r="L40" s="890"/>
      <c r="M40" s="2"/>
      <c r="N40" s="103" t="s">
        <v>58</v>
      </c>
      <c r="O40" s="2"/>
      <c r="P40" s="111"/>
      <c r="Q40" s="67" t="str">
        <f t="shared" si="19"/>
        <v/>
      </c>
      <c r="R40" s="2"/>
      <c r="S40" s="103" t="s">
        <v>58</v>
      </c>
      <c r="T40" s="2"/>
      <c r="U40" s="103"/>
      <c r="V40" s="2"/>
      <c r="W40" s="103"/>
      <c r="X40" s="2"/>
      <c r="Y40" s="103"/>
      <c r="Z40" s="2"/>
      <c r="AA40" s="162"/>
      <c r="AB40" s="164" t="s">
        <v>59</v>
      </c>
      <c r="AC40" s="163"/>
      <c r="AD40" s="2"/>
      <c r="AE40" s="390" t="str">
        <f t="shared" si="20"/>
        <v/>
      </c>
      <c r="AF40" s="2"/>
      <c r="AG40" s="315" t="s">
        <v>11</v>
      </c>
      <c r="AH40" s="2"/>
      <c r="AI40" s="315"/>
      <c r="AJ40" s="2"/>
      <c r="AK40" s="390" t="str">
        <f t="shared" si="21"/>
        <v/>
      </c>
      <c r="AL40" s="2"/>
      <c r="AM40" s="110" t="str">
        <f t="shared" si="4"/>
        <v/>
      </c>
      <c r="AN40" s="86"/>
      <c r="AO40" s="110" t="str">
        <f t="shared" si="22"/>
        <v/>
      </c>
      <c r="AP40" s="86"/>
      <c r="AQ40" s="86"/>
      <c r="AR40" s="86">
        <v>37</v>
      </c>
      <c r="AS40" s="2" t="str">
        <v>$70,000,000 CSL</v>
      </c>
      <c r="AT40" s="770">
        <v>70000000</v>
      </c>
      <c r="AU40" s="770" t="str">
        <f t="shared" si="14"/>
        <v/>
      </c>
      <c r="AV40" s="2"/>
      <c r="AX40" t="str">
        <f t="shared" si="23"/>
        <v/>
      </c>
      <c r="AY40" t="str">
        <f>IF(J40="","",IF(AX40="F",WorksheetAC_old_keep!$F$3,IF(AX40="C",WorksheetAC_old_keep!$F$2,IF(AX40="R",WorksheetAC_old_keep!$F$4,IF(AX40=AE79,WorksheetAC_old_keep!$F$5,IF(AX40="T",WorksheetAC_old_keep!$F$6,IF(AX40="S",WorksheetAC_old_keep!$F$7,IF(AX40="A",WorksheetAC_old_keep!$F$8,IF(AX40="B",WorksheetAC_old_keep!$F$9,"")))))))))</f>
        <v/>
      </c>
      <c r="AZ40" t="str">
        <f t="shared" si="6"/>
        <v/>
      </c>
      <c r="BB40" t="str">
        <f t="shared" si="24"/>
        <v/>
      </c>
      <c r="BC40" t="str">
        <f t="shared" si="8"/>
        <v/>
      </c>
      <c r="BE40" s="11" t="str">
        <f t="shared" si="25"/>
        <v/>
      </c>
      <c r="BF40" s="11" t="str">
        <f t="shared" si="26"/>
        <v/>
      </c>
      <c r="BH40" t="str">
        <f t="shared" si="27"/>
        <v/>
      </c>
      <c r="BJ40" t="str">
        <f t="shared" si="28"/>
        <v/>
      </c>
    </row>
    <row r="41" spans="1:62" ht="15">
      <c r="A41" s="602"/>
      <c r="B41" s="602"/>
      <c r="C41" s="69" t="str">
        <f t="shared" si="18"/>
        <v/>
      </c>
      <c r="D41" s="2">
        <v>38</v>
      </c>
      <c r="E41" s="2"/>
      <c r="F41" s="104"/>
      <c r="G41" s="2"/>
      <c r="H41" s="104"/>
      <c r="I41" s="2"/>
      <c r="J41" s="888"/>
      <c r="K41" s="889"/>
      <c r="L41" s="890"/>
      <c r="M41" s="2"/>
      <c r="N41" s="103" t="s">
        <v>58</v>
      </c>
      <c r="O41" s="2"/>
      <c r="P41" s="111"/>
      <c r="Q41" s="67" t="str">
        <f t="shared" si="19"/>
        <v/>
      </c>
      <c r="R41" s="2"/>
      <c r="S41" s="103" t="s">
        <v>58</v>
      </c>
      <c r="T41" s="2"/>
      <c r="U41" s="103"/>
      <c r="V41" s="2"/>
      <c r="W41" s="103"/>
      <c r="X41" s="2"/>
      <c r="Y41" s="103"/>
      <c r="Z41" s="2"/>
      <c r="AA41" s="162"/>
      <c r="AB41" s="164" t="s">
        <v>59</v>
      </c>
      <c r="AC41" s="163"/>
      <c r="AD41" s="2"/>
      <c r="AE41" s="390" t="str">
        <f t="shared" si="20"/>
        <v/>
      </c>
      <c r="AF41" s="2"/>
      <c r="AG41" s="315" t="s">
        <v>11</v>
      </c>
      <c r="AH41" s="2"/>
      <c r="AI41" s="315"/>
      <c r="AJ41" s="2"/>
      <c r="AK41" s="390" t="str">
        <f t="shared" si="21"/>
        <v/>
      </c>
      <c r="AL41" s="2"/>
      <c r="AM41" s="110" t="str">
        <f t="shared" si="4"/>
        <v/>
      </c>
      <c r="AN41" s="86"/>
      <c r="AO41" s="110" t="str">
        <f t="shared" si="22"/>
        <v/>
      </c>
      <c r="AP41" s="86"/>
      <c r="AQ41" s="86"/>
      <c r="AR41" s="86">
        <v>38</v>
      </c>
      <c r="AS41" s="2" t="str">
        <v>$75,000,000 CSL</v>
      </c>
      <c r="AT41" s="770">
        <v>75000000</v>
      </c>
      <c r="AU41" s="770" t="str">
        <f t="shared" si="14"/>
        <v/>
      </c>
      <c r="AV41" s="2"/>
      <c r="AX41" t="str">
        <f t="shared" si="23"/>
        <v/>
      </c>
      <c r="AY41" t="str">
        <f>IF(J41="","",IF(AX41="F",WorksheetAC_old_keep!$F$3,IF(AX41="C",WorksheetAC_old_keep!$F$2,IF(AX41="R",WorksheetAC_old_keep!$F$4,IF(AX41=AE80,WorksheetAC_old_keep!$F$5,IF(AX41="T",WorksheetAC_old_keep!$F$6,IF(AX41="S",WorksheetAC_old_keep!$F$7,IF(AX41="A",WorksheetAC_old_keep!$F$8,IF(AX41="B",WorksheetAC_old_keep!$F$9,"")))))))))</f>
        <v/>
      </c>
      <c r="AZ41" t="str">
        <f t="shared" si="6"/>
        <v/>
      </c>
      <c r="BB41" t="str">
        <f t="shared" si="24"/>
        <v/>
      </c>
      <c r="BC41" t="str">
        <f t="shared" si="8"/>
        <v/>
      </c>
      <c r="BE41" s="11" t="str">
        <f t="shared" si="25"/>
        <v/>
      </c>
      <c r="BF41" s="11" t="str">
        <f t="shared" si="26"/>
        <v/>
      </c>
      <c r="BH41" t="str">
        <f t="shared" si="27"/>
        <v/>
      </c>
      <c r="BJ41" t="str">
        <f t="shared" si="28"/>
        <v/>
      </c>
    </row>
    <row r="42" spans="1:62" ht="15">
      <c r="A42" s="602"/>
      <c r="B42" s="602"/>
      <c r="C42" s="69" t="str">
        <f t="shared" si="18"/>
        <v/>
      </c>
      <c r="D42" s="2">
        <v>39</v>
      </c>
      <c r="E42" s="2"/>
      <c r="F42" s="104"/>
      <c r="G42" s="2"/>
      <c r="H42" s="104"/>
      <c r="I42" s="2"/>
      <c r="J42" s="888"/>
      <c r="K42" s="889"/>
      <c r="L42" s="890"/>
      <c r="M42" s="2"/>
      <c r="N42" s="103" t="s">
        <v>58</v>
      </c>
      <c r="O42" s="2"/>
      <c r="P42" s="111"/>
      <c r="Q42" s="67" t="str">
        <f t="shared" si="19"/>
        <v/>
      </c>
      <c r="R42" s="2"/>
      <c r="S42" s="103" t="s">
        <v>58</v>
      </c>
      <c r="T42" s="2"/>
      <c r="U42" s="103"/>
      <c r="V42" s="2"/>
      <c r="W42" s="103"/>
      <c r="X42" s="2"/>
      <c r="Y42" s="103"/>
      <c r="Z42" s="2"/>
      <c r="AA42" s="162"/>
      <c r="AB42" s="164" t="s">
        <v>59</v>
      </c>
      <c r="AC42" s="163"/>
      <c r="AD42" s="2"/>
      <c r="AE42" s="390" t="str">
        <f t="shared" si="20"/>
        <v/>
      </c>
      <c r="AF42" s="2"/>
      <c r="AG42" s="315" t="s">
        <v>11</v>
      </c>
      <c r="AH42" s="2"/>
      <c r="AI42" s="315"/>
      <c r="AJ42" s="2"/>
      <c r="AK42" s="390" t="str">
        <f t="shared" si="21"/>
        <v/>
      </c>
      <c r="AL42" s="2"/>
      <c r="AM42" s="110" t="str">
        <f t="shared" si="4"/>
        <v/>
      </c>
      <c r="AN42" s="86"/>
      <c r="AO42" s="110" t="str">
        <f t="shared" si="22"/>
        <v/>
      </c>
      <c r="AP42" s="86"/>
      <c r="AQ42" s="86"/>
      <c r="AR42" s="86">
        <v>39</v>
      </c>
      <c r="AS42" s="2" t="str">
        <v>$80,000,000 CSL</v>
      </c>
      <c r="AT42" s="770">
        <v>80000000</v>
      </c>
      <c r="AU42" s="770" t="str">
        <f t="shared" si="14"/>
        <v/>
      </c>
      <c r="AV42" s="2"/>
      <c r="AX42" t="str">
        <f t="shared" si="23"/>
        <v/>
      </c>
      <c r="AY42" t="str">
        <f>IF(J42="","",IF(AX42="F",WorksheetAC_old_keep!$F$3,IF(AX42="C",WorksheetAC_old_keep!$F$2,IF(AX42="R",WorksheetAC_old_keep!$F$4,IF(AX42=AE81,WorksheetAC_old_keep!$F$5,IF(AX42="T",WorksheetAC_old_keep!$F$6,IF(AX42="S",WorksheetAC_old_keep!$F$7,IF(AX42="A",WorksheetAC_old_keep!$F$8,IF(AX42="B",WorksheetAC_old_keep!$F$9,"")))))))))</f>
        <v/>
      </c>
      <c r="AZ42" t="str">
        <f t="shared" si="6"/>
        <v/>
      </c>
      <c r="BB42" t="str">
        <f t="shared" si="24"/>
        <v/>
      </c>
      <c r="BC42" t="str">
        <f t="shared" si="8"/>
        <v/>
      </c>
      <c r="BE42" s="11" t="str">
        <f t="shared" si="25"/>
        <v/>
      </c>
      <c r="BF42" s="11" t="str">
        <f t="shared" si="26"/>
        <v/>
      </c>
      <c r="BH42" t="str">
        <f t="shared" si="27"/>
        <v/>
      </c>
      <c r="BJ42" t="str">
        <f t="shared" si="28"/>
        <v/>
      </c>
    </row>
    <row r="43" spans="1:62" ht="15">
      <c r="A43" s="602"/>
      <c r="B43" s="602"/>
      <c r="C43" s="69" t="str">
        <f t="shared" si="18"/>
        <v/>
      </c>
      <c r="D43" s="2">
        <v>40</v>
      </c>
      <c r="E43" s="2"/>
      <c r="F43" s="104"/>
      <c r="G43" s="2"/>
      <c r="H43" s="104"/>
      <c r="I43" s="2"/>
      <c r="J43" s="888"/>
      <c r="K43" s="889"/>
      <c r="L43" s="890"/>
      <c r="M43" s="2"/>
      <c r="N43" s="103" t="s">
        <v>58</v>
      </c>
      <c r="O43" s="2"/>
      <c r="P43" s="111"/>
      <c r="Q43" s="67" t="str">
        <f t="shared" si="19"/>
        <v/>
      </c>
      <c r="R43" s="2"/>
      <c r="S43" s="103" t="s">
        <v>58</v>
      </c>
      <c r="T43" s="2"/>
      <c r="U43" s="103"/>
      <c r="V43" s="2"/>
      <c r="W43" s="103"/>
      <c r="X43" s="2"/>
      <c r="Y43" s="103"/>
      <c r="Z43" s="2"/>
      <c r="AA43" s="162"/>
      <c r="AB43" s="164" t="s">
        <v>59</v>
      </c>
      <c r="AC43" s="163"/>
      <c r="AD43" s="2"/>
      <c r="AE43" s="390" t="str">
        <f t="shared" si="20"/>
        <v/>
      </c>
      <c r="AF43" s="2"/>
      <c r="AG43" s="315" t="s">
        <v>11</v>
      </c>
      <c r="AH43" s="2"/>
      <c r="AI43" s="315"/>
      <c r="AJ43" s="2"/>
      <c r="AK43" s="390" t="str">
        <f t="shared" si="21"/>
        <v/>
      </c>
      <c r="AL43" s="2"/>
      <c r="AM43" s="110" t="str">
        <f t="shared" si="4"/>
        <v/>
      </c>
      <c r="AN43" s="86"/>
      <c r="AO43" s="110" t="str">
        <f t="shared" si="22"/>
        <v/>
      </c>
      <c r="AP43" s="86"/>
      <c r="AQ43" s="86"/>
      <c r="AR43" s="86">
        <v>40</v>
      </c>
      <c r="AS43" s="2" t="str">
        <v>$85,000,000 CSL</v>
      </c>
      <c r="AT43" s="770">
        <v>85000000</v>
      </c>
      <c r="AU43" s="770" t="str">
        <f t="shared" si="14"/>
        <v/>
      </c>
      <c r="AV43" s="2"/>
      <c r="AX43" t="str">
        <f t="shared" si="23"/>
        <v/>
      </c>
      <c r="AY43" t="str">
        <f>IF(J43="","",IF(AX43="F",WorksheetAC_old_keep!$F$3,IF(AX43="C",WorksheetAC_old_keep!$F$2,IF(AX43="R",WorksheetAC_old_keep!$F$4,IF(AX43=AE82,WorksheetAC_old_keep!$F$5,IF(AX43="T",WorksheetAC_old_keep!$F$6,IF(AX43="S",WorksheetAC_old_keep!$F$7,IF(AX43="A",WorksheetAC_old_keep!$F$8,IF(AX43="B",WorksheetAC_old_keep!$F$9,"")))))))))</f>
        <v/>
      </c>
      <c r="AZ43" t="str">
        <f t="shared" si="6"/>
        <v/>
      </c>
      <c r="BB43" t="str">
        <f t="shared" si="24"/>
        <v/>
      </c>
      <c r="BC43" t="str">
        <f t="shared" si="8"/>
        <v/>
      </c>
      <c r="BE43" s="11" t="str">
        <f t="shared" si="25"/>
        <v/>
      </c>
      <c r="BF43" s="11" t="str">
        <f t="shared" si="26"/>
        <v/>
      </c>
      <c r="BH43" t="str">
        <f t="shared" si="27"/>
        <v/>
      </c>
      <c r="BJ43" t="str">
        <f t="shared" si="28"/>
        <v/>
      </c>
    </row>
    <row r="44" spans="1:62" ht="15">
      <c r="A44" s="602"/>
      <c r="B44" s="602"/>
      <c r="C44" s="69" t="str">
        <f t="shared" si="18"/>
        <v/>
      </c>
      <c r="D44" s="2">
        <v>41</v>
      </c>
      <c r="E44" s="2"/>
      <c r="F44" s="104"/>
      <c r="G44" s="2"/>
      <c r="H44" s="104"/>
      <c r="I44" s="2"/>
      <c r="J44" s="888"/>
      <c r="K44" s="889"/>
      <c r="L44" s="890"/>
      <c r="M44" s="2"/>
      <c r="N44" s="103" t="s">
        <v>58</v>
      </c>
      <c r="O44" s="2"/>
      <c r="P44" s="111"/>
      <c r="Q44" s="67" t="str">
        <f t="shared" si="19"/>
        <v/>
      </c>
      <c r="R44" s="2"/>
      <c r="S44" s="103" t="s">
        <v>58</v>
      </c>
      <c r="T44" s="2"/>
      <c r="U44" s="103"/>
      <c r="V44" s="2"/>
      <c r="W44" s="103"/>
      <c r="X44" s="2"/>
      <c r="Y44" s="103"/>
      <c r="Z44" s="2"/>
      <c r="AA44" s="162"/>
      <c r="AB44" s="164" t="s">
        <v>59</v>
      </c>
      <c r="AC44" s="163"/>
      <c r="AD44" s="2"/>
      <c r="AE44" s="390" t="str">
        <f t="shared" si="20"/>
        <v/>
      </c>
      <c r="AF44" s="2"/>
      <c r="AG44" s="315" t="s">
        <v>11</v>
      </c>
      <c r="AH44" s="2"/>
      <c r="AI44" s="315"/>
      <c r="AJ44" s="2"/>
      <c r="AK44" s="390" t="str">
        <f t="shared" si="21"/>
        <v/>
      </c>
      <c r="AL44" s="2"/>
      <c r="AM44" s="110" t="str">
        <f t="shared" si="4"/>
        <v/>
      </c>
      <c r="AN44" s="86"/>
      <c r="AO44" s="110" t="str">
        <f t="shared" si="22"/>
        <v/>
      </c>
      <c r="AP44" s="86"/>
      <c r="AQ44" s="86"/>
      <c r="AR44" s="86">
        <v>41</v>
      </c>
      <c r="AS44" s="2" t="str">
        <v>$90,000,000 CSL</v>
      </c>
      <c r="AT44" s="770">
        <v>90000000</v>
      </c>
      <c r="AU44" s="770" t="str">
        <f t="shared" si="14"/>
        <v/>
      </c>
      <c r="AV44" s="2"/>
      <c r="AX44" t="str">
        <f t="shared" si="23"/>
        <v/>
      </c>
      <c r="AY44" t="str">
        <f>IF(J44="","",IF(AX44="F",WorksheetAC_old_keep!$F$3,IF(AX44="C",WorksheetAC_old_keep!$F$2,IF(AX44="R",WorksheetAC_old_keep!$F$4,IF(AX44=AE83,WorksheetAC_old_keep!$F$5,IF(AX44="T",WorksheetAC_old_keep!$F$6,IF(AX44="S",WorksheetAC_old_keep!$F$7,IF(AX44="A",WorksheetAC_old_keep!$F$8,IF(AX44="B",WorksheetAC_old_keep!$F$9,"")))))))))</f>
        <v/>
      </c>
      <c r="AZ44" t="str">
        <f t="shared" si="6"/>
        <v/>
      </c>
      <c r="BB44" t="str">
        <f t="shared" si="24"/>
        <v/>
      </c>
      <c r="BC44" t="str">
        <f t="shared" si="8"/>
        <v/>
      </c>
      <c r="BE44" s="11" t="str">
        <f t="shared" si="25"/>
        <v/>
      </c>
      <c r="BF44" s="11" t="str">
        <f t="shared" si="26"/>
        <v/>
      </c>
      <c r="BH44" t="str">
        <f t="shared" si="27"/>
        <v/>
      </c>
      <c r="BJ44" t="str">
        <f t="shared" si="28"/>
        <v/>
      </c>
    </row>
    <row r="45" spans="1:62" ht="15">
      <c r="A45" s="602"/>
      <c r="B45" s="602"/>
      <c r="C45" s="69" t="str">
        <f t="shared" si="18"/>
        <v/>
      </c>
      <c r="D45" s="2">
        <v>42</v>
      </c>
      <c r="E45" s="2"/>
      <c r="F45" s="104"/>
      <c r="G45" s="2"/>
      <c r="H45" s="104"/>
      <c r="I45" s="2"/>
      <c r="J45" s="888"/>
      <c r="K45" s="889"/>
      <c r="L45" s="890"/>
      <c r="M45" s="2"/>
      <c r="N45" s="103" t="s">
        <v>58</v>
      </c>
      <c r="O45" s="2"/>
      <c r="P45" s="111"/>
      <c r="Q45" s="67" t="str">
        <f t="shared" si="19"/>
        <v/>
      </c>
      <c r="R45" s="2"/>
      <c r="S45" s="103" t="s">
        <v>58</v>
      </c>
      <c r="T45" s="2"/>
      <c r="U45" s="103"/>
      <c r="V45" s="2"/>
      <c r="W45" s="103"/>
      <c r="X45" s="2"/>
      <c r="Y45" s="103"/>
      <c r="Z45" s="2"/>
      <c r="AA45" s="162"/>
      <c r="AB45" s="164" t="s">
        <v>59</v>
      </c>
      <c r="AC45" s="163"/>
      <c r="AD45" s="2"/>
      <c r="AE45" s="390" t="str">
        <f t="shared" si="20"/>
        <v/>
      </c>
      <c r="AF45" s="2"/>
      <c r="AG45" s="315" t="s">
        <v>11</v>
      </c>
      <c r="AH45" s="2"/>
      <c r="AI45" s="315"/>
      <c r="AJ45" s="2"/>
      <c r="AK45" s="390" t="str">
        <f t="shared" si="21"/>
        <v/>
      </c>
      <c r="AL45" s="2"/>
      <c r="AM45" s="110" t="str">
        <f t="shared" si="4"/>
        <v/>
      </c>
      <c r="AN45" s="86"/>
      <c r="AO45" s="110" t="str">
        <f t="shared" si="22"/>
        <v/>
      </c>
      <c r="AP45" s="86"/>
      <c r="AQ45" s="86"/>
      <c r="AR45" s="86">
        <v>42</v>
      </c>
      <c r="AS45" s="2" t="str">
        <v>$95,000,000 CSL</v>
      </c>
      <c r="AT45" s="770">
        <v>95000000</v>
      </c>
      <c r="AU45" s="770" t="str">
        <f t="shared" si="14"/>
        <v/>
      </c>
      <c r="AV45" s="2"/>
      <c r="AX45" t="str">
        <f t="shared" si="23"/>
        <v/>
      </c>
      <c r="AY45" t="str">
        <f>IF(J45="","",IF(AX45="F",WorksheetAC_old_keep!$F$3,IF(AX45="C",WorksheetAC_old_keep!$F$2,IF(AX45="R",WorksheetAC_old_keep!$F$4,IF(AX45=AE84,WorksheetAC_old_keep!$F$5,IF(AX45="T",WorksheetAC_old_keep!$F$6,IF(AX45="S",WorksheetAC_old_keep!$F$7,IF(AX45="A",WorksheetAC_old_keep!$F$8,IF(AX45="B",WorksheetAC_old_keep!$F$9,"")))))))))</f>
        <v/>
      </c>
      <c r="AZ45" t="str">
        <f t="shared" si="6"/>
        <v/>
      </c>
      <c r="BB45" t="str">
        <f t="shared" si="24"/>
        <v/>
      </c>
      <c r="BC45" t="str">
        <f t="shared" si="8"/>
        <v/>
      </c>
      <c r="BE45" s="11" t="str">
        <f t="shared" si="25"/>
        <v/>
      </c>
      <c r="BF45" s="11" t="str">
        <f t="shared" si="26"/>
        <v/>
      </c>
      <c r="BH45" t="str">
        <f t="shared" si="27"/>
        <v/>
      </c>
      <c r="BJ45" t="str">
        <f t="shared" si="28"/>
        <v/>
      </c>
    </row>
    <row r="46" spans="1:62" ht="15">
      <c r="A46" s="602"/>
      <c r="B46" s="602"/>
      <c r="C46" s="69" t="str">
        <f t="shared" si="18"/>
        <v/>
      </c>
      <c r="D46" s="2">
        <v>43</v>
      </c>
      <c r="E46" s="2"/>
      <c r="F46" s="104"/>
      <c r="G46" s="2"/>
      <c r="H46" s="104"/>
      <c r="I46" s="2"/>
      <c r="J46" s="888"/>
      <c r="K46" s="889"/>
      <c r="L46" s="890"/>
      <c r="M46" s="2"/>
      <c r="N46" s="103" t="s">
        <v>58</v>
      </c>
      <c r="O46" s="2"/>
      <c r="P46" s="111"/>
      <c r="Q46" s="67" t="str">
        <f t="shared" si="19"/>
        <v/>
      </c>
      <c r="R46" s="2"/>
      <c r="S46" s="103" t="s">
        <v>58</v>
      </c>
      <c r="T46" s="2"/>
      <c r="U46" s="103"/>
      <c r="V46" s="2"/>
      <c r="W46" s="103"/>
      <c r="X46" s="2"/>
      <c r="Y46" s="103"/>
      <c r="Z46" s="2"/>
      <c r="AA46" s="162"/>
      <c r="AB46" s="164" t="s">
        <v>59</v>
      </c>
      <c r="AC46" s="163"/>
      <c r="AD46" s="2"/>
      <c r="AE46" s="390" t="str">
        <f t="shared" si="20"/>
        <v/>
      </c>
      <c r="AF46" s="2"/>
      <c r="AG46" s="315" t="s">
        <v>11</v>
      </c>
      <c r="AH46" s="2"/>
      <c r="AI46" s="315"/>
      <c r="AJ46" s="2"/>
      <c r="AK46" s="390" t="str">
        <f t="shared" si="21"/>
        <v/>
      </c>
      <c r="AL46" s="2"/>
      <c r="AM46" s="110" t="str">
        <f t="shared" si="4"/>
        <v/>
      </c>
      <c r="AN46" s="86"/>
      <c r="AO46" s="110" t="str">
        <f t="shared" si="22"/>
        <v/>
      </c>
      <c r="AP46" s="86"/>
      <c r="AQ46" s="86"/>
      <c r="AR46" s="86">
        <v>43</v>
      </c>
      <c r="AS46" s="2" t="str">
        <v>$100,000,000 CSL</v>
      </c>
      <c r="AT46" s="770">
        <v>100000000</v>
      </c>
      <c r="AU46" s="770" t="str">
        <f t="shared" si="14"/>
        <v/>
      </c>
      <c r="AV46" s="2"/>
      <c r="AX46" t="str">
        <f t="shared" si="23"/>
        <v/>
      </c>
      <c r="AY46" t="str">
        <f>IF(J46="","",IF(AX46="F",WorksheetAC_old_keep!$F$3,IF(AX46="C",WorksheetAC_old_keep!$F$2,IF(AX46="R",WorksheetAC_old_keep!$F$4,IF(AX46=AE85,WorksheetAC_old_keep!$F$5,IF(AX46="T",WorksheetAC_old_keep!$F$6,IF(AX46="S",WorksheetAC_old_keep!$F$7,IF(AX46="A",WorksheetAC_old_keep!$F$8,IF(AX46="B",WorksheetAC_old_keep!$F$9,"")))))))))</f>
        <v/>
      </c>
      <c r="AZ46" t="str">
        <f t="shared" si="6"/>
        <v/>
      </c>
      <c r="BB46" t="str">
        <f t="shared" si="24"/>
        <v/>
      </c>
      <c r="BC46" t="str">
        <f t="shared" si="8"/>
        <v/>
      </c>
      <c r="BE46" s="11" t="str">
        <f t="shared" si="25"/>
        <v/>
      </c>
      <c r="BF46" s="11" t="str">
        <f t="shared" si="26"/>
        <v/>
      </c>
      <c r="BH46" t="str">
        <f t="shared" si="27"/>
        <v/>
      </c>
      <c r="BJ46" t="str">
        <f t="shared" si="28"/>
        <v/>
      </c>
    </row>
    <row r="47" spans="1:62" ht="15">
      <c r="A47" s="602"/>
      <c r="B47" s="602"/>
      <c r="C47" s="69" t="str">
        <f t="shared" si="18"/>
        <v/>
      </c>
      <c r="D47" s="2">
        <v>44</v>
      </c>
      <c r="E47" s="2"/>
      <c r="F47" s="104"/>
      <c r="G47" s="2"/>
      <c r="H47" s="104"/>
      <c r="I47" s="2"/>
      <c r="J47" s="888"/>
      <c r="K47" s="889"/>
      <c r="L47" s="890"/>
      <c r="M47" s="2"/>
      <c r="N47" s="103" t="s">
        <v>58</v>
      </c>
      <c r="O47" s="2"/>
      <c r="P47" s="111"/>
      <c r="Q47" s="67" t="str">
        <f t="shared" si="19"/>
        <v/>
      </c>
      <c r="R47" s="2"/>
      <c r="S47" s="103" t="s">
        <v>58</v>
      </c>
      <c r="T47" s="2"/>
      <c r="U47" s="103"/>
      <c r="V47" s="2"/>
      <c r="W47" s="103"/>
      <c r="X47" s="2"/>
      <c r="Y47" s="103"/>
      <c r="Z47" s="2"/>
      <c r="AA47" s="162"/>
      <c r="AB47" s="164" t="s">
        <v>59</v>
      </c>
      <c r="AC47" s="163"/>
      <c r="AD47" s="2"/>
      <c r="AE47" s="390" t="str">
        <f t="shared" si="20"/>
        <v/>
      </c>
      <c r="AF47" s="2"/>
      <c r="AG47" s="315" t="s">
        <v>11</v>
      </c>
      <c r="AH47" s="2"/>
      <c r="AI47" s="315"/>
      <c r="AJ47" s="2"/>
      <c r="AK47" s="390" t="str">
        <f t="shared" si="21"/>
        <v/>
      </c>
      <c r="AL47" s="2"/>
      <c r="AM47" s="110" t="str">
        <f t="shared" si="4"/>
        <v/>
      </c>
      <c r="AN47" s="86"/>
      <c r="AO47" s="110" t="str">
        <f t="shared" si="22"/>
        <v/>
      </c>
      <c r="AP47" s="86"/>
      <c r="AQ47" s="86"/>
      <c r="AR47" s="86"/>
      <c r="AS47" s="2"/>
      <c r="AT47" s="2"/>
      <c r="AU47" s="770" t="str">
        <f t="shared" si="14"/>
        <v/>
      </c>
      <c r="AV47" s="2"/>
      <c r="AX47" t="str">
        <f t="shared" si="23"/>
        <v/>
      </c>
      <c r="AY47" t="str">
        <f>IF(J47="","",IF(AX47="F",WorksheetAC_old_keep!$F$3,IF(AX47="C",WorksheetAC_old_keep!$F$2,IF(AX47="R",WorksheetAC_old_keep!$F$4,IF(AX47=AE86,WorksheetAC_old_keep!$F$5,IF(AX47="T",WorksheetAC_old_keep!$F$6,IF(AX47="S",WorksheetAC_old_keep!$F$7,IF(AX47="A",WorksheetAC_old_keep!$F$8,IF(AX47="B",WorksheetAC_old_keep!$F$9,"")))))))))</f>
        <v/>
      </c>
      <c r="AZ47" t="str">
        <f t="shared" si="6"/>
        <v/>
      </c>
      <c r="BB47" t="str">
        <f t="shared" si="24"/>
        <v/>
      </c>
      <c r="BC47" t="str">
        <f t="shared" si="8"/>
        <v/>
      </c>
      <c r="BE47" s="11" t="str">
        <f t="shared" si="25"/>
        <v/>
      </c>
      <c r="BF47" s="11" t="str">
        <f t="shared" si="26"/>
        <v/>
      </c>
      <c r="BH47" t="str">
        <f t="shared" si="27"/>
        <v/>
      </c>
      <c r="BJ47" t="str">
        <f t="shared" si="28"/>
        <v/>
      </c>
    </row>
    <row r="48" spans="1:62" ht="15">
      <c r="A48" s="602"/>
      <c r="B48" s="602"/>
      <c r="C48" s="69" t="str">
        <f t="shared" si="18"/>
        <v/>
      </c>
      <c r="D48" s="2">
        <v>45</v>
      </c>
      <c r="E48" s="2"/>
      <c r="F48" s="104"/>
      <c r="G48" s="2"/>
      <c r="H48" s="104"/>
      <c r="I48" s="2"/>
      <c r="J48" s="888"/>
      <c r="K48" s="889"/>
      <c r="L48" s="890"/>
      <c r="M48" s="2"/>
      <c r="N48" s="103" t="s">
        <v>58</v>
      </c>
      <c r="O48" s="2"/>
      <c r="P48" s="111"/>
      <c r="Q48" s="67" t="str">
        <f t="shared" si="19"/>
        <v/>
      </c>
      <c r="R48" s="2"/>
      <c r="S48" s="103" t="s">
        <v>58</v>
      </c>
      <c r="T48" s="2"/>
      <c r="U48" s="103"/>
      <c r="V48" s="2"/>
      <c r="W48" s="103"/>
      <c r="X48" s="2"/>
      <c r="Y48" s="103"/>
      <c r="Z48" s="2"/>
      <c r="AA48" s="162"/>
      <c r="AB48" s="164" t="s">
        <v>59</v>
      </c>
      <c r="AC48" s="163"/>
      <c r="AD48" s="2"/>
      <c r="AE48" s="390" t="str">
        <f t="shared" si="20"/>
        <v/>
      </c>
      <c r="AF48" s="2"/>
      <c r="AG48" s="315" t="s">
        <v>11</v>
      </c>
      <c r="AH48" s="2"/>
      <c r="AI48" s="315"/>
      <c r="AJ48" s="2"/>
      <c r="AK48" s="390" t="str">
        <f t="shared" si="21"/>
        <v/>
      </c>
      <c r="AL48" s="2"/>
      <c r="AM48" s="110" t="str">
        <f t="shared" si="4"/>
        <v/>
      </c>
      <c r="AN48" s="86"/>
      <c r="AO48" s="110" t="str">
        <f t="shared" si="22"/>
        <v/>
      </c>
      <c r="AP48" s="86"/>
      <c r="AQ48" s="86"/>
      <c r="AR48" s="86"/>
      <c r="AS48" s="2"/>
      <c r="AT48" s="2"/>
      <c r="AU48" s="770" t="str">
        <f t="shared" si="14"/>
        <v/>
      </c>
      <c r="AV48" s="2"/>
      <c r="AX48" t="str">
        <f t="shared" si="23"/>
        <v/>
      </c>
      <c r="AY48" t="str">
        <f>IF(J48="","",IF(AX48="F",WorksheetAC_old_keep!$F$3,IF(AX48="C",WorksheetAC_old_keep!$F$2,IF(AX48="R",WorksheetAC_old_keep!$F$4,IF(AX48=AE87,WorksheetAC_old_keep!$F$5,IF(AX48="T",WorksheetAC_old_keep!$F$6,IF(AX48="S",WorksheetAC_old_keep!$F$7,IF(AX48="A",WorksheetAC_old_keep!$F$8,IF(AX48="B",WorksheetAC_old_keep!$F$9,"")))))))))</f>
        <v/>
      </c>
      <c r="AZ48" t="str">
        <f t="shared" si="6"/>
        <v/>
      </c>
      <c r="BB48" t="str">
        <f t="shared" si="24"/>
        <v/>
      </c>
      <c r="BC48" t="str">
        <f t="shared" si="8"/>
        <v/>
      </c>
      <c r="BE48" s="11" t="str">
        <f t="shared" si="25"/>
        <v/>
      </c>
      <c r="BF48" s="11" t="str">
        <f t="shared" si="26"/>
        <v/>
      </c>
      <c r="BH48" t="str">
        <f t="shared" si="27"/>
        <v/>
      </c>
      <c r="BJ48" t="str">
        <f t="shared" si="28"/>
        <v/>
      </c>
    </row>
    <row r="49" spans="1:62" ht="15">
      <c r="A49" s="602"/>
      <c r="B49" s="602"/>
      <c r="C49" s="69" t="str">
        <f t="shared" si="18"/>
        <v/>
      </c>
      <c r="D49" s="2">
        <v>46</v>
      </c>
      <c r="E49" s="2"/>
      <c r="F49" s="104"/>
      <c r="G49" s="2"/>
      <c r="H49" s="104"/>
      <c r="I49" s="2"/>
      <c r="J49" s="888"/>
      <c r="K49" s="889"/>
      <c r="L49" s="890"/>
      <c r="M49" s="2"/>
      <c r="N49" s="103" t="s">
        <v>58</v>
      </c>
      <c r="O49" s="2"/>
      <c r="P49" s="111"/>
      <c r="Q49" s="67" t="str">
        <f t="shared" si="19"/>
        <v/>
      </c>
      <c r="R49" s="2"/>
      <c r="S49" s="103" t="s">
        <v>58</v>
      </c>
      <c r="T49" s="2"/>
      <c r="U49" s="103"/>
      <c r="V49" s="2"/>
      <c r="W49" s="103"/>
      <c r="X49" s="2"/>
      <c r="Y49" s="103"/>
      <c r="Z49" s="2"/>
      <c r="AA49" s="162"/>
      <c r="AB49" s="164" t="s">
        <v>59</v>
      </c>
      <c r="AC49" s="163"/>
      <c r="AD49" s="2"/>
      <c r="AE49" s="390" t="str">
        <f t="shared" si="20"/>
        <v/>
      </c>
      <c r="AF49" s="2"/>
      <c r="AG49" s="315" t="s">
        <v>11</v>
      </c>
      <c r="AH49" s="2"/>
      <c r="AI49" s="315"/>
      <c r="AJ49" s="2"/>
      <c r="AK49" s="390" t="str">
        <f t="shared" si="21"/>
        <v/>
      </c>
      <c r="AL49" s="2"/>
      <c r="AM49" s="110" t="str">
        <f t="shared" si="4"/>
        <v/>
      </c>
      <c r="AN49" s="86"/>
      <c r="AO49" s="110" t="str">
        <f t="shared" si="22"/>
        <v/>
      </c>
      <c r="AP49" s="86"/>
      <c r="AQ49" s="86"/>
      <c r="AR49" s="86"/>
      <c r="AS49" s="2"/>
      <c r="AT49" s="2"/>
      <c r="AU49" s="770" t="str">
        <f t="shared" si="14"/>
        <v/>
      </c>
      <c r="AV49" s="2"/>
      <c r="AX49" t="str">
        <f t="shared" si="23"/>
        <v/>
      </c>
      <c r="AY49" t="str">
        <f>IF(J49="","",IF(AX49="F",WorksheetAC_old_keep!$F$3,IF(AX49="C",WorksheetAC_old_keep!$F$2,IF(AX49="R",WorksheetAC_old_keep!$F$4,IF(AX49=AE88,WorksheetAC_old_keep!$F$5,IF(AX49="T",WorksheetAC_old_keep!$F$6,IF(AX49="S",WorksheetAC_old_keep!$F$7,IF(AX49="A",WorksheetAC_old_keep!$F$8,IF(AX49="B",WorksheetAC_old_keep!$F$9,"")))))))))</f>
        <v/>
      </c>
      <c r="AZ49" t="str">
        <f t="shared" si="6"/>
        <v/>
      </c>
      <c r="BB49" t="str">
        <f t="shared" si="24"/>
        <v/>
      </c>
      <c r="BC49" t="str">
        <f t="shared" si="8"/>
        <v/>
      </c>
      <c r="BE49" s="11" t="str">
        <f t="shared" si="25"/>
        <v/>
      </c>
      <c r="BF49" s="11" t="str">
        <f t="shared" si="26"/>
        <v/>
      </c>
      <c r="BH49" t="str">
        <f t="shared" si="27"/>
        <v/>
      </c>
      <c r="BJ49" t="str">
        <f t="shared" si="28"/>
        <v/>
      </c>
    </row>
    <row r="50" spans="1:62" ht="15">
      <c r="A50" s="602"/>
      <c r="B50" s="602"/>
      <c r="C50" s="69" t="str">
        <f t="shared" si="18"/>
        <v/>
      </c>
      <c r="D50" s="2">
        <v>47</v>
      </c>
      <c r="E50" s="2"/>
      <c r="F50" s="104"/>
      <c r="G50" s="2"/>
      <c r="H50" s="104"/>
      <c r="I50" s="2"/>
      <c r="J50" s="888"/>
      <c r="K50" s="889"/>
      <c r="L50" s="890"/>
      <c r="M50" s="2"/>
      <c r="N50" s="103" t="s">
        <v>58</v>
      </c>
      <c r="O50" s="2"/>
      <c r="P50" s="111"/>
      <c r="Q50" s="67" t="str">
        <f t="shared" si="19"/>
        <v/>
      </c>
      <c r="R50" s="2"/>
      <c r="S50" s="103" t="s">
        <v>58</v>
      </c>
      <c r="T50" s="2"/>
      <c r="U50" s="103"/>
      <c r="V50" s="2"/>
      <c r="W50" s="103"/>
      <c r="X50" s="2"/>
      <c r="Y50" s="103"/>
      <c r="Z50" s="2"/>
      <c r="AA50" s="162"/>
      <c r="AB50" s="164" t="s">
        <v>59</v>
      </c>
      <c r="AC50" s="163"/>
      <c r="AD50" s="2"/>
      <c r="AE50" s="390" t="str">
        <f t="shared" si="20"/>
        <v/>
      </c>
      <c r="AF50" s="2"/>
      <c r="AG50" s="315" t="s">
        <v>11</v>
      </c>
      <c r="AH50" s="2"/>
      <c r="AI50" s="315"/>
      <c r="AJ50" s="2"/>
      <c r="AK50" s="390" t="str">
        <f t="shared" si="21"/>
        <v/>
      </c>
      <c r="AL50" s="2"/>
      <c r="AM50" s="110" t="str">
        <f t="shared" si="4"/>
        <v/>
      </c>
      <c r="AN50" s="86"/>
      <c r="AO50" s="110" t="str">
        <f t="shared" si="22"/>
        <v/>
      </c>
      <c r="AP50" s="86"/>
      <c r="AQ50" s="86"/>
      <c r="AR50" s="86"/>
      <c r="AS50" s="2"/>
      <c r="AT50" s="2"/>
      <c r="AU50" s="770" t="str">
        <f t="shared" si="14"/>
        <v/>
      </c>
      <c r="AV50" s="2"/>
      <c r="AX50" t="str">
        <f t="shared" si="23"/>
        <v/>
      </c>
      <c r="AY50" t="str">
        <f>IF(J50="","",IF(AX50="F",WorksheetAC_old_keep!$F$3,IF(AX50="C",WorksheetAC_old_keep!$F$2,IF(AX50="R",WorksheetAC_old_keep!$F$4,IF(AX50=AE89,WorksheetAC_old_keep!$F$5,IF(AX50="T",WorksheetAC_old_keep!$F$6,IF(AX50="S",WorksheetAC_old_keep!$F$7,IF(AX50="A",WorksheetAC_old_keep!$F$8,IF(AX50="B",WorksheetAC_old_keep!$F$9,"")))))))))</f>
        <v/>
      </c>
      <c r="AZ50" t="str">
        <f t="shared" si="6"/>
        <v/>
      </c>
      <c r="BB50" t="str">
        <f t="shared" si="24"/>
        <v/>
      </c>
      <c r="BC50" t="str">
        <f t="shared" si="8"/>
        <v/>
      </c>
      <c r="BE50" s="11" t="str">
        <f t="shared" si="25"/>
        <v/>
      </c>
      <c r="BF50" s="11" t="str">
        <f t="shared" si="26"/>
        <v/>
      </c>
      <c r="BH50" t="str">
        <f t="shared" si="27"/>
        <v/>
      </c>
      <c r="BJ50" t="str">
        <f t="shared" si="28"/>
        <v/>
      </c>
    </row>
    <row r="51" spans="1:62" ht="15">
      <c r="A51" s="602"/>
      <c r="B51" s="602"/>
      <c r="C51" s="69" t="str">
        <f t="shared" si="18"/>
        <v/>
      </c>
      <c r="D51" s="2">
        <v>48</v>
      </c>
      <c r="E51" s="2"/>
      <c r="F51" s="104"/>
      <c r="G51" s="2"/>
      <c r="H51" s="104"/>
      <c r="I51" s="2"/>
      <c r="J51" s="888"/>
      <c r="K51" s="889"/>
      <c r="L51" s="890"/>
      <c r="M51" s="2"/>
      <c r="N51" s="103" t="s">
        <v>58</v>
      </c>
      <c r="O51" s="2"/>
      <c r="P51" s="111"/>
      <c r="Q51" s="67" t="str">
        <f t="shared" si="19"/>
        <v/>
      </c>
      <c r="R51" s="2"/>
      <c r="S51" s="103" t="s">
        <v>58</v>
      </c>
      <c r="T51" s="2"/>
      <c r="U51" s="103"/>
      <c r="V51" s="2"/>
      <c r="W51" s="103"/>
      <c r="X51" s="2"/>
      <c r="Y51" s="103"/>
      <c r="Z51" s="2"/>
      <c r="AA51" s="162"/>
      <c r="AB51" s="164" t="s">
        <v>59</v>
      </c>
      <c r="AC51" s="163"/>
      <c r="AD51" s="2"/>
      <c r="AE51" s="390" t="str">
        <f t="shared" si="20"/>
        <v/>
      </c>
      <c r="AF51" s="2"/>
      <c r="AG51" s="315" t="s">
        <v>11</v>
      </c>
      <c r="AH51" s="2"/>
      <c r="AI51" s="315"/>
      <c r="AJ51" s="2"/>
      <c r="AK51" s="390" t="str">
        <f t="shared" si="21"/>
        <v/>
      </c>
      <c r="AL51" s="2"/>
      <c r="AM51" s="110" t="str">
        <f t="shared" si="4"/>
        <v/>
      </c>
      <c r="AN51" s="86"/>
      <c r="AO51" s="110" t="str">
        <f t="shared" si="22"/>
        <v/>
      </c>
      <c r="AP51" s="86"/>
      <c r="AQ51" s="86"/>
      <c r="AR51" s="86"/>
      <c r="AS51" s="2"/>
      <c r="AT51" s="2"/>
      <c r="AU51" s="770" t="str">
        <f t="shared" si="14"/>
        <v/>
      </c>
      <c r="AV51" s="2"/>
      <c r="AX51" t="str">
        <f t="shared" si="23"/>
        <v/>
      </c>
      <c r="AY51" t="str">
        <f>IF(J51="","",IF(AX51="F",WorksheetAC_old_keep!$F$3,IF(AX51="C",WorksheetAC_old_keep!$F$2,IF(AX51="R",WorksheetAC_old_keep!$F$4,IF(AX51=AE90,WorksheetAC_old_keep!$F$5,IF(AX51="T",WorksheetAC_old_keep!$F$6,IF(AX51="S",WorksheetAC_old_keep!$F$7,IF(AX51="A",WorksheetAC_old_keep!$F$8,IF(AX51="B",WorksheetAC_old_keep!$F$9,"")))))))))</f>
        <v/>
      </c>
      <c r="AZ51" t="str">
        <f t="shared" si="6"/>
        <v/>
      </c>
      <c r="BB51" t="str">
        <f t="shared" si="24"/>
        <v/>
      </c>
      <c r="BC51" t="str">
        <f t="shared" si="8"/>
        <v/>
      </c>
      <c r="BE51" s="11" t="str">
        <f t="shared" si="25"/>
        <v/>
      </c>
      <c r="BF51" s="11" t="str">
        <f t="shared" si="26"/>
        <v/>
      </c>
      <c r="BH51" t="str">
        <f t="shared" si="27"/>
        <v/>
      </c>
      <c r="BJ51" t="str">
        <f t="shared" si="28"/>
        <v/>
      </c>
    </row>
    <row r="52" spans="1:62" ht="15">
      <c r="A52" s="602"/>
      <c r="B52" s="602"/>
      <c r="C52" s="69" t="str">
        <f t="shared" si="18"/>
        <v/>
      </c>
      <c r="D52" s="2">
        <v>49</v>
      </c>
      <c r="E52" s="2"/>
      <c r="F52" s="104"/>
      <c r="G52" s="2"/>
      <c r="H52" s="104"/>
      <c r="I52" s="2"/>
      <c r="J52" s="888"/>
      <c r="K52" s="889"/>
      <c r="L52" s="890"/>
      <c r="M52" s="2"/>
      <c r="N52" s="103" t="s">
        <v>58</v>
      </c>
      <c r="O52" s="2"/>
      <c r="P52" s="111"/>
      <c r="Q52" s="67" t="str">
        <f t="shared" si="19"/>
        <v/>
      </c>
      <c r="R52" s="2"/>
      <c r="S52" s="103" t="s">
        <v>58</v>
      </c>
      <c r="T52" s="2"/>
      <c r="U52" s="103"/>
      <c r="V52" s="2"/>
      <c r="W52" s="103"/>
      <c r="X52" s="2"/>
      <c r="Y52" s="103"/>
      <c r="Z52" s="2"/>
      <c r="AA52" s="162"/>
      <c r="AB52" s="164" t="s">
        <v>59</v>
      </c>
      <c r="AC52" s="163"/>
      <c r="AD52" s="2"/>
      <c r="AE52" s="390" t="str">
        <f t="shared" si="20"/>
        <v/>
      </c>
      <c r="AF52" s="2"/>
      <c r="AG52" s="315" t="s">
        <v>11</v>
      </c>
      <c r="AH52" s="2"/>
      <c r="AI52" s="315"/>
      <c r="AJ52" s="2"/>
      <c r="AK52" s="390" t="str">
        <f t="shared" si="21"/>
        <v/>
      </c>
      <c r="AL52" s="2"/>
      <c r="AM52" s="110" t="str">
        <f t="shared" si="4"/>
        <v/>
      </c>
      <c r="AN52" s="86"/>
      <c r="AO52" s="110" t="str">
        <f t="shared" si="22"/>
        <v/>
      </c>
      <c r="AP52" s="86"/>
      <c r="AQ52" s="86"/>
      <c r="AR52" s="86"/>
      <c r="AS52" s="2"/>
      <c r="AT52" s="2"/>
      <c r="AU52" s="770" t="str">
        <f t="shared" si="14"/>
        <v/>
      </c>
      <c r="AV52" s="2"/>
      <c r="AX52" t="str">
        <f t="shared" si="23"/>
        <v/>
      </c>
      <c r="AY52" t="str">
        <f>IF(J52="","",IF(AX52="F",WorksheetAC_old_keep!$F$3,IF(AX52="C",WorksheetAC_old_keep!$F$2,IF(AX52="R",WorksheetAC_old_keep!$F$4,IF(AX52=AE91,WorksheetAC_old_keep!$F$5,IF(AX52="T",WorksheetAC_old_keep!$F$6,IF(AX52="S",WorksheetAC_old_keep!$F$7,IF(AX52="A",WorksheetAC_old_keep!$F$8,IF(AX52="B",WorksheetAC_old_keep!$F$9,"")))))))))</f>
        <v/>
      </c>
      <c r="AZ52" t="str">
        <f t="shared" si="6"/>
        <v/>
      </c>
      <c r="BB52" t="str">
        <f t="shared" si="24"/>
        <v/>
      </c>
      <c r="BC52" t="str">
        <f t="shared" si="8"/>
        <v/>
      </c>
      <c r="BE52" s="11" t="str">
        <f t="shared" si="25"/>
        <v/>
      </c>
      <c r="BF52" s="11" t="str">
        <f t="shared" si="26"/>
        <v/>
      </c>
      <c r="BH52" t="str">
        <f t="shared" si="27"/>
        <v/>
      </c>
      <c r="BJ52" t="str">
        <f t="shared" si="28"/>
        <v/>
      </c>
    </row>
    <row r="53" spans="1:62" ht="15">
      <c r="A53" s="602"/>
      <c r="B53" s="602"/>
      <c r="C53" s="69" t="str">
        <f t="shared" si="18"/>
        <v/>
      </c>
      <c r="D53" s="2">
        <v>50</v>
      </c>
      <c r="E53" s="2"/>
      <c r="F53" s="104"/>
      <c r="G53" s="2"/>
      <c r="H53" s="104"/>
      <c r="I53" s="2"/>
      <c r="J53" s="888"/>
      <c r="K53" s="889"/>
      <c r="L53" s="890"/>
      <c r="M53" s="2"/>
      <c r="N53" s="103" t="s">
        <v>58</v>
      </c>
      <c r="O53" s="2"/>
      <c r="P53" s="111"/>
      <c r="Q53" s="67" t="str">
        <f t="shared" si="19"/>
        <v/>
      </c>
      <c r="R53" s="2"/>
      <c r="S53" s="103" t="s">
        <v>58</v>
      </c>
      <c r="T53" s="2"/>
      <c r="U53" s="103"/>
      <c r="V53" s="2"/>
      <c r="W53" s="103"/>
      <c r="X53" s="2"/>
      <c r="Y53" s="103"/>
      <c r="Z53" s="2"/>
      <c r="AA53" s="162"/>
      <c r="AB53" s="164" t="s">
        <v>59</v>
      </c>
      <c r="AC53" s="163"/>
      <c r="AD53" s="2"/>
      <c r="AE53" s="390" t="str">
        <f t="shared" si="20"/>
        <v/>
      </c>
      <c r="AF53" s="2"/>
      <c r="AG53" s="315" t="s">
        <v>11</v>
      </c>
      <c r="AH53" s="2"/>
      <c r="AI53" s="315"/>
      <c r="AJ53" s="2"/>
      <c r="AK53" s="390" t="str">
        <f t="shared" si="21"/>
        <v/>
      </c>
      <c r="AL53" s="2"/>
      <c r="AM53" s="110" t="str">
        <f t="shared" si="4"/>
        <v/>
      </c>
      <c r="AN53" s="86"/>
      <c r="AO53" s="110" t="str">
        <f t="shared" si="22"/>
        <v/>
      </c>
      <c r="AP53" s="86"/>
      <c r="AQ53" s="86"/>
      <c r="AR53" s="86"/>
      <c r="AS53" s="2"/>
      <c r="AT53" s="2"/>
      <c r="AU53" s="770" t="str">
        <f t="shared" si="14"/>
        <v/>
      </c>
      <c r="AV53" s="2"/>
      <c r="AX53" t="str">
        <f t="shared" si="23"/>
        <v/>
      </c>
      <c r="AY53" t="str">
        <f>IF(J53="","",IF(AX53="F",WorksheetAC_old_keep!$F$3,IF(AX53="C",WorksheetAC_old_keep!$F$2,IF(AX53="R",WorksheetAC_old_keep!$F$4,IF(AX53=AE92,WorksheetAC_old_keep!$F$5,IF(AX53="T",WorksheetAC_old_keep!$F$6,IF(AX53="S",WorksheetAC_old_keep!$F$7,IF(AX53="A",WorksheetAC_old_keep!$F$8,IF(AX53="B",WorksheetAC_old_keep!$F$9,"")))))))))</f>
        <v/>
      </c>
      <c r="AZ53" t="str">
        <f t="shared" si="6"/>
        <v/>
      </c>
      <c r="BB53" t="str">
        <f t="shared" si="24"/>
        <v/>
      </c>
      <c r="BC53" t="str">
        <f t="shared" si="8"/>
        <v/>
      </c>
      <c r="BE53" s="11" t="str">
        <f t="shared" si="25"/>
        <v/>
      </c>
      <c r="BF53" s="11" t="str">
        <f t="shared" si="26"/>
        <v/>
      </c>
      <c r="BH53" t="str">
        <f t="shared" si="27"/>
        <v/>
      </c>
      <c r="BJ53" t="str">
        <f t="shared" si="28"/>
        <v/>
      </c>
    </row>
    <row r="54" spans="1:62" ht="15">
      <c r="A54" s="602"/>
      <c r="B54" s="602"/>
      <c r="C54" s="69" t="str">
        <f t="shared" si="18"/>
        <v/>
      </c>
      <c r="D54" s="2">
        <v>51</v>
      </c>
      <c r="E54" s="2"/>
      <c r="F54" s="104"/>
      <c r="G54" s="2"/>
      <c r="H54" s="104"/>
      <c r="I54" s="2"/>
      <c r="J54" s="888"/>
      <c r="K54" s="889"/>
      <c r="L54" s="890"/>
      <c r="M54" s="2"/>
      <c r="N54" s="103" t="s">
        <v>58</v>
      </c>
      <c r="O54" s="2"/>
      <c r="P54" s="111"/>
      <c r="Q54" s="67" t="str">
        <f t="shared" si="19"/>
        <v/>
      </c>
      <c r="R54" s="2"/>
      <c r="S54" s="103" t="s">
        <v>58</v>
      </c>
      <c r="T54" s="2"/>
      <c r="U54" s="103"/>
      <c r="V54" s="2"/>
      <c r="W54" s="103"/>
      <c r="X54" s="2"/>
      <c r="Y54" s="103"/>
      <c r="Z54" s="2"/>
      <c r="AA54" s="162"/>
      <c r="AB54" s="164" t="s">
        <v>59</v>
      </c>
      <c r="AC54" s="163"/>
      <c r="AD54" s="2"/>
      <c r="AE54" s="390" t="str">
        <f t="shared" si="20"/>
        <v/>
      </c>
      <c r="AF54" s="2"/>
      <c r="AG54" s="315" t="s">
        <v>11</v>
      </c>
      <c r="AH54" s="2"/>
      <c r="AI54" s="315"/>
      <c r="AJ54" s="2"/>
      <c r="AK54" s="390" t="str">
        <f t="shared" si="21"/>
        <v/>
      </c>
      <c r="AL54" s="2"/>
      <c r="AM54" s="110" t="str">
        <f t="shared" si="4"/>
        <v/>
      </c>
      <c r="AN54" s="86"/>
      <c r="AO54" s="110" t="str">
        <f t="shared" si="22"/>
        <v/>
      </c>
      <c r="AP54" s="86"/>
      <c r="AQ54" s="86"/>
      <c r="AR54" s="86"/>
      <c r="AS54" s="2"/>
      <c r="AT54" s="2"/>
      <c r="AU54" s="770" t="str">
        <f t="shared" si="14"/>
        <v/>
      </c>
      <c r="AV54" s="2"/>
      <c r="AX54" t="str">
        <f t="shared" si="23"/>
        <v/>
      </c>
      <c r="AY54" t="str">
        <f>IF(J54="","",IF(AX54="F",WorksheetAC_old_keep!$F$3,IF(AX54="C",WorksheetAC_old_keep!$F$2,IF(AX54="R",WorksheetAC_old_keep!$F$4,IF(AX54=AE93,WorksheetAC_old_keep!$F$5,IF(AX54="T",WorksheetAC_old_keep!$F$6,IF(AX54="S",WorksheetAC_old_keep!$F$7,IF(AX54="A",WorksheetAC_old_keep!$F$8,IF(AX54="B",WorksheetAC_old_keep!$F$9,"")))))))))</f>
        <v/>
      </c>
      <c r="AZ54" t="str">
        <f t="shared" si="6"/>
        <v/>
      </c>
      <c r="BB54" t="str">
        <f t="shared" si="24"/>
        <v/>
      </c>
      <c r="BC54" t="str">
        <f t="shared" si="8"/>
        <v/>
      </c>
      <c r="BE54" s="11" t="str">
        <f t="shared" si="25"/>
        <v/>
      </c>
      <c r="BF54" s="11" t="str">
        <f t="shared" si="26"/>
        <v/>
      </c>
      <c r="BH54" t="str">
        <f t="shared" si="27"/>
        <v/>
      </c>
      <c r="BJ54" t="str">
        <f t="shared" si="28"/>
        <v/>
      </c>
    </row>
    <row r="55" spans="1:62" ht="15">
      <c r="A55" s="602"/>
      <c r="B55" s="602"/>
      <c r="C55" s="69" t="str">
        <f t="shared" si="18"/>
        <v/>
      </c>
      <c r="D55" s="2">
        <v>52</v>
      </c>
      <c r="E55" s="2"/>
      <c r="F55" s="104"/>
      <c r="G55" s="2"/>
      <c r="H55" s="104"/>
      <c r="I55" s="2"/>
      <c r="J55" s="888"/>
      <c r="K55" s="889"/>
      <c r="L55" s="890"/>
      <c r="M55" s="2"/>
      <c r="N55" s="103" t="s">
        <v>58</v>
      </c>
      <c r="O55" s="2"/>
      <c r="P55" s="111"/>
      <c r="Q55" s="67" t="str">
        <f t="shared" si="19"/>
        <v/>
      </c>
      <c r="R55" s="2"/>
      <c r="S55" s="103" t="s">
        <v>58</v>
      </c>
      <c r="T55" s="2"/>
      <c r="U55" s="103"/>
      <c r="V55" s="2"/>
      <c r="W55" s="103"/>
      <c r="X55" s="2"/>
      <c r="Y55" s="103"/>
      <c r="Z55" s="2"/>
      <c r="AA55" s="162"/>
      <c r="AB55" s="164" t="s">
        <v>59</v>
      </c>
      <c r="AC55" s="163"/>
      <c r="AD55" s="2"/>
      <c r="AE55" s="390" t="str">
        <f t="shared" si="20"/>
        <v/>
      </c>
      <c r="AF55" s="2"/>
      <c r="AG55" s="315" t="s">
        <v>11</v>
      </c>
      <c r="AH55" s="2"/>
      <c r="AI55" s="315"/>
      <c r="AJ55" s="2"/>
      <c r="AK55" s="390" t="str">
        <f t="shared" si="21"/>
        <v/>
      </c>
      <c r="AL55" s="2"/>
      <c r="AM55" s="110" t="str">
        <f t="shared" si="4"/>
        <v/>
      </c>
      <c r="AN55" s="86"/>
      <c r="AO55" s="110" t="str">
        <f t="shared" si="22"/>
        <v/>
      </c>
      <c r="AP55" s="86"/>
      <c r="AQ55" s="86"/>
      <c r="AR55" s="86"/>
      <c r="AS55" s="2"/>
      <c r="AT55" s="2"/>
      <c r="AU55" s="770" t="str">
        <f t="shared" si="14"/>
        <v/>
      </c>
      <c r="AV55" s="2"/>
      <c r="AX55" t="str">
        <f t="shared" si="23"/>
        <v/>
      </c>
      <c r="AY55" t="str">
        <f>IF(J55="","",IF(AX55="F",WorksheetAC_old_keep!$F$3,IF(AX55="C",WorksheetAC_old_keep!$F$2,IF(AX55="R",WorksheetAC_old_keep!$F$4,IF(AX55=AE94,WorksheetAC_old_keep!$F$5,IF(AX55="T",WorksheetAC_old_keep!$F$6,IF(AX55="S",WorksheetAC_old_keep!$F$7,IF(AX55="A",WorksheetAC_old_keep!$F$8,IF(AX55="B",WorksheetAC_old_keep!$F$9,"")))))))))</f>
        <v/>
      </c>
      <c r="AZ55" t="str">
        <f t="shared" si="6"/>
        <v/>
      </c>
      <c r="BB55" t="str">
        <f t="shared" si="24"/>
        <v/>
      </c>
      <c r="BC55" t="str">
        <f t="shared" si="8"/>
        <v/>
      </c>
      <c r="BE55" s="11" t="str">
        <f t="shared" si="25"/>
        <v/>
      </c>
      <c r="BF55" s="11" t="str">
        <f t="shared" si="26"/>
        <v/>
      </c>
      <c r="BH55" t="str">
        <f t="shared" si="27"/>
        <v/>
      </c>
      <c r="BJ55" t="str">
        <f t="shared" si="28"/>
        <v/>
      </c>
    </row>
    <row r="56" spans="1:62" ht="15">
      <c r="A56" s="602"/>
      <c r="B56" s="602"/>
      <c r="C56" s="69" t="str">
        <f t="shared" si="18"/>
        <v/>
      </c>
      <c r="D56" s="2">
        <v>53</v>
      </c>
      <c r="E56" s="2"/>
      <c r="F56" s="104"/>
      <c r="G56" s="2"/>
      <c r="H56" s="104"/>
      <c r="I56" s="2"/>
      <c r="J56" s="888"/>
      <c r="K56" s="889"/>
      <c r="L56" s="890"/>
      <c r="M56" s="2"/>
      <c r="N56" s="103" t="s">
        <v>58</v>
      </c>
      <c r="O56" s="2"/>
      <c r="P56" s="111"/>
      <c r="Q56" s="67" t="str">
        <f t="shared" si="19"/>
        <v/>
      </c>
      <c r="R56" s="2"/>
      <c r="S56" s="103" t="s">
        <v>58</v>
      </c>
      <c r="T56" s="2"/>
      <c r="U56" s="103"/>
      <c r="V56" s="2"/>
      <c r="W56" s="103"/>
      <c r="X56" s="2"/>
      <c r="Y56" s="103"/>
      <c r="Z56" s="2"/>
      <c r="AA56" s="162"/>
      <c r="AB56" s="164" t="s">
        <v>59</v>
      </c>
      <c r="AC56" s="163"/>
      <c r="AD56" s="2"/>
      <c r="AE56" s="390" t="str">
        <f t="shared" si="20"/>
        <v/>
      </c>
      <c r="AF56" s="2"/>
      <c r="AG56" s="315" t="s">
        <v>11</v>
      </c>
      <c r="AH56" s="2"/>
      <c r="AI56" s="315"/>
      <c r="AJ56" s="2"/>
      <c r="AK56" s="390" t="str">
        <f t="shared" si="21"/>
        <v/>
      </c>
      <c r="AL56" s="2"/>
      <c r="AM56" s="110" t="str">
        <f t="shared" si="4"/>
        <v/>
      </c>
      <c r="AN56" s="86"/>
      <c r="AO56" s="110" t="str">
        <f t="shared" si="22"/>
        <v/>
      </c>
      <c r="AP56" s="86"/>
      <c r="AQ56" s="86"/>
      <c r="AR56" s="86"/>
      <c r="AS56" s="2"/>
      <c r="AT56" s="2"/>
      <c r="AU56" s="770" t="str">
        <f t="shared" si="14"/>
        <v/>
      </c>
      <c r="AV56" s="2"/>
      <c r="AX56" t="str">
        <f t="shared" si="23"/>
        <v/>
      </c>
      <c r="AY56" t="str">
        <f>IF(J56="","",IF(AX56="F",WorksheetAC_old_keep!$F$3,IF(AX56="C",WorksheetAC_old_keep!$F$2,IF(AX56="R",WorksheetAC_old_keep!$F$4,IF(AX56=AE95,WorksheetAC_old_keep!$F$5,IF(AX56="T",WorksheetAC_old_keep!$F$6,IF(AX56="S",WorksheetAC_old_keep!$F$7,IF(AX56="A",WorksheetAC_old_keep!$F$8,IF(AX56="B",WorksheetAC_old_keep!$F$9,"")))))))))</f>
        <v/>
      </c>
      <c r="AZ56" t="str">
        <f t="shared" si="6"/>
        <v/>
      </c>
      <c r="BB56" t="str">
        <f t="shared" si="24"/>
        <v/>
      </c>
      <c r="BC56" t="str">
        <f t="shared" si="8"/>
        <v/>
      </c>
      <c r="BE56" s="11" t="str">
        <f t="shared" si="25"/>
        <v/>
      </c>
      <c r="BF56" s="11" t="str">
        <f t="shared" si="26"/>
        <v/>
      </c>
      <c r="BH56" t="str">
        <f t="shared" si="27"/>
        <v/>
      </c>
      <c r="BJ56" t="str">
        <f t="shared" si="28"/>
        <v/>
      </c>
    </row>
    <row r="57" spans="1:62" ht="15">
      <c r="A57" s="602"/>
      <c r="B57" s="602"/>
      <c r="C57" s="69" t="str">
        <f t="shared" si="18"/>
        <v/>
      </c>
      <c r="D57" s="2">
        <v>54</v>
      </c>
      <c r="E57" s="2"/>
      <c r="F57" s="104"/>
      <c r="G57" s="2"/>
      <c r="H57" s="104"/>
      <c r="I57" s="2"/>
      <c r="J57" s="888"/>
      <c r="K57" s="889"/>
      <c r="L57" s="890"/>
      <c r="M57" s="2"/>
      <c r="N57" s="103" t="s">
        <v>58</v>
      </c>
      <c r="O57" s="2"/>
      <c r="P57" s="111"/>
      <c r="Q57" s="67" t="str">
        <f t="shared" si="19"/>
        <v/>
      </c>
      <c r="R57" s="2"/>
      <c r="S57" s="103" t="s">
        <v>58</v>
      </c>
      <c r="T57" s="2"/>
      <c r="U57" s="103"/>
      <c r="V57" s="2"/>
      <c r="W57" s="103"/>
      <c r="X57" s="2"/>
      <c r="Y57" s="103"/>
      <c r="Z57" s="2"/>
      <c r="AA57" s="162"/>
      <c r="AB57" s="164" t="s">
        <v>59</v>
      </c>
      <c r="AC57" s="163"/>
      <c r="AD57" s="2"/>
      <c r="AE57" s="390" t="str">
        <f t="shared" si="20"/>
        <v/>
      </c>
      <c r="AF57" s="2"/>
      <c r="AG57" s="315" t="s">
        <v>11</v>
      </c>
      <c r="AH57" s="2"/>
      <c r="AI57" s="315"/>
      <c r="AJ57" s="2"/>
      <c r="AK57" s="390" t="str">
        <f t="shared" si="21"/>
        <v/>
      </c>
      <c r="AL57" s="2"/>
      <c r="AM57" s="110" t="str">
        <f t="shared" si="4"/>
        <v/>
      </c>
      <c r="AN57" s="86"/>
      <c r="AO57" s="110" t="str">
        <f t="shared" si="22"/>
        <v/>
      </c>
      <c r="AP57" s="86"/>
      <c r="AQ57" s="86"/>
      <c r="AR57" s="86"/>
      <c r="AS57" s="2"/>
      <c r="AT57" s="2"/>
      <c r="AU57" s="770" t="str">
        <f t="shared" si="14"/>
        <v/>
      </c>
      <c r="AV57" s="2"/>
      <c r="AX57" t="str">
        <f t="shared" si="23"/>
        <v/>
      </c>
      <c r="AY57" t="str">
        <f>IF(J57="","",IF(AX57="F",WorksheetAC_old_keep!$F$3,IF(AX57="C",WorksheetAC_old_keep!$F$2,IF(AX57="R",WorksheetAC_old_keep!$F$4,IF(AX57=AE96,WorksheetAC_old_keep!$F$5,IF(AX57="T",WorksheetAC_old_keep!$F$6,IF(AX57="S",WorksheetAC_old_keep!$F$7,IF(AX57="A",WorksheetAC_old_keep!$F$8,IF(AX57="B",WorksheetAC_old_keep!$F$9,"")))))))))</f>
        <v/>
      </c>
      <c r="AZ57" t="str">
        <f t="shared" si="6"/>
        <v/>
      </c>
      <c r="BB57" t="str">
        <f t="shared" si="24"/>
        <v/>
      </c>
      <c r="BC57" t="str">
        <f t="shared" si="8"/>
        <v/>
      </c>
      <c r="BE57" s="11" t="str">
        <f t="shared" si="25"/>
        <v/>
      </c>
      <c r="BF57" s="11" t="str">
        <f t="shared" si="26"/>
        <v/>
      </c>
      <c r="BH57" t="str">
        <f t="shared" si="27"/>
        <v/>
      </c>
      <c r="BJ57" t="str">
        <f t="shared" si="28"/>
        <v/>
      </c>
    </row>
    <row r="58" spans="1:62" ht="15">
      <c r="A58" s="602"/>
      <c r="B58" s="602"/>
      <c r="C58" s="69" t="str">
        <f t="shared" si="18"/>
        <v/>
      </c>
      <c r="D58" s="2">
        <v>55</v>
      </c>
      <c r="E58" s="2"/>
      <c r="F58" s="104"/>
      <c r="G58" s="2"/>
      <c r="H58" s="104"/>
      <c r="I58" s="2"/>
      <c r="J58" s="888"/>
      <c r="K58" s="889"/>
      <c r="L58" s="890"/>
      <c r="M58" s="2"/>
      <c r="N58" s="103" t="s">
        <v>58</v>
      </c>
      <c r="O58" s="2"/>
      <c r="P58" s="111"/>
      <c r="Q58" s="67" t="str">
        <f t="shared" si="19"/>
        <v/>
      </c>
      <c r="R58" s="2"/>
      <c r="S58" s="103" t="s">
        <v>58</v>
      </c>
      <c r="T58" s="2"/>
      <c r="U58" s="103"/>
      <c r="V58" s="2"/>
      <c r="W58" s="103"/>
      <c r="X58" s="2"/>
      <c r="Y58" s="103"/>
      <c r="Z58" s="2"/>
      <c r="AA58" s="162"/>
      <c r="AB58" s="164" t="s">
        <v>59</v>
      </c>
      <c r="AC58" s="163"/>
      <c r="AD58" s="2"/>
      <c r="AE58" s="390" t="str">
        <f t="shared" si="20"/>
        <v/>
      </c>
      <c r="AF58" s="2"/>
      <c r="AG58" s="315" t="s">
        <v>11</v>
      </c>
      <c r="AH58" s="2"/>
      <c r="AI58" s="315"/>
      <c r="AJ58" s="2"/>
      <c r="AK58" s="390" t="str">
        <f t="shared" si="21"/>
        <v/>
      </c>
      <c r="AL58" s="2"/>
      <c r="AM58" s="110" t="str">
        <f t="shared" si="4"/>
        <v/>
      </c>
      <c r="AN58" s="86"/>
      <c r="AO58" s="110" t="str">
        <f t="shared" si="22"/>
        <v/>
      </c>
      <c r="AP58" s="86"/>
      <c r="AQ58" s="86"/>
      <c r="AR58" s="86"/>
      <c r="AS58" s="2"/>
      <c r="AT58" s="2"/>
      <c r="AU58" s="770" t="str">
        <f t="shared" si="14"/>
        <v/>
      </c>
      <c r="AV58" s="2"/>
      <c r="AX58" t="str">
        <f t="shared" si="23"/>
        <v/>
      </c>
      <c r="AY58" t="str">
        <f>IF(J58="","",IF(AX58="F",WorksheetAC_old_keep!$F$3,IF(AX58="C",WorksheetAC_old_keep!$F$2,IF(AX58="R",WorksheetAC_old_keep!$F$4,IF(AX58=AE97,WorksheetAC_old_keep!$F$5,IF(AX58="T",WorksheetAC_old_keep!$F$6,IF(AX58="S",WorksheetAC_old_keep!$F$7,IF(AX58="A",WorksheetAC_old_keep!$F$8,IF(AX58="B",WorksheetAC_old_keep!$F$9,"")))))))))</f>
        <v/>
      </c>
      <c r="AZ58" t="str">
        <f t="shared" si="6"/>
        <v/>
      </c>
      <c r="BB58" t="str">
        <f t="shared" si="24"/>
        <v/>
      </c>
      <c r="BC58" t="str">
        <f t="shared" si="8"/>
        <v/>
      </c>
      <c r="BE58" s="11" t="str">
        <f t="shared" si="25"/>
        <v/>
      </c>
      <c r="BF58" s="11" t="str">
        <f t="shared" si="26"/>
        <v/>
      </c>
      <c r="BH58" t="str">
        <f t="shared" si="27"/>
        <v/>
      </c>
      <c r="BJ58" t="str">
        <f t="shared" si="28"/>
        <v/>
      </c>
    </row>
    <row r="59" spans="1:62" ht="15">
      <c r="A59" s="602"/>
      <c r="B59" s="602"/>
      <c r="C59" s="69" t="str">
        <f t="shared" si="18"/>
        <v/>
      </c>
      <c r="D59" s="2">
        <v>56</v>
      </c>
      <c r="E59" s="2"/>
      <c r="F59" s="104"/>
      <c r="G59" s="2"/>
      <c r="H59" s="104"/>
      <c r="I59" s="2"/>
      <c r="J59" s="888"/>
      <c r="K59" s="889"/>
      <c r="L59" s="890"/>
      <c r="M59" s="2"/>
      <c r="N59" s="103" t="s">
        <v>58</v>
      </c>
      <c r="O59" s="2"/>
      <c r="P59" s="111"/>
      <c r="Q59" s="67" t="str">
        <f t="shared" si="19"/>
        <v/>
      </c>
      <c r="R59" s="2"/>
      <c r="S59" s="103" t="s">
        <v>58</v>
      </c>
      <c r="T59" s="2"/>
      <c r="U59" s="103"/>
      <c r="V59" s="2"/>
      <c r="W59" s="103"/>
      <c r="X59" s="2"/>
      <c r="Y59" s="103"/>
      <c r="Z59" s="2"/>
      <c r="AA59" s="162"/>
      <c r="AB59" s="164" t="s">
        <v>59</v>
      </c>
      <c r="AC59" s="163"/>
      <c r="AD59" s="2"/>
      <c r="AE59" s="390" t="str">
        <f t="shared" si="20"/>
        <v/>
      </c>
      <c r="AF59" s="2"/>
      <c r="AG59" s="315" t="s">
        <v>11</v>
      </c>
      <c r="AH59" s="2"/>
      <c r="AI59" s="315"/>
      <c r="AJ59" s="2"/>
      <c r="AK59" s="390" t="str">
        <f t="shared" si="21"/>
        <v/>
      </c>
      <c r="AL59" s="2"/>
      <c r="AM59" s="110" t="str">
        <f t="shared" si="4"/>
        <v/>
      </c>
      <c r="AN59" s="86"/>
      <c r="AO59" s="110" t="str">
        <f t="shared" si="22"/>
        <v/>
      </c>
      <c r="AP59" s="86"/>
      <c r="AQ59" s="86"/>
      <c r="AR59" s="86"/>
      <c r="AS59" s="2"/>
      <c r="AT59" s="2"/>
      <c r="AU59" s="770" t="str">
        <f t="shared" si="14"/>
        <v/>
      </c>
      <c r="AV59" s="2"/>
      <c r="AX59" t="str">
        <f t="shared" si="23"/>
        <v/>
      </c>
      <c r="AY59" t="str">
        <f>IF(J59="","",IF(AX59="F",WorksheetAC_old_keep!$F$3,IF(AX59="C",WorksheetAC_old_keep!$F$2,IF(AX59="R",WorksheetAC_old_keep!$F$4,IF(AX59=AE98,WorksheetAC_old_keep!$F$5,IF(AX59="T",WorksheetAC_old_keep!$F$6,IF(AX59="S",WorksheetAC_old_keep!$F$7,IF(AX59="A",WorksheetAC_old_keep!$F$8,IF(AX59="B",WorksheetAC_old_keep!$F$9,"")))))))))</f>
        <v/>
      </c>
      <c r="AZ59" t="str">
        <f t="shared" si="6"/>
        <v/>
      </c>
      <c r="BB59" t="str">
        <f t="shared" si="24"/>
        <v/>
      </c>
      <c r="BC59" t="str">
        <f t="shared" si="8"/>
        <v/>
      </c>
      <c r="BE59" s="11" t="str">
        <f t="shared" si="25"/>
        <v/>
      </c>
      <c r="BF59" s="11" t="str">
        <f t="shared" si="26"/>
        <v/>
      </c>
      <c r="BH59" t="str">
        <f t="shared" si="27"/>
        <v/>
      </c>
      <c r="BJ59" t="str">
        <f t="shared" si="28"/>
        <v/>
      </c>
    </row>
    <row r="60" spans="1:62" ht="15">
      <c r="A60" s="602"/>
      <c r="B60" s="602"/>
      <c r="C60" s="69" t="str">
        <f t="shared" si="18"/>
        <v/>
      </c>
      <c r="D60" s="2">
        <v>57</v>
      </c>
      <c r="E60" s="2"/>
      <c r="F60" s="104"/>
      <c r="G60" s="2"/>
      <c r="H60" s="104"/>
      <c r="I60" s="2"/>
      <c r="J60" s="888"/>
      <c r="K60" s="889"/>
      <c r="L60" s="890"/>
      <c r="M60" s="2"/>
      <c r="N60" s="103" t="s">
        <v>58</v>
      </c>
      <c r="O60" s="2"/>
      <c r="P60" s="111"/>
      <c r="Q60" s="67" t="str">
        <f t="shared" si="19"/>
        <v/>
      </c>
      <c r="R60" s="2"/>
      <c r="S60" s="103" t="s">
        <v>58</v>
      </c>
      <c r="T60" s="2"/>
      <c r="U60" s="103"/>
      <c r="V60" s="2"/>
      <c r="W60" s="103"/>
      <c r="X60" s="2"/>
      <c r="Y60" s="103"/>
      <c r="Z60" s="2"/>
      <c r="AA60" s="162"/>
      <c r="AB60" s="164" t="s">
        <v>59</v>
      </c>
      <c r="AC60" s="163"/>
      <c r="AD60" s="2"/>
      <c r="AE60" s="390" t="str">
        <f t="shared" si="20"/>
        <v/>
      </c>
      <c r="AF60" s="2"/>
      <c r="AG60" s="315" t="s">
        <v>11</v>
      </c>
      <c r="AH60" s="2"/>
      <c r="AI60" s="315"/>
      <c r="AJ60" s="2"/>
      <c r="AK60" s="390" t="str">
        <f t="shared" si="21"/>
        <v/>
      </c>
      <c r="AL60" s="2"/>
      <c r="AM60" s="110" t="str">
        <f t="shared" si="4"/>
        <v/>
      </c>
      <c r="AN60" s="86"/>
      <c r="AO60" s="110" t="str">
        <f t="shared" si="22"/>
        <v/>
      </c>
      <c r="AP60" s="86"/>
      <c r="AQ60" s="86"/>
      <c r="AR60" s="86"/>
      <c r="AS60" s="2"/>
      <c r="AT60" s="2"/>
      <c r="AU60" s="770" t="str">
        <f t="shared" si="14"/>
        <v/>
      </c>
      <c r="AV60" s="2"/>
      <c r="AX60" t="str">
        <f t="shared" si="23"/>
        <v/>
      </c>
      <c r="AY60" t="str">
        <f>IF(J60="","",IF(AX60="F",WorksheetAC_old_keep!$F$3,IF(AX60="C",WorksheetAC_old_keep!$F$2,IF(AX60="R",WorksheetAC_old_keep!$F$4,IF(AX60=AE99,WorksheetAC_old_keep!$F$5,IF(AX60="T",WorksheetAC_old_keep!$F$6,IF(AX60="S",WorksheetAC_old_keep!$F$7,IF(AX60="A",WorksheetAC_old_keep!$F$8,IF(AX60="B",WorksheetAC_old_keep!$F$9,"")))))))))</f>
        <v/>
      </c>
      <c r="AZ60" t="str">
        <f t="shared" si="6"/>
        <v/>
      </c>
      <c r="BB60" t="str">
        <f t="shared" si="24"/>
        <v/>
      </c>
      <c r="BC60" t="str">
        <f t="shared" si="8"/>
        <v/>
      </c>
      <c r="BE60" s="11" t="str">
        <f t="shared" si="25"/>
        <v/>
      </c>
      <c r="BF60" s="11" t="str">
        <f t="shared" si="26"/>
        <v/>
      </c>
      <c r="BH60" t="str">
        <f t="shared" si="27"/>
        <v/>
      </c>
      <c r="BJ60" t="str">
        <f t="shared" si="28"/>
        <v/>
      </c>
    </row>
    <row r="61" spans="1:62" ht="15">
      <c r="A61" s="602"/>
      <c r="B61" s="602"/>
      <c r="C61" s="69" t="str">
        <f t="shared" si="18"/>
        <v/>
      </c>
      <c r="D61" s="2">
        <v>58</v>
      </c>
      <c r="E61" s="2"/>
      <c r="F61" s="104"/>
      <c r="G61" s="2"/>
      <c r="H61" s="104"/>
      <c r="I61" s="2"/>
      <c r="J61" s="888"/>
      <c r="K61" s="889"/>
      <c r="L61" s="890"/>
      <c r="M61" s="2"/>
      <c r="N61" s="103" t="s">
        <v>58</v>
      </c>
      <c r="O61" s="2"/>
      <c r="P61" s="111"/>
      <c r="Q61" s="67" t="str">
        <f t="shared" si="19"/>
        <v/>
      </c>
      <c r="R61" s="2"/>
      <c r="S61" s="103" t="s">
        <v>58</v>
      </c>
      <c r="T61" s="2"/>
      <c r="U61" s="103"/>
      <c r="V61" s="2"/>
      <c r="W61" s="103"/>
      <c r="X61" s="2"/>
      <c r="Y61" s="103"/>
      <c r="Z61" s="2"/>
      <c r="AA61" s="162"/>
      <c r="AB61" s="164" t="s">
        <v>59</v>
      </c>
      <c r="AC61" s="163"/>
      <c r="AD61" s="2"/>
      <c r="AE61" s="390" t="str">
        <f t="shared" si="20"/>
        <v/>
      </c>
      <c r="AF61" s="2"/>
      <c r="AG61" s="315" t="s">
        <v>11</v>
      </c>
      <c r="AH61" s="2"/>
      <c r="AI61" s="315"/>
      <c r="AJ61" s="2"/>
      <c r="AK61" s="390" t="str">
        <f t="shared" si="21"/>
        <v/>
      </c>
      <c r="AL61" s="2"/>
      <c r="AM61" s="110" t="str">
        <f t="shared" si="4"/>
        <v/>
      </c>
      <c r="AN61" s="86"/>
      <c r="AO61" s="110" t="str">
        <f t="shared" si="22"/>
        <v/>
      </c>
      <c r="AP61" s="86"/>
      <c r="AQ61" s="86"/>
      <c r="AR61" s="86"/>
      <c r="AS61" s="2"/>
      <c r="AT61" s="2"/>
      <c r="AU61" s="770" t="str">
        <f t="shared" si="14"/>
        <v/>
      </c>
      <c r="AV61" s="2"/>
      <c r="AX61" t="str">
        <f t="shared" si="23"/>
        <v/>
      </c>
      <c r="AY61" t="str">
        <f>IF(J61="","",IF(AX61="F",WorksheetAC_old_keep!$F$3,IF(AX61="C",WorksheetAC_old_keep!$F$2,IF(AX61="R",WorksheetAC_old_keep!$F$4,IF(AX61=AE100,WorksheetAC_old_keep!$F$5,IF(AX61="T",WorksheetAC_old_keep!$F$6,IF(AX61="S",WorksheetAC_old_keep!$F$7,IF(AX61="A",WorksheetAC_old_keep!$F$8,IF(AX61="B",WorksheetAC_old_keep!$F$9,"")))))))))</f>
        <v/>
      </c>
      <c r="AZ61" t="str">
        <f t="shared" si="6"/>
        <v/>
      </c>
      <c r="BB61" t="str">
        <f t="shared" si="24"/>
        <v/>
      </c>
      <c r="BC61" t="str">
        <f t="shared" si="8"/>
        <v/>
      </c>
      <c r="BE61" s="11" t="str">
        <f t="shared" si="25"/>
        <v/>
      </c>
      <c r="BF61" s="11" t="str">
        <f t="shared" si="26"/>
        <v/>
      </c>
      <c r="BH61" t="str">
        <f t="shared" si="27"/>
        <v/>
      </c>
      <c r="BJ61" t="str">
        <f t="shared" si="28"/>
        <v/>
      </c>
    </row>
    <row r="62" spans="1:62" ht="15">
      <c r="A62" s="602"/>
      <c r="B62" s="602"/>
      <c r="C62" s="69" t="str">
        <f t="shared" si="18"/>
        <v/>
      </c>
      <c r="D62" s="2">
        <v>59</v>
      </c>
      <c r="E62" s="2"/>
      <c r="F62" s="104"/>
      <c r="G62" s="2"/>
      <c r="H62" s="104"/>
      <c r="I62" s="2"/>
      <c r="J62" s="888"/>
      <c r="K62" s="889"/>
      <c r="L62" s="890"/>
      <c r="M62" s="2"/>
      <c r="N62" s="103" t="s">
        <v>58</v>
      </c>
      <c r="O62" s="2"/>
      <c r="P62" s="111"/>
      <c r="Q62" s="67" t="str">
        <f t="shared" si="19"/>
        <v/>
      </c>
      <c r="R62" s="2"/>
      <c r="S62" s="103" t="s">
        <v>58</v>
      </c>
      <c r="T62" s="2"/>
      <c r="U62" s="103"/>
      <c r="V62" s="2"/>
      <c r="W62" s="103"/>
      <c r="X62" s="2"/>
      <c r="Y62" s="103"/>
      <c r="Z62" s="2"/>
      <c r="AA62" s="162"/>
      <c r="AB62" s="164" t="s">
        <v>59</v>
      </c>
      <c r="AC62" s="163"/>
      <c r="AD62" s="2"/>
      <c r="AE62" s="390" t="str">
        <f t="shared" si="20"/>
        <v/>
      </c>
      <c r="AF62" s="2"/>
      <c r="AG62" s="315" t="s">
        <v>11</v>
      </c>
      <c r="AH62" s="2"/>
      <c r="AI62" s="315"/>
      <c r="AJ62" s="2"/>
      <c r="AK62" s="390" t="str">
        <f t="shared" si="21"/>
        <v/>
      </c>
      <c r="AL62" s="2"/>
      <c r="AM62" s="110" t="str">
        <f t="shared" si="4"/>
        <v/>
      </c>
      <c r="AN62" s="86"/>
      <c r="AO62" s="110" t="str">
        <f t="shared" si="22"/>
        <v/>
      </c>
      <c r="AP62" s="86"/>
      <c r="AQ62" s="86"/>
      <c r="AR62" s="86"/>
      <c r="AS62" s="2"/>
      <c r="AT62" s="2"/>
      <c r="AU62" s="770" t="str">
        <f t="shared" si="14"/>
        <v/>
      </c>
      <c r="AV62" s="2"/>
      <c r="AX62" t="str">
        <f t="shared" si="23"/>
        <v/>
      </c>
      <c r="AY62" t="str">
        <f>IF(J62="","",IF(AX62="F",WorksheetAC_old_keep!$F$3,IF(AX62="C",WorksheetAC_old_keep!$F$2,IF(AX62="R",WorksheetAC_old_keep!$F$4,IF(AX62=AE101,WorksheetAC_old_keep!$F$5,IF(AX62="T",WorksheetAC_old_keep!$F$6,IF(AX62="S",WorksheetAC_old_keep!$F$7,IF(AX62="A",WorksheetAC_old_keep!$F$8,IF(AX62="B",WorksheetAC_old_keep!$F$9,"")))))))))</f>
        <v/>
      </c>
      <c r="AZ62" t="str">
        <f t="shared" si="6"/>
        <v/>
      </c>
      <c r="BB62" t="str">
        <f t="shared" si="24"/>
        <v/>
      </c>
      <c r="BC62" t="str">
        <f t="shared" si="8"/>
        <v/>
      </c>
      <c r="BE62" s="11" t="str">
        <f t="shared" si="25"/>
        <v/>
      </c>
      <c r="BF62" s="11" t="str">
        <f t="shared" si="26"/>
        <v/>
      </c>
      <c r="BH62" t="str">
        <f t="shared" si="27"/>
        <v/>
      </c>
      <c r="BJ62" t="str">
        <f t="shared" si="28"/>
        <v/>
      </c>
    </row>
    <row r="63" spans="1:62" ht="15">
      <c r="A63" s="602"/>
      <c r="B63" s="602"/>
      <c r="C63" s="69" t="str">
        <f t="shared" si="18"/>
        <v/>
      </c>
      <c r="D63" s="2">
        <v>60</v>
      </c>
      <c r="E63" s="2"/>
      <c r="F63" s="104"/>
      <c r="G63" s="2"/>
      <c r="H63" s="104"/>
      <c r="I63" s="2"/>
      <c r="J63" s="888"/>
      <c r="K63" s="889"/>
      <c r="L63" s="890"/>
      <c r="M63" s="2"/>
      <c r="N63" s="103" t="s">
        <v>58</v>
      </c>
      <c r="O63" s="2"/>
      <c r="P63" s="111"/>
      <c r="Q63" s="67" t="str">
        <f t="shared" si="19"/>
        <v/>
      </c>
      <c r="R63" s="2"/>
      <c r="S63" s="103" t="s">
        <v>58</v>
      </c>
      <c r="T63" s="2"/>
      <c r="U63" s="103"/>
      <c r="V63" s="2"/>
      <c r="W63" s="103"/>
      <c r="X63" s="2"/>
      <c r="Y63" s="103"/>
      <c r="Z63" s="2"/>
      <c r="AA63" s="162"/>
      <c r="AB63" s="164" t="s">
        <v>59</v>
      </c>
      <c r="AC63" s="163"/>
      <c r="AD63" s="2"/>
      <c r="AE63" s="390" t="str">
        <f t="shared" si="20"/>
        <v/>
      </c>
      <c r="AF63" s="2"/>
      <c r="AG63" s="315" t="s">
        <v>11</v>
      </c>
      <c r="AH63" s="2"/>
      <c r="AI63" s="315"/>
      <c r="AJ63" s="2"/>
      <c r="AK63" s="390" t="str">
        <f t="shared" si="21"/>
        <v/>
      </c>
      <c r="AL63" s="2"/>
      <c r="AM63" s="110" t="str">
        <f t="shared" si="4"/>
        <v/>
      </c>
      <c r="AN63" s="86"/>
      <c r="AO63" s="110" t="str">
        <f t="shared" si="22"/>
        <v/>
      </c>
      <c r="AP63" s="86"/>
      <c r="AQ63" s="86"/>
      <c r="AR63" s="86"/>
      <c r="AS63" s="2"/>
      <c r="AT63" s="2"/>
      <c r="AU63" s="770" t="str">
        <f t="shared" si="14"/>
        <v/>
      </c>
      <c r="AV63" s="2"/>
      <c r="AX63" t="str">
        <f t="shared" si="23"/>
        <v/>
      </c>
      <c r="AY63" t="str">
        <f>IF(J63="","",IF(AX63="F",WorksheetAC_old_keep!$F$3,IF(AX63="C",WorksheetAC_old_keep!$F$2,IF(AX63="R",WorksheetAC_old_keep!$F$4,IF(AX63=AE102,WorksheetAC_old_keep!$F$5,IF(AX63="T",WorksheetAC_old_keep!$F$6,IF(AX63="S",WorksheetAC_old_keep!$F$7,IF(AX63="A",WorksheetAC_old_keep!$F$8,IF(AX63="B",WorksheetAC_old_keep!$F$9,"")))))))))</f>
        <v/>
      </c>
      <c r="AZ63" t="str">
        <f t="shared" si="6"/>
        <v/>
      </c>
      <c r="BB63" t="str">
        <f t="shared" si="24"/>
        <v/>
      </c>
      <c r="BC63" t="str">
        <f t="shared" si="8"/>
        <v/>
      </c>
      <c r="BE63" s="11" t="str">
        <f t="shared" si="25"/>
        <v/>
      </c>
      <c r="BF63" s="11" t="str">
        <f t="shared" si="26"/>
        <v/>
      </c>
      <c r="BH63" t="str">
        <f t="shared" si="27"/>
        <v/>
      </c>
      <c r="BJ63" t="str">
        <f t="shared" si="28"/>
        <v/>
      </c>
    </row>
    <row r="64" spans="1:62" ht="15">
      <c r="A64" s="602"/>
      <c r="B64" s="602"/>
      <c r="C64" s="69" t="str">
        <f t="shared" si="18"/>
        <v/>
      </c>
      <c r="D64" s="2">
        <v>61</v>
      </c>
      <c r="E64" s="2"/>
      <c r="F64" s="104"/>
      <c r="G64" s="2"/>
      <c r="H64" s="104"/>
      <c r="I64" s="2"/>
      <c r="J64" s="888"/>
      <c r="K64" s="889"/>
      <c r="L64" s="890"/>
      <c r="M64" s="2"/>
      <c r="N64" s="103" t="s">
        <v>58</v>
      </c>
      <c r="O64" s="2"/>
      <c r="P64" s="111"/>
      <c r="Q64" s="67" t="str">
        <f t="shared" si="19"/>
        <v/>
      </c>
      <c r="R64" s="2"/>
      <c r="S64" s="103" t="s">
        <v>58</v>
      </c>
      <c r="T64" s="2"/>
      <c r="U64" s="103"/>
      <c r="V64" s="2"/>
      <c r="W64" s="103"/>
      <c r="X64" s="2"/>
      <c r="Y64" s="103"/>
      <c r="Z64" s="2"/>
      <c r="AA64" s="162"/>
      <c r="AB64" s="164" t="s">
        <v>59</v>
      </c>
      <c r="AC64" s="163"/>
      <c r="AD64" s="2"/>
      <c r="AE64" s="390" t="str">
        <f t="shared" si="20"/>
        <v/>
      </c>
      <c r="AF64" s="2"/>
      <c r="AG64" s="315" t="s">
        <v>11</v>
      </c>
      <c r="AH64" s="2"/>
      <c r="AI64" s="315"/>
      <c r="AJ64" s="2"/>
      <c r="AK64" s="390" t="str">
        <f t="shared" si="21"/>
        <v/>
      </c>
      <c r="AL64" s="2"/>
      <c r="AM64" s="110" t="str">
        <f t="shared" si="4"/>
        <v/>
      </c>
      <c r="AN64" s="86"/>
      <c r="AO64" s="110" t="str">
        <f t="shared" si="22"/>
        <v/>
      </c>
      <c r="AP64" s="86"/>
      <c r="AQ64" s="86"/>
      <c r="AR64" s="86"/>
      <c r="AS64" s="2"/>
      <c r="AT64" s="2"/>
      <c r="AU64" s="770" t="str">
        <f t="shared" si="14"/>
        <v/>
      </c>
      <c r="AV64" s="2"/>
      <c r="AX64" t="str">
        <f t="shared" si="23"/>
        <v/>
      </c>
      <c r="AY64" t="str">
        <f>IF(J64="","",IF(AX64="F",WorksheetAC_old_keep!$F$3,IF(AX64="C",WorksheetAC_old_keep!$F$2,IF(AX64="R",WorksheetAC_old_keep!$F$4,IF(AX64=AE103,WorksheetAC_old_keep!$F$5,IF(AX64="T",WorksheetAC_old_keep!$F$6,IF(AX64="S",WorksheetAC_old_keep!$F$7,IF(AX64="A",WorksheetAC_old_keep!$F$8,IF(AX64="B",WorksheetAC_old_keep!$F$9,"")))))))))</f>
        <v/>
      </c>
      <c r="AZ64" t="str">
        <f t="shared" si="6"/>
        <v/>
      </c>
      <c r="BB64" t="str">
        <f t="shared" si="24"/>
        <v/>
      </c>
      <c r="BC64" t="str">
        <f t="shared" si="8"/>
        <v/>
      </c>
      <c r="BE64" s="11" t="str">
        <f t="shared" si="25"/>
        <v/>
      </c>
      <c r="BF64" s="11" t="str">
        <f t="shared" si="26"/>
        <v/>
      </c>
      <c r="BH64" t="str">
        <f t="shared" si="27"/>
        <v/>
      </c>
      <c r="BJ64" t="str">
        <f t="shared" si="28"/>
        <v/>
      </c>
    </row>
    <row r="65" spans="1:62" ht="15">
      <c r="A65" s="602"/>
      <c r="B65" s="602"/>
      <c r="C65" s="69" t="str">
        <f t="shared" si="18"/>
        <v/>
      </c>
      <c r="D65" s="2">
        <v>62</v>
      </c>
      <c r="E65" s="2"/>
      <c r="F65" s="104"/>
      <c r="G65" s="2"/>
      <c r="H65" s="104"/>
      <c r="I65" s="2"/>
      <c r="J65" s="888"/>
      <c r="K65" s="889"/>
      <c r="L65" s="890"/>
      <c r="M65" s="2"/>
      <c r="N65" s="103" t="s">
        <v>58</v>
      </c>
      <c r="O65" s="2"/>
      <c r="P65" s="111"/>
      <c r="Q65" s="67" t="str">
        <f t="shared" si="19"/>
        <v/>
      </c>
      <c r="R65" s="2"/>
      <c r="S65" s="103" t="s">
        <v>58</v>
      </c>
      <c r="T65" s="2"/>
      <c r="U65" s="103"/>
      <c r="V65" s="2"/>
      <c r="W65" s="103"/>
      <c r="X65" s="2"/>
      <c r="Y65" s="103"/>
      <c r="Z65" s="2"/>
      <c r="AA65" s="162"/>
      <c r="AB65" s="164" t="s">
        <v>59</v>
      </c>
      <c r="AC65" s="163"/>
      <c r="AD65" s="2"/>
      <c r="AE65" s="390" t="str">
        <f t="shared" si="20"/>
        <v/>
      </c>
      <c r="AF65" s="2"/>
      <c r="AG65" s="315" t="s">
        <v>11</v>
      </c>
      <c r="AH65" s="2"/>
      <c r="AI65" s="315"/>
      <c r="AJ65" s="2"/>
      <c r="AK65" s="390" t="str">
        <f t="shared" si="21"/>
        <v/>
      </c>
      <c r="AL65" s="2"/>
      <c r="AM65" s="110" t="str">
        <f t="shared" si="4"/>
        <v/>
      </c>
      <c r="AN65" s="86"/>
      <c r="AO65" s="110" t="str">
        <f t="shared" si="22"/>
        <v/>
      </c>
      <c r="AP65" s="86"/>
      <c r="AQ65" s="86"/>
      <c r="AR65" s="86"/>
      <c r="AS65" s="2"/>
      <c r="AT65" s="2"/>
      <c r="AU65" s="770" t="str">
        <f t="shared" si="14"/>
        <v/>
      </c>
      <c r="AV65" s="2"/>
      <c r="AX65" t="str">
        <f t="shared" si="23"/>
        <v/>
      </c>
      <c r="AY65" t="str">
        <f>IF(J65="","",IF(AX65="F",WorksheetAC_old_keep!$F$3,IF(AX65="C",WorksheetAC_old_keep!$F$2,IF(AX65="R",WorksheetAC_old_keep!$F$4,IF(AX65=AE104,WorksheetAC_old_keep!$F$5,IF(AX65="T",WorksheetAC_old_keep!$F$6,IF(AX65="S",WorksheetAC_old_keep!$F$7,IF(AX65="A",WorksheetAC_old_keep!$F$8,IF(AX65="B",WorksheetAC_old_keep!$F$9,"")))))))))</f>
        <v/>
      </c>
      <c r="AZ65" t="str">
        <f t="shared" si="6"/>
        <v/>
      </c>
      <c r="BB65" t="str">
        <f t="shared" si="24"/>
        <v/>
      </c>
      <c r="BC65" t="str">
        <f t="shared" si="8"/>
        <v/>
      </c>
      <c r="BE65" s="11" t="str">
        <f t="shared" si="25"/>
        <v/>
      </c>
      <c r="BF65" s="11" t="str">
        <f t="shared" si="26"/>
        <v/>
      </c>
      <c r="BH65" t="str">
        <f t="shared" si="27"/>
        <v/>
      </c>
      <c r="BJ65" t="str">
        <f t="shared" si="28"/>
        <v/>
      </c>
    </row>
    <row r="66" spans="1:62" ht="15">
      <c r="A66" s="602"/>
      <c r="B66" s="602"/>
      <c r="C66" s="69" t="str">
        <f t="shared" si="18"/>
        <v/>
      </c>
      <c r="D66" s="2">
        <v>63</v>
      </c>
      <c r="E66" s="2"/>
      <c r="F66" s="104"/>
      <c r="G66" s="2"/>
      <c r="H66" s="104"/>
      <c r="I66" s="2"/>
      <c r="J66" s="888"/>
      <c r="K66" s="889"/>
      <c r="L66" s="890"/>
      <c r="M66" s="2"/>
      <c r="N66" s="103" t="s">
        <v>58</v>
      </c>
      <c r="O66" s="2"/>
      <c r="P66" s="111"/>
      <c r="Q66" s="67" t="str">
        <f t="shared" si="19"/>
        <v/>
      </c>
      <c r="R66" s="2"/>
      <c r="S66" s="103" t="s">
        <v>58</v>
      </c>
      <c r="T66" s="2"/>
      <c r="U66" s="103"/>
      <c r="V66" s="2"/>
      <c r="W66" s="103"/>
      <c r="X66" s="2"/>
      <c r="Y66" s="103"/>
      <c r="Z66" s="2"/>
      <c r="AA66" s="162"/>
      <c r="AB66" s="164" t="s">
        <v>59</v>
      </c>
      <c r="AC66" s="163"/>
      <c r="AD66" s="2"/>
      <c r="AE66" s="390" t="str">
        <f t="shared" si="20"/>
        <v/>
      </c>
      <c r="AF66" s="2"/>
      <c r="AG66" s="315" t="s">
        <v>11</v>
      </c>
      <c r="AH66" s="2"/>
      <c r="AI66" s="315"/>
      <c r="AJ66" s="2"/>
      <c r="AK66" s="390" t="str">
        <f t="shared" si="21"/>
        <v/>
      </c>
      <c r="AL66" s="2"/>
      <c r="AM66" s="110" t="str">
        <f t="shared" si="4"/>
        <v/>
      </c>
      <c r="AN66" s="86"/>
      <c r="AO66" s="110" t="str">
        <f t="shared" si="22"/>
        <v/>
      </c>
      <c r="AP66" s="86"/>
      <c r="AQ66" s="86"/>
      <c r="AR66" s="86"/>
      <c r="AS66" s="2"/>
      <c r="AT66" s="2"/>
      <c r="AU66" s="770" t="str">
        <f t="shared" si="14"/>
        <v/>
      </c>
      <c r="AV66" s="2"/>
      <c r="AX66" t="str">
        <f t="shared" si="23"/>
        <v/>
      </c>
      <c r="AY66" t="str">
        <f>IF(J66="","",IF(AX66="F",WorksheetAC_old_keep!$F$3,IF(AX66="C",WorksheetAC_old_keep!$F$2,IF(AX66="R",WorksheetAC_old_keep!$F$4,IF(AX66=AE105,WorksheetAC_old_keep!$F$5,IF(AX66="T",WorksheetAC_old_keep!$F$6,IF(AX66="S",WorksheetAC_old_keep!$F$7,IF(AX66="A",WorksheetAC_old_keep!$F$8,IF(AX66="B",WorksheetAC_old_keep!$F$9,"")))))))))</f>
        <v/>
      </c>
      <c r="AZ66" t="str">
        <f t="shared" si="6"/>
        <v/>
      </c>
      <c r="BB66" t="str">
        <f t="shared" si="24"/>
        <v/>
      </c>
      <c r="BC66" t="str">
        <f t="shared" si="8"/>
        <v/>
      </c>
      <c r="BE66" s="11" t="str">
        <f t="shared" si="25"/>
        <v/>
      </c>
      <c r="BF66" s="11" t="str">
        <f t="shared" si="26"/>
        <v/>
      </c>
      <c r="BH66" t="str">
        <f t="shared" si="27"/>
        <v/>
      </c>
      <c r="BJ66" t="str">
        <f t="shared" si="28"/>
        <v/>
      </c>
    </row>
    <row r="67" spans="1:62" ht="15">
      <c r="A67" s="602"/>
      <c r="B67" s="602"/>
      <c r="C67" s="69" t="str">
        <f t="shared" si="18"/>
        <v/>
      </c>
      <c r="D67" s="2">
        <v>64</v>
      </c>
      <c r="E67" s="2"/>
      <c r="F67" s="104"/>
      <c r="G67" s="2"/>
      <c r="H67" s="104"/>
      <c r="I67" s="2"/>
      <c r="J67" s="888"/>
      <c r="K67" s="889"/>
      <c r="L67" s="890"/>
      <c r="M67" s="2"/>
      <c r="N67" s="103" t="s">
        <v>58</v>
      </c>
      <c r="O67" s="2"/>
      <c r="P67" s="111"/>
      <c r="Q67" s="67" t="str">
        <f t="shared" si="19"/>
        <v/>
      </c>
      <c r="R67" s="2"/>
      <c r="S67" s="103" t="s">
        <v>58</v>
      </c>
      <c r="T67" s="2"/>
      <c r="U67" s="103"/>
      <c r="V67" s="2"/>
      <c r="W67" s="103"/>
      <c r="X67" s="2"/>
      <c r="Y67" s="103"/>
      <c r="Z67" s="2"/>
      <c r="AA67" s="162"/>
      <c r="AB67" s="164" t="s">
        <v>59</v>
      </c>
      <c r="AC67" s="163"/>
      <c r="AD67" s="2"/>
      <c r="AE67" s="390" t="str">
        <f t="shared" si="20"/>
        <v/>
      </c>
      <c r="AF67" s="2"/>
      <c r="AG67" s="315" t="s">
        <v>11</v>
      </c>
      <c r="AH67" s="2"/>
      <c r="AI67" s="315"/>
      <c r="AJ67" s="2"/>
      <c r="AK67" s="390" t="str">
        <f t="shared" si="21"/>
        <v/>
      </c>
      <c r="AL67" s="2"/>
      <c r="AM67" s="110" t="str">
        <f t="shared" si="4"/>
        <v/>
      </c>
      <c r="AN67" s="86"/>
      <c r="AO67" s="110" t="str">
        <f t="shared" si="22"/>
        <v/>
      </c>
      <c r="AP67" s="86"/>
      <c r="AQ67" s="86"/>
      <c r="AR67" s="86"/>
      <c r="AS67" s="2"/>
      <c r="AT67" s="2"/>
      <c r="AU67" s="770" t="str">
        <f t="shared" si="14"/>
        <v/>
      </c>
      <c r="AV67" s="2"/>
      <c r="AX67" t="str">
        <f t="shared" si="23"/>
        <v/>
      </c>
      <c r="AY67" t="str">
        <f>IF(J67="","",IF(AX67="F",WorksheetAC_old_keep!$F$3,IF(AX67="C",WorksheetAC_old_keep!$F$2,IF(AX67="R",WorksheetAC_old_keep!$F$4,IF(AX67=AE106,WorksheetAC_old_keep!$F$5,IF(AX67="T",WorksheetAC_old_keep!$F$6,IF(AX67="S",WorksheetAC_old_keep!$F$7,IF(AX67="A",WorksheetAC_old_keep!$F$8,IF(AX67="B",WorksheetAC_old_keep!$F$9,"")))))))))</f>
        <v/>
      </c>
      <c r="AZ67" t="str">
        <f t="shared" si="6"/>
        <v/>
      </c>
      <c r="BB67" t="str">
        <f t="shared" si="24"/>
        <v/>
      </c>
      <c r="BC67" t="str">
        <f t="shared" si="8"/>
        <v/>
      </c>
      <c r="BE67" s="11" t="str">
        <f t="shared" si="25"/>
        <v/>
      </c>
      <c r="BF67" s="11" t="str">
        <f t="shared" si="26"/>
        <v/>
      </c>
      <c r="BH67" t="str">
        <f t="shared" si="27"/>
        <v/>
      </c>
      <c r="BJ67" t="str">
        <f t="shared" si="28"/>
        <v/>
      </c>
    </row>
    <row r="68" spans="1:62" ht="15">
      <c r="A68" s="602"/>
      <c r="B68" s="602"/>
      <c r="C68" s="69" t="str">
        <f t="shared" si="18"/>
        <v/>
      </c>
      <c r="D68" s="2">
        <v>65</v>
      </c>
      <c r="E68" s="2"/>
      <c r="F68" s="104"/>
      <c r="G68" s="2"/>
      <c r="H68" s="104"/>
      <c r="I68" s="2"/>
      <c r="J68" s="888"/>
      <c r="K68" s="889"/>
      <c r="L68" s="890"/>
      <c r="M68" s="2"/>
      <c r="N68" s="103" t="s">
        <v>58</v>
      </c>
      <c r="O68" s="2"/>
      <c r="P68" s="111"/>
      <c r="Q68" s="67" t="str">
        <f t="shared" si="19"/>
        <v/>
      </c>
      <c r="R68" s="2"/>
      <c r="S68" s="103" t="s">
        <v>58</v>
      </c>
      <c r="T68" s="2"/>
      <c r="U68" s="103"/>
      <c r="V68" s="2"/>
      <c r="W68" s="103"/>
      <c r="X68" s="2"/>
      <c r="Y68" s="103"/>
      <c r="Z68" s="2"/>
      <c r="AA68" s="162"/>
      <c r="AB68" s="164" t="s">
        <v>59</v>
      </c>
      <c r="AC68" s="163"/>
      <c r="AD68" s="2"/>
      <c r="AE68" s="390" t="str">
        <f t="shared" si="20"/>
        <v/>
      </c>
      <c r="AF68" s="2"/>
      <c r="AG68" s="315" t="s">
        <v>11</v>
      </c>
      <c r="AH68" s="2"/>
      <c r="AI68" s="315"/>
      <c r="AJ68" s="2"/>
      <c r="AK68" s="390" t="str">
        <f t="shared" si="21"/>
        <v/>
      </c>
      <c r="AL68" s="2"/>
      <c r="AM68" s="110" t="str">
        <f t="shared" ref="AM68:AM83" si="29">IFERROR(VLOOKUP(MATCH($AY68,GearBasic,0),GearEasyRead,2),"")</f>
        <v/>
      </c>
      <c r="AN68" s="86"/>
      <c r="AO68" s="110" t="str">
        <f t="shared" si="22"/>
        <v/>
      </c>
      <c r="AP68" s="86"/>
      <c r="AQ68" s="86"/>
      <c r="AR68" s="86"/>
      <c r="AS68" s="2"/>
      <c r="AT68" s="2"/>
      <c r="AU68" s="770" t="str">
        <f t="shared" si="14"/>
        <v/>
      </c>
      <c r="AV68" s="2"/>
      <c r="AX68" t="str">
        <f t="shared" si="23"/>
        <v/>
      </c>
      <c r="AY68" t="str">
        <f>IF(J68="","",IF(AX68="F",WorksheetAC_old_keep!$F$3,IF(AX68="C",WorksheetAC_old_keep!$F$2,IF(AX68="R",WorksheetAC_old_keep!$F$4,IF(AX68=AE107,WorksheetAC_old_keep!$F$5,IF(AX68="T",WorksheetAC_old_keep!$F$6,IF(AX68="S",WorksheetAC_old_keep!$F$7,IF(AX68="A",WorksheetAC_old_keep!$F$8,IF(AX68="B",WorksheetAC_old_keep!$F$9,"")))))))))</f>
        <v/>
      </c>
      <c r="AZ68" t="str">
        <f t="shared" ref="AZ68:AZ83" si="30">IFERROR(VLOOKUP(MATCH($AY68,GearBasic,0),GearEasyRead,2),"")</f>
        <v/>
      </c>
      <c r="BB68" t="str">
        <f t="shared" si="24"/>
        <v/>
      </c>
      <c r="BC68" t="str">
        <f t="shared" ref="BC68:BC83" si="31">IFERROR(VLOOKUP($C68,Aircraftlist,13),"")</f>
        <v/>
      </c>
      <c r="BE68" s="11" t="str">
        <f t="shared" si="25"/>
        <v/>
      </c>
      <c r="BF68" s="11" t="str">
        <f t="shared" si="26"/>
        <v/>
      </c>
      <c r="BH68" t="str">
        <f t="shared" si="27"/>
        <v/>
      </c>
      <c r="BJ68" t="str">
        <f t="shared" si="28"/>
        <v/>
      </c>
    </row>
    <row r="69" spans="1:62" ht="15">
      <c r="A69" s="602"/>
      <c r="B69" s="602"/>
      <c r="C69" s="69" t="str">
        <f t="shared" si="18"/>
        <v/>
      </c>
      <c r="D69" s="2">
        <v>66</v>
      </c>
      <c r="E69" s="2"/>
      <c r="F69" s="104"/>
      <c r="G69" s="2"/>
      <c r="H69" s="104"/>
      <c r="I69" s="2"/>
      <c r="J69" s="888"/>
      <c r="K69" s="889"/>
      <c r="L69" s="890"/>
      <c r="M69" s="2"/>
      <c r="N69" s="103" t="s">
        <v>58</v>
      </c>
      <c r="O69" s="2"/>
      <c r="P69" s="111"/>
      <c r="Q69" s="67" t="str">
        <f t="shared" si="19"/>
        <v/>
      </c>
      <c r="R69" s="2"/>
      <c r="S69" s="103" t="s">
        <v>58</v>
      </c>
      <c r="T69" s="2"/>
      <c r="U69" s="103"/>
      <c r="V69" s="2"/>
      <c r="W69" s="103"/>
      <c r="X69" s="2"/>
      <c r="Y69" s="103"/>
      <c r="Z69" s="2"/>
      <c r="AA69" s="162"/>
      <c r="AB69" s="164" t="s">
        <v>59</v>
      </c>
      <c r="AC69" s="163"/>
      <c r="AD69" s="2"/>
      <c r="AE69" s="390" t="str">
        <f t="shared" si="20"/>
        <v/>
      </c>
      <c r="AF69" s="2"/>
      <c r="AG69" s="315" t="s">
        <v>11</v>
      </c>
      <c r="AH69" s="2"/>
      <c r="AI69" s="315"/>
      <c r="AJ69" s="2"/>
      <c r="AK69" s="390" t="str">
        <f t="shared" si="21"/>
        <v/>
      </c>
      <c r="AL69" s="2"/>
      <c r="AM69" s="110" t="str">
        <f t="shared" si="29"/>
        <v/>
      </c>
      <c r="AN69" s="86"/>
      <c r="AO69" s="110" t="str">
        <f t="shared" si="22"/>
        <v/>
      </c>
      <c r="AP69" s="86"/>
      <c r="AQ69" s="86"/>
      <c r="AR69" s="86"/>
      <c r="AS69" s="2"/>
      <c r="AT69" s="2"/>
      <c r="AU69" s="770" t="str">
        <f t="shared" ref="AU69:AU83" si="32">IFERROR(VLOOKUP(MATCH($W69,_xlfn.ANCHORARRAY(AS$4),0),$AR69:$AT111,3),"")</f>
        <v/>
      </c>
      <c r="AV69" s="2"/>
      <c r="AX69" t="str">
        <f t="shared" si="23"/>
        <v/>
      </c>
      <c r="AY69" t="str">
        <f>IF(J69="","",IF(AX69="F",WorksheetAC_old_keep!$F$3,IF(AX69="C",WorksheetAC_old_keep!$F$2,IF(AX69="R",WorksheetAC_old_keep!$F$4,IF(AX69=AE108,WorksheetAC_old_keep!$F$5,IF(AX69="T",WorksheetAC_old_keep!$F$6,IF(AX69="S",WorksheetAC_old_keep!$F$7,IF(AX69="A",WorksheetAC_old_keep!$F$8,IF(AX69="B",WorksheetAC_old_keep!$F$9,"")))))))))</f>
        <v/>
      </c>
      <c r="AZ69" t="str">
        <f t="shared" si="30"/>
        <v/>
      </c>
      <c r="BB69" t="str">
        <f t="shared" si="24"/>
        <v/>
      </c>
      <c r="BC69" t="str">
        <f t="shared" si="31"/>
        <v/>
      </c>
      <c r="BE69" s="11" t="str">
        <f t="shared" si="25"/>
        <v/>
      </c>
      <c r="BF69" s="11" t="str">
        <f t="shared" si="26"/>
        <v/>
      </c>
      <c r="BH69" t="str">
        <f t="shared" si="27"/>
        <v/>
      </c>
      <c r="BJ69" t="str">
        <f t="shared" si="28"/>
        <v/>
      </c>
    </row>
    <row r="70" spans="1:62" ht="15">
      <c r="A70" s="602"/>
      <c r="B70" s="602"/>
      <c r="C70" s="69" t="str">
        <f t="shared" si="18"/>
        <v/>
      </c>
      <c r="D70" s="2">
        <v>67</v>
      </c>
      <c r="E70" s="2"/>
      <c r="F70" s="104"/>
      <c r="G70" s="2"/>
      <c r="H70" s="104"/>
      <c r="I70" s="2"/>
      <c r="J70" s="888"/>
      <c r="K70" s="889"/>
      <c r="L70" s="890"/>
      <c r="M70" s="2"/>
      <c r="N70" s="103" t="s">
        <v>58</v>
      </c>
      <c r="O70" s="2"/>
      <c r="P70" s="111"/>
      <c r="Q70" s="67" t="str">
        <f t="shared" si="19"/>
        <v/>
      </c>
      <c r="R70" s="2"/>
      <c r="S70" s="103" t="s">
        <v>58</v>
      </c>
      <c r="T70" s="2"/>
      <c r="U70" s="103"/>
      <c r="V70" s="2"/>
      <c r="W70" s="103"/>
      <c r="X70" s="2"/>
      <c r="Y70" s="103"/>
      <c r="Z70" s="2"/>
      <c r="AA70" s="162"/>
      <c r="AB70" s="164" t="s">
        <v>59</v>
      </c>
      <c r="AC70" s="163"/>
      <c r="AD70" s="2"/>
      <c r="AE70" s="390" t="str">
        <f t="shared" si="20"/>
        <v/>
      </c>
      <c r="AF70" s="2"/>
      <c r="AG70" s="315" t="s">
        <v>11</v>
      </c>
      <c r="AH70" s="2"/>
      <c r="AI70" s="315"/>
      <c r="AJ70" s="2"/>
      <c r="AK70" s="390" t="str">
        <f t="shared" si="21"/>
        <v/>
      </c>
      <c r="AL70" s="2"/>
      <c r="AM70" s="110" t="str">
        <f t="shared" si="29"/>
        <v/>
      </c>
      <c r="AN70" s="86"/>
      <c r="AO70" s="110" t="str">
        <f t="shared" si="22"/>
        <v/>
      </c>
      <c r="AP70" s="86"/>
      <c r="AQ70" s="86"/>
      <c r="AR70" s="86"/>
      <c r="AS70" s="2"/>
      <c r="AT70" s="2"/>
      <c r="AU70" s="770" t="str">
        <f t="shared" si="32"/>
        <v/>
      </c>
      <c r="AV70" s="2"/>
      <c r="AX70" t="str">
        <f t="shared" si="23"/>
        <v/>
      </c>
      <c r="AY70" t="str">
        <f>IF(J70="","",IF(AX70="F",WorksheetAC_old_keep!$F$3,IF(AX70="C",WorksheetAC_old_keep!$F$2,IF(AX70="R",WorksheetAC_old_keep!$F$4,IF(AX70=AE109,WorksheetAC_old_keep!$F$5,IF(AX70="T",WorksheetAC_old_keep!$F$6,IF(AX70="S",WorksheetAC_old_keep!$F$7,IF(AX70="A",WorksheetAC_old_keep!$F$8,IF(AX70="B",WorksheetAC_old_keep!$F$9,"")))))))))</f>
        <v/>
      </c>
      <c r="AZ70" t="str">
        <f t="shared" si="30"/>
        <v/>
      </c>
      <c r="BB70" t="str">
        <f t="shared" si="24"/>
        <v/>
      </c>
      <c r="BC70" t="str">
        <f t="shared" si="31"/>
        <v/>
      </c>
      <c r="BE70" s="11" t="str">
        <f t="shared" si="25"/>
        <v/>
      </c>
      <c r="BF70" s="11" t="str">
        <f t="shared" si="26"/>
        <v/>
      </c>
      <c r="BH70" t="str">
        <f t="shared" si="27"/>
        <v/>
      </c>
      <c r="BJ70" t="str">
        <f t="shared" si="28"/>
        <v/>
      </c>
    </row>
    <row r="71" spans="1:62" ht="15">
      <c r="A71" s="602"/>
      <c r="B71" s="602"/>
      <c r="C71" s="69" t="str">
        <f t="shared" si="18"/>
        <v/>
      </c>
      <c r="D71" s="2">
        <v>68</v>
      </c>
      <c r="E71" s="2"/>
      <c r="F71" s="104"/>
      <c r="G71" s="2"/>
      <c r="H71" s="104"/>
      <c r="I71" s="2"/>
      <c r="J71" s="888"/>
      <c r="K71" s="889"/>
      <c r="L71" s="890"/>
      <c r="M71" s="2"/>
      <c r="N71" s="103" t="s">
        <v>58</v>
      </c>
      <c r="O71" s="2"/>
      <c r="P71" s="111"/>
      <c r="Q71" s="67" t="str">
        <f t="shared" si="19"/>
        <v/>
      </c>
      <c r="R71" s="2"/>
      <c r="S71" s="103" t="s">
        <v>58</v>
      </c>
      <c r="T71" s="2"/>
      <c r="U71" s="103"/>
      <c r="V71" s="2"/>
      <c r="W71" s="103"/>
      <c r="X71" s="2"/>
      <c r="Y71" s="103"/>
      <c r="Z71" s="2"/>
      <c r="AA71" s="162"/>
      <c r="AB71" s="164" t="s">
        <v>59</v>
      </c>
      <c r="AC71" s="163"/>
      <c r="AD71" s="2"/>
      <c r="AE71" s="390" t="str">
        <f t="shared" si="20"/>
        <v/>
      </c>
      <c r="AF71" s="2"/>
      <c r="AG71" s="315" t="s">
        <v>11</v>
      </c>
      <c r="AH71" s="2"/>
      <c r="AI71" s="315"/>
      <c r="AJ71" s="2"/>
      <c r="AK71" s="390" t="str">
        <f t="shared" si="21"/>
        <v/>
      </c>
      <c r="AL71" s="2"/>
      <c r="AM71" s="110" t="str">
        <f t="shared" si="29"/>
        <v/>
      </c>
      <c r="AN71" s="86"/>
      <c r="AO71" s="110" t="str">
        <f t="shared" si="22"/>
        <v/>
      </c>
      <c r="AP71" s="86"/>
      <c r="AQ71" s="86"/>
      <c r="AR71" s="86"/>
      <c r="AS71" s="2"/>
      <c r="AT71" s="2"/>
      <c r="AU71" s="770" t="str">
        <f t="shared" si="32"/>
        <v/>
      </c>
      <c r="AV71" s="2"/>
      <c r="AX71" t="str">
        <f t="shared" si="23"/>
        <v/>
      </c>
      <c r="AY71" t="str">
        <f>IF(J71="","",IF(AX71="F",WorksheetAC_old_keep!$F$3,IF(AX71="C",WorksheetAC_old_keep!$F$2,IF(AX71="R",WorksheetAC_old_keep!$F$4,IF(AX71=AE110,WorksheetAC_old_keep!$F$5,IF(AX71="T",WorksheetAC_old_keep!$F$6,IF(AX71="S",WorksheetAC_old_keep!$F$7,IF(AX71="A",WorksheetAC_old_keep!$F$8,IF(AX71="B",WorksheetAC_old_keep!$F$9,"")))))))))</f>
        <v/>
      </c>
      <c r="AZ71" t="str">
        <f t="shared" si="30"/>
        <v/>
      </c>
      <c r="BB71" t="str">
        <f t="shared" si="24"/>
        <v/>
      </c>
      <c r="BC71" t="str">
        <f t="shared" si="31"/>
        <v/>
      </c>
      <c r="BE71" s="11" t="str">
        <f t="shared" si="25"/>
        <v/>
      </c>
      <c r="BF71" s="11" t="str">
        <f t="shared" si="26"/>
        <v/>
      </c>
      <c r="BH71" t="str">
        <f t="shared" si="27"/>
        <v/>
      </c>
      <c r="BJ71" t="str">
        <f t="shared" si="28"/>
        <v/>
      </c>
    </row>
    <row r="72" spans="1:62" ht="15">
      <c r="A72" s="602"/>
      <c r="B72" s="602"/>
      <c r="C72" s="69" t="str">
        <f t="shared" si="18"/>
        <v/>
      </c>
      <c r="D72" s="2">
        <v>69</v>
      </c>
      <c r="E72" s="2"/>
      <c r="F72" s="104"/>
      <c r="G72" s="2"/>
      <c r="H72" s="104"/>
      <c r="I72" s="2"/>
      <c r="J72" s="888"/>
      <c r="K72" s="889"/>
      <c r="L72" s="890"/>
      <c r="M72" s="2"/>
      <c r="N72" s="103" t="s">
        <v>58</v>
      </c>
      <c r="O72" s="2"/>
      <c r="P72" s="111"/>
      <c r="Q72" s="67" t="str">
        <f t="shared" si="19"/>
        <v/>
      </c>
      <c r="R72" s="2"/>
      <c r="S72" s="103" t="s">
        <v>58</v>
      </c>
      <c r="T72" s="2"/>
      <c r="U72" s="103"/>
      <c r="V72" s="2"/>
      <c r="W72" s="103"/>
      <c r="X72" s="2"/>
      <c r="Y72" s="103"/>
      <c r="Z72" s="2"/>
      <c r="AA72" s="162"/>
      <c r="AB72" s="164" t="s">
        <v>59</v>
      </c>
      <c r="AC72" s="163"/>
      <c r="AD72" s="2"/>
      <c r="AE72" s="390" t="str">
        <f t="shared" si="20"/>
        <v/>
      </c>
      <c r="AF72" s="2"/>
      <c r="AG72" s="315" t="s">
        <v>11</v>
      </c>
      <c r="AH72" s="2"/>
      <c r="AI72" s="315"/>
      <c r="AJ72" s="2"/>
      <c r="AK72" s="390" t="str">
        <f t="shared" si="21"/>
        <v/>
      </c>
      <c r="AL72" s="2"/>
      <c r="AM72" s="110" t="str">
        <f t="shared" si="29"/>
        <v/>
      </c>
      <c r="AN72" s="86"/>
      <c r="AO72" s="110" t="str">
        <f t="shared" si="22"/>
        <v/>
      </c>
      <c r="AP72" s="86"/>
      <c r="AQ72" s="86"/>
      <c r="AR72" s="86"/>
      <c r="AS72" s="2"/>
      <c r="AT72" s="2"/>
      <c r="AU72" s="770" t="str">
        <f t="shared" si="32"/>
        <v/>
      </c>
      <c r="AV72" s="2"/>
      <c r="AX72" t="str">
        <f t="shared" si="23"/>
        <v/>
      </c>
      <c r="AY72" t="str">
        <f>IF(J72="","",IF(AX72="F",WorksheetAC_old_keep!$F$3,IF(AX72="C",WorksheetAC_old_keep!$F$2,IF(AX72="R",WorksheetAC_old_keep!$F$4,IF(AX72=AE111,WorksheetAC_old_keep!$F$5,IF(AX72="T",WorksheetAC_old_keep!$F$6,IF(AX72="S",WorksheetAC_old_keep!$F$7,IF(AX72="A",WorksheetAC_old_keep!$F$8,IF(AX72="B",WorksheetAC_old_keep!$F$9,"")))))))))</f>
        <v/>
      </c>
      <c r="AZ72" t="str">
        <f t="shared" si="30"/>
        <v/>
      </c>
      <c r="BB72" t="str">
        <f t="shared" si="24"/>
        <v/>
      </c>
      <c r="BC72" t="str">
        <f t="shared" si="31"/>
        <v/>
      </c>
      <c r="BE72" s="11" t="str">
        <f t="shared" si="25"/>
        <v/>
      </c>
      <c r="BF72" s="11" t="str">
        <f t="shared" si="26"/>
        <v/>
      </c>
      <c r="BH72" t="str">
        <f t="shared" si="27"/>
        <v/>
      </c>
      <c r="BJ72" t="str">
        <f t="shared" si="28"/>
        <v/>
      </c>
    </row>
    <row r="73" spans="1:62" ht="15">
      <c r="A73" s="602"/>
      <c r="B73" s="602"/>
      <c r="C73" s="69" t="str">
        <f t="shared" si="18"/>
        <v/>
      </c>
      <c r="D73" s="2">
        <v>70</v>
      </c>
      <c r="E73" s="2"/>
      <c r="F73" s="104"/>
      <c r="G73" s="2"/>
      <c r="H73" s="104"/>
      <c r="I73" s="2"/>
      <c r="J73" s="888"/>
      <c r="K73" s="889"/>
      <c r="L73" s="890"/>
      <c r="M73" s="2"/>
      <c r="N73" s="103" t="s">
        <v>58</v>
      </c>
      <c r="O73" s="2"/>
      <c r="P73" s="111"/>
      <c r="Q73" s="67" t="str">
        <f t="shared" si="19"/>
        <v/>
      </c>
      <c r="R73" s="2"/>
      <c r="S73" s="103" t="s">
        <v>58</v>
      </c>
      <c r="T73" s="2"/>
      <c r="U73" s="103"/>
      <c r="V73" s="2"/>
      <c r="W73" s="103"/>
      <c r="X73" s="2"/>
      <c r="Y73" s="103"/>
      <c r="Z73" s="2"/>
      <c r="AA73" s="162"/>
      <c r="AB73" s="164" t="s">
        <v>59</v>
      </c>
      <c r="AC73" s="163"/>
      <c r="AD73" s="2"/>
      <c r="AE73" s="390" t="str">
        <f t="shared" si="20"/>
        <v/>
      </c>
      <c r="AF73" s="2"/>
      <c r="AG73" s="315" t="s">
        <v>11</v>
      </c>
      <c r="AH73" s="2"/>
      <c r="AI73" s="315"/>
      <c r="AJ73" s="2"/>
      <c r="AK73" s="390" t="str">
        <f t="shared" si="21"/>
        <v/>
      </c>
      <c r="AL73" s="2"/>
      <c r="AM73" s="110" t="str">
        <f t="shared" si="29"/>
        <v/>
      </c>
      <c r="AN73" s="86"/>
      <c r="AO73" s="110" t="str">
        <f t="shared" si="22"/>
        <v/>
      </c>
      <c r="AP73" s="86"/>
      <c r="AQ73" s="86"/>
      <c r="AR73" s="86"/>
      <c r="AS73" s="2"/>
      <c r="AT73" s="2"/>
      <c r="AU73" s="770" t="str">
        <f t="shared" si="32"/>
        <v/>
      </c>
      <c r="AV73" s="2"/>
      <c r="AX73" t="str">
        <f t="shared" si="23"/>
        <v/>
      </c>
      <c r="AY73" t="str">
        <f>IF(J73="","",IF(AX73="F",WorksheetAC_old_keep!$F$3,IF(AX73="C",WorksheetAC_old_keep!$F$2,IF(AX73="R",WorksheetAC_old_keep!$F$4,IF(AX73=AE112,WorksheetAC_old_keep!$F$5,IF(AX73="T",WorksheetAC_old_keep!$F$6,IF(AX73="S",WorksheetAC_old_keep!$F$7,IF(AX73="A",WorksheetAC_old_keep!$F$8,IF(AX73="B",WorksheetAC_old_keep!$F$9,"")))))))))</f>
        <v/>
      </c>
      <c r="AZ73" t="str">
        <f t="shared" si="30"/>
        <v/>
      </c>
      <c r="BB73" t="str">
        <f t="shared" si="24"/>
        <v/>
      </c>
      <c r="BC73" t="str">
        <f t="shared" si="31"/>
        <v/>
      </c>
      <c r="BE73" s="11" t="str">
        <f t="shared" si="25"/>
        <v/>
      </c>
      <c r="BF73" s="11" t="str">
        <f t="shared" si="26"/>
        <v/>
      </c>
      <c r="BH73" t="str">
        <f t="shared" si="27"/>
        <v/>
      </c>
      <c r="BJ73" t="str">
        <f t="shared" si="28"/>
        <v/>
      </c>
    </row>
    <row r="74" spans="1:62" ht="15">
      <c r="A74" s="602"/>
      <c r="B74" s="602"/>
      <c r="C74" s="69" t="str">
        <f t="shared" si="18"/>
        <v/>
      </c>
      <c r="D74" s="2">
        <v>71</v>
      </c>
      <c r="E74" s="2"/>
      <c r="F74" s="104"/>
      <c r="G74" s="2"/>
      <c r="H74" s="104"/>
      <c r="I74" s="2"/>
      <c r="J74" s="888"/>
      <c r="K74" s="889"/>
      <c r="L74" s="890"/>
      <c r="M74" s="2"/>
      <c r="N74" s="103" t="s">
        <v>58</v>
      </c>
      <c r="O74" s="2"/>
      <c r="P74" s="111"/>
      <c r="Q74" s="67" t="str">
        <f t="shared" si="19"/>
        <v/>
      </c>
      <c r="R74" s="2"/>
      <c r="S74" s="103" t="s">
        <v>58</v>
      </c>
      <c r="T74" s="2"/>
      <c r="U74" s="103"/>
      <c r="V74" s="2"/>
      <c r="W74" s="103"/>
      <c r="X74" s="2"/>
      <c r="Y74" s="103"/>
      <c r="Z74" s="2"/>
      <c r="AA74" s="162"/>
      <c r="AB74" s="164" t="s">
        <v>59</v>
      </c>
      <c r="AC74" s="163"/>
      <c r="AD74" s="2"/>
      <c r="AE74" s="390" t="str">
        <f t="shared" si="20"/>
        <v/>
      </c>
      <c r="AF74" s="2"/>
      <c r="AG74" s="315" t="s">
        <v>11</v>
      </c>
      <c r="AH74" s="2"/>
      <c r="AI74" s="315"/>
      <c r="AJ74" s="2"/>
      <c r="AK74" s="390" t="str">
        <f t="shared" si="21"/>
        <v/>
      </c>
      <c r="AL74" s="2"/>
      <c r="AM74" s="110" t="str">
        <f t="shared" si="29"/>
        <v/>
      </c>
      <c r="AN74" s="86"/>
      <c r="AO74" s="110" t="str">
        <f t="shared" si="22"/>
        <v/>
      </c>
      <c r="AP74" s="86"/>
      <c r="AQ74" s="86"/>
      <c r="AR74" s="86"/>
      <c r="AS74" s="2"/>
      <c r="AT74" s="2"/>
      <c r="AU74" s="770" t="str">
        <f t="shared" si="32"/>
        <v/>
      </c>
      <c r="AV74" s="2"/>
      <c r="AX74" t="str">
        <f t="shared" si="23"/>
        <v/>
      </c>
      <c r="AY74" t="str">
        <f>IF(J74="","",IF(AX74="F",WorksheetAC_old_keep!$F$3,IF(AX74="C",WorksheetAC_old_keep!$F$2,IF(AX74="R",WorksheetAC_old_keep!$F$4,IF(AX74=AE113,WorksheetAC_old_keep!$F$5,IF(AX74="T",WorksheetAC_old_keep!$F$6,IF(AX74="S",WorksheetAC_old_keep!$F$7,IF(AX74="A",WorksheetAC_old_keep!$F$8,IF(AX74="B",WorksheetAC_old_keep!$F$9,"")))))))))</f>
        <v/>
      </c>
      <c r="AZ74" t="str">
        <f t="shared" si="30"/>
        <v/>
      </c>
      <c r="BB74" t="str">
        <f t="shared" si="24"/>
        <v/>
      </c>
      <c r="BC74" t="str">
        <f t="shared" si="31"/>
        <v/>
      </c>
      <c r="BE74" s="11" t="str">
        <f t="shared" si="25"/>
        <v/>
      </c>
      <c r="BF74" s="11" t="str">
        <f t="shared" si="26"/>
        <v/>
      </c>
      <c r="BH74" t="str">
        <f t="shared" si="27"/>
        <v/>
      </c>
      <c r="BJ74" t="str">
        <f t="shared" si="28"/>
        <v/>
      </c>
    </row>
    <row r="75" spans="1:62" ht="15">
      <c r="A75" s="602"/>
      <c r="B75" s="602"/>
      <c r="C75" s="69" t="str">
        <f t="shared" si="18"/>
        <v/>
      </c>
      <c r="D75" s="2">
        <v>72</v>
      </c>
      <c r="E75" s="2"/>
      <c r="F75" s="104"/>
      <c r="G75" s="2"/>
      <c r="H75" s="104"/>
      <c r="I75" s="2"/>
      <c r="J75" s="888"/>
      <c r="K75" s="889"/>
      <c r="L75" s="890"/>
      <c r="M75" s="2"/>
      <c r="N75" s="103" t="s">
        <v>58</v>
      </c>
      <c r="O75" s="2"/>
      <c r="P75" s="111"/>
      <c r="Q75" s="67" t="str">
        <f t="shared" si="19"/>
        <v/>
      </c>
      <c r="R75" s="2"/>
      <c r="S75" s="103" t="s">
        <v>58</v>
      </c>
      <c r="T75" s="2"/>
      <c r="U75" s="103"/>
      <c r="V75" s="2"/>
      <c r="W75" s="103"/>
      <c r="X75" s="2"/>
      <c r="Y75" s="103"/>
      <c r="Z75" s="2"/>
      <c r="AA75" s="162"/>
      <c r="AB75" s="164" t="s">
        <v>59</v>
      </c>
      <c r="AC75" s="163"/>
      <c r="AD75" s="2"/>
      <c r="AE75" s="390" t="str">
        <f t="shared" si="20"/>
        <v/>
      </c>
      <c r="AF75" s="2"/>
      <c r="AG75" s="315" t="s">
        <v>11</v>
      </c>
      <c r="AH75" s="2"/>
      <c r="AI75" s="315"/>
      <c r="AJ75" s="2"/>
      <c r="AK75" s="390" t="str">
        <f t="shared" si="21"/>
        <v/>
      </c>
      <c r="AL75" s="2"/>
      <c r="AM75" s="110" t="str">
        <f t="shared" si="29"/>
        <v/>
      </c>
      <c r="AN75" s="86"/>
      <c r="AO75" s="110" t="str">
        <f t="shared" si="22"/>
        <v/>
      </c>
      <c r="AP75" s="86"/>
      <c r="AQ75" s="86"/>
      <c r="AR75" s="86"/>
      <c r="AS75" s="2"/>
      <c r="AT75" s="2"/>
      <c r="AU75" s="770" t="str">
        <f t="shared" si="32"/>
        <v/>
      </c>
      <c r="AV75" s="2"/>
      <c r="AX75" t="str">
        <f t="shared" si="23"/>
        <v/>
      </c>
      <c r="AY75" t="str">
        <f>IF(J75="","",IF(AX75="F",WorksheetAC_old_keep!$F$3,IF(AX75="C",WorksheetAC_old_keep!$F$2,IF(AX75="R",WorksheetAC_old_keep!$F$4,IF(AX75=AE114,WorksheetAC_old_keep!$F$5,IF(AX75="T",WorksheetAC_old_keep!$F$6,IF(AX75="S",WorksheetAC_old_keep!$F$7,IF(AX75="A",WorksheetAC_old_keep!$F$8,IF(AX75="B",WorksheetAC_old_keep!$F$9,"")))))))))</f>
        <v/>
      </c>
      <c r="AZ75" t="str">
        <f t="shared" si="30"/>
        <v/>
      </c>
      <c r="BB75" t="str">
        <f t="shared" si="24"/>
        <v/>
      </c>
      <c r="BC75" t="str">
        <f t="shared" si="31"/>
        <v/>
      </c>
      <c r="BE75" s="11" t="str">
        <f t="shared" si="25"/>
        <v/>
      </c>
      <c r="BF75" s="11" t="str">
        <f t="shared" si="26"/>
        <v/>
      </c>
      <c r="BH75" t="str">
        <f t="shared" si="27"/>
        <v/>
      </c>
      <c r="BJ75" t="str">
        <f t="shared" si="28"/>
        <v/>
      </c>
    </row>
    <row r="76" spans="1:62" ht="15">
      <c r="A76" s="602"/>
      <c r="B76" s="602"/>
      <c r="C76" s="69" t="str">
        <f t="shared" si="18"/>
        <v/>
      </c>
      <c r="D76" s="2">
        <v>73</v>
      </c>
      <c r="E76" s="2"/>
      <c r="F76" s="104"/>
      <c r="G76" s="2"/>
      <c r="H76" s="104"/>
      <c r="I76" s="2"/>
      <c r="J76" s="888"/>
      <c r="K76" s="889"/>
      <c r="L76" s="890"/>
      <c r="M76" s="2"/>
      <c r="N76" s="103" t="s">
        <v>58</v>
      </c>
      <c r="O76" s="2"/>
      <c r="P76" s="111"/>
      <c r="Q76" s="67" t="str">
        <f t="shared" si="19"/>
        <v/>
      </c>
      <c r="R76" s="2"/>
      <c r="S76" s="103" t="s">
        <v>58</v>
      </c>
      <c r="T76" s="2"/>
      <c r="U76" s="103"/>
      <c r="V76" s="2"/>
      <c r="W76" s="103"/>
      <c r="X76" s="2"/>
      <c r="Y76" s="103"/>
      <c r="Z76" s="2"/>
      <c r="AA76" s="162"/>
      <c r="AB76" s="164" t="s">
        <v>59</v>
      </c>
      <c r="AC76" s="163"/>
      <c r="AD76" s="2"/>
      <c r="AE76" s="390" t="str">
        <f t="shared" si="20"/>
        <v/>
      </c>
      <c r="AF76" s="2"/>
      <c r="AG76" s="315" t="s">
        <v>11</v>
      </c>
      <c r="AH76" s="2"/>
      <c r="AI76" s="315"/>
      <c r="AJ76" s="2"/>
      <c r="AK76" s="390" t="str">
        <f t="shared" si="21"/>
        <v/>
      </c>
      <c r="AL76" s="2"/>
      <c r="AM76" s="110" t="str">
        <f t="shared" si="29"/>
        <v/>
      </c>
      <c r="AN76" s="86"/>
      <c r="AO76" s="110" t="str">
        <f t="shared" si="22"/>
        <v/>
      </c>
      <c r="AP76" s="86"/>
      <c r="AQ76" s="86"/>
      <c r="AR76" s="86"/>
      <c r="AS76" s="2"/>
      <c r="AT76" s="2"/>
      <c r="AU76" s="770" t="str">
        <f t="shared" si="32"/>
        <v/>
      </c>
      <c r="AV76" s="2"/>
      <c r="AX76" t="str">
        <f t="shared" si="23"/>
        <v/>
      </c>
      <c r="AY76" t="str">
        <f>IF(J76="","",IF(AX76="F",WorksheetAC_old_keep!$F$3,IF(AX76="C",WorksheetAC_old_keep!$F$2,IF(AX76="R",WorksheetAC_old_keep!$F$4,IF(AX76=AE115,WorksheetAC_old_keep!$F$5,IF(AX76="T",WorksheetAC_old_keep!$F$6,IF(AX76="S",WorksheetAC_old_keep!$F$7,IF(AX76="A",WorksheetAC_old_keep!$F$8,IF(AX76="B",WorksheetAC_old_keep!$F$9,"")))))))))</f>
        <v/>
      </c>
      <c r="AZ76" t="str">
        <f t="shared" si="30"/>
        <v/>
      </c>
      <c r="BB76" t="str">
        <f t="shared" si="24"/>
        <v/>
      </c>
      <c r="BC76" t="str">
        <f t="shared" si="31"/>
        <v/>
      </c>
      <c r="BE76" s="11" t="str">
        <f t="shared" si="25"/>
        <v/>
      </c>
      <c r="BF76" s="11" t="str">
        <f t="shared" si="26"/>
        <v/>
      </c>
      <c r="BH76" t="str">
        <f t="shared" si="27"/>
        <v/>
      </c>
      <c r="BJ76" t="str">
        <f t="shared" si="28"/>
        <v/>
      </c>
    </row>
    <row r="77" spans="1:62" ht="15">
      <c r="A77" s="602"/>
      <c r="B77" s="602"/>
      <c r="C77" s="69" t="str">
        <f t="shared" si="18"/>
        <v/>
      </c>
      <c r="D77" s="2">
        <v>74</v>
      </c>
      <c r="E77" s="2"/>
      <c r="F77" s="104"/>
      <c r="G77" s="2"/>
      <c r="H77" s="104"/>
      <c r="I77" s="2"/>
      <c r="J77" s="888"/>
      <c r="K77" s="889"/>
      <c r="L77" s="890"/>
      <c r="M77" s="2"/>
      <c r="N77" s="103" t="s">
        <v>58</v>
      </c>
      <c r="O77" s="2"/>
      <c r="P77" s="111"/>
      <c r="Q77" s="67" t="str">
        <f t="shared" si="19"/>
        <v/>
      </c>
      <c r="R77" s="2"/>
      <c r="S77" s="103" t="s">
        <v>58</v>
      </c>
      <c r="T77" s="2"/>
      <c r="U77" s="103"/>
      <c r="V77" s="2"/>
      <c r="W77" s="103"/>
      <c r="X77" s="2"/>
      <c r="Y77" s="103"/>
      <c r="Z77" s="2"/>
      <c r="AA77" s="162"/>
      <c r="AB77" s="164" t="s">
        <v>59</v>
      </c>
      <c r="AC77" s="163"/>
      <c r="AD77" s="2"/>
      <c r="AE77" s="390" t="str">
        <f t="shared" si="20"/>
        <v/>
      </c>
      <c r="AF77" s="2"/>
      <c r="AG77" s="315" t="s">
        <v>11</v>
      </c>
      <c r="AH77" s="2"/>
      <c r="AI77" s="315"/>
      <c r="AJ77" s="2"/>
      <c r="AK77" s="390" t="str">
        <f t="shared" si="21"/>
        <v/>
      </c>
      <c r="AL77" s="2"/>
      <c r="AM77" s="110" t="str">
        <f t="shared" si="29"/>
        <v/>
      </c>
      <c r="AN77" s="86"/>
      <c r="AO77" s="110" t="str">
        <f t="shared" si="22"/>
        <v/>
      </c>
      <c r="AP77" s="86"/>
      <c r="AQ77" s="86"/>
      <c r="AR77" s="86"/>
      <c r="AS77" s="2"/>
      <c r="AT77" s="2"/>
      <c r="AU77" s="770" t="str">
        <f t="shared" si="32"/>
        <v/>
      </c>
      <c r="AV77" s="2"/>
      <c r="AX77" t="str">
        <f t="shared" si="23"/>
        <v/>
      </c>
      <c r="AY77" t="str">
        <f>IF(J77="","",IF(AX77="F",WorksheetAC_old_keep!$F$3,IF(AX77="C",WorksheetAC_old_keep!$F$2,IF(AX77="R",WorksheetAC_old_keep!$F$4,IF(AX77=AE116,WorksheetAC_old_keep!$F$5,IF(AX77="T",WorksheetAC_old_keep!$F$6,IF(AX77="S",WorksheetAC_old_keep!$F$7,IF(AX77="A",WorksheetAC_old_keep!$F$8,IF(AX77="B",WorksheetAC_old_keep!$F$9,"")))))))))</f>
        <v/>
      </c>
      <c r="AZ77" t="str">
        <f t="shared" si="30"/>
        <v/>
      </c>
      <c r="BB77" t="str">
        <f t="shared" si="24"/>
        <v/>
      </c>
      <c r="BC77" t="str">
        <f t="shared" si="31"/>
        <v/>
      </c>
      <c r="BE77" s="11" t="str">
        <f t="shared" si="25"/>
        <v/>
      </c>
      <c r="BF77" s="11" t="str">
        <f t="shared" si="26"/>
        <v/>
      </c>
      <c r="BH77" t="str">
        <f t="shared" si="27"/>
        <v/>
      </c>
      <c r="BJ77" t="str">
        <f t="shared" si="28"/>
        <v/>
      </c>
    </row>
    <row r="78" spans="1:62" ht="15">
      <c r="A78" s="602"/>
      <c r="B78" s="602"/>
      <c r="C78" s="69" t="str">
        <f t="shared" si="18"/>
        <v/>
      </c>
      <c r="D78" s="2">
        <v>75</v>
      </c>
      <c r="E78" s="2"/>
      <c r="F78" s="104"/>
      <c r="G78" s="2"/>
      <c r="H78" s="104"/>
      <c r="I78" s="2"/>
      <c r="J78" s="888"/>
      <c r="K78" s="889"/>
      <c r="L78" s="890"/>
      <c r="M78" s="2"/>
      <c r="N78" s="103" t="s">
        <v>58</v>
      </c>
      <c r="O78" s="2"/>
      <c r="P78" s="111"/>
      <c r="Q78" s="67" t="str">
        <f t="shared" si="19"/>
        <v/>
      </c>
      <c r="R78" s="2"/>
      <c r="S78" s="103" t="s">
        <v>58</v>
      </c>
      <c r="T78" s="2"/>
      <c r="U78" s="103"/>
      <c r="V78" s="2"/>
      <c r="W78" s="103"/>
      <c r="X78" s="2"/>
      <c r="Y78" s="103"/>
      <c r="Z78" s="2"/>
      <c r="AA78" s="162"/>
      <c r="AB78" s="164" t="s">
        <v>59</v>
      </c>
      <c r="AC78" s="163"/>
      <c r="AD78" s="2"/>
      <c r="AE78" s="390" t="str">
        <f t="shared" si="20"/>
        <v/>
      </c>
      <c r="AF78" s="2"/>
      <c r="AG78" s="315" t="s">
        <v>11</v>
      </c>
      <c r="AH78" s="2"/>
      <c r="AI78" s="315"/>
      <c r="AJ78" s="2"/>
      <c r="AK78" s="390" t="str">
        <f t="shared" si="21"/>
        <v/>
      </c>
      <c r="AL78" s="2"/>
      <c r="AM78" s="110" t="str">
        <f t="shared" si="29"/>
        <v/>
      </c>
      <c r="AN78" s="86"/>
      <c r="AO78" s="110" t="str">
        <f t="shared" si="22"/>
        <v/>
      </c>
      <c r="AP78" s="86"/>
      <c r="AQ78" s="86"/>
      <c r="AR78" s="86"/>
      <c r="AS78" s="2"/>
      <c r="AT78" s="2"/>
      <c r="AU78" s="770" t="str">
        <f t="shared" si="32"/>
        <v/>
      </c>
      <c r="AV78" s="2"/>
      <c r="AX78" t="str">
        <f t="shared" si="23"/>
        <v/>
      </c>
      <c r="AY78" t="str">
        <f>IF(J78="","",IF(AX78="F",WorksheetAC_old_keep!$F$3,IF(AX78="C",WorksheetAC_old_keep!$F$2,IF(AX78="R",WorksheetAC_old_keep!$F$4,IF(AX78=AE117,WorksheetAC_old_keep!$F$5,IF(AX78="T",WorksheetAC_old_keep!$F$6,IF(AX78="S",WorksheetAC_old_keep!$F$7,IF(AX78="A",WorksheetAC_old_keep!$F$8,IF(AX78="B",WorksheetAC_old_keep!$F$9,"")))))))))</f>
        <v/>
      </c>
      <c r="AZ78" t="str">
        <f t="shared" si="30"/>
        <v/>
      </c>
      <c r="BB78" t="str">
        <f t="shared" si="24"/>
        <v/>
      </c>
      <c r="BC78" t="str">
        <f t="shared" si="31"/>
        <v/>
      </c>
      <c r="BE78" s="11" t="str">
        <f t="shared" si="25"/>
        <v/>
      </c>
      <c r="BF78" s="11" t="str">
        <f t="shared" si="26"/>
        <v/>
      </c>
      <c r="BH78" t="str">
        <f t="shared" si="27"/>
        <v/>
      </c>
      <c r="BJ78" t="str">
        <f t="shared" si="28"/>
        <v/>
      </c>
    </row>
    <row r="79" spans="1:62" ht="15">
      <c r="A79" s="602"/>
      <c r="B79" s="602"/>
      <c r="C79" s="69" t="str">
        <f t="shared" si="18"/>
        <v/>
      </c>
      <c r="D79" s="2">
        <v>76</v>
      </c>
      <c r="E79" s="2"/>
      <c r="F79" s="104"/>
      <c r="G79" s="2"/>
      <c r="H79" s="104"/>
      <c r="I79" s="2"/>
      <c r="J79" s="888"/>
      <c r="K79" s="889"/>
      <c r="L79" s="890"/>
      <c r="M79" s="2"/>
      <c r="N79" s="103" t="s">
        <v>58</v>
      </c>
      <c r="O79" s="2"/>
      <c r="P79" s="111"/>
      <c r="Q79" s="67" t="str">
        <f t="shared" si="19"/>
        <v/>
      </c>
      <c r="R79" s="2"/>
      <c r="S79" s="103" t="s">
        <v>58</v>
      </c>
      <c r="T79" s="2"/>
      <c r="U79" s="103"/>
      <c r="V79" s="2"/>
      <c r="W79" s="103"/>
      <c r="X79" s="2"/>
      <c r="Y79" s="103"/>
      <c r="Z79" s="2"/>
      <c r="AA79" s="162"/>
      <c r="AB79" s="164" t="s">
        <v>59</v>
      </c>
      <c r="AC79" s="163"/>
      <c r="AD79" s="2"/>
      <c r="AE79" s="390" t="str">
        <f t="shared" si="20"/>
        <v/>
      </c>
      <c r="AF79" s="2"/>
      <c r="AG79" s="315" t="s">
        <v>11</v>
      </c>
      <c r="AH79" s="2"/>
      <c r="AI79" s="315"/>
      <c r="AJ79" s="2"/>
      <c r="AK79" s="390" t="str">
        <f t="shared" si="21"/>
        <v/>
      </c>
      <c r="AL79" s="2"/>
      <c r="AM79" s="110" t="str">
        <f t="shared" si="29"/>
        <v/>
      </c>
      <c r="AN79" s="86"/>
      <c r="AO79" s="110" t="str">
        <f t="shared" si="22"/>
        <v/>
      </c>
      <c r="AP79" s="86"/>
      <c r="AQ79" s="86"/>
      <c r="AR79" s="86"/>
      <c r="AS79" s="2"/>
      <c r="AT79" s="2"/>
      <c r="AU79" s="770" t="str">
        <f t="shared" si="32"/>
        <v/>
      </c>
      <c r="AV79" s="2"/>
      <c r="AX79" t="str">
        <f t="shared" si="23"/>
        <v/>
      </c>
      <c r="AY79" t="str">
        <f>IF(J79="","",IF(AX79="F",WorksheetAC_old_keep!$F$3,IF(AX79="C",WorksheetAC_old_keep!$F$2,IF(AX79="R",WorksheetAC_old_keep!$F$4,IF(AX79=AE118,WorksheetAC_old_keep!$F$5,IF(AX79="T",WorksheetAC_old_keep!$F$6,IF(AX79="S",WorksheetAC_old_keep!$F$7,IF(AX79="A",WorksheetAC_old_keep!$F$8,IF(AX79="B",WorksheetAC_old_keep!$F$9,"")))))))))</f>
        <v/>
      </c>
      <c r="AZ79" t="str">
        <f t="shared" si="30"/>
        <v/>
      </c>
      <c r="BB79" t="str">
        <f t="shared" si="24"/>
        <v/>
      </c>
      <c r="BC79" t="str">
        <f t="shared" si="31"/>
        <v/>
      </c>
      <c r="BE79" s="11" t="str">
        <f t="shared" si="25"/>
        <v/>
      </c>
      <c r="BF79" s="11" t="str">
        <f t="shared" si="26"/>
        <v/>
      </c>
      <c r="BH79" t="str">
        <f t="shared" si="27"/>
        <v/>
      </c>
      <c r="BJ79" t="str">
        <f t="shared" si="28"/>
        <v/>
      </c>
    </row>
    <row r="80" spans="1:62" ht="15">
      <c r="A80" s="602"/>
      <c r="B80" s="602"/>
      <c r="C80" s="69" t="str">
        <f t="shared" si="18"/>
        <v/>
      </c>
      <c r="D80" s="2">
        <v>77</v>
      </c>
      <c r="E80" s="2"/>
      <c r="F80" s="104"/>
      <c r="G80" s="2"/>
      <c r="H80" s="104"/>
      <c r="I80" s="2"/>
      <c r="J80" s="888"/>
      <c r="K80" s="889"/>
      <c r="L80" s="890"/>
      <c r="M80" s="2"/>
      <c r="N80" s="103" t="s">
        <v>58</v>
      </c>
      <c r="O80" s="2"/>
      <c r="P80" s="111"/>
      <c r="Q80" s="67" t="str">
        <f t="shared" si="19"/>
        <v/>
      </c>
      <c r="R80" s="2"/>
      <c r="S80" s="103" t="s">
        <v>58</v>
      </c>
      <c r="T80" s="2"/>
      <c r="U80" s="103"/>
      <c r="V80" s="2"/>
      <c r="W80" s="103"/>
      <c r="X80" s="2"/>
      <c r="Y80" s="103"/>
      <c r="Z80" s="2"/>
      <c r="AA80" s="162"/>
      <c r="AB80" s="164" t="s">
        <v>59</v>
      </c>
      <c r="AC80" s="163"/>
      <c r="AD80" s="2"/>
      <c r="AE80" s="390" t="str">
        <f t="shared" si="20"/>
        <v/>
      </c>
      <c r="AF80" s="2"/>
      <c r="AG80" s="315" t="s">
        <v>11</v>
      </c>
      <c r="AH80" s="2"/>
      <c r="AI80" s="315"/>
      <c r="AJ80" s="2"/>
      <c r="AK80" s="390" t="str">
        <f t="shared" si="21"/>
        <v/>
      </c>
      <c r="AL80" s="2"/>
      <c r="AM80" s="110" t="str">
        <f t="shared" si="29"/>
        <v/>
      </c>
      <c r="AN80" s="86"/>
      <c r="AO80" s="110" t="str">
        <f t="shared" si="22"/>
        <v/>
      </c>
      <c r="AP80" s="86"/>
      <c r="AQ80" s="86"/>
      <c r="AR80" s="86"/>
      <c r="AS80" s="2"/>
      <c r="AT80" s="2"/>
      <c r="AU80" s="770" t="str">
        <f t="shared" si="32"/>
        <v/>
      </c>
      <c r="AV80" s="2"/>
      <c r="AX80" t="str">
        <f t="shared" si="23"/>
        <v/>
      </c>
      <c r="AY80" t="str">
        <f>IF(J80="","",IF(AX80="F",WorksheetAC_old_keep!$F$3,IF(AX80="C",WorksheetAC_old_keep!$F$2,IF(AX80="R",WorksheetAC_old_keep!$F$4,IF(AX80=AE119,WorksheetAC_old_keep!$F$5,IF(AX80="T",WorksheetAC_old_keep!$F$6,IF(AX80="S",WorksheetAC_old_keep!$F$7,IF(AX80="A",WorksheetAC_old_keep!$F$8,IF(AX80="B",WorksheetAC_old_keep!$F$9,"")))))))))</f>
        <v/>
      </c>
      <c r="AZ80" t="str">
        <f t="shared" si="30"/>
        <v/>
      </c>
      <c r="BB80" t="str">
        <f t="shared" si="24"/>
        <v/>
      </c>
      <c r="BC80" t="str">
        <f t="shared" si="31"/>
        <v/>
      </c>
      <c r="BE80" s="11" t="str">
        <f t="shared" si="25"/>
        <v/>
      </c>
      <c r="BF80" s="11" t="str">
        <f t="shared" si="26"/>
        <v/>
      </c>
      <c r="BH80" t="str">
        <f t="shared" si="27"/>
        <v/>
      </c>
      <c r="BJ80" t="str">
        <f t="shared" si="28"/>
        <v/>
      </c>
    </row>
    <row r="81" spans="1:62" ht="15">
      <c r="A81" s="602"/>
      <c r="B81" s="602"/>
      <c r="C81" s="69" t="str">
        <f t="shared" si="18"/>
        <v/>
      </c>
      <c r="D81" s="2">
        <v>78</v>
      </c>
      <c r="E81" s="2"/>
      <c r="F81" s="104"/>
      <c r="G81" s="2"/>
      <c r="H81" s="104"/>
      <c r="I81" s="2"/>
      <c r="J81" s="888"/>
      <c r="K81" s="889"/>
      <c r="L81" s="890"/>
      <c r="M81" s="2"/>
      <c r="N81" s="103" t="s">
        <v>58</v>
      </c>
      <c r="O81" s="2"/>
      <c r="P81" s="111"/>
      <c r="Q81" s="67" t="str">
        <f t="shared" si="19"/>
        <v/>
      </c>
      <c r="R81" s="2"/>
      <c r="S81" s="103" t="s">
        <v>58</v>
      </c>
      <c r="T81" s="2"/>
      <c r="U81" s="103"/>
      <c r="V81" s="2"/>
      <c r="W81" s="103"/>
      <c r="X81" s="2"/>
      <c r="Y81" s="103"/>
      <c r="Z81" s="2"/>
      <c r="AA81" s="162"/>
      <c r="AB81" s="164" t="s">
        <v>59</v>
      </c>
      <c r="AC81" s="163"/>
      <c r="AD81" s="2"/>
      <c r="AE81" s="390" t="str">
        <f t="shared" si="20"/>
        <v/>
      </c>
      <c r="AF81" s="2"/>
      <c r="AG81" s="315" t="s">
        <v>11</v>
      </c>
      <c r="AH81" s="2"/>
      <c r="AI81" s="315"/>
      <c r="AJ81" s="2"/>
      <c r="AK81" s="390" t="str">
        <f t="shared" si="21"/>
        <v/>
      </c>
      <c r="AL81" s="2"/>
      <c r="AM81" s="110" t="str">
        <f t="shared" si="29"/>
        <v/>
      </c>
      <c r="AN81" s="86"/>
      <c r="AO81" s="110" t="str">
        <f t="shared" si="22"/>
        <v/>
      </c>
      <c r="AP81" s="86"/>
      <c r="AQ81" s="86"/>
      <c r="AR81" s="86"/>
      <c r="AS81" s="2"/>
      <c r="AT81" s="2"/>
      <c r="AU81" s="770" t="str">
        <f t="shared" si="32"/>
        <v/>
      </c>
      <c r="AV81" s="2"/>
      <c r="AX81" t="str">
        <f t="shared" si="23"/>
        <v/>
      </c>
      <c r="AY81" t="str">
        <f>IF(J81="","",IF(AX81="F",WorksheetAC_old_keep!$F$3,IF(AX81="C",WorksheetAC_old_keep!$F$2,IF(AX81="R",WorksheetAC_old_keep!$F$4,IF(AX81=AE120,WorksheetAC_old_keep!$F$5,IF(AX81="T",WorksheetAC_old_keep!$F$6,IF(AX81="S",WorksheetAC_old_keep!$F$7,IF(AX81="A",WorksheetAC_old_keep!$F$8,IF(AX81="B",WorksheetAC_old_keep!$F$9,"")))))))))</f>
        <v/>
      </c>
      <c r="AZ81" t="str">
        <f t="shared" si="30"/>
        <v/>
      </c>
      <c r="BB81" t="str">
        <f t="shared" si="24"/>
        <v/>
      </c>
      <c r="BC81" t="str">
        <f t="shared" si="31"/>
        <v/>
      </c>
      <c r="BE81" s="11" t="str">
        <f t="shared" si="25"/>
        <v/>
      </c>
      <c r="BF81" s="11" t="str">
        <f t="shared" si="26"/>
        <v/>
      </c>
      <c r="BH81" t="str">
        <f t="shared" si="27"/>
        <v/>
      </c>
      <c r="BJ81" t="str">
        <f t="shared" si="28"/>
        <v/>
      </c>
    </row>
    <row r="82" spans="1:62" ht="15">
      <c r="A82" s="602"/>
      <c r="B82" s="602"/>
      <c r="C82" s="69" t="str">
        <f t="shared" ref="C82:C83" si="33">IFERROR(MATCH(J82,ACSelect,0),"")</f>
        <v/>
      </c>
      <c r="D82" s="2">
        <v>79</v>
      </c>
      <c r="E82" s="2"/>
      <c r="F82" s="104"/>
      <c r="G82" s="2"/>
      <c r="H82" s="104"/>
      <c r="I82" s="2"/>
      <c r="J82" s="888"/>
      <c r="K82" s="889"/>
      <c r="L82" s="890"/>
      <c r="M82" s="2"/>
      <c r="N82" s="103" t="s">
        <v>58</v>
      </c>
      <c r="O82" s="2"/>
      <c r="P82" s="111"/>
      <c r="Q82" s="67" t="str">
        <f t="shared" ref="Q82:Q83" si="34">IF(P82="","",IF(P82&lt;BE82,"&lt;",IF(P82&gt;BF82,"&gt;","")))</f>
        <v/>
      </c>
      <c r="R82" s="2"/>
      <c r="S82" s="103" t="s">
        <v>58</v>
      </c>
      <c r="T82" s="2"/>
      <c r="U82" s="103"/>
      <c r="V82" s="2"/>
      <c r="W82" s="103"/>
      <c r="X82" s="2"/>
      <c r="Y82" s="103"/>
      <c r="Z82" s="2"/>
      <c r="AA82" s="162"/>
      <c r="AB82" s="164" t="s">
        <v>59</v>
      </c>
      <c r="AC82" s="163"/>
      <c r="AD82" s="2"/>
      <c r="AE82" s="390" t="str">
        <f t="shared" ref="AE82:AE83" si="35">IFERROR(VLOOKUP(C82,Aircraftlist,11)+1,"")</f>
        <v/>
      </c>
      <c r="AF82" s="2"/>
      <c r="AG82" s="315" t="s">
        <v>11</v>
      </c>
      <c r="AH82" s="2"/>
      <c r="AI82" s="315"/>
      <c r="AJ82" s="2"/>
      <c r="AK82" s="390" t="str">
        <f t="shared" ref="AK82:AK83" si="36">IFERROR(VLOOKUP(C82,Aircraftlist,12),"")</f>
        <v/>
      </c>
      <c r="AL82" s="2"/>
      <c r="AM82" s="110" t="str">
        <f t="shared" si="29"/>
        <v/>
      </c>
      <c r="AN82" s="86"/>
      <c r="AO82" s="110" t="str">
        <f t="shared" ref="AO82:AO83" si="37">IFERROR(IF(VLOOKUP($C82,Aircraftlist,15)="O",0,VLOOKUP(BC82,RateTableRef,2)),"")</f>
        <v/>
      </c>
      <c r="AP82" s="86"/>
      <c r="AQ82" s="86"/>
      <c r="AR82" s="86"/>
      <c r="AS82" s="2"/>
      <c r="AT82" s="2"/>
      <c r="AU82" s="770" t="str">
        <f t="shared" si="32"/>
        <v/>
      </c>
      <c r="AV82" s="2"/>
      <c r="AX82" t="str">
        <f t="shared" ref="AX82:AX83" si="38">IF(N82="Y","S",IFERROR(VLOOKUP(C82,Aircraftlist,16),""))</f>
        <v/>
      </c>
      <c r="AY82" t="str">
        <f>IF(J82="","",IF(AX82="F",WorksheetAC_old_keep!$F$3,IF(AX82="C",WorksheetAC_old_keep!$F$2,IF(AX82="R",WorksheetAC_old_keep!$F$4,IF(AX82=AE121,WorksheetAC_old_keep!$F$5,IF(AX82="T",WorksheetAC_old_keep!$F$6,IF(AX82="S",WorksheetAC_old_keep!$F$7,IF(AX82="A",WorksheetAC_old_keep!$F$8,IF(AX82="B",WorksheetAC_old_keep!$F$9,"")))))))))</f>
        <v/>
      </c>
      <c r="AZ82" t="str">
        <f t="shared" si="30"/>
        <v/>
      </c>
      <c r="BB82" t="str">
        <f t="shared" ref="BB82:BB84" si="39">IF(AI82="",AE82,AI82)</f>
        <v/>
      </c>
      <c r="BC82" t="str">
        <f t="shared" si="31"/>
        <v/>
      </c>
      <c r="BE82" s="11" t="str">
        <f t="shared" ref="BE82:BE83" si="40">IFERROR(VLOOKUP(C82,Aircraftlist,8),"")</f>
        <v/>
      </c>
      <c r="BF82" s="11" t="str">
        <f t="shared" ref="BF82:BF83" si="41">IFERROR(VLOOKUP(C82,Aircraftlist,9),"")</f>
        <v/>
      </c>
      <c r="BH82" t="str">
        <f t="shared" ref="BH82:BH83" si="42">IF(J82="","",IF(OR(P82="",P82=0),"NA/NA",CONCATENATE(TEXT(AA82,"$#,###"),AB82,IF(AC82&lt;50,TEXT(AC82,"0%"),TEXT(AC82,"$#,###")))))</f>
        <v/>
      </c>
      <c r="BJ82" t="str">
        <f t="shared" ref="BJ82:BJ83" si="43">LEFT(AO82,2)</f>
        <v/>
      </c>
    </row>
    <row r="83" spans="1:62" ht="15">
      <c r="A83" s="602"/>
      <c r="B83" s="602"/>
      <c r="C83" s="69" t="str">
        <f t="shared" si="33"/>
        <v/>
      </c>
      <c r="D83" s="2">
        <v>80</v>
      </c>
      <c r="E83" s="2"/>
      <c r="F83" s="104"/>
      <c r="G83" s="2"/>
      <c r="H83" s="104"/>
      <c r="I83" s="2"/>
      <c r="J83" s="888"/>
      <c r="K83" s="889"/>
      <c r="L83" s="890"/>
      <c r="M83" s="2"/>
      <c r="N83" s="103" t="s">
        <v>58</v>
      </c>
      <c r="O83" s="2"/>
      <c r="P83" s="111"/>
      <c r="Q83" s="67" t="str">
        <f t="shared" si="34"/>
        <v/>
      </c>
      <c r="R83" s="2"/>
      <c r="S83" s="103" t="s">
        <v>58</v>
      </c>
      <c r="T83" s="2"/>
      <c r="U83" s="103"/>
      <c r="V83" s="2"/>
      <c r="W83" s="103"/>
      <c r="X83" s="2"/>
      <c r="Y83" s="103"/>
      <c r="Z83" s="2"/>
      <c r="AA83" s="162"/>
      <c r="AB83" s="164" t="s">
        <v>59</v>
      </c>
      <c r="AC83" s="163"/>
      <c r="AD83" s="2"/>
      <c r="AE83" s="390" t="str">
        <f t="shared" si="35"/>
        <v/>
      </c>
      <c r="AF83" s="2"/>
      <c r="AG83" s="315" t="s">
        <v>11</v>
      </c>
      <c r="AH83" s="2"/>
      <c r="AI83" s="315"/>
      <c r="AJ83" s="2"/>
      <c r="AK83" s="390" t="str">
        <f t="shared" si="36"/>
        <v/>
      </c>
      <c r="AL83" s="2"/>
      <c r="AM83" s="110" t="str">
        <f t="shared" si="29"/>
        <v/>
      </c>
      <c r="AN83" s="86"/>
      <c r="AO83" s="110" t="str">
        <f t="shared" si="37"/>
        <v/>
      </c>
      <c r="AP83" s="86"/>
      <c r="AQ83" s="86"/>
      <c r="AR83" s="86"/>
      <c r="AS83" s="2"/>
      <c r="AT83" s="2"/>
      <c r="AU83" s="770" t="str">
        <f t="shared" si="32"/>
        <v/>
      </c>
      <c r="AV83" s="2"/>
      <c r="AX83" t="str">
        <f t="shared" si="38"/>
        <v/>
      </c>
      <c r="AY83" t="str">
        <f>IF(J83="","",IF(AX83="F",WorksheetAC_old_keep!$F$3,IF(AX83="C",WorksheetAC_old_keep!$F$2,IF(AX83="R",WorksheetAC_old_keep!$F$4,IF(AX83=AE122,WorksheetAC_old_keep!$F$5,IF(AX83="T",WorksheetAC_old_keep!$F$6,IF(AX83="S",WorksheetAC_old_keep!$F$7,IF(AX83="A",WorksheetAC_old_keep!$F$8,IF(AX83="B",WorksheetAC_old_keep!$F$9,"")))))))))</f>
        <v/>
      </c>
      <c r="AZ83" t="str">
        <f t="shared" si="30"/>
        <v/>
      </c>
      <c r="BB83" t="str">
        <f t="shared" si="39"/>
        <v/>
      </c>
      <c r="BC83" t="str">
        <f t="shared" si="31"/>
        <v/>
      </c>
      <c r="BE83" s="11" t="str">
        <f t="shared" si="40"/>
        <v/>
      </c>
      <c r="BF83" s="11" t="str">
        <f t="shared" si="41"/>
        <v/>
      </c>
      <c r="BH83" t="str">
        <f t="shared" si="42"/>
        <v/>
      </c>
      <c r="BJ83" t="str">
        <f t="shared" si="43"/>
        <v/>
      </c>
    </row>
    <row r="84" spans="1:62" ht="15">
      <c r="A84" s="603"/>
      <c r="B84" s="603"/>
      <c r="C84" s="2"/>
      <c r="D84" s="2"/>
      <c r="E84" s="2"/>
      <c r="F84" s="2"/>
      <c r="G84" s="2"/>
      <c r="H84" s="2"/>
      <c r="I84" s="2"/>
      <c r="J84" s="2"/>
      <c r="K84" s="2"/>
      <c r="L84" s="2"/>
      <c r="M84" s="2"/>
      <c r="N84" s="2">
        <f>COUNTIF(N4:N83,"Y")</f>
        <v>1</v>
      </c>
      <c r="O84" s="2"/>
      <c r="P84" s="2"/>
      <c r="Q84" s="2"/>
      <c r="R84" s="2"/>
      <c r="S84" s="2"/>
      <c r="T84" s="2"/>
      <c r="U84" s="2"/>
      <c r="V84" s="2"/>
      <c r="W84" s="2"/>
      <c r="X84" s="2"/>
      <c r="Y84" s="42">
        <f>MAX(Y4:Y83)</f>
        <v>5000</v>
      </c>
      <c r="Z84" s="2"/>
      <c r="AA84" s="2"/>
      <c r="AB84" s="2"/>
      <c r="AC84" s="2"/>
      <c r="AD84" s="2"/>
      <c r="AE84" s="2">
        <f>MAX(AE4:AE83)</f>
        <v>7</v>
      </c>
      <c r="AF84" s="2"/>
      <c r="AG84" s="2"/>
      <c r="AH84" s="2"/>
      <c r="AI84" s="770">
        <f>MAX(AI4:AI83)</f>
        <v>0</v>
      </c>
      <c r="AJ84" s="2"/>
      <c r="AK84" s="2"/>
      <c r="AL84" s="2"/>
      <c r="AM84" s="2"/>
      <c r="AN84" s="2"/>
      <c r="AO84" s="2"/>
      <c r="AP84" s="2"/>
      <c r="AQ84" s="2"/>
      <c r="AR84" s="2"/>
      <c r="AS84" s="2"/>
      <c r="AT84" s="2"/>
      <c r="AU84" s="2"/>
      <c r="AV84" s="2"/>
      <c r="BB84">
        <f t="shared" si="39"/>
        <v>0</v>
      </c>
    </row>
    <row r="85" spans="1:6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770">
        <f>MAX(AE84,AI84)</f>
        <v>7</v>
      </c>
      <c r="AJ85" s="2"/>
      <c r="AK85" s="2"/>
      <c r="AL85" s="2"/>
      <c r="AM85" s="2"/>
      <c r="AN85" s="2"/>
      <c r="AO85" s="2"/>
      <c r="AP85" s="2"/>
      <c r="AQ85" s="2"/>
      <c r="AR85" s="2"/>
      <c r="AS85" s="2"/>
      <c r="AT85" s="2"/>
      <c r="AU85" s="2"/>
      <c r="AV85" s="2"/>
    </row>
    <row r="1048576" ht="12.75" hidden="1" customHeight="1"/>
  </sheetData>
  <sheetProtection formatRows="0" selectLockedCells="1"/>
  <mergeCells count="84">
    <mergeCell ref="J79:L79"/>
    <mergeCell ref="J80:L80"/>
    <mergeCell ref="J81:L81"/>
    <mergeCell ref="J82:L82"/>
    <mergeCell ref="J83:L83"/>
    <mergeCell ref="J74:L74"/>
    <mergeCell ref="J75:L75"/>
    <mergeCell ref="J76:L76"/>
    <mergeCell ref="J77:L77"/>
    <mergeCell ref="J78:L78"/>
    <mergeCell ref="J69:L69"/>
    <mergeCell ref="J70:L70"/>
    <mergeCell ref="J71:L71"/>
    <mergeCell ref="J72:L72"/>
    <mergeCell ref="J73:L73"/>
    <mergeCell ref="J64:L64"/>
    <mergeCell ref="J65:L65"/>
    <mergeCell ref="J66:L66"/>
    <mergeCell ref="J67:L67"/>
    <mergeCell ref="J68:L68"/>
    <mergeCell ref="J59:L59"/>
    <mergeCell ref="J60:L60"/>
    <mergeCell ref="J61:L61"/>
    <mergeCell ref="J62:L62"/>
    <mergeCell ref="J63:L63"/>
    <mergeCell ref="J54:L54"/>
    <mergeCell ref="J55:L55"/>
    <mergeCell ref="J56:L56"/>
    <mergeCell ref="J57:L57"/>
    <mergeCell ref="J58:L58"/>
    <mergeCell ref="J49:L49"/>
    <mergeCell ref="J50:L50"/>
    <mergeCell ref="J51:L51"/>
    <mergeCell ref="J52:L52"/>
    <mergeCell ref="J53:L53"/>
    <mergeCell ref="J44:L44"/>
    <mergeCell ref="J45:L45"/>
    <mergeCell ref="J46:L46"/>
    <mergeCell ref="J47:L47"/>
    <mergeCell ref="J48:L48"/>
    <mergeCell ref="J39:L39"/>
    <mergeCell ref="J40:L40"/>
    <mergeCell ref="J41:L41"/>
    <mergeCell ref="J42:L42"/>
    <mergeCell ref="J43:L43"/>
    <mergeCell ref="J34:L34"/>
    <mergeCell ref="J35:L35"/>
    <mergeCell ref="J36:L36"/>
    <mergeCell ref="J37:L37"/>
    <mergeCell ref="J38:L38"/>
    <mergeCell ref="S1:X2"/>
    <mergeCell ref="AA2:AC2"/>
    <mergeCell ref="J15:L15"/>
    <mergeCell ref="J4:L4"/>
    <mergeCell ref="J5:L5"/>
    <mergeCell ref="J6:L6"/>
    <mergeCell ref="J7:L7"/>
    <mergeCell ref="J8:L8"/>
    <mergeCell ref="J9:L9"/>
    <mergeCell ref="J3:L3"/>
    <mergeCell ref="A1:L2"/>
    <mergeCell ref="J31:L31"/>
    <mergeCell ref="J32:L32"/>
    <mergeCell ref="J33:L33"/>
    <mergeCell ref="J22:L22"/>
    <mergeCell ref="J23:L23"/>
    <mergeCell ref="J24:L24"/>
    <mergeCell ref="J25:L25"/>
    <mergeCell ref="J26:L26"/>
    <mergeCell ref="J27:L27"/>
    <mergeCell ref="J28:L28"/>
    <mergeCell ref="J29:L29"/>
    <mergeCell ref="J30:L30"/>
    <mergeCell ref="J21:L21"/>
    <mergeCell ref="J10:L10"/>
    <mergeCell ref="J11:L11"/>
    <mergeCell ref="J12:L12"/>
    <mergeCell ref="J13:L13"/>
    <mergeCell ref="J14:L14"/>
    <mergeCell ref="J16:L16"/>
    <mergeCell ref="J17:L17"/>
    <mergeCell ref="J18:L18"/>
    <mergeCell ref="J19:L19"/>
    <mergeCell ref="J20:L20"/>
  </mergeCells>
  <conditionalFormatting sqref="AG4:AG83">
    <cfRule type="cellIs" dxfId="246" priority="1" operator="between">
      <formula>1</formula>
      <formula>10</formula>
    </cfRule>
  </conditionalFormatting>
  <conditionalFormatting sqref="AI4:AI83">
    <cfRule type="cellIs" dxfId="245" priority="2" operator="between">
      <formula>1</formula>
      <formula>10</formula>
    </cfRule>
  </conditionalFormatting>
  <dataValidations count="7">
    <dataValidation type="list" allowBlank="1" showInputMessage="1" showErrorMessage="1" sqref="J4:L83" xr:uid="{00000000-0002-0000-0100-000000000000}">
      <formula1>ACSelect</formula1>
    </dataValidation>
    <dataValidation type="list" allowBlank="1" showInputMessage="1" showErrorMessage="1" sqref="W4:W83" xr:uid="{00000000-0002-0000-0100-000001000000}">
      <formula1>ComLimits</formula1>
    </dataValidation>
    <dataValidation type="list" allowBlank="1" showInputMessage="1" showErrorMessage="1" sqref="Y4:Y83" xr:uid="{00000000-0002-0000-0100-000002000000}">
      <formula1>MedLimits</formula1>
    </dataValidation>
    <dataValidation type="list" allowBlank="1" showInputMessage="1" showErrorMessage="1" sqref="S4:S83 N4:N83" xr:uid="{00000000-0002-0000-0100-000003000000}">
      <formula1>"N,Y"</formula1>
    </dataValidation>
    <dataValidation type="list" allowBlank="1" showInputMessage="1" showErrorMessage="1" sqref="AG4:AG83" xr:uid="{B383F656-D187-4C32-A3F3-F4B06FB81611}">
      <formula1>"No, Yes"</formula1>
    </dataValidation>
    <dataValidation type="list" allowBlank="1" showInputMessage="1" showErrorMessage="1" sqref="A4:B83" xr:uid="{B43C07A2-C21C-470D-8F4E-CE1AF3F324AA}">
      <formula1>" ,X"</formula1>
    </dataValidation>
    <dataValidation type="list" allowBlank="1" showInputMessage="1" showErrorMessage="1" sqref="AI4:AI83" xr:uid="{B82BBA66-C9A0-4DC4-A5A4-0D4274FCF19A}">
      <formula1>"0,1,2,3,4,5,6,7,8,9,10,11,12,13,14,15,16,17,18,19,20,21,22,23,24,25,26,27,28,29,30,31,32,33,34,35,36,37,38"</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2E4BD-C217-49EF-9479-67C10631627C}">
  <sheetPr codeName="Sheet1"/>
  <dimension ref="A1:AE913"/>
  <sheetViews>
    <sheetView zoomScale="120" zoomScaleNormal="120" workbookViewId="0">
      <pane ySplit="1" topLeftCell="A2" activePane="bottomLeft" state="frozen"/>
      <selection pane="bottomLeft" activeCell="J1" sqref="A1:XFD1"/>
    </sheetView>
  </sheetViews>
  <sheetFormatPr defaultColWidth="9" defaultRowHeight="15"/>
  <cols>
    <col min="1" max="1" width="9" style="453"/>
    <col min="2" max="2" width="45.375" style="453" bestFit="1" customWidth="1"/>
    <col min="3" max="3" width="9" style="453"/>
    <col min="4" max="4" width="9" style="550"/>
    <col min="5" max="5" width="16.75" style="453" bestFit="1" customWidth="1"/>
    <col min="6" max="7" width="9" style="453"/>
    <col min="8" max="9" width="13.375" style="453" bestFit="1" customWidth="1"/>
    <col min="10" max="16384" width="9" style="453"/>
  </cols>
  <sheetData>
    <row r="1" spans="1:29">
      <c r="A1" s="453" t="s">
        <v>89</v>
      </c>
      <c r="B1" s="453" t="s">
        <v>90</v>
      </c>
      <c r="C1" s="453" t="s">
        <v>91</v>
      </c>
      <c r="D1" s="552" t="s">
        <v>92</v>
      </c>
      <c r="E1" s="453" t="s">
        <v>93</v>
      </c>
      <c r="F1" s="453" t="s">
        <v>94</v>
      </c>
      <c r="G1" s="453" t="s">
        <v>95</v>
      </c>
      <c r="H1" s="453" t="s">
        <v>96</v>
      </c>
      <c r="I1" s="453" t="s">
        <v>97</v>
      </c>
      <c r="J1" s="453" t="s">
        <v>98</v>
      </c>
      <c r="K1" s="453" t="s">
        <v>99</v>
      </c>
      <c r="L1" s="453" t="s">
        <v>100</v>
      </c>
      <c r="M1" s="453" t="s">
        <v>101</v>
      </c>
      <c r="N1" s="453" t="s">
        <v>102</v>
      </c>
      <c r="O1" s="453" t="s">
        <v>103</v>
      </c>
      <c r="P1" s="453" t="s">
        <v>51</v>
      </c>
      <c r="Q1" s="453" t="s">
        <v>104</v>
      </c>
      <c r="R1" s="453" t="s">
        <v>105</v>
      </c>
      <c r="S1" s="453" t="s">
        <v>106</v>
      </c>
      <c r="T1" s="453" t="s">
        <v>107</v>
      </c>
      <c r="U1" s="453" t="s">
        <v>108</v>
      </c>
      <c r="V1" s="453" t="s">
        <v>109</v>
      </c>
      <c r="W1" s="453" t="s">
        <v>110</v>
      </c>
      <c r="X1" s="453" t="s">
        <v>111</v>
      </c>
      <c r="Y1" s="453" t="s">
        <v>112</v>
      </c>
      <c r="Z1" s="453" t="s">
        <v>113</v>
      </c>
      <c r="AA1" s="453" t="s">
        <v>114</v>
      </c>
      <c r="AB1" s="453" t="s">
        <v>115</v>
      </c>
      <c r="AC1" s="453" t="s">
        <v>116</v>
      </c>
    </row>
    <row r="2" spans="1:29">
      <c r="A2" s="453">
        <v>1</v>
      </c>
      <c r="D2" s="552"/>
    </row>
    <row r="3" spans="1:29">
      <c r="A3" s="453">
        <v>2</v>
      </c>
      <c r="B3" s="453" t="s">
        <v>117</v>
      </c>
      <c r="C3" s="453" t="s">
        <v>118</v>
      </c>
      <c r="D3" s="550" t="s">
        <v>119</v>
      </c>
      <c r="E3" s="453" t="s">
        <v>120</v>
      </c>
      <c r="F3" s="453">
        <v>1967</v>
      </c>
      <c r="G3" s="453">
        <v>1972</v>
      </c>
      <c r="H3" s="453">
        <v>35000</v>
      </c>
      <c r="I3" s="472">
        <v>70000</v>
      </c>
      <c r="J3" s="453">
        <v>1</v>
      </c>
      <c r="K3" s="453">
        <v>2</v>
      </c>
      <c r="L3" s="453" t="s">
        <v>121</v>
      </c>
      <c r="M3" s="453">
        <v>1</v>
      </c>
      <c r="N3" s="453" t="s">
        <v>122</v>
      </c>
      <c r="O3" s="453">
        <v>340</v>
      </c>
      <c r="P3" s="453" t="s">
        <v>123</v>
      </c>
      <c r="Q3" s="453" t="s">
        <v>124</v>
      </c>
      <c r="R3" s="453">
        <v>0</v>
      </c>
      <c r="S3" s="453">
        <v>1</v>
      </c>
      <c r="T3" s="453">
        <v>1</v>
      </c>
      <c r="V3" s="453">
        <v>100</v>
      </c>
      <c r="W3" s="453">
        <v>0.1</v>
      </c>
      <c r="X3" s="453" t="s">
        <v>125</v>
      </c>
      <c r="AB3" s="453" t="s">
        <v>126</v>
      </c>
      <c r="AC3" s="453" t="s">
        <v>117</v>
      </c>
    </row>
    <row r="4" spans="1:29">
      <c r="A4" s="453">
        <v>3</v>
      </c>
      <c r="B4" s="453" t="s">
        <v>127</v>
      </c>
      <c r="C4" s="453" t="s">
        <v>118</v>
      </c>
      <c r="D4" s="550" t="s">
        <v>128</v>
      </c>
      <c r="F4" s="453">
        <v>1967</v>
      </c>
      <c r="G4" s="453">
        <v>1967</v>
      </c>
      <c r="H4" s="453">
        <v>300000</v>
      </c>
      <c r="I4" s="472">
        <v>300000</v>
      </c>
      <c r="J4" s="453">
        <v>1</v>
      </c>
      <c r="K4" s="453">
        <v>1</v>
      </c>
      <c r="L4" s="453" t="s">
        <v>129</v>
      </c>
      <c r="M4" s="453">
        <v>5</v>
      </c>
      <c r="N4" s="453" t="s">
        <v>130</v>
      </c>
      <c r="O4" s="453" t="s">
        <v>131</v>
      </c>
      <c r="P4" s="453" t="s">
        <v>132</v>
      </c>
      <c r="Q4" s="453" t="s">
        <v>133</v>
      </c>
      <c r="R4" s="453">
        <v>0</v>
      </c>
      <c r="S4" s="453">
        <v>1</v>
      </c>
      <c r="T4" s="453">
        <v>1</v>
      </c>
      <c r="V4" s="453">
        <v>1000</v>
      </c>
      <c r="W4" s="453">
        <v>0.1</v>
      </c>
      <c r="X4" s="453" t="s">
        <v>125</v>
      </c>
      <c r="AB4" s="453" t="s">
        <v>134</v>
      </c>
      <c r="AC4" s="453" t="s">
        <v>127</v>
      </c>
    </row>
    <row r="5" spans="1:29">
      <c r="A5" s="453">
        <v>4</v>
      </c>
      <c r="B5" s="453" t="s">
        <v>135</v>
      </c>
      <c r="C5" s="453" t="s">
        <v>136</v>
      </c>
      <c r="D5" s="550" t="s">
        <v>137</v>
      </c>
      <c r="E5" s="453" t="s">
        <v>138</v>
      </c>
      <c r="F5" s="453">
        <v>1963</v>
      </c>
      <c r="G5" s="453">
        <v>1975</v>
      </c>
      <c r="H5" s="453">
        <v>150000</v>
      </c>
      <c r="I5" s="472">
        <v>500000</v>
      </c>
      <c r="J5" s="453">
        <v>1</v>
      </c>
      <c r="K5" s="453">
        <v>1</v>
      </c>
      <c r="L5" s="453" t="s">
        <v>129</v>
      </c>
      <c r="M5" s="453">
        <v>5</v>
      </c>
      <c r="N5" s="453" t="s">
        <v>130</v>
      </c>
      <c r="O5" s="453" t="s">
        <v>139</v>
      </c>
      <c r="P5" s="453" t="s">
        <v>132</v>
      </c>
      <c r="Q5" s="453" t="s">
        <v>133</v>
      </c>
      <c r="R5" s="453">
        <v>0</v>
      </c>
      <c r="S5" s="453">
        <v>1</v>
      </c>
      <c r="T5" s="453">
        <v>1</v>
      </c>
      <c r="V5" s="453">
        <v>1000</v>
      </c>
      <c r="W5" s="453">
        <v>0.1</v>
      </c>
      <c r="X5" s="453" t="s">
        <v>125</v>
      </c>
      <c r="AB5" s="453" t="s">
        <v>140</v>
      </c>
      <c r="AC5" s="453" t="s">
        <v>135</v>
      </c>
    </row>
    <row r="6" spans="1:29">
      <c r="A6" s="453">
        <v>5</v>
      </c>
      <c r="B6" s="453" t="s">
        <v>141</v>
      </c>
      <c r="C6" s="453" t="s">
        <v>136</v>
      </c>
      <c r="D6" s="550" t="s">
        <v>142</v>
      </c>
      <c r="E6" s="453" t="s">
        <v>143</v>
      </c>
      <c r="F6" s="453">
        <v>1972</v>
      </c>
      <c r="G6" s="453">
        <v>1989</v>
      </c>
      <c r="H6" s="453">
        <v>150000</v>
      </c>
      <c r="I6" s="472">
        <v>500000</v>
      </c>
      <c r="J6" s="453">
        <v>1</v>
      </c>
      <c r="K6" s="453">
        <v>1</v>
      </c>
      <c r="L6" s="453" t="s">
        <v>129</v>
      </c>
      <c r="M6" s="453">
        <v>5</v>
      </c>
      <c r="N6" s="453" t="s">
        <v>130</v>
      </c>
      <c r="O6" s="453" t="s">
        <v>144</v>
      </c>
      <c r="P6" s="453" t="s">
        <v>132</v>
      </c>
      <c r="Q6" s="453" t="s">
        <v>133</v>
      </c>
      <c r="R6" s="453">
        <v>0</v>
      </c>
      <c r="S6" s="453">
        <v>1</v>
      </c>
      <c r="T6" s="453">
        <v>1</v>
      </c>
      <c r="V6" s="453">
        <v>1000</v>
      </c>
      <c r="W6" s="453">
        <v>0.1</v>
      </c>
      <c r="X6" s="453" t="s">
        <v>125</v>
      </c>
      <c r="AB6" s="453" t="s">
        <v>140</v>
      </c>
      <c r="AC6" s="453" t="s">
        <v>141</v>
      </c>
    </row>
    <row r="7" spans="1:29">
      <c r="A7" s="453">
        <v>6</v>
      </c>
      <c r="B7" s="453" t="s">
        <v>145</v>
      </c>
      <c r="C7" s="453" t="s">
        <v>136</v>
      </c>
      <c r="D7" s="550" t="s">
        <v>146</v>
      </c>
      <c r="F7" s="453">
        <v>1938</v>
      </c>
      <c r="G7" s="453">
        <v>2000</v>
      </c>
      <c r="H7" s="453">
        <v>4500</v>
      </c>
      <c r="I7" s="472">
        <v>251000</v>
      </c>
      <c r="J7" s="453">
        <v>1</v>
      </c>
      <c r="K7" s="453">
        <v>0</v>
      </c>
      <c r="L7" s="453" t="s">
        <v>147</v>
      </c>
      <c r="M7" s="453">
        <v>1</v>
      </c>
      <c r="N7" s="453" t="s">
        <v>122</v>
      </c>
      <c r="O7" s="453">
        <v>30</v>
      </c>
      <c r="P7" s="453" t="s">
        <v>148</v>
      </c>
      <c r="Q7" s="453" t="s">
        <v>149</v>
      </c>
      <c r="R7" s="453">
        <v>0.2</v>
      </c>
      <c r="S7" s="453">
        <v>0.2</v>
      </c>
      <c r="T7" s="453">
        <v>1</v>
      </c>
      <c r="V7" s="453">
        <v>50</v>
      </c>
      <c r="W7" s="453">
        <v>250</v>
      </c>
      <c r="X7" s="453" t="s">
        <v>125</v>
      </c>
      <c r="Z7" s="453" t="s">
        <v>150</v>
      </c>
      <c r="AA7" s="453">
        <v>13</v>
      </c>
      <c r="AC7" s="453" t="s">
        <v>145</v>
      </c>
    </row>
    <row r="8" spans="1:29">
      <c r="A8" s="453">
        <v>7</v>
      </c>
      <c r="B8" s="453" t="s">
        <v>151</v>
      </c>
      <c r="C8" s="453" t="s">
        <v>152</v>
      </c>
      <c r="D8" s="550" t="s">
        <v>153</v>
      </c>
      <c r="F8" s="453">
        <v>2006</v>
      </c>
      <c r="G8" s="453">
        <v>2020</v>
      </c>
      <c r="H8" s="453">
        <v>35000</v>
      </c>
      <c r="I8" s="472">
        <v>120000</v>
      </c>
      <c r="J8" s="453">
        <v>1</v>
      </c>
      <c r="K8" s="453">
        <v>1</v>
      </c>
      <c r="L8" s="453" t="s">
        <v>154</v>
      </c>
      <c r="M8" s="453">
        <v>1</v>
      </c>
      <c r="N8" s="453" t="s">
        <v>122</v>
      </c>
      <c r="O8" s="453">
        <v>100</v>
      </c>
      <c r="P8" s="453" t="s">
        <v>123</v>
      </c>
      <c r="Q8" s="453" t="s">
        <v>149</v>
      </c>
      <c r="R8" s="453">
        <v>0</v>
      </c>
      <c r="S8" s="453">
        <v>0</v>
      </c>
      <c r="T8" s="453">
        <v>2</v>
      </c>
      <c r="V8" s="453">
        <v>100</v>
      </c>
      <c r="W8" s="453">
        <v>500</v>
      </c>
      <c r="X8" s="453" t="s">
        <v>125</v>
      </c>
      <c r="Z8" s="453" t="s">
        <v>150</v>
      </c>
      <c r="AC8" s="453" t="s">
        <v>151</v>
      </c>
    </row>
    <row r="9" spans="1:29">
      <c r="A9" s="453">
        <v>8</v>
      </c>
      <c r="B9" s="453" t="s">
        <v>155</v>
      </c>
      <c r="C9" s="453" t="s">
        <v>156</v>
      </c>
      <c r="D9" s="550">
        <v>65</v>
      </c>
      <c r="F9" s="453">
        <v>1936</v>
      </c>
      <c r="G9" s="453">
        <v>1946</v>
      </c>
      <c r="H9" s="453">
        <v>14500</v>
      </c>
      <c r="I9" s="472">
        <v>40000</v>
      </c>
      <c r="J9" s="453">
        <v>1</v>
      </c>
      <c r="K9" s="453">
        <v>1</v>
      </c>
      <c r="L9" s="453" t="s">
        <v>147</v>
      </c>
      <c r="M9" s="453">
        <v>1</v>
      </c>
      <c r="N9" s="453" t="s">
        <v>122</v>
      </c>
      <c r="O9" s="453">
        <v>65</v>
      </c>
      <c r="P9" s="453" t="s">
        <v>123</v>
      </c>
      <c r="Q9" s="453" t="s">
        <v>149</v>
      </c>
      <c r="R9" s="453">
        <v>0</v>
      </c>
      <c r="S9" s="453">
        <v>0</v>
      </c>
      <c r="T9" s="453">
        <v>7</v>
      </c>
      <c r="V9" s="453">
        <v>100</v>
      </c>
      <c r="W9" s="453">
        <v>500</v>
      </c>
      <c r="X9" s="453" t="s">
        <v>58</v>
      </c>
      <c r="Z9" s="453" t="s">
        <v>150</v>
      </c>
      <c r="AA9" s="453">
        <v>21</v>
      </c>
      <c r="AC9" s="453" t="s">
        <v>155</v>
      </c>
    </row>
    <row r="10" spans="1:29">
      <c r="A10" s="453">
        <v>9</v>
      </c>
      <c r="B10" s="453" t="s">
        <v>157</v>
      </c>
      <c r="C10" s="453" t="s">
        <v>156</v>
      </c>
      <c r="D10" s="550" t="s">
        <v>158</v>
      </c>
      <c r="E10" s="453" t="s">
        <v>159</v>
      </c>
      <c r="F10" s="453">
        <v>1946</v>
      </c>
      <c r="G10" s="453">
        <v>1950</v>
      </c>
      <c r="H10" s="453">
        <v>14300</v>
      </c>
      <c r="I10" s="472">
        <v>25000</v>
      </c>
      <c r="J10" s="453">
        <v>1</v>
      </c>
      <c r="K10" s="453">
        <v>1</v>
      </c>
      <c r="L10" s="453" t="s">
        <v>147</v>
      </c>
      <c r="M10" s="453">
        <v>1</v>
      </c>
      <c r="N10" s="453" t="s">
        <v>122</v>
      </c>
      <c r="O10" s="453">
        <v>65</v>
      </c>
      <c r="P10" s="453" t="s">
        <v>123</v>
      </c>
      <c r="Q10" s="453" t="s">
        <v>149</v>
      </c>
      <c r="R10" s="453">
        <v>0</v>
      </c>
      <c r="S10" s="453">
        <v>0</v>
      </c>
      <c r="T10" s="453">
        <v>7</v>
      </c>
      <c r="V10" s="453">
        <v>100</v>
      </c>
      <c r="W10" s="453">
        <v>500</v>
      </c>
      <c r="X10" s="453" t="s">
        <v>58</v>
      </c>
      <c r="Z10" s="453" t="s">
        <v>150</v>
      </c>
      <c r="AA10" s="453">
        <v>19</v>
      </c>
      <c r="AC10" s="453" t="s">
        <v>157</v>
      </c>
    </row>
    <row r="11" spans="1:29">
      <c r="A11" s="453">
        <v>10</v>
      </c>
      <c r="B11" s="453" t="s">
        <v>160</v>
      </c>
      <c r="C11" s="453" t="s">
        <v>156</v>
      </c>
      <c r="D11" s="550" t="s">
        <v>161</v>
      </c>
      <c r="E11" s="453" t="s">
        <v>162</v>
      </c>
      <c r="F11" s="453">
        <v>1948</v>
      </c>
      <c r="G11" s="453">
        <v>1950</v>
      </c>
      <c r="H11" s="453">
        <v>14500</v>
      </c>
      <c r="I11" s="472">
        <v>26000</v>
      </c>
      <c r="J11" s="453">
        <v>1</v>
      </c>
      <c r="K11" s="453">
        <v>1</v>
      </c>
      <c r="L11" s="453" t="s">
        <v>147</v>
      </c>
      <c r="M11" s="453">
        <v>1</v>
      </c>
      <c r="N11" s="453" t="s">
        <v>163</v>
      </c>
      <c r="O11" s="453">
        <v>85</v>
      </c>
      <c r="P11" s="453" t="s">
        <v>123</v>
      </c>
      <c r="Q11" s="453" t="s">
        <v>164</v>
      </c>
      <c r="R11" s="453">
        <v>0</v>
      </c>
      <c r="S11" s="453">
        <v>0</v>
      </c>
      <c r="T11" s="453">
        <v>7</v>
      </c>
      <c r="V11" s="453">
        <v>100</v>
      </c>
      <c r="W11" s="453">
        <v>500</v>
      </c>
      <c r="X11" s="453" t="s">
        <v>58</v>
      </c>
      <c r="Z11" s="453" t="s">
        <v>150</v>
      </c>
      <c r="AC11" s="453" t="s">
        <v>160</v>
      </c>
    </row>
    <row r="12" spans="1:29">
      <c r="A12" s="453">
        <v>11</v>
      </c>
      <c r="B12" s="453" t="s">
        <v>165</v>
      </c>
      <c r="C12" s="453" t="s">
        <v>156</v>
      </c>
      <c r="D12" s="550" t="s">
        <v>166</v>
      </c>
      <c r="E12" s="453" t="s">
        <v>167</v>
      </c>
      <c r="F12" s="453">
        <v>1947</v>
      </c>
      <c r="G12" s="453">
        <v>1951</v>
      </c>
      <c r="H12" s="453">
        <v>20000</v>
      </c>
      <c r="I12" s="472">
        <v>45000</v>
      </c>
      <c r="J12" s="453">
        <v>1</v>
      </c>
      <c r="K12" s="453">
        <v>3</v>
      </c>
      <c r="L12" s="453" t="s">
        <v>147</v>
      </c>
      <c r="M12" s="453">
        <v>1</v>
      </c>
      <c r="N12" s="453" t="s">
        <v>122</v>
      </c>
      <c r="O12" s="453">
        <v>145</v>
      </c>
      <c r="P12" s="453" t="s">
        <v>123</v>
      </c>
      <c r="Q12" s="453" t="s">
        <v>149</v>
      </c>
      <c r="R12" s="453">
        <v>0</v>
      </c>
      <c r="S12" s="453">
        <v>0</v>
      </c>
      <c r="T12" s="453">
        <v>7</v>
      </c>
      <c r="V12" s="453">
        <v>100</v>
      </c>
      <c r="W12" s="453">
        <v>500</v>
      </c>
      <c r="X12" s="453" t="s">
        <v>58</v>
      </c>
      <c r="Z12" s="453" t="s">
        <v>150</v>
      </c>
      <c r="AA12" s="453">
        <v>20</v>
      </c>
      <c r="AB12" s="453" t="s">
        <v>168</v>
      </c>
      <c r="AC12" s="453" t="s">
        <v>165</v>
      </c>
    </row>
    <row r="13" spans="1:29">
      <c r="A13" s="453">
        <v>12</v>
      </c>
      <c r="B13" s="453" t="s">
        <v>169</v>
      </c>
      <c r="C13" s="453" t="s">
        <v>156</v>
      </c>
      <c r="D13" s="550" t="s">
        <v>170</v>
      </c>
      <c r="E13" s="453" t="s">
        <v>171</v>
      </c>
      <c r="F13" s="453">
        <v>1945</v>
      </c>
      <c r="G13" s="453">
        <v>1950</v>
      </c>
      <c r="H13" s="453">
        <v>15500</v>
      </c>
      <c r="I13" s="472">
        <v>40000</v>
      </c>
      <c r="J13" s="453">
        <v>1</v>
      </c>
      <c r="K13" s="453">
        <v>1</v>
      </c>
      <c r="L13" s="453" t="s">
        <v>147</v>
      </c>
      <c r="M13" s="453">
        <v>1</v>
      </c>
      <c r="N13" s="453" t="s">
        <v>122</v>
      </c>
      <c r="O13" s="453">
        <v>65</v>
      </c>
      <c r="P13" s="453" t="s">
        <v>123</v>
      </c>
      <c r="Q13" s="453" t="s">
        <v>149</v>
      </c>
      <c r="R13" s="453">
        <v>0</v>
      </c>
      <c r="S13" s="453">
        <v>0</v>
      </c>
      <c r="T13" s="453">
        <v>7</v>
      </c>
      <c r="V13" s="453">
        <v>100</v>
      </c>
      <c r="W13" s="453">
        <v>500</v>
      </c>
      <c r="X13" s="453" t="s">
        <v>58</v>
      </c>
      <c r="Z13" s="453" t="s">
        <v>150</v>
      </c>
      <c r="AA13" s="453">
        <v>22</v>
      </c>
      <c r="AC13" s="453" t="s">
        <v>169</v>
      </c>
    </row>
    <row r="14" spans="1:29">
      <c r="A14" s="453">
        <v>13</v>
      </c>
      <c r="B14" s="453" t="s">
        <v>172</v>
      </c>
      <c r="C14" s="453" t="s">
        <v>156</v>
      </c>
      <c r="D14" s="550" t="s">
        <v>173</v>
      </c>
      <c r="E14" s="453" t="s">
        <v>174</v>
      </c>
      <c r="F14" s="453">
        <v>1947</v>
      </c>
      <c r="G14" s="453">
        <v>1950</v>
      </c>
      <c r="H14" s="453">
        <v>15900</v>
      </c>
      <c r="I14" s="472">
        <v>40000</v>
      </c>
      <c r="J14" s="453">
        <v>1</v>
      </c>
      <c r="K14" s="453">
        <v>1</v>
      </c>
      <c r="L14" s="453" t="s">
        <v>147</v>
      </c>
      <c r="M14" s="453">
        <v>1</v>
      </c>
      <c r="N14" s="453" t="s">
        <v>122</v>
      </c>
      <c r="O14" s="453">
        <v>85</v>
      </c>
      <c r="P14" s="453" t="s">
        <v>123</v>
      </c>
      <c r="Q14" s="453" t="s">
        <v>149</v>
      </c>
      <c r="R14" s="453">
        <v>0</v>
      </c>
      <c r="S14" s="453">
        <v>0</v>
      </c>
      <c r="T14" s="453">
        <v>7</v>
      </c>
      <c r="V14" s="453">
        <v>100</v>
      </c>
      <c r="W14" s="453">
        <v>500</v>
      </c>
      <c r="X14" s="453" t="s">
        <v>58</v>
      </c>
      <c r="Z14" s="453" t="s">
        <v>150</v>
      </c>
      <c r="AC14" s="453" t="s">
        <v>172</v>
      </c>
    </row>
    <row r="15" spans="1:29">
      <c r="A15" s="453">
        <v>14</v>
      </c>
      <c r="B15" s="453" t="s">
        <v>175</v>
      </c>
      <c r="C15" s="453" t="s">
        <v>156</v>
      </c>
      <c r="D15" s="550" t="s">
        <v>176</v>
      </c>
      <c r="E15" s="453" t="s">
        <v>177</v>
      </c>
      <c r="F15" s="453">
        <v>1947</v>
      </c>
      <c r="G15" s="453">
        <v>1950</v>
      </c>
      <c r="H15" s="453">
        <v>15900</v>
      </c>
      <c r="I15" s="472">
        <v>40000</v>
      </c>
      <c r="J15" s="453">
        <v>1</v>
      </c>
      <c r="K15" s="453">
        <v>1</v>
      </c>
      <c r="L15" s="453" t="s">
        <v>147</v>
      </c>
      <c r="M15" s="453">
        <v>1</v>
      </c>
      <c r="N15" s="453" t="s">
        <v>122</v>
      </c>
      <c r="O15" s="453">
        <v>90</v>
      </c>
      <c r="P15" s="453" t="s">
        <v>123</v>
      </c>
      <c r="Q15" s="453" t="s">
        <v>149</v>
      </c>
      <c r="R15" s="453">
        <v>0</v>
      </c>
      <c r="S15" s="453">
        <v>0</v>
      </c>
      <c r="T15" s="453">
        <v>7</v>
      </c>
      <c r="V15" s="453">
        <v>100</v>
      </c>
      <c r="W15" s="453">
        <v>500</v>
      </c>
      <c r="X15" s="453" t="s">
        <v>58</v>
      </c>
      <c r="Z15" s="453" t="s">
        <v>150</v>
      </c>
      <c r="AC15" s="453" t="s">
        <v>175</v>
      </c>
    </row>
    <row r="16" spans="1:29">
      <c r="A16" s="453">
        <v>15</v>
      </c>
      <c r="B16" s="453" t="s">
        <v>178</v>
      </c>
      <c r="C16" s="453" t="s">
        <v>156</v>
      </c>
      <c r="D16" s="550" t="s">
        <v>179</v>
      </c>
      <c r="F16" s="453">
        <v>1947</v>
      </c>
      <c r="G16" s="453">
        <v>1950</v>
      </c>
      <c r="H16" s="453">
        <v>15900</v>
      </c>
      <c r="I16" s="472">
        <v>40000</v>
      </c>
      <c r="J16" s="453">
        <v>1</v>
      </c>
      <c r="K16" s="453">
        <v>1</v>
      </c>
      <c r="L16" s="453" t="s">
        <v>147</v>
      </c>
      <c r="M16" s="453">
        <v>1</v>
      </c>
      <c r="N16" s="453" t="s">
        <v>122</v>
      </c>
      <c r="O16" s="453">
        <v>85</v>
      </c>
      <c r="P16" s="453" t="s">
        <v>123</v>
      </c>
      <c r="Q16" s="453" t="s">
        <v>149</v>
      </c>
      <c r="R16" s="453">
        <v>0</v>
      </c>
      <c r="S16" s="453">
        <v>0</v>
      </c>
      <c r="T16" s="453">
        <v>7</v>
      </c>
      <c r="V16" s="453">
        <v>100</v>
      </c>
      <c r="W16" s="453">
        <v>500</v>
      </c>
      <c r="X16" s="453" t="s">
        <v>58</v>
      </c>
      <c r="Z16" s="453" t="s">
        <v>150</v>
      </c>
      <c r="AC16" s="453" t="s">
        <v>178</v>
      </c>
    </row>
    <row r="17" spans="1:29">
      <c r="A17" s="453">
        <v>16</v>
      </c>
      <c r="B17" s="453" t="s">
        <v>180</v>
      </c>
      <c r="C17" s="453" t="s">
        <v>156</v>
      </c>
      <c r="D17" s="550" t="s">
        <v>181</v>
      </c>
      <c r="E17" s="453" t="s">
        <v>182</v>
      </c>
      <c r="F17" s="453">
        <v>1950</v>
      </c>
      <c r="G17" s="453">
        <v>1951</v>
      </c>
      <c r="H17" s="453">
        <v>16000</v>
      </c>
      <c r="I17" s="472">
        <v>40000</v>
      </c>
      <c r="J17" s="453">
        <v>1</v>
      </c>
      <c r="K17" s="453">
        <v>1</v>
      </c>
      <c r="L17" s="453" t="s">
        <v>147</v>
      </c>
      <c r="M17" s="453">
        <v>1</v>
      </c>
      <c r="N17" s="453" t="s">
        <v>122</v>
      </c>
      <c r="O17" s="453">
        <v>95</v>
      </c>
      <c r="P17" s="453" t="s">
        <v>123</v>
      </c>
      <c r="Q17" s="453" t="s">
        <v>149</v>
      </c>
      <c r="R17" s="453">
        <v>0</v>
      </c>
      <c r="S17" s="453">
        <v>0</v>
      </c>
      <c r="T17" s="453">
        <v>7</v>
      </c>
      <c r="V17" s="453">
        <v>100</v>
      </c>
      <c r="W17" s="453">
        <v>500</v>
      </c>
      <c r="X17" s="453" t="s">
        <v>58</v>
      </c>
      <c r="Z17" s="453" t="s">
        <v>150</v>
      </c>
      <c r="AC17" s="453" t="s">
        <v>180</v>
      </c>
    </row>
    <row r="18" spans="1:29">
      <c r="A18" s="453">
        <v>17</v>
      </c>
      <c r="B18" s="453" t="s">
        <v>183</v>
      </c>
      <c r="C18" s="453" t="s">
        <v>156</v>
      </c>
      <c r="D18" s="550" t="s">
        <v>184</v>
      </c>
      <c r="F18" s="453">
        <v>1931</v>
      </c>
      <c r="G18" s="453">
        <v>1937</v>
      </c>
      <c r="H18" s="453">
        <v>14500</v>
      </c>
      <c r="I18" s="472">
        <v>31000</v>
      </c>
      <c r="J18" s="453">
        <v>1</v>
      </c>
      <c r="K18" s="453">
        <v>1</v>
      </c>
      <c r="L18" s="453" t="s">
        <v>147</v>
      </c>
      <c r="M18" s="453">
        <v>1</v>
      </c>
      <c r="N18" s="453" t="s">
        <v>122</v>
      </c>
      <c r="O18" s="453">
        <v>65</v>
      </c>
      <c r="P18" s="453" t="s">
        <v>123</v>
      </c>
      <c r="Q18" s="453" t="s">
        <v>149</v>
      </c>
      <c r="R18" s="453">
        <v>0</v>
      </c>
      <c r="S18" s="453">
        <v>0</v>
      </c>
      <c r="T18" s="453">
        <v>7</v>
      </c>
      <c r="V18" s="453">
        <v>100</v>
      </c>
      <c r="W18" s="453">
        <v>500</v>
      </c>
      <c r="X18" s="453" t="s">
        <v>58</v>
      </c>
      <c r="Z18" s="453" t="s">
        <v>150</v>
      </c>
      <c r="AA18" s="453">
        <v>23</v>
      </c>
      <c r="AC18" s="453" t="s">
        <v>183</v>
      </c>
    </row>
    <row r="19" spans="1:29">
      <c r="A19" s="453">
        <v>18</v>
      </c>
      <c r="B19" s="453" t="s">
        <v>185</v>
      </c>
      <c r="C19" s="453" t="s">
        <v>156</v>
      </c>
      <c r="D19" s="550" t="s">
        <v>186</v>
      </c>
      <c r="F19" s="453">
        <v>1940</v>
      </c>
      <c r="G19" s="453">
        <v>1945</v>
      </c>
      <c r="H19" s="453">
        <v>14500</v>
      </c>
      <c r="I19" s="472">
        <v>40000</v>
      </c>
      <c r="J19" s="453">
        <v>1</v>
      </c>
      <c r="K19" s="453">
        <v>1</v>
      </c>
      <c r="L19" s="453" t="s">
        <v>147</v>
      </c>
      <c r="M19" s="453">
        <v>1</v>
      </c>
      <c r="N19" s="453" t="s">
        <v>122</v>
      </c>
      <c r="O19" s="453">
        <v>65</v>
      </c>
      <c r="P19" s="453" t="s">
        <v>123</v>
      </c>
      <c r="Q19" s="453" t="s">
        <v>149</v>
      </c>
      <c r="R19" s="453">
        <v>0</v>
      </c>
      <c r="S19" s="453">
        <v>0</v>
      </c>
      <c r="T19" s="453">
        <v>7</v>
      </c>
      <c r="V19" s="453">
        <v>100</v>
      </c>
      <c r="W19" s="453">
        <v>500</v>
      </c>
      <c r="X19" s="453" t="s">
        <v>58</v>
      </c>
      <c r="Z19" s="453" t="s">
        <v>150</v>
      </c>
      <c r="AA19" s="453">
        <v>24</v>
      </c>
      <c r="AC19" s="453" t="s">
        <v>185</v>
      </c>
    </row>
    <row r="20" spans="1:29">
      <c r="A20" s="453">
        <v>19</v>
      </c>
      <c r="B20" s="453" t="s">
        <v>187</v>
      </c>
      <c r="C20" s="453" t="s">
        <v>188</v>
      </c>
      <c r="D20" s="550" t="s">
        <v>189</v>
      </c>
      <c r="F20" s="453">
        <v>2014</v>
      </c>
      <c r="G20" s="453">
        <v>2025</v>
      </c>
      <c r="H20" s="453">
        <v>100000</v>
      </c>
      <c r="I20" s="472">
        <v>150000</v>
      </c>
      <c r="J20" s="453">
        <v>1</v>
      </c>
      <c r="K20" s="453">
        <v>1</v>
      </c>
      <c r="L20" s="453" t="s">
        <v>154</v>
      </c>
      <c r="M20" s="453">
        <v>1</v>
      </c>
      <c r="N20" s="453" t="s">
        <v>122</v>
      </c>
      <c r="O20" s="453">
        <v>115</v>
      </c>
      <c r="P20" s="453" t="s">
        <v>148</v>
      </c>
      <c r="Q20" s="453" t="s">
        <v>149</v>
      </c>
      <c r="R20" s="453">
        <v>0</v>
      </c>
      <c r="S20" s="453">
        <v>0</v>
      </c>
      <c r="T20" s="453">
        <v>2</v>
      </c>
      <c r="V20" s="453">
        <v>50</v>
      </c>
      <c r="W20" s="453">
        <v>250</v>
      </c>
      <c r="X20" s="453" t="s">
        <v>58</v>
      </c>
      <c r="Z20" s="453" t="s">
        <v>150</v>
      </c>
      <c r="AC20" s="453" t="s">
        <v>187</v>
      </c>
    </row>
    <row r="21" spans="1:29">
      <c r="A21" s="453">
        <v>20</v>
      </c>
      <c r="B21" s="453" t="s">
        <v>190</v>
      </c>
      <c r="C21" s="453" t="s">
        <v>188</v>
      </c>
      <c r="D21" s="550" t="s">
        <v>191</v>
      </c>
      <c r="F21" s="453">
        <v>2014</v>
      </c>
      <c r="G21" s="453">
        <v>2025</v>
      </c>
      <c r="H21" s="453">
        <v>120000</v>
      </c>
      <c r="I21" s="472">
        <v>170000</v>
      </c>
      <c r="J21" s="453">
        <v>1</v>
      </c>
      <c r="K21" s="453">
        <v>1</v>
      </c>
      <c r="L21" s="453" t="s">
        <v>154</v>
      </c>
      <c r="M21" s="453">
        <v>1</v>
      </c>
      <c r="N21" s="453" t="s">
        <v>122</v>
      </c>
      <c r="O21" s="453">
        <v>115</v>
      </c>
      <c r="P21" s="453" t="s">
        <v>192</v>
      </c>
      <c r="Q21" s="453" t="s">
        <v>149</v>
      </c>
      <c r="R21" s="453">
        <v>0</v>
      </c>
      <c r="S21" s="453">
        <v>0</v>
      </c>
      <c r="T21" s="453">
        <v>1</v>
      </c>
      <c r="V21" s="453">
        <v>100</v>
      </c>
      <c r="W21" s="453">
        <v>0.1</v>
      </c>
      <c r="X21" s="453" t="s">
        <v>125</v>
      </c>
      <c r="Z21" s="453" t="s">
        <v>150</v>
      </c>
      <c r="AC21" s="453" t="s">
        <v>190</v>
      </c>
    </row>
    <row r="22" spans="1:29">
      <c r="A22" s="453">
        <v>21</v>
      </c>
      <c r="B22" s="453" t="s">
        <v>193</v>
      </c>
      <c r="C22" s="453" t="s">
        <v>194</v>
      </c>
      <c r="D22" s="550" t="s">
        <v>195</v>
      </c>
      <c r="F22" s="453">
        <v>2004</v>
      </c>
      <c r="G22" s="453">
        <v>2020</v>
      </c>
      <c r="H22" s="453">
        <v>35000</v>
      </c>
      <c r="I22" s="472">
        <v>150000</v>
      </c>
      <c r="J22" s="453">
        <v>1</v>
      </c>
      <c r="K22" s="453">
        <v>1</v>
      </c>
      <c r="L22" s="453" t="s">
        <v>154</v>
      </c>
      <c r="M22" s="453">
        <v>1</v>
      </c>
      <c r="N22" s="453" t="s">
        <v>122</v>
      </c>
      <c r="O22" s="453">
        <v>100</v>
      </c>
      <c r="P22" s="453" t="s">
        <v>148</v>
      </c>
      <c r="Q22" s="453" t="s">
        <v>149</v>
      </c>
      <c r="R22" s="453">
        <v>0</v>
      </c>
      <c r="S22" s="453">
        <v>0.25</v>
      </c>
      <c r="T22" s="453">
        <v>2</v>
      </c>
      <c r="V22" s="453">
        <v>50</v>
      </c>
      <c r="W22" s="453">
        <v>250</v>
      </c>
      <c r="X22" s="453" t="s">
        <v>58</v>
      </c>
      <c r="Z22" s="453" t="s">
        <v>150</v>
      </c>
      <c r="AC22" s="453" t="s">
        <v>193</v>
      </c>
    </row>
    <row r="23" spans="1:29">
      <c r="A23" s="453">
        <v>22</v>
      </c>
      <c r="B23" s="453" t="s">
        <v>196</v>
      </c>
      <c r="C23" s="453" t="s">
        <v>194</v>
      </c>
      <c r="D23" s="550" t="s">
        <v>197</v>
      </c>
      <c r="F23" s="453">
        <v>2004</v>
      </c>
      <c r="G23" s="453">
        <v>2020</v>
      </c>
      <c r="H23" s="453">
        <v>35000</v>
      </c>
      <c r="I23" s="472">
        <v>150000</v>
      </c>
      <c r="J23" s="453">
        <v>1</v>
      </c>
      <c r="K23" s="453">
        <v>1</v>
      </c>
      <c r="L23" s="453" t="s">
        <v>154</v>
      </c>
      <c r="M23" s="453">
        <v>1</v>
      </c>
      <c r="N23" s="453" t="s">
        <v>122</v>
      </c>
      <c r="O23" s="453">
        <v>100</v>
      </c>
      <c r="P23" s="453" t="s">
        <v>192</v>
      </c>
      <c r="Q23" s="453" t="s">
        <v>149</v>
      </c>
      <c r="R23" s="453">
        <v>2.5</v>
      </c>
      <c r="S23" s="453">
        <v>0.25</v>
      </c>
      <c r="T23" s="453">
        <v>2</v>
      </c>
      <c r="V23" s="453">
        <v>50</v>
      </c>
      <c r="W23" s="453">
        <v>250</v>
      </c>
      <c r="X23" s="453" t="s">
        <v>58</v>
      </c>
      <c r="Z23" s="453" t="s">
        <v>150</v>
      </c>
      <c r="AC23" s="453" t="s">
        <v>196</v>
      </c>
    </row>
    <row r="24" spans="1:29">
      <c r="A24" s="453">
        <v>23</v>
      </c>
      <c r="B24" s="453" t="s">
        <v>198</v>
      </c>
      <c r="C24" s="453" t="s">
        <v>199</v>
      </c>
      <c r="D24" s="550" t="s">
        <v>151</v>
      </c>
      <c r="F24" s="453">
        <v>2004</v>
      </c>
      <c r="G24" s="453">
        <v>2020</v>
      </c>
      <c r="H24" s="453">
        <v>35000</v>
      </c>
      <c r="I24" s="472">
        <v>120000</v>
      </c>
      <c r="J24" s="453">
        <v>1</v>
      </c>
      <c r="K24" s="453">
        <v>1</v>
      </c>
      <c r="L24" s="453" t="s">
        <v>154</v>
      </c>
      <c r="M24" s="453">
        <v>1</v>
      </c>
      <c r="N24" s="453" t="s">
        <v>122</v>
      </c>
      <c r="O24" s="453">
        <v>100</v>
      </c>
      <c r="P24" s="453" t="s">
        <v>123</v>
      </c>
      <c r="Q24" s="453" t="s">
        <v>149</v>
      </c>
      <c r="R24" s="453">
        <v>0</v>
      </c>
      <c r="S24" s="453">
        <v>0</v>
      </c>
      <c r="T24" s="453">
        <v>3</v>
      </c>
      <c r="V24" s="453">
        <v>100</v>
      </c>
      <c r="W24" s="453">
        <v>500</v>
      </c>
      <c r="X24" s="453" t="s">
        <v>58</v>
      </c>
      <c r="Z24" s="453" t="s">
        <v>150</v>
      </c>
      <c r="AA24" s="453">
        <v>1324</v>
      </c>
      <c r="AC24" s="453" t="s">
        <v>198</v>
      </c>
    </row>
    <row r="25" spans="1:29">
      <c r="A25" s="453">
        <v>24</v>
      </c>
      <c r="B25" s="453" t="s">
        <v>200</v>
      </c>
      <c r="C25" s="453" t="s">
        <v>199</v>
      </c>
      <c r="D25" s="550" t="s">
        <v>201</v>
      </c>
      <c r="F25" s="453">
        <v>2004</v>
      </c>
      <c r="G25" s="453">
        <v>2020</v>
      </c>
      <c r="H25" s="453">
        <v>35000</v>
      </c>
      <c r="I25" s="472">
        <v>120000</v>
      </c>
      <c r="J25" s="453">
        <v>1</v>
      </c>
      <c r="K25" s="453">
        <v>1</v>
      </c>
      <c r="L25" s="453" t="s">
        <v>154</v>
      </c>
      <c r="M25" s="453">
        <v>1</v>
      </c>
      <c r="N25" s="453" t="s">
        <v>122</v>
      </c>
      <c r="O25" s="453">
        <v>100</v>
      </c>
      <c r="P25" s="453" t="s">
        <v>148</v>
      </c>
      <c r="Q25" s="453" t="s">
        <v>149</v>
      </c>
      <c r="R25" s="453">
        <v>0</v>
      </c>
      <c r="S25" s="453">
        <v>0</v>
      </c>
      <c r="T25" s="453">
        <v>2</v>
      </c>
      <c r="V25" s="453">
        <v>50</v>
      </c>
      <c r="W25" s="453">
        <v>250</v>
      </c>
      <c r="X25" s="453" t="s">
        <v>58</v>
      </c>
      <c r="Z25" s="453" t="s">
        <v>150</v>
      </c>
      <c r="AA25" s="453">
        <v>1323</v>
      </c>
      <c r="AC25" s="453" t="s">
        <v>200</v>
      </c>
    </row>
    <row r="26" spans="1:29">
      <c r="A26" s="453">
        <v>25</v>
      </c>
      <c r="B26" s="453" t="s">
        <v>202</v>
      </c>
      <c r="C26" s="453" t="s">
        <v>199</v>
      </c>
      <c r="D26" s="550" t="s">
        <v>203</v>
      </c>
      <c r="F26" s="453">
        <v>1980</v>
      </c>
      <c r="G26" s="453">
        <v>2013</v>
      </c>
      <c r="H26" s="453">
        <v>30000</v>
      </c>
      <c r="I26" s="472">
        <v>150000</v>
      </c>
      <c r="J26" s="453">
        <v>1</v>
      </c>
      <c r="K26" s="453">
        <v>1</v>
      </c>
      <c r="L26" s="453" t="s">
        <v>154</v>
      </c>
      <c r="M26" s="453">
        <v>1</v>
      </c>
      <c r="N26" s="453" t="s">
        <v>122</v>
      </c>
      <c r="O26" s="453">
        <v>100</v>
      </c>
      <c r="P26" s="453" t="s">
        <v>148</v>
      </c>
      <c r="Q26" s="453" t="s">
        <v>149</v>
      </c>
      <c r="R26" s="453">
        <v>0</v>
      </c>
      <c r="S26" s="453">
        <v>0</v>
      </c>
      <c r="T26" s="453">
        <v>2</v>
      </c>
      <c r="V26" s="453">
        <v>50</v>
      </c>
      <c r="W26" s="453">
        <v>250</v>
      </c>
      <c r="X26" s="453" t="s">
        <v>58</v>
      </c>
      <c r="Z26" s="453" t="s">
        <v>150</v>
      </c>
      <c r="AA26" s="453">
        <v>25</v>
      </c>
      <c r="AC26" s="453" t="s">
        <v>202</v>
      </c>
    </row>
    <row r="27" spans="1:29">
      <c r="A27" s="453">
        <v>26</v>
      </c>
      <c r="B27" s="453" t="s">
        <v>204</v>
      </c>
      <c r="C27" s="453" t="s">
        <v>205</v>
      </c>
      <c r="D27" s="550" t="s">
        <v>206</v>
      </c>
      <c r="F27" s="453">
        <v>1957</v>
      </c>
      <c r="G27" s="453">
        <v>1963</v>
      </c>
      <c r="H27" s="453">
        <v>100000</v>
      </c>
      <c r="I27" s="472">
        <v>200000</v>
      </c>
      <c r="J27" s="453">
        <v>1</v>
      </c>
      <c r="K27" s="453">
        <v>4</v>
      </c>
      <c r="L27" s="453" t="s">
        <v>147</v>
      </c>
      <c r="M27" s="453">
        <v>7</v>
      </c>
      <c r="N27" s="453" t="s">
        <v>130</v>
      </c>
      <c r="O27" s="453">
        <v>360</v>
      </c>
      <c r="P27" s="453" t="s">
        <v>148</v>
      </c>
      <c r="Q27" s="453" t="s">
        <v>149</v>
      </c>
      <c r="R27" s="453">
        <v>0</v>
      </c>
      <c r="S27" s="453">
        <v>0</v>
      </c>
      <c r="T27" s="453">
        <v>22</v>
      </c>
      <c r="U27" s="453" t="s">
        <v>123</v>
      </c>
      <c r="V27" s="453">
        <v>1000</v>
      </c>
      <c r="W27" s="453">
        <v>2.5000000000000001E-2</v>
      </c>
      <c r="X27" s="453" t="s">
        <v>125</v>
      </c>
      <c r="Z27" s="453" t="s">
        <v>150</v>
      </c>
      <c r="AA27" s="453">
        <v>26</v>
      </c>
      <c r="AC27" s="453" t="s">
        <v>204</v>
      </c>
    </row>
    <row r="28" spans="1:29">
      <c r="A28" s="453">
        <v>27</v>
      </c>
      <c r="B28" s="453" t="s">
        <v>207</v>
      </c>
      <c r="C28" s="453" t="s">
        <v>205</v>
      </c>
      <c r="D28" s="550" t="s">
        <v>208</v>
      </c>
      <c r="F28" s="453">
        <v>1972</v>
      </c>
      <c r="G28" s="453">
        <v>1989</v>
      </c>
      <c r="H28" s="453">
        <v>275000</v>
      </c>
      <c r="I28" s="472">
        <v>450000</v>
      </c>
      <c r="J28" s="453">
        <v>1</v>
      </c>
      <c r="K28" s="453">
        <v>4</v>
      </c>
      <c r="L28" s="453" t="s">
        <v>147</v>
      </c>
      <c r="M28" s="453">
        <v>7</v>
      </c>
      <c r="N28" s="453" t="s">
        <v>130</v>
      </c>
      <c r="O28" s="453">
        <v>550</v>
      </c>
      <c r="P28" s="453" t="s">
        <v>148</v>
      </c>
      <c r="Q28" s="453" t="s">
        <v>149</v>
      </c>
      <c r="R28" s="453">
        <v>0</v>
      </c>
      <c r="S28" s="453">
        <v>0</v>
      </c>
      <c r="T28" s="453">
        <v>22</v>
      </c>
      <c r="U28" s="453" t="s">
        <v>123</v>
      </c>
      <c r="V28" s="453">
        <v>1000</v>
      </c>
      <c r="W28" s="453">
        <v>2.5000000000000001E-2</v>
      </c>
      <c r="X28" s="453" t="s">
        <v>125</v>
      </c>
      <c r="Z28" s="453" t="s">
        <v>150</v>
      </c>
      <c r="AA28" s="453">
        <v>27</v>
      </c>
      <c r="AC28" s="453" t="s">
        <v>207</v>
      </c>
    </row>
    <row r="29" spans="1:29">
      <c r="A29" s="453">
        <v>28</v>
      </c>
      <c r="B29" s="453" t="s">
        <v>209</v>
      </c>
      <c r="C29" s="453" t="s">
        <v>205</v>
      </c>
      <c r="D29" s="550" t="s">
        <v>210</v>
      </c>
      <c r="F29" s="453">
        <v>1970</v>
      </c>
      <c r="G29" s="453">
        <v>1976</v>
      </c>
      <c r="H29" s="453">
        <v>200000</v>
      </c>
      <c r="I29" s="472">
        <v>450000</v>
      </c>
      <c r="J29" s="453">
        <v>1</v>
      </c>
      <c r="K29" s="453">
        <v>6</v>
      </c>
      <c r="L29" s="453" t="s">
        <v>147</v>
      </c>
      <c r="M29" s="453">
        <v>7</v>
      </c>
      <c r="N29" s="453" t="s">
        <v>130</v>
      </c>
      <c r="O29" s="453">
        <v>600</v>
      </c>
      <c r="P29" s="453" t="s">
        <v>148</v>
      </c>
      <c r="Q29" s="453" t="s">
        <v>124</v>
      </c>
      <c r="R29" s="453">
        <v>0</v>
      </c>
      <c r="S29" s="453">
        <v>0</v>
      </c>
      <c r="T29" s="453">
        <v>23</v>
      </c>
      <c r="U29" s="453" t="s">
        <v>123</v>
      </c>
      <c r="V29" s="453">
        <v>1000</v>
      </c>
      <c r="W29" s="453">
        <v>2.5000000000000001E-2</v>
      </c>
      <c r="X29" s="453" t="s">
        <v>125</v>
      </c>
      <c r="Z29" s="453" t="s">
        <v>150</v>
      </c>
      <c r="AA29" s="453">
        <v>28</v>
      </c>
      <c r="AC29" s="453" t="s">
        <v>209</v>
      </c>
    </row>
    <row r="30" spans="1:29">
      <c r="A30" s="453">
        <v>29</v>
      </c>
      <c r="B30" s="453" t="s">
        <v>211</v>
      </c>
      <c r="C30" s="453" t="s">
        <v>205</v>
      </c>
      <c r="D30" s="550" t="s">
        <v>212</v>
      </c>
      <c r="F30" s="453">
        <v>1964</v>
      </c>
      <c r="G30" s="453">
        <v>1969</v>
      </c>
      <c r="H30" s="453">
        <v>150000</v>
      </c>
      <c r="I30" s="472">
        <v>250000</v>
      </c>
      <c r="J30" s="453">
        <v>1</v>
      </c>
      <c r="K30" s="453">
        <v>4</v>
      </c>
      <c r="L30" s="453" t="s">
        <v>147</v>
      </c>
      <c r="M30" s="453">
        <v>7</v>
      </c>
      <c r="N30" s="453" t="s">
        <v>130</v>
      </c>
      <c r="O30" s="453">
        <v>530</v>
      </c>
      <c r="P30" s="453" t="s">
        <v>148</v>
      </c>
      <c r="Q30" s="453" t="s">
        <v>149</v>
      </c>
      <c r="R30" s="453">
        <v>0</v>
      </c>
      <c r="S30" s="453">
        <v>0</v>
      </c>
      <c r="T30" s="453">
        <v>22</v>
      </c>
      <c r="U30" s="453" t="s">
        <v>123</v>
      </c>
      <c r="V30" s="453">
        <v>1000</v>
      </c>
      <c r="W30" s="453">
        <v>2.5000000000000001E-2</v>
      </c>
      <c r="X30" s="453" t="s">
        <v>125</v>
      </c>
      <c r="Z30" s="453" t="s">
        <v>150</v>
      </c>
      <c r="AA30" s="453">
        <v>29</v>
      </c>
      <c r="AC30" s="453" t="s">
        <v>211</v>
      </c>
    </row>
    <row r="31" spans="1:29">
      <c r="A31" s="453">
        <v>30</v>
      </c>
      <c r="B31" s="453" t="s">
        <v>213</v>
      </c>
      <c r="C31" s="453" t="s">
        <v>205</v>
      </c>
      <c r="D31" s="550" t="s">
        <v>214</v>
      </c>
      <c r="F31" s="453">
        <v>1972</v>
      </c>
      <c r="G31" s="453">
        <v>1978</v>
      </c>
      <c r="H31" s="453">
        <v>175000</v>
      </c>
      <c r="I31" s="472">
        <v>240000</v>
      </c>
      <c r="J31" s="453">
        <v>1</v>
      </c>
      <c r="K31" s="453">
        <v>4</v>
      </c>
      <c r="L31" s="453" t="s">
        <v>147</v>
      </c>
      <c r="M31" s="453">
        <v>7</v>
      </c>
      <c r="N31" s="453" t="s">
        <v>130</v>
      </c>
      <c r="O31" s="453">
        <v>494</v>
      </c>
      <c r="P31" s="453" t="s">
        <v>148</v>
      </c>
      <c r="Q31" s="453" t="s">
        <v>149</v>
      </c>
      <c r="R31" s="453">
        <v>0</v>
      </c>
      <c r="S31" s="453">
        <v>0</v>
      </c>
      <c r="T31" s="453">
        <v>22</v>
      </c>
      <c r="U31" s="453" t="s">
        <v>123</v>
      </c>
      <c r="V31" s="453">
        <v>1000</v>
      </c>
      <c r="W31" s="453">
        <v>2.5000000000000001E-2</v>
      </c>
      <c r="X31" s="453" t="s">
        <v>125</v>
      </c>
      <c r="Z31" s="453" t="s">
        <v>150</v>
      </c>
      <c r="AA31" s="453">
        <v>31</v>
      </c>
      <c r="AC31" s="453" t="s">
        <v>213</v>
      </c>
    </row>
    <row r="32" spans="1:29">
      <c r="A32" s="453">
        <v>31</v>
      </c>
      <c r="B32" s="453" t="s">
        <v>215</v>
      </c>
      <c r="C32" s="453" t="s">
        <v>205</v>
      </c>
      <c r="D32" s="550" t="s">
        <v>216</v>
      </c>
      <c r="E32" s="453" t="s">
        <v>217</v>
      </c>
      <c r="F32" s="453">
        <v>1954</v>
      </c>
      <c r="G32" s="453">
        <v>1979</v>
      </c>
      <c r="H32" s="453">
        <v>150000</v>
      </c>
      <c r="I32" s="472">
        <v>500000</v>
      </c>
      <c r="J32" s="453">
        <v>1</v>
      </c>
      <c r="K32" s="453">
        <v>1</v>
      </c>
      <c r="L32" s="453" t="s">
        <v>129</v>
      </c>
      <c r="M32" s="453">
        <v>5</v>
      </c>
      <c r="N32" s="453" t="s">
        <v>130</v>
      </c>
      <c r="O32" s="453" t="s">
        <v>218</v>
      </c>
      <c r="P32" s="453" t="s">
        <v>132</v>
      </c>
      <c r="Q32" s="453" t="s">
        <v>133</v>
      </c>
      <c r="R32" s="453">
        <v>0</v>
      </c>
      <c r="S32" s="453">
        <v>1</v>
      </c>
      <c r="T32" s="453">
        <v>1</v>
      </c>
      <c r="V32" s="453">
        <v>1000</v>
      </c>
      <c r="W32" s="453">
        <v>0.1</v>
      </c>
      <c r="X32" s="453" t="s">
        <v>125</v>
      </c>
      <c r="AB32" s="453" t="s">
        <v>140</v>
      </c>
      <c r="AC32" s="453" t="s">
        <v>215</v>
      </c>
    </row>
    <row r="33" spans="1:29">
      <c r="A33" s="453">
        <v>32</v>
      </c>
      <c r="B33" s="453" t="s">
        <v>219</v>
      </c>
      <c r="C33" s="453" t="s">
        <v>220</v>
      </c>
      <c r="D33" s="550" t="s">
        <v>221</v>
      </c>
      <c r="F33" s="453">
        <v>1980</v>
      </c>
      <c r="G33" s="453">
        <v>2016</v>
      </c>
      <c r="H33" s="453">
        <v>80000</v>
      </c>
      <c r="I33" s="472">
        <v>150000</v>
      </c>
      <c r="J33" s="453">
        <v>1</v>
      </c>
      <c r="K33" s="453">
        <v>1</v>
      </c>
      <c r="L33" s="453" t="s">
        <v>154</v>
      </c>
      <c r="M33" s="453">
        <v>1</v>
      </c>
      <c r="N33" s="453" t="s">
        <v>122</v>
      </c>
      <c r="O33" s="453">
        <v>100</v>
      </c>
      <c r="P33" s="453" t="s">
        <v>148</v>
      </c>
      <c r="Q33" s="453" t="s">
        <v>149</v>
      </c>
      <c r="R33" s="453">
        <v>0</v>
      </c>
      <c r="S33" s="453">
        <v>0</v>
      </c>
      <c r="T33" s="453">
        <v>2</v>
      </c>
      <c r="V33" s="453">
        <v>50</v>
      </c>
      <c r="W33" s="453">
        <v>250</v>
      </c>
      <c r="X33" s="453" t="s">
        <v>58</v>
      </c>
      <c r="Z33" s="453" t="s">
        <v>150</v>
      </c>
      <c r="AA33" s="453">
        <v>32</v>
      </c>
      <c r="AC33" s="453" t="s">
        <v>219</v>
      </c>
    </row>
    <row r="34" spans="1:29">
      <c r="A34" s="453">
        <v>33</v>
      </c>
      <c r="B34" s="453" t="s">
        <v>222</v>
      </c>
      <c r="C34" s="453" t="s">
        <v>223</v>
      </c>
      <c r="D34" s="550" t="s">
        <v>224</v>
      </c>
      <c r="F34" s="453">
        <v>2000</v>
      </c>
      <c r="G34" s="453">
        <v>2016</v>
      </c>
      <c r="H34" s="453">
        <v>59500</v>
      </c>
      <c r="I34" s="472">
        <v>150000</v>
      </c>
      <c r="J34" s="453">
        <v>1</v>
      </c>
      <c r="K34" s="453">
        <v>1</v>
      </c>
      <c r="L34" s="453" t="s">
        <v>154</v>
      </c>
      <c r="M34" s="453">
        <v>1</v>
      </c>
      <c r="N34" s="453" t="s">
        <v>122</v>
      </c>
      <c r="O34" s="453">
        <v>100</v>
      </c>
      <c r="P34" s="453" t="s">
        <v>148</v>
      </c>
      <c r="Q34" s="453" t="s">
        <v>149</v>
      </c>
      <c r="R34" s="453">
        <v>0</v>
      </c>
      <c r="S34" s="453">
        <v>0</v>
      </c>
      <c r="T34" s="453">
        <v>2</v>
      </c>
      <c r="V34" s="453">
        <v>50</v>
      </c>
      <c r="W34" s="453">
        <v>250</v>
      </c>
      <c r="X34" s="453" t="s">
        <v>58</v>
      </c>
      <c r="Z34" s="453" t="s">
        <v>150</v>
      </c>
      <c r="AA34" s="453">
        <v>33</v>
      </c>
      <c r="AC34" s="453" t="s">
        <v>222</v>
      </c>
    </row>
    <row r="35" spans="1:29">
      <c r="A35" s="453">
        <v>34</v>
      </c>
      <c r="B35" s="453" t="s">
        <v>225</v>
      </c>
      <c r="C35" s="453" t="s">
        <v>223</v>
      </c>
      <c r="D35" s="550" t="s">
        <v>226</v>
      </c>
      <c r="F35" s="453">
        <v>2000</v>
      </c>
      <c r="G35" s="453">
        <v>2016</v>
      </c>
      <c r="H35" s="453">
        <v>59500</v>
      </c>
      <c r="I35" s="472">
        <v>150000</v>
      </c>
      <c r="J35" s="453">
        <v>1</v>
      </c>
      <c r="K35" s="453">
        <v>1</v>
      </c>
      <c r="L35" s="453" t="s">
        <v>154</v>
      </c>
      <c r="M35" s="453">
        <v>1</v>
      </c>
      <c r="N35" s="453" t="s">
        <v>122</v>
      </c>
      <c r="O35" s="453">
        <v>100</v>
      </c>
      <c r="P35" s="453" t="s">
        <v>148</v>
      </c>
      <c r="Q35" s="453" t="s">
        <v>149</v>
      </c>
      <c r="R35" s="453">
        <v>0</v>
      </c>
      <c r="S35" s="453">
        <v>0</v>
      </c>
      <c r="T35" s="453">
        <v>2</v>
      </c>
      <c r="V35" s="453">
        <v>50</v>
      </c>
      <c r="W35" s="453">
        <v>250</v>
      </c>
      <c r="X35" s="453" t="s">
        <v>58</v>
      </c>
      <c r="Z35" s="453" t="s">
        <v>150</v>
      </c>
      <c r="AA35" s="453">
        <v>34</v>
      </c>
      <c r="AC35" s="453" t="s">
        <v>225</v>
      </c>
    </row>
    <row r="36" spans="1:29">
      <c r="A36" s="453">
        <v>35</v>
      </c>
      <c r="B36" s="453" t="s">
        <v>227</v>
      </c>
      <c r="C36" s="453" t="s">
        <v>228</v>
      </c>
      <c r="D36" s="550">
        <v>601</v>
      </c>
      <c r="F36" s="453">
        <v>1969</v>
      </c>
      <c r="G36" s="453">
        <v>1981</v>
      </c>
      <c r="H36" s="453">
        <v>65000</v>
      </c>
      <c r="I36" s="472">
        <v>165000</v>
      </c>
      <c r="J36" s="453">
        <v>1</v>
      </c>
      <c r="K36" s="453">
        <v>5</v>
      </c>
      <c r="L36" s="453" t="s">
        <v>147</v>
      </c>
      <c r="M36" s="453">
        <v>2</v>
      </c>
      <c r="N36" s="453" t="s">
        <v>122</v>
      </c>
      <c r="O36" s="453">
        <v>290</v>
      </c>
      <c r="P36" s="453" t="s">
        <v>132</v>
      </c>
      <c r="Q36" s="453" t="s">
        <v>133</v>
      </c>
      <c r="R36" s="453">
        <v>0.5</v>
      </c>
      <c r="S36" s="453">
        <v>0.5</v>
      </c>
      <c r="T36" s="453">
        <v>16</v>
      </c>
      <c r="U36" s="453" t="s">
        <v>229</v>
      </c>
      <c r="V36" s="453">
        <v>100</v>
      </c>
      <c r="W36" s="453">
        <v>500</v>
      </c>
      <c r="X36" s="453" t="s">
        <v>125</v>
      </c>
      <c r="Z36" s="453" t="s">
        <v>150</v>
      </c>
      <c r="AB36" s="453" t="s">
        <v>230</v>
      </c>
      <c r="AC36" s="453" t="s">
        <v>227</v>
      </c>
    </row>
    <row r="37" spans="1:29">
      <c r="A37" s="453">
        <v>36</v>
      </c>
      <c r="B37" s="453" t="s">
        <v>231</v>
      </c>
      <c r="C37" s="453" t="s">
        <v>228</v>
      </c>
      <c r="D37" s="550" t="s">
        <v>232</v>
      </c>
      <c r="F37" s="453">
        <v>1969</v>
      </c>
      <c r="G37" s="453">
        <v>1981</v>
      </c>
      <c r="H37" s="453">
        <v>65000</v>
      </c>
      <c r="I37" s="472">
        <v>150000</v>
      </c>
      <c r="J37" s="453">
        <v>1</v>
      </c>
      <c r="K37" s="453">
        <v>5</v>
      </c>
      <c r="L37" s="453" t="s">
        <v>147</v>
      </c>
      <c r="M37" s="453">
        <v>2</v>
      </c>
      <c r="N37" s="453" t="s">
        <v>122</v>
      </c>
      <c r="O37" s="453">
        <v>290</v>
      </c>
      <c r="P37" s="453" t="s">
        <v>132</v>
      </c>
      <c r="Q37" s="453" t="s">
        <v>133</v>
      </c>
      <c r="R37" s="453">
        <v>0.5</v>
      </c>
      <c r="S37" s="453">
        <v>0.5</v>
      </c>
      <c r="T37" s="453">
        <v>16</v>
      </c>
      <c r="U37" s="453" t="s">
        <v>229</v>
      </c>
      <c r="V37" s="453">
        <v>100</v>
      </c>
      <c r="W37" s="453">
        <v>500</v>
      </c>
      <c r="X37" s="453" t="s">
        <v>125</v>
      </c>
      <c r="Z37" s="453" t="s">
        <v>150</v>
      </c>
      <c r="AC37" s="453" t="s">
        <v>231</v>
      </c>
    </row>
    <row r="38" spans="1:29">
      <c r="A38" s="453">
        <v>37</v>
      </c>
      <c r="B38" s="453" t="s">
        <v>233</v>
      </c>
      <c r="C38" s="453" t="s">
        <v>228</v>
      </c>
      <c r="D38" s="550" t="s">
        <v>234</v>
      </c>
      <c r="F38" s="453">
        <v>1974</v>
      </c>
      <c r="G38" s="453">
        <v>1981</v>
      </c>
      <c r="H38" s="453">
        <v>100000</v>
      </c>
      <c r="I38" s="472">
        <v>200000</v>
      </c>
      <c r="J38" s="453">
        <v>1</v>
      </c>
      <c r="K38" s="453">
        <v>5</v>
      </c>
      <c r="L38" s="453" t="s">
        <v>147</v>
      </c>
      <c r="M38" s="453">
        <v>2</v>
      </c>
      <c r="N38" s="453" t="s">
        <v>122</v>
      </c>
      <c r="O38" s="453">
        <v>290</v>
      </c>
      <c r="P38" s="453" t="s">
        <v>132</v>
      </c>
      <c r="Q38" s="453" t="s">
        <v>133</v>
      </c>
      <c r="R38" s="453">
        <v>0.5</v>
      </c>
      <c r="S38" s="453">
        <v>0.5</v>
      </c>
      <c r="T38" s="453">
        <v>16</v>
      </c>
      <c r="U38" s="453" t="s">
        <v>123</v>
      </c>
      <c r="V38" s="453">
        <v>100</v>
      </c>
      <c r="W38" s="453">
        <v>500</v>
      </c>
      <c r="X38" s="453" t="s">
        <v>125</v>
      </c>
      <c r="Z38" s="453" t="s">
        <v>150</v>
      </c>
      <c r="AC38" s="453" t="s">
        <v>233</v>
      </c>
    </row>
    <row r="39" spans="1:29">
      <c r="A39" s="453">
        <v>38</v>
      </c>
      <c r="B39" s="453" t="s">
        <v>235</v>
      </c>
      <c r="C39" s="453" t="s">
        <v>228</v>
      </c>
      <c r="D39" s="550" t="s">
        <v>236</v>
      </c>
      <c r="F39" s="453">
        <v>1981</v>
      </c>
      <c r="G39" s="453">
        <v>1983</v>
      </c>
      <c r="H39" s="453">
        <v>150000</v>
      </c>
      <c r="I39" s="472">
        <v>225000</v>
      </c>
      <c r="J39" s="453">
        <v>1</v>
      </c>
      <c r="K39" s="453">
        <v>5</v>
      </c>
      <c r="L39" s="453" t="s">
        <v>147</v>
      </c>
      <c r="M39" s="453">
        <v>2</v>
      </c>
      <c r="N39" s="453" t="s">
        <v>122</v>
      </c>
      <c r="O39" s="453">
        <v>290</v>
      </c>
      <c r="P39" s="453" t="s">
        <v>132</v>
      </c>
      <c r="Q39" s="453" t="s">
        <v>133</v>
      </c>
      <c r="R39" s="453">
        <v>0.5</v>
      </c>
      <c r="S39" s="453">
        <v>0.5</v>
      </c>
      <c r="T39" s="453">
        <v>16</v>
      </c>
      <c r="U39" s="453" t="s">
        <v>123</v>
      </c>
      <c r="V39" s="453">
        <v>100</v>
      </c>
      <c r="W39" s="453">
        <v>500</v>
      </c>
      <c r="X39" s="453" t="s">
        <v>125</v>
      </c>
      <c r="Z39" s="453" t="s">
        <v>150</v>
      </c>
      <c r="AC39" s="453" t="s">
        <v>235</v>
      </c>
    </row>
    <row r="40" spans="1:29">
      <c r="A40" s="453">
        <v>39</v>
      </c>
      <c r="B40" s="453" t="s">
        <v>237</v>
      </c>
      <c r="C40" s="453" t="s">
        <v>228</v>
      </c>
      <c r="D40" s="550" t="s">
        <v>238</v>
      </c>
      <c r="F40" s="453">
        <v>1984</v>
      </c>
      <c r="G40" s="453">
        <v>1985</v>
      </c>
      <c r="H40" s="453">
        <v>300000</v>
      </c>
      <c r="I40" s="472">
        <v>425000</v>
      </c>
      <c r="J40" s="453">
        <v>1</v>
      </c>
      <c r="K40" s="453">
        <v>5</v>
      </c>
      <c r="L40" s="453" t="s">
        <v>147</v>
      </c>
      <c r="M40" s="453">
        <v>2</v>
      </c>
      <c r="N40" s="453" t="s">
        <v>122</v>
      </c>
      <c r="O40" s="453">
        <v>350</v>
      </c>
      <c r="P40" s="453" t="s">
        <v>132</v>
      </c>
      <c r="Q40" s="453" t="s">
        <v>133</v>
      </c>
      <c r="R40" s="453">
        <v>0.5</v>
      </c>
      <c r="S40" s="453">
        <v>0.5</v>
      </c>
      <c r="T40" s="453">
        <v>16</v>
      </c>
      <c r="U40" s="453" t="s">
        <v>123</v>
      </c>
      <c r="V40" s="453">
        <v>100</v>
      </c>
      <c r="W40" s="453">
        <v>500</v>
      </c>
      <c r="X40" s="453" t="s">
        <v>125</v>
      </c>
      <c r="Z40" s="453" t="s">
        <v>150</v>
      </c>
      <c r="AB40" s="453" t="s">
        <v>239</v>
      </c>
      <c r="AC40" s="453" t="s">
        <v>237</v>
      </c>
    </row>
    <row r="41" spans="1:29">
      <c r="A41" s="453">
        <v>40</v>
      </c>
      <c r="B41" s="453" t="s">
        <v>240</v>
      </c>
      <c r="C41" s="453" t="s">
        <v>241</v>
      </c>
      <c r="D41" s="550" t="s">
        <v>242</v>
      </c>
      <c r="F41" s="453">
        <v>1980</v>
      </c>
      <c r="G41" s="453">
        <v>2016</v>
      </c>
      <c r="H41" s="453">
        <v>80000</v>
      </c>
      <c r="I41" s="472">
        <v>150000</v>
      </c>
      <c r="J41" s="453">
        <v>1</v>
      </c>
      <c r="K41" s="453">
        <v>1</v>
      </c>
      <c r="L41" s="453" t="s">
        <v>154</v>
      </c>
      <c r="M41" s="453">
        <v>1</v>
      </c>
      <c r="N41" s="453" t="s">
        <v>122</v>
      </c>
      <c r="O41" s="453">
        <v>100</v>
      </c>
      <c r="P41" s="453" t="s">
        <v>148</v>
      </c>
      <c r="Q41" s="453" t="s">
        <v>149</v>
      </c>
      <c r="R41" s="453">
        <v>0</v>
      </c>
      <c r="S41" s="453">
        <v>0</v>
      </c>
      <c r="T41" s="453">
        <v>2</v>
      </c>
      <c r="V41" s="453">
        <v>50</v>
      </c>
      <c r="W41" s="453">
        <v>250</v>
      </c>
      <c r="X41" s="453" t="s">
        <v>58</v>
      </c>
      <c r="Z41" s="453" t="s">
        <v>150</v>
      </c>
      <c r="AA41" s="453">
        <v>35</v>
      </c>
      <c r="AC41" s="453" t="s">
        <v>240</v>
      </c>
    </row>
    <row r="42" spans="1:29">
      <c r="A42" s="453">
        <v>41</v>
      </c>
      <c r="B42" s="453" t="s">
        <v>243</v>
      </c>
      <c r="C42" s="453" t="s">
        <v>244</v>
      </c>
      <c r="D42" s="550" t="s">
        <v>245</v>
      </c>
      <c r="F42" s="453">
        <v>1940</v>
      </c>
      <c r="G42" s="453">
        <v>2000</v>
      </c>
      <c r="H42" s="453">
        <v>24500</v>
      </c>
      <c r="I42" s="472">
        <v>151000</v>
      </c>
      <c r="J42" s="453">
        <v>1</v>
      </c>
      <c r="K42" s="453">
        <v>1</v>
      </c>
      <c r="L42" s="453" t="s">
        <v>147</v>
      </c>
      <c r="M42" s="453">
        <v>1</v>
      </c>
      <c r="N42" s="453" t="s">
        <v>122</v>
      </c>
      <c r="O42" s="453">
        <v>65</v>
      </c>
      <c r="P42" s="453" t="s">
        <v>123</v>
      </c>
      <c r="Q42" s="453" t="s">
        <v>149</v>
      </c>
      <c r="R42" s="453">
        <v>0.2</v>
      </c>
      <c r="S42" s="453">
        <v>0.2</v>
      </c>
      <c r="T42" s="453">
        <v>1</v>
      </c>
      <c r="V42" s="453">
        <v>100</v>
      </c>
      <c r="W42" s="453">
        <v>500</v>
      </c>
      <c r="X42" s="453" t="s">
        <v>58</v>
      </c>
      <c r="Z42" s="453" t="s">
        <v>150</v>
      </c>
      <c r="AB42" s="453" t="s">
        <v>246</v>
      </c>
      <c r="AC42" s="453" t="s">
        <v>243</v>
      </c>
    </row>
    <row r="43" spans="1:29">
      <c r="A43" s="453">
        <v>42</v>
      </c>
      <c r="B43" s="453" t="s">
        <v>247</v>
      </c>
      <c r="C43" s="453" t="s">
        <v>244</v>
      </c>
      <c r="D43" s="550" t="s">
        <v>248</v>
      </c>
      <c r="F43" s="453">
        <v>1940</v>
      </c>
      <c r="G43" s="453">
        <v>2000</v>
      </c>
      <c r="H43" s="453">
        <v>24500</v>
      </c>
      <c r="I43" s="472">
        <v>151000</v>
      </c>
      <c r="J43" s="453">
        <v>1</v>
      </c>
      <c r="K43" s="453">
        <v>1</v>
      </c>
      <c r="L43" s="453" t="s">
        <v>147</v>
      </c>
      <c r="M43" s="453">
        <v>1</v>
      </c>
      <c r="N43" s="453" t="s">
        <v>122</v>
      </c>
      <c r="O43" s="453">
        <v>65</v>
      </c>
      <c r="P43" s="453" t="s">
        <v>130</v>
      </c>
      <c r="Q43" s="453" t="s">
        <v>149</v>
      </c>
      <c r="R43" s="453">
        <v>0.2</v>
      </c>
      <c r="S43" s="453">
        <v>0.2</v>
      </c>
      <c r="T43" s="453">
        <v>1</v>
      </c>
      <c r="V43" s="453">
        <v>100</v>
      </c>
      <c r="W43" s="453">
        <v>1000</v>
      </c>
      <c r="X43" s="453" t="s">
        <v>58</v>
      </c>
      <c r="Z43" s="453" t="s">
        <v>150</v>
      </c>
      <c r="AA43" s="453">
        <v>36</v>
      </c>
      <c r="AB43" s="453" t="s">
        <v>249</v>
      </c>
      <c r="AC43" s="453" t="s">
        <v>247</v>
      </c>
    </row>
    <row r="44" spans="1:29">
      <c r="A44" s="453">
        <v>43</v>
      </c>
      <c r="B44" s="453" t="s">
        <v>201</v>
      </c>
      <c r="C44" s="453" t="s">
        <v>152</v>
      </c>
      <c r="D44" s="550" t="s">
        <v>250</v>
      </c>
      <c r="F44" s="453">
        <v>2006</v>
      </c>
      <c r="G44" s="453">
        <v>2020</v>
      </c>
      <c r="H44" s="453">
        <v>35000</v>
      </c>
      <c r="I44" s="472">
        <v>120000</v>
      </c>
      <c r="J44" s="453">
        <v>1</v>
      </c>
      <c r="K44" s="453">
        <v>1</v>
      </c>
      <c r="L44" s="453" t="s">
        <v>154</v>
      </c>
      <c r="M44" s="453">
        <v>1</v>
      </c>
      <c r="N44" s="453" t="s">
        <v>122</v>
      </c>
      <c r="O44" s="453">
        <v>100</v>
      </c>
      <c r="P44" s="453" t="s">
        <v>148</v>
      </c>
      <c r="Q44" s="453" t="s">
        <v>149</v>
      </c>
      <c r="R44" s="453">
        <v>0</v>
      </c>
      <c r="S44" s="453">
        <v>0</v>
      </c>
      <c r="T44" s="453">
        <v>2</v>
      </c>
      <c r="V44" s="453">
        <v>50</v>
      </c>
      <c r="W44" s="453">
        <v>250</v>
      </c>
      <c r="X44" s="453" t="s">
        <v>58</v>
      </c>
      <c r="Z44" s="453" t="s">
        <v>150</v>
      </c>
      <c r="AA44" s="453">
        <v>1358</v>
      </c>
      <c r="AC44" s="453" t="s">
        <v>201</v>
      </c>
    </row>
    <row r="45" spans="1:29">
      <c r="A45" s="453">
        <v>44</v>
      </c>
      <c r="B45" s="453" t="s">
        <v>251</v>
      </c>
      <c r="C45" s="453" t="s">
        <v>252</v>
      </c>
      <c r="D45" s="550" t="s">
        <v>253</v>
      </c>
      <c r="F45" s="453">
        <v>1976</v>
      </c>
      <c r="G45" s="453">
        <v>1987</v>
      </c>
      <c r="H45" s="453">
        <v>250000</v>
      </c>
      <c r="I45" s="472">
        <v>700000</v>
      </c>
      <c r="J45" s="453">
        <v>1</v>
      </c>
      <c r="K45" s="453">
        <v>7</v>
      </c>
      <c r="L45" s="453" t="s">
        <v>147</v>
      </c>
      <c r="M45" s="453">
        <v>7</v>
      </c>
      <c r="N45" s="453" t="s">
        <v>130</v>
      </c>
      <c r="O45" s="453">
        <v>420</v>
      </c>
      <c r="P45" s="453" t="s">
        <v>132</v>
      </c>
      <c r="Q45" s="453" t="s">
        <v>133</v>
      </c>
      <c r="R45" s="453">
        <v>0.2</v>
      </c>
      <c r="S45" s="453">
        <v>0.2</v>
      </c>
      <c r="T45" s="453">
        <v>23</v>
      </c>
      <c r="U45" s="453" t="s">
        <v>123</v>
      </c>
      <c r="V45" s="453">
        <v>1000</v>
      </c>
      <c r="W45" s="453">
        <v>2.5000000000000001E-2</v>
      </c>
      <c r="X45" s="453" t="s">
        <v>125</v>
      </c>
      <c r="Z45" s="453" t="s">
        <v>150</v>
      </c>
      <c r="AA45" s="453">
        <v>38</v>
      </c>
      <c r="AC45" s="453" t="s">
        <v>251</v>
      </c>
    </row>
    <row r="46" spans="1:29">
      <c r="A46" s="453">
        <v>45</v>
      </c>
      <c r="B46" s="453" t="s">
        <v>254</v>
      </c>
      <c r="C46" s="453" t="s">
        <v>252</v>
      </c>
      <c r="D46" s="550" t="s">
        <v>255</v>
      </c>
      <c r="F46" s="453">
        <v>2005</v>
      </c>
      <c r="G46" s="453">
        <v>2011</v>
      </c>
      <c r="H46" s="453">
        <v>2500000</v>
      </c>
      <c r="I46" s="472">
        <v>3750000</v>
      </c>
      <c r="J46" s="453">
        <v>1</v>
      </c>
      <c r="K46" s="453">
        <v>7</v>
      </c>
      <c r="L46" s="453" t="s">
        <v>147</v>
      </c>
      <c r="M46" s="453">
        <v>7</v>
      </c>
      <c r="N46" s="453" t="s">
        <v>130</v>
      </c>
      <c r="O46" s="453">
        <v>670</v>
      </c>
      <c r="P46" s="453" t="s">
        <v>132</v>
      </c>
      <c r="Q46" s="453" t="s">
        <v>133</v>
      </c>
      <c r="R46" s="453">
        <v>0.2</v>
      </c>
      <c r="S46" s="453">
        <v>0.2</v>
      </c>
      <c r="T46" s="453">
        <v>23</v>
      </c>
      <c r="U46" s="453" t="s">
        <v>123</v>
      </c>
      <c r="V46" s="453">
        <v>1000</v>
      </c>
      <c r="W46" s="453">
        <v>2.5000000000000001E-2</v>
      </c>
      <c r="X46" s="453" t="s">
        <v>125</v>
      </c>
      <c r="Z46" s="453" t="s">
        <v>150</v>
      </c>
      <c r="AB46" s="453" t="s">
        <v>256</v>
      </c>
      <c r="AC46" s="453" t="s">
        <v>254</v>
      </c>
    </row>
    <row r="47" spans="1:29">
      <c r="A47" s="453">
        <v>46</v>
      </c>
      <c r="B47" s="453" t="s">
        <v>257</v>
      </c>
      <c r="C47" s="453" t="s">
        <v>252</v>
      </c>
      <c r="D47" s="550" t="s">
        <v>258</v>
      </c>
      <c r="F47" s="453">
        <v>2012</v>
      </c>
      <c r="G47" s="453">
        <v>2020</v>
      </c>
      <c r="H47" s="453">
        <v>4750000</v>
      </c>
      <c r="I47" s="472">
        <v>6650000</v>
      </c>
      <c r="J47" s="453">
        <v>1</v>
      </c>
      <c r="K47" s="453">
        <v>7</v>
      </c>
      <c r="L47" s="453" t="s">
        <v>147</v>
      </c>
      <c r="M47" s="453">
        <v>7</v>
      </c>
      <c r="N47" s="453" t="s">
        <v>130</v>
      </c>
      <c r="O47" s="453">
        <v>670</v>
      </c>
      <c r="P47" s="453" t="s">
        <v>132</v>
      </c>
      <c r="Q47" s="453" t="s">
        <v>133</v>
      </c>
      <c r="R47" s="453">
        <v>0.2</v>
      </c>
      <c r="S47" s="453">
        <v>0.2</v>
      </c>
      <c r="T47" s="453">
        <v>23</v>
      </c>
      <c r="U47" s="453" t="s">
        <v>123</v>
      </c>
      <c r="V47" s="453">
        <v>1000</v>
      </c>
      <c r="W47" s="453">
        <v>2.5000000000000001E-2</v>
      </c>
      <c r="X47" s="453" t="s">
        <v>125</v>
      </c>
      <c r="Z47" s="453" t="s">
        <v>150</v>
      </c>
      <c r="AB47" s="453" t="s">
        <v>256</v>
      </c>
      <c r="AC47" s="453" t="s">
        <v>257</v>
      </c>
    </row>
    <row r="48" spans="1:29">
      <c r="A48" s="453">
        <v>47</v>
      </c>
      <c r="B48" s="453" t="s">
        <v>259</v>
      </c>
      <c r="C48" s="453" t="s">
        <v>252</v>
      </c>
      <c r="D48" s="550" t="s">
        <v>260</v>
      </c>
      <c r="F48" s="453">
        <v>1997</v>
      </c>
      <c r="G48" s="453">
        <v>2006</v>
      </c>
      <c r="H48" s="453">
        <v>2500000</v>
      </c>
      <c r="I48" s="472">
        <v>3750000</v>
      </c>
      <c r="J48" s="453">
        <v>1</v>
      </c>
      <c r="K48" s="453">
        <v>7</v>
      </c>
      <c r="L48" s="453" t="s">
        <v>147</v>
      </c>
      <c r="M48" s="453">
        <v>7</v>
      </c>
      <c r="N48" s="453" t="s">
        <v>130</v>
      </c>
      <c r="O48" s="453">
        <v>640</v>
      </c>
      <c r="P48" s="453" t="s">
        <v>132</v>
      </c>
      <c r="Q48" s="453" t="s">
        <v>133</v>
      </c>
      <c r="R48" s="453">
        <v>0.2</v>
      </c>
      <c r="S48" s="453">
        <v>0.2</v>
      </c>
      <c r="T48" s="453">
        <v>23</v>
      </c>
      <c r="U48" s="453" t="s">
        <v>123</v>
      </c>
      <c r="V48" s="453">
        <v>1000</v>
      </c>
      <c r="W48" s="453">
        <v>2.5000000000000001E-2</v>
      </c>
      <c r="X48" s="453" t="s">
        <v>125</v>
      </c>
      <c r="Z48" s="453" t="s">
        <v>150</v>
      </c>
      <c r="AB48" s="453" t="s">
        <v>256</v>
      </c>
      <c r="AC48" s="453" t="s">
        <v>259</v>
      </c>
    </row>
    <row r="49" spans="1:29">
      <c r="A49" s="453">
        <v>48</v>
      </c>
      <c r="B49" s="453" t="s">
        <v>261</v>
      </c>
      <c r="C49" s="453" t="s">
        <v>252</v>
      </c>
      <c r="D49" s="550" t="s">
        <v>262</v>
      </c>
      <c r="F49" s="453">
        <v>2007</v>
      </c>
      <c r="G49" s="453">
        <v>2014</v>
      </c>
      <c r="H49" s="453">
        <v>2000000</v>
      </c>
      <c r="I49" s="472">
        <v>6500000</v>
      </c>
      <c r="J49" s="453">
        <v>1</v>
      </c>
      <c r="K49" s="453">
        <v>7</v>
      </c>
      <c r="L49" s="453" t="s">
        <v>147</v>
      </c>
      <c r="M49" s="453">
        <v>7</v>
      </c>
      <c r="N49" s="453" t="s">
        <v>130</v>
      </c>
      <c r="O49" s="453">
        <v>670</v>
      </c>
      <c r="P49" s="453" t="s">
        <v>132</v>
      </c>
      <c r="Q49" s="453" t="s">
        <v>133</v>
      </c>
      <c r="R49" s="453">
        <v>0.2</v>
      </c>
      <c r="S49" s="453">
        <v>0.2</v>
      </c>
      <c r="T49" s="453">
        <v>23</v>
      </c>
      <c r="U49" s="453" t="s">
        <v>123</v>
      </c>
      <c r="V49" s="453">
        <v>1000</v>
      </c>
      <c r="W49" s="453">
        <v>2.5000000000000001E-2</v>
      </c>
      <c r="X49" s="453" t="s">
        <v>125</v>
      </c>
      <c r="Z49" s="453" t="s">
        <v>150</v>
      </c>
      <c r="AB49" s="453" t="s">
        <v>256</v>
      </c>
      <c r="AC49" s="453" t="s">
        <v>261</v>
      </c>
    </row>
    <row r="50" spans="1:29">
      <c r="A50" s="453">
        <v>49</v>
      </c>
      <c r="B50" s="453" t="s">
        <v>263</v>
      </c>
      <c r="C50" s="453" t="s">
        <v>264</v>
      </c>
      <c r="D50" s="550" t="s">
        <v>265</v>
      </c>
      <c r="E50" s="453" t="s">
        <v>266</v>
      </c>
      <c r="F50" s="453">
        <v>2003</v>
      </c>
      <c r="G50" s="453">
        <v>2017</v>
      </c>
      <c r="H50" s="453">
        <v>5000000</v>
      </c>
      <c r="I50" s="472">
        <v>10000000</v>
      </c>
      <c r="J50" s="453">
        <v>2</v>
      </c>
      <c r="K50" s="453">
        <v>13</v>
      </c>
      <c r="L50" s="453" t="s">
        <v>147</v>
      </c>
      <c r="M50" s="453">
        <v>7</v>
      </c>
      <c r="N50" s="453" t="s">
        <v>130</v>
      </c>
      <c r="O50" s="453">
        <v>1500</v>
      </c>
      <c r="P50" s="453" t="s">
        <v>132</v>
      </c>
      <c r="Q50" s="453" t="s">
        <v>133</v>
      </c>
      <c r="R50" s="453">
        <v>0.2</v>
      </c>
      <c r="S50" s="453">
        <v>0.2</v>
      </c>
      <c r="T50" s="453">
        <v>23</v>
      </c>
      <c r="U50" s="453" t="s">
        <v>123</v>
      </c>
      <c r="V50" s="453">
        <v>1000</v>
      </c>
      <c r="W50" s="453">
        <v>2.5000000000000001E-2</v>
      </c>
      <c r="X50" s="453" t="s">
        <v>125</v>
      </c>
      <c r="Z50" s="453" t="s">
        <v>150</v>
      </c>
      <c r="AB50" s="453" t="s">
        <v>256</v>
      </c>
      <c r="AC50" s="453" t="s">
        <v>263</v>
      </c>
    </row>
    <row r="51" spans="1:29">
      <c r="A51" s="453">
        <v>50</v>
      </c>
      <c r="B51" s="453" t="s">
        <v>267</v>
      </c>
      <c r="C51" s="453" t="s">
        <v>264</v>
      </c>
      <c r="D51" s="550" t="s">
        <v>268</v>
      </c>
      <c r="F51" s="453">
        <v>2015</v>
      </c>
      <c r="G51" s="453">
        <v>2020</v>
      </c>
      <c r="H51" s="453">
        <v>7500000</v>
      </c>
      <c r="I51" s="472">
        <v>10600000</v>
      </c>
      <c r="J51" s="453">
        <v>1</v>
      </c>
      <c r="K51" s="453">
        <v>9</v>
      </c>
      <c r="L51" s="453" t="s">
        <v>147</v>
      </c>
      <c r="M51" s="453">
        <v>7</v>
      </c>
      <c r="N51" s="453" t="s">
        <v>130</v>
      </c>
      <c r="O51" s="453">
        <v>1010</v>
      </c>
      <c r="P51" s="453" t="s">
        <v>148</v>
      </c>
      <c r="Q51" s="453" t="s">
        <v>133</v>
      </c>
      <c r="R51" s="453">
        <v>0.2</v>
      </c>
      <c r="S51" s="453">
        <v>0.2</v>
      </c>
      <c r="T51" s="453">
        <v>23</v>
      </c>
      <c r="U51" s="453" t="s">
        <v>123</v>
      </c>
      <c r="V51" s="453">
        <v>1000</v>
      </c>
      <c r="W51" s="453">
        <v>2.5000000000000001E-2</v>
      </c>
      <c r="X51" s="453" t="s">
        <v>125</v>
      </c>
      <c r="Z51" s="453" t="s">
        <v>150</v>
      </c>
      <c r="AB51" s="453" t="s">
        <v>256</v>
      </c>
      <c r="AC51" s="453" t="s">
        <v>267</v>
      </c>
    </row>
    <row r="52" spans="1:29">
      <c r="A52" s="453">
        <v>51</v>
      </c>
      <c r="B52" s="453" t="s">
        <v>269</v>
      </c>
      <c r="C52" s="453" t="s">
        <v>270</v>
      </c>
      <c r="D52" s="550" t="s">
        <v>271</v>
      </c>
      <c r="F52" s="453">
        <v>1960</v>
      </c>
      <c r="G52" s="453">
        <v>1975</v>
      </c>
      <c r="H52" s="453">
        <v>24500</v>
      </c>
      <c r="I52" s="472">
        <v>51000</v>
      </c>
      <c r="J52" s="453">
        <v>1</v>
      </c>
      <c r="K52" s="453">
        <v>1</v>
      </c>
      <c r="L52" s="453" t="s">
        <v>147</v>
      </c>
      <c r="M52" s="453">
        <v>8</v>
      </c>
      <c r="N52" s="453" t="s">
        <v>122</v>
      </c>
      <c r="O52" s="453">
        <v>180</v>
      </c>
      <c r="P52" s="453" t="s">
        <v>148</v>
      </c>
      <c r="Q52" s="453" t="s">
        <v>124</v>
      </c>
      <c r="R52" s="453">
        <v>0</v>
      </c>
      <c r="S52" s="453">
        <v>0</v>
      </c>
      <c r="T52" s="453">
        <v>1</v>
      </c>
      <c r="V52" s="453">
        <v>1000</v>
      </c>
      <c r="W52" s="453">
        <v>4000</v>
      </c>
      <c r="X52" s="453" t="s">
        <v>125</v>
      </c>
      <c r="Z52" s="453" t="s">
        <v>150</v>
      </c>
      <c r="AA52" s="453">
        <v>41</v>
      </c>
      <c r="AC52" s="453" t="s">
        <v>269</v>
      </c>
    </row>
    <row r="53" spans="1:29">
      <c r="A53" s="453">
        <v>52</v>
      </c>
      <c r="B53" s="453" t="s">
        <v>272</v>
      </c>
      <c r="C53" s="453" t="s">
        <v>273</v>
      </c>
      <c r="D53" s="550" t="s">
        <v>274</v>
      </c>
      <c r="F53" s="453">
        <v>1937</v>
      </c>
      <c r="G53" s="453">
        <v>1967</v>
      </c>
      <c r="H53" s="453">
        <v>10000</v>
      </c>
      <c r="I53" s="472">
        <v>30000</v>
      </c>
      <c r="J53" s="453">
        <v>1</v>
      </c>
      <c r="K53" s="453">
        <v>1</v>
      </c>
      <c r="L53" s="453" t="s">
        <v>147</v>
      </c>
      <c r="M53" s="453">
        <v>1</v>
      </c>
      <c r="N53" s="453" t="s">
        <v>122</v>
      </c>
      <c r="O53" s="453">
        <v>90</v>
      </c>
      <c r="P53" s="453" t="s">
        <v>148</v>
      </c>
      <c r="Q53" s="453" t="s">
        <v>149</v>
      </c>
      <c r="R53" s="453">
        <v>0.2</v>
      </c>
      <c r="S53" s="453">
        <v>0</v>
      </c>
      <c r="T53" s="453">
        <v>4</v>
      </c>
      <c r="V53" s="453">
        <v>50</v>
      </c>
      <c r="W53" s="453">
        <v>250</v>
      </c>
      <c r="X53" s="453" t="s">
        <v>58</v>
      </c>
      <c r="Z53" s="453" t="s">
        <v>150</v>
      </c>
      <c r="AA53" s="453">
        <v>44</v>
      </c>
      <c r="AC53" s="453" t="s">
        <v>272</v>
      </c>
    </row>
    <row r="54" spans="1:29">
      <c r="A54" s="453">
        <v>53</v>
      </c>
      <c r="B54" s="453" t="s">
        <v>275</v>
      </c>
      <c r="C54" s="453" t="s">
        <v>273</v>
      </c>
      <c r="D54" s="550" t="s">
        <v>276</v>
      </c>
      <c r="F54" s="453">
        <v>1937</v>
      </c>
      <c r="G54" s="453">
        <v>1967</v>
      </c>
      <c r="H54" s="453">
        <v>10000</v>
      </c>
      <c r="I54" s="472">
        <v>30000</v>
      </c>
      <c r="J54" s="453">
        <v>1</v>
      </c>
      <c r="K54" s="453">
        <v>1</v>
      </c>
      <c r="L54" s="453" t="s">
        <v>147</v>
      </c>
      <c r="M54" s="453">
        <v>1</v>
      </c>
      <c r="N54" s="453" t="s">
        <v>122</v>
      </c>
      <c r="O54" s="453">
        <v>90</v>
      </c>
      <c r="P54" s="453" t="s">
        <v>148</v>
      </c>
      <c r="Q54" s="453" t="s">
        <v>149</v>
      </c>
      <c r="R54" s="453">
        <v>0.2</v>
      </c>
      <c r="S54" s="453">
        <v>0</v>
      </c>
      <c r="T54" s="453">
        <v>4</v>
      </c>
      <c r="V54" s="453">
        <v>50</v>
      </c>
      <c r="W54" s="453">
        <v>250</v>
      </c>
      <c r="X54" s="453" t="s">
        <v>58</v>
      </c>
      <c r="Z54" s="453" t="s">
        <v>150</v>
      </c>
      <c r="AA54" s="453">
        <v>45</v>
      </c>
      <c r="AC54" s="453" t="s">
        <v>275</v>
      </c>
    </row>
    <row r="55" spans="1:29">
      <c r="A55" s="453">
        <v>54</v>
      </c>
      <c r="B55" s="453" t="s">
        <v>277</v>
      </c>
      <c r="C55" s="453" t="s">
        <v>278</v>
      </c>
      <c r="D55" s="550" t="s">
        <v>279</v>
      </c>
      <c r="F55" s="453">
        <v>2010</v>
      </c>
      <c r="G55" s="453">
        <v>2025</v>
      </c>
      <c r="H55" s="453">
        <v>125000</v>
      </c>
      <c r="I55" s="472">
        <v>200000</v>
      </c>
      <c r="J55" s="453">
        <v>1</v>
      </c>
      <c r="K55" s="453">
        <v>1</v>
      </c>
      <c r="L55" s="453" t="s">
        <v>154</v>
      </c>
      <c r="M55" s="453">
        <v>1</v>
      </c>
      <c r="N55" s="453" t="s">
        <v>122</v>
      </c>
      <c r="O55" s="453">
        <v>100</v>
      </c>
      <c r="P55" s="453" t="s">
        <v>148</v>
      </c>
      <c r="Q55" s="453" t="s">
        <v>149</v>
      </c>
      <c r="R55" s="453">
        <v>0</v>
      </c>
      <c r="S55" s="453">
        <v>0</v>
      </c>
      <c r="T55" s="453">
        <v>2</v>
      </c>
      <c r="V55" s="453">
        <v>50</v>
      </c>
      <c r="W55" s="453">
        <v>250</v>
      </c>
      <c r="X55" s="453" t="s">
        <v>58</v>
      </c>
      <c r="Z55" s="453" t="s">
        <v>150</v>
      </c>
      <c r="AC55" s="453" t="s">
        <v>277</v>
      </c>
    </row>
    <row r="56" spans="1:29">
      <c r="A56" s="453">
        <v>55</v>
      </c>
      <c r="B56" s="453" t="s">
        <v>280</v>
      </c>
      <c r="C56" s="453" t="s">
        <v>281</v>
      </c>
      <c r="D56" s="550" t="s">
        <v>282</v>
      </c>
      <c r="F56" s="453">
        <v>1937</v>
      </c>
      <c r="G56" s="453">
        <v>1967</v>
      </c>
      <c r="H56" s="453">
        <v>10000</v>
      </c>
      <c r="I56" s="472">
        <v>30000</v>
      </c>
      <c r="J56" s="453">
        <v>1</v>
      </c>
      <c r="K56" s="453">
        <v>1</v>
      </c>
      <c r="L56" s="453" t="s">
        <v>147</v>
      </c>
      <c r="M56" s="453">
        <v>1</v>
      </c>
      <c r="N56" s="453" t="s">
        <v>122</v>
      </c>
      <c r="O56" s="453">
        <v>90</v>
      </c>
      <c r="P56" s="453" t="s">
        <v>148</v>
      </c>
      <c r="Q56" s="453" t="s">
        <v>149</v>
      </c>
      <c r="R56" s="453">
        <v>0</v>
      </c>
      <c r="S56" s="453">
        <v>0</v>
      </c>
      <c r="T56" s="453">
        <v>4</v>
      </c>
      <c r="V56" s="453">
        <v>50</v>
      </c>
      <c r="W56" s="453">
        <v>250</v>
      </c>
      <c r="X56" s="453" t="s">
        <v>58</v>
      </c>
      <c r="Z56" s="453" t="s">
        <v>150</v>
      </c>
      <c r="AA56" s="453">
        <v>57</v>
      </c>
      <c r="AC56" s="453" t="s">
        <v>280</v>
      </c>
    </row>
    <row r="57" spans="1:29">
      <c r="A57" s="453">
        <v>56</v>
      </c>
      <c r="B57" s="453" t="s">
        <v>283</v>
      </c>
      <c r="C57" s="453" t="s">
        <v>284</v>
      </c>
      <c r="D57" s="550" t="s">
        <v>285</v>
      </c>
      <c r="F57" s="453">
        <v>2008</v>
      </c>
      <c r="G57" s="453">
        <v>2012</v>
      </c>
      <c r="H57" s="453">
        <v>75000</v>
      </c>
      <c r="I57" s="472">
        <v>150000</v>
      </c>
      <c r="J57" s="453">
        <v>1</v>
      </c>
      <c r="K57" s="453">
        <v>1</v>
      </c>
      <c r="L57" s="453" t="s">
        <v>154</v>
      </c>
      <c r="M57" s="453">
        <v>1</v>
      </c>
      <c r="N57" s="453" t="s">
        <v>122</v>
      </c>
      <c r="O57" s="453">
        <v>100</v>
      </c>
      <c r="P57" s="453" t="s">
        <v>148</v>
      </c>
      <c r="Q57" s="453" t="s">
        <v>149</v>
      </c>
      <c r="R57" s="453">
        <v>0</v>
      </c>
      <c r="S57" s="453">
        <v>0</v>
      </c>
      <c r="T57" s="453">
        <v>2</v>
      </c>
      <c r="V57" s="453">
        <v>50</v>
      </c>
      <c r="W57" s="453">
        <v>250</v>
      </c>
      <c r="X57" s="453" t="s">
        <v>58</v>
      </c>
      <c r="Z57" s="453" t="s">
        <v>150</v>
      </c>
      <c r="AA57" s="453">
        <v>1356</v>
      </c>
      <c r="AC57" s="453" t="s">
        <v>283</v>
      </c>
    </row>
    <row r="58" spans="1:29">
      <c r="A58" s="453">
        <v>57</v>
      </c>
      <c r="B58" s="453" t="s">
        <v>286</v>
      </c>
      <c r="C58" s="453" t="s">
        <v>287</v>
      </c>
      <c r="D58" s="550" t="s">
        <v>288</v>
      </c>
      <c r="E58" s="453" t="s">
        <v>289</v>
      </c>
      <c r="F58" s="453">
        <v>1995</v>
      </c>
      <c r="G58" s="453">
        <v>2004</v>
      </c>
      <c r="H58" s="453">
        <v>35000</v>
      </c>
      <c r="I58" s="472">
        <v>75000</v>
      </c>
      <c r="J58" s="453">
        <v>1</v>
      </c>
      <c r="K58" s="453">
        <v>1</v>
      </c>
      <c r="L58" s="453" t="s">
        <v>147</v>
      </c>
      <c r="M58" s="453">
        <v>1</v>
      </c>
      <c r="N58" s="453" t="s">
        <v>122</v>
      </c>
      <c r="O58" s="453">
        <v>116</v>
      </c>
      <c r="P58" s="453" t="s">
        <v>148</v>
      </c>
      <c r="Q58" s="453" t="s">
        <v>149</v>
      </c>
      <c r="R58" s="453">
        <v>0</v>
      </c>
      <c r="S58" s="453">
        <v>0</v>
      </c>
      <c r="T58" s="453">
        <v>4</v>
      </c>
      <c r="V58" s="453">
        <v>50</v>
      </c>
      <c r="W58" s="453">
        <v>250</v>
      </c>
      <c r="X58" s="453" t="s">
        <v>58</v>
      </c>
      <c r="Z58" s="453" t="s">
        <v>150</v>
      </c>
      <c r="AA58" s="453">
        <v>59</v>
      </c>
      <c r="AC58" s="453" t="s">
        <v>286</v>
      </c>
    </row>
    <row r="59" spans="1:29">
      <c r="A59" s="453">
        <v>58</v>
      </c>
      <c r="B59" s="453" t="s">
        <v>290</v>
      </c>
      <c r="C59" s="453" t="s">
        <v>287</v>
      </c>
      <c r="D59" s="550" t="s">
        <v>291</v>
      </c>
      <c r="F59" s="453">
        <v>2005</v>
      </c>
      <c r="G59" s="453">
        <v>2012</v>
      </c>
      <c r="H59" s="453">
        <v>40000</v>
      </c>
      <c r="I59" s="472">
        <v>75000</v>
      </c>
      <c r="J59" s="453">
        <v>1</v>
      </c>
      <c r="K59" s="453">
        <v>1</v>
      </c>
      <c r="L59" s="453" t="s">
        <v>154</v>
      </c>
      <c r="M59" s="453">
        <v>1</v>
      </c>
      <c r="N59" s="453" t="s">
        <v>122</v>
      </c>
      <c r="O59" s="453">
        <v>100</v>
      </c>
      <c r="P59" s="453" t="s">
        <v>148</v>
      </c>
      <c r="Q59" s="453" t="s">
        <v>149</v>
      </c>
      <c r="R59" s="453">
        <v>0</v>
      </c>
      <c r="S59" s="453">
        <v>0</v>
      </c>
      <c r="T59" s="453">
        <v>2</v>
      </c>
      <c r="V59" s="453">
        <v>50</v>
      </c>
      <c r="W59" s="453">
        <v>250</v>
      </c>
      <c r="X59" s="453" t="s">
        <v>58</v>
      </c>
      <c r="Z59" s="453" t="s">
        <v>150</v>
      </c>
      <c r="AA59" s="453">
        <v>61</v>
      </c>
      <c r="AC59" s="453" t="s">
        <v>290</v>
      </c>
    </row>
    <row r="60" spans="1:29">
      <c r="A60" s="453">
        <v>59</v>
      </c>
      <c r="B60" s="453" t="s">
        <v>292</v>
      </c>
      <c r="C60" s="453" t="s">
        <v>287</v>
      </c>
      <c r="D60" s="550" t="s">
        <v>293</v>
      </c>
      <c r="E60" s="453" t="s">
        <v>294</v>
      </c>
      <c r="F60" s="453">
        <v>2008</v>
      </c>
      <c r="G60" s="453">
        <v>2012</v>
      </c>
      <c r="H60" s="453">
        <v>60000</v>
      </c>
      <c r="I60" s="472">
        <v>110000</v>
      </c>
      <c r="J60" s="453">
        <v>1</v>
      </c>
      <c r="K60" s="453">
        <v>1</v>
      </c>
      <c r="L60" s="453" t="s">
        <v>154</v>
      </c>
      <c r="M60" s="453">
        <v>1</v>
      </c>
      <c r="N60" s="453" t="s">
        <v>122</v>
      </c>
      <c r="O60" s="453">
        <v>100</v>
      </c>
      <c r="P60" s="453" t="s">
        <v>148</v>
      </c>
      <c r="Q60" s="453" t="s">
        <v>149</v>
      </c>
      <c r="R60" s="453">
        <v>0</v>
      </c>
      <c r="S60" s="453">
        <v>0</v>
      </c>
      <c r="T60" s="453">
        <v>2</v>
      </c>
      <c r="V60" s="453">
        <v>50</v>
      </c>
      <c r="W60" s="453">
        <v>250</v>
      </c>
      <c r="X60" s="453" t="s">
        <v>58</v>
      </c>
      <c r="Z60" s="453" t="s">
        <v>150</v>
      </c>
      <c r="AA60" s="453">
        <v>1308</v>
      </c>
      <c r="AC60" s="453" t="s">
        <v>292</v>
      </c>
    </row>
    <row r="61" spans="1:29">
      <c r="A61" s="453">
        <v>60</v>
      </c>
      <c r="B61" s="453" t="s">
        <v>295</v>
      </c>
      <c r="C61" s="453" t="s">
        <v>296</v>
      </c>
      <c r="D61" s="550" t="s">
        <v>297</v>
      </c>
      <c r="F61" s="453">
        <v>2006</v>
      </c>
      <c r="G61" s="453">
        <v>2009</v>
      </c>
      <c r="H61" s="453">
        <v>49000</v>
      </c>
      <c r="I61" s="472">
        <v>95000</v>
      </c>
      <c r="J61" s="453">
        <v>1</v>
      </c>
      <c r="K61" s="453">
        <v>1</v>
      </c>
      <c r="L61" s="453" t="s">
        <v>147</v>
      </c>
      <c r="M61" s="453">
        <v>1</v>
      </c>
      <c r="N61" s="453" t="s">
        <v>122</v>
      </c>
      <c r="O61" s="453">
        <v>100</v>
      </c>
      <c r="P61" s="453" t="s">
        <v>123</v>
      </c>
      <c r="Q61" s="453" t="s">
        <v>149</v>
      </c>
      <c r="R61" s="453">
        <v>0</v>
      </c>
      <c r="S61" s="453">
        <v>0</v>
      </c>
      <c r="T61" s="453">
        <v>7</v>
      </c>
      <c r="V61" s="453">
        <v>100</v>
      </c>
      <c r="W61" s="453">
        <v>500</v>
      </c>
      <c r="X61" s="453" t="s">
        <v>58</v>
      </c>
      <c r="Z61" s="453" t="s">
        <v>150</v>
      </c>
      <c r="AB61" s="453" t="s">
        <v>298</v>
      </c>
      <c r="AC61" s="453" t="s">
        <v>295</v>
      </c>
    </row>
    <row r="62" spans="1:29">
      <c r="A62" s="453">
        <v>61</v>
      </c>
      <c r="B62" s="453" t="s">
        <v>299</v>
      </c>
      <c r="C62" s="453" t="s">
        <v>300</v>
      </c>
      <c r="D62" s="550">
        <v>230</v>
      </c>
      <c r="F62" s="453">
        <v>1928</v>
      </c>
      <c r="G62" s="453">
        <v>1931</v>
      </c>
      <c r="H62" s="453">
        <v>9500</v>
      </c>
      <c r="I62" s="472">
        <v>51000</v>
      </c>
      <c r="J62" s="453">
        <v>1</v>
      </c>
      <c r="K62" s="453">
        <v>1</v>
      </c>
      <c r="L62" s="453" t="s">
        <v>147</v>
      </c>
      <c r="M62" s="453">
        <v>1</v>
      </c>
      <c r="N62" s="453" t="s">
        <v>122</v>
      </c>
      <c r="O62" s="453">
        <v>50</v>
      </c>
      <c r="P62" s="453" t="s">
        <v>123</v>
      </c>
      <c r="Q62" s="453" t="s">
        <v>149</v>
      </c>
      <c r="R62" s="453">
        <v>0</v>
      </c>
      <c r="S62" s="453">
        <v>0</v>
      </c>
      <c r="T62" s="453">
        <v>7</v>
      </c>
      <c r="V62" s="453">
        <v>100</v>
      </c>
      <c r="W62" s="453">
        <v>500</v>
      </c>
      <c r="X62" s="453" t="s">
        <v>125</v>
      </c>
      <c r="Z62" s="453" t="s">
        <v>150</v>
      </c>
      <c r="AA62" s="453">
        <v>65</v>
      </c>
      <c r="AC62" s="453" t="s">
        <v>299</v>
      </c>
    </row>
    <row r="63" spans="1:29">
      <c r="A63" s="453">
        <v>62</v>
      </c>
      <c r="B63" s="453" t="s">
        <v>301</v>
      </c>
      <c r="C63" s="453" t="s">
        <v>302</v>
      </c>
      <c r="D63" s="550" t="s">
        <v>303</v>
      </c>
      <c r="F63" s="453">
        <v>1968</v>
      </c>
      <c r="G63" s="453">
        <v>1978</v>
      </c>
      <c r="H63" s="453">
        <v>12000</v>
      </c>
      <c r="I63" s="472">
        <v>31000</v>
      </c>
      <c r="J63" s="453">
        <v>1</v>
      </c>
      <c r="K63" s="453">
        <v>1</v>
      </c>
      <c r="L63" s="453" t="s">
        <v>147</v>
      </c>
      <c r="M63" s="453">
        <v>1</v>
      </c>
      <c r="N63" s="453" t="s">
        <v>122</v>
      </c>
      <c r="O63" s="453">
        <v>108</v>
      </c>
      <c r="P63" s="453" t="s">
        <v>123</v>
      </c>
      <c r="Q63" s="453" t="s">
        <v>149</v>
      </c>
      <c r="R63" s="453">
        <v>0</v>
      </c>
      <c r="S63" s="453">
        <v>0</v>
      </c>
      <c r="T63" s="453">
        <v>7</v>
      </c>
      <c r="V63" s="453">
        <v>100</v>
      </c>
      <c r="W63" s="453">
        <v>500</v>
      </c>
      <c r="X63" s="453" t="s">
        <v>58</v>
      </c>
      <c r="Z63" s="453" t="s">
        <v>150</v>
      </c>
      <c r="AA63" s="453">
        <v>66</v>
      </c>
      <c r="AC63" s="453" t="s">
        <v>301</v>
      </c>
    </row>
    <row r="64" spans="1:29">
      <c r="A64" s="453">
        <v>63</v>
      </c>
      <c r="B64" s="453" t="s">
        <v>304</v>
      </c>
      <c r="C64" s="453" t="s">
        <v>302</v>
      </c>
      <c r="D64" s="550" t="s">
        <v>305</v>
      </c>
      <c r="F64" s="453">
        <v>1968</v>
      </c>
      <c r="G64" s="453">
        <v>1978</v>
      </c>
      <c r="H64" s="453">
        <v>12000</v>
      </c>
      <c r="I64" s="472">
        <v>25000</v>
      </c>
      <c r="J64" s="453">
        <v>1</v>
      </c>
      <c r="K64" s="453">
        <v>1</v>
      </c>
      <c r="L64" s="453" t="s">
        <v>147</v>
      </c>
      <c r="M64" s="453">
        <v>1</v>
      </c>
      <c r="N64" s="453" t="s">
        <v>122</v>
      </c>
      <c r="O64" s="453">
        <v>108</v>
      </c>
      <c r="P64" s="453" t="s">
        <v>148</v>
      </c>
      <c r="Q64" s="453" t="s">
        <v>149</v>
      </c>
      <c r="R64" s="453">
        <v>0</v>
      </c>
      <c r="S64" s="453">
        <v>0</v>
      </c>
      <c r="T64" s="453">
        <v>4</v>
      </c>
      <c r="V64" s="453">
        <v>50</v>
      </c>
      <c r="W64" s="453">
        <v>250</v>
      </c>
      <c r="X64" s="453" t="s">
        <v>58</v>
      </c>
      <c r="Z64" s="453" t="s">
        <v>150</v>
      </c>
      <c r="AA64" s="453">
        <v>67</v>
      </c>
      <c r="AC64" s="453" t="s">
        <v>304</v>
      </c>
    </row>
    <row r="65" spans="1:29">
      <c r="A65" s="453">
        <v>64</v>
      </c>
      <c r="B65" s="453" t="s">
        <v>306</v>
      </c>
      <c r="C65" s="453" t="s">
        <v>302</v>
      </c>
      <c r="D65" s="550" t="s">
        <v>307</v>
      </c>
      <c r="E65" s="453" t="s">
        <v>308</v>
      </c>
      <c r="F65" s="453">
        <v>1969</v>
      </c>
      <c r="G65" s="453">
        <v>1979</v>
      </c>
      <c r="H65" s="453">
        <v>16500</v>
      </c>
      <c r="I65" s="472">
        <v>45000</v>
      </c>
      <c r="J65" s="453">
        <v>1</v>
      </c>
      <c r="K65" s="453">
        <v>3</v>
      </c>
      <c r="L65" s="453" t="s">
        <v>147</v>
      </c>
      <c r="M65" s="453">
        <v>1</v>
      </c>
      <c r="N65" s="453" t="s">
        <v>122</v>
      </c>
      <c r="O65" s="453">
        <v>180</v>
      </c>
      <c r="P65" s="453" t="s">
        <v>148</v>
      </c>
      <c r="Q65" s="453" t="s">
        <v>149</v>
      </c>
      <c r="R65" s="453">
        <v>0</v>
      </c>
      <c r="S65" s="453">
        <v>0</v>
      </c>
      <c r="T65" s="453">
        <v>4</v>
      </c>
      <c r="V65" s="453">
        <v>50</v>
      </c>
      <c r="W65" s="453">
        <v>250</v>
      </c>
      <c r="X65" s="453" t="s">
        <v>58</v>
      </c>
      <c r="Z65" s="453" t="s">
        <v>150</v>
      </c>
      <c r="AA65" s="453">
        <v>68</v>
      </c>
      <c r="AC65" s="453" t="s">
        <v>306</v>
      </c>
    </row>
    <row r="66" spans="1:29">
      <c r="A66" s="453">
        <v>65</v>
      </c>
      <c r="B66" s="453" t="s">
        <v>309</v>
      </c>
      <c r="C66" s="453" t="s">
        <v>302</v>
      </c>
      <c r="D66" s="550" t="s">
        <v>310</v>
      </c>
      <c r="E66" s="453" t="s">
        <v>311</v>
      </c>
      <c r="F66" s="453">
        <v>1975</v>
      </c>
      <c r="G66" s="453">
        <v>1979</v>
      </c>
      <c r="H66" s="453">
        <v>26000</v>
      </c>
      <c r="I66" s="472">
        <v>55000</v>
      </c>
      <c r="J66" s="453">
        <v>1</v>
      </c>
      <c r="K66" s="453">
        <v>3</v>
      </c>
      <c r="L66" s="453" t="s">
        <v>147</v>
      </c>
      <c r="M66" s="453">
        <v>1</v>
      </c>
      <c r="N66" s="453" t="s">
        <v>122</v>
      </c>
      <c r="O66" s="453">
        <v>180</v>
      </c>
      <c r="P66" s="453" t="s">
        <v>148</v>
      </c>
      <c r="Q66" s="453" t="s">
        <v>149</v>
      </c>
      <c r="R66" s="453">
        <v>0</v>
      </c>
      <c r="S66" s="453">
        <v>0</v>
      </c>
      <c r="T66" s="453">
        <v>4</v>
      </c>
      <c r="V66" s="453">
        <v>50</v>
      </c>
      <c r="W66" s="453">
        <v>250</v>
      </c>
      <c r="X66" s="453" t="s">
        <v>58</v>
      </c>
      <c r="Z66" s="453" t="s">
        <v>150</v>
      </c>
      <c r="AC66" s="453" t="s">
        <v>309</v>
      </c>
    </row>
    <row r="67" spans="1:29">
      <c r="A67" s="453">
        <v>66</v>
      </c>
      <c r="B67" s="453" t="s">
        <v>312</v>
      </c>
      <c r="C67" s="453" t="s">
        <v>302</v>
      </c>
      <c r="D67" s="550" t="s">
        <v>313</v>
      </c>
      <c r="F67" s="453">
        <v>1990</v>
      </c>
      <c r="G67" s="453">
        <v>1993</v>
      </c>
      <c r="H67" s="453">
        <v>45000</v>
      </c>
      <c r="I67" s="472">
        <v>100000</v>
      </c>
      <c r="J67" s="453">
        <v>1</v>
      </c>
      <c r="K67" s="453">
        <v>3</v>
      </c>
      <c r="L67" s="453" t="s">
        <v>147</v>
      </c>
      <c r="M67" s="453">
        <v>1</v>
      </c>
      <c r="N67" s="453" t="s">
        <v>122</v>
      </c>
      <c r="O67" s="453">
        <v>180</v>
      </c>
      <c r="P67" s="453" t="s">
        <v>148</v>
      </c>
      <c r="Q67" s="453" t="s">
        <v>149</v>
      </c>
      <c r="R67" s="453">
        <v>0</v>
      </c>
      <c r="S67" s="453">
        <v>0</v>
      </c>
      <c r="T67" s="453">
        <v>4</v>
      </c>
      <c r="V67" s="453">
        <v>50</v>
      </c>
      <c r="W67" s="453">
        <v>250</v>
      </c>
      <c r="X67" s="453" t="s">
        <v>58</v>
      </c>
      <c r="Z67" s="453" t="s">
        <v>150</v>
      </c>
      <c r="AA67" s="453">
        <v>69</v>
      </c>
      <c r="AC67" s="453" t="s">
        <v>312</v>
      </c>
    </row>
    <row r="68" spans="1:29">
      <c r="A68" s="453">
        <v>67</v>
      </c>
      <c r="B68" s="453" t="s">
        <v>314</v>
      </c>
      <c r="C68" s="453" t="s">
        <v>302</v>
      </c>
      <c r="D68" s="550" t="s">
        <v>315</v>
      </c>
      <c r="E68" s="453" t="s">
        <v>316</v>
      </c>
      <c r="F68" s="453">
        <v>1978</v>
      </c>
      <c r="G68" s="453">
        <v>1979</v>
      </c>
      <c r="H68" s="453">
        <v>48000</v>
      </c>
      <c r="I68" s="472">
        <v>80000</v>
      </c>
      <c r="J68" s="453">
        <v>1</v>
      </c>
      <c r="K68" s="453">
        <v>3</v>
      </c>
      <c r="L68" s="453" t="s">
        <v>147</v>
      </c>
      <c r="M68" s="453">
        <v>2</v>
      </c>
      <c r="N68" s="453" t="s">
        <v>122</v>
      </c>
      <c r="O68" s="453">
        <v>160</v>
      </c>
      <c r="P68" s="453" t="s">
        <v>132</v>
      </c>
      <c r="Q68" s="453" t="s">
        <v>149</v>
      </c>
      <c r="R68" s="453">
        <v>0</v>
      </c>
      <c r="S68" s="453">
        <v>0</v>
      </c>
      <c r="T68" s="453">
        <v>14</v>
      </c>
      <c r="U68" s="453" t="s">
        <v>229</v>
      </c>
      <c r="V68" s="453">
        <v>100</v>
      </c>
      <c r="W68" s="453">
        <v>500</v>
      </c>
      <c r="X68" s="453" t="s">
        <v>58</v>
      </c>
      <c r="Z68" s="453" t="s">
        <v>150</v>
      </c>
      <c r="AA68" s="453">
        <v>71</v>
      </c>
      <c r="AC68" s="453" t="s">
        <v>314</v>
      </c>
    </row>
    <row r="69" spans="1:29">
      <c r="A69" s="453">
        <v>68</v>
      </c>
      <c r="B69" s="453" t="s">
        <v>317</v>
      </c>
      <c r="C69" s="453" t="s">
        <v>318</v>
      </c>
      <c r="D69" s="550" t="s">
        <v>319</v>
      </c>
      <c r="F69" s="453">
        <v>2005</v>
      </c>
      <c r="G69" s="453">
        <v>2011</v>
      </c>
      <c r="H69" s="453">
        <v>65000</v>
      </c>
      <c r="I69" s="472">
        <v>150000</v>
      </c>
      <c r="J69" s="453">
        <v>1</v>
      </c>
      <c r="K69" s="453">
        <v>1</v>
      </c>
      <c r="L69" s="453" t="s">
        <v>147</v>
      </c>
      <c r="M69" s="453">
        <v>1</v>
      </c>
      <c r="N69" s="453" t="s">
        <v>122</v>
      </c>
      <c r="O69" s="453">
        <v>100</v>
      </c>
      <c r="P69" s="453" t="s">
        <v>123</v>
      </c>
      <c r="Q69" s="453" t="s">
        <v>149</v>
      </c>
      <c r="R69" s="453">
        <v>0</v>
      </c>
      <c r="S69" s="453">
        <v>0</v>
      </c>
      <c r="T69" s="453">
        <v>7</v>
      </c>
      <c r="V69" s="453">
        <v>100</v>
      </c>
      <c r="W69" s="453">
        <v>500</v>
      </c>
      <c r="X69" s="453" t="s">
        <v>58</v>
      </c>
      <c r="Z69" s="453" t="s">
        <v>150</v>
      </c>
      <c r="AA69" s="453">
        <v>72</v>
      </c>
      <c r="AC69" s="453" t="s">
        <v>317</v>
      </c>
    </row>
    <row r="70" spans="1:29">
      <c r="A70" s="453">
        <v>69</v>
      </c>
      <c r="B70" s="453" t="s">
        <v>320</v>
      </c>
      <c r="C70" s="453" t="s">
        <v>318</v>
      </c>
      <c r="D70" s="550" t="s">
        <v>321</v>
      </c>
      <c r="F70" s="453">
        <v>2005</v>
      </c>
      <c r="G70" s="453">
        <v>2012</v>
      </c>
      <c r="H70" s="453">
        <v>65000</v>
      </c>
      <c r="I70" s="472">
        <v>165000</v>
      </c>
      <c r="J70" s="453">
        <v>1</v>
      </c>
      <c r="K70" s="453">
        <v>1</v>
      </c>
      <c r="L70" s="453" t="s">
        <v>154</v>
      </c>
      <c r="M70" s="453">
        <v>1</v>
      </c>
      <c r="N70" s="453" t="s">
        <v>122</v>
      </c>
      <c r="O70" s="453">
        <v>100</v>
      </c>
      <c r="P70" s="453" t="s">
        <v>123</v>
      </c>
      <c r="Q70" s="453" t="s">
        <v>149</v>
      </c>
      <c r="R70" s="453">
        <v>0</v>
      </c>
      <c r="S70" s="453">
        <v>0</v>
      </c>
      <c r="T70" s="453">
        <v>3</v>
      </c>
      <c r="V70" s="453">
        <v>100</v>
      </c>
      <c r="W70" s="453">
        <v>500</v>
      </c>
      <c r="X70" s="453" t="s">
        <v>58</v>
      </c>
      <c r="Z70" s="453" t="s">
        <v>150</v>
      </c>
      <c r="AA70" s="453">
        <v>1301</v>
      </c>
      <c r="AC70" s="453" t="s">
        <v>320</v>
      </c>
    </row>
    <row r="71" spans="1:29">
      <c r="A71" s="453">
        <v>70</v>
      </c>
      <c r="B71" s="453" t="s">
        <v>322</v>
      </c>
      <c r="C71" s="453" t="s">
        <v>318</v>
      </c>
      <c r="D71" s="550" t="s">
        <v>323</v>
      </c>
      <c r="F71" s="453">
        <v>2015</v>
      </c>
      <c r="G71" s="453">
        <v>2025</v>
      </c>
      <c r="H71" s="453">
        <v>60000</v>
      </c>
      <c r="I71" s="472">
        <v>200000</v>
      </c>
      <c r="J71" s="453">
        <v>1</v>
      </c>
      <c r="K71" s="453">
        <v>1</v>
      </c>
      <c r="L71" s="453" t="s">
        <v>154</v>
      </c>
      <c r="M71" s="453">
        <v>1</v>
      </c>
      <c r="N71" s="453" t="s">
        <v>122</v>
      </c>
      <c r="O71" s="453">
        <v>180</v>
      </c>
      <c r="P71" s="453" t="s">
        <v>123</v>
      </c>
      <c r="Q71" s="453" t="s">
        <v>149</v>
      </c>
      <c r="R71" s="453">
        <v>0</v>
      </c>
      <c r="S71" s="453">
        <v>0</v>
      </c>
      <c r="T71" s="453">
        <v>7</v>
      </c>
      <c r="V71" s="453">
        <v>100</v>
      </c>
      <c r="W71" s="453">
        <v>500</v>
      </c>
      <c r="X71" s="453" t="s">
        <v>58</v>
      </c>
      <c r="Z71" s="453" t="s">
        <v>150</v>
      </c>
      <c r="AC71" s="453" t="s">
        <v>322</v>
      </c>
    </row>
    <row r="72" spans="1:29">
      <c r="A72" s="453">
        <v>71</v>
      </c>
      <c r="B72" s="453" t="s">
        <v>324</v>
      </c>
      <c r="C72" s="453" t="s">
        <v>318</v>
      </c>
      <c r="D72" s="550" t="s">
        <v>325</v>
      </c>
      <c r="F72" s="453">
        <v>2005</v>
      </c>
      <c r="G72" s="453">
        <v>2012</v>
      </c>
      <c r="H72" s="453">
        <v>65000</v>
      </c>
      <c r="I72" s="472">
        <v>165000</v>
      </c>
      <c r="J72" s="453">
        <v>1</v>
      </c>
      <c r="K72" s="453">
        <v>1</v>
      </c>
      <c r="L72" s="453" t="s">
        <v>154</v>
      </c>
      <c r="M72" s="453">
        <v>1</v>
      </c>
      <c r="N72" s="453" t="s">
        <v>122</v>
      </c>
      <c r="O72" s="453">
        <v>100</v>
      </c>
      <c r="P72" s="453" t="s">
        <v>123</v>
      </c>
      <c r="Q72" s="453" t="s">
        <v>149</v>
      </c>
      <c r="R72" s="453">
        <v>0</v>
      </c>
      <c r="S72" s="453">
        <v>0</v>
      </c>
      <c r="T72" s="453">
        <v>3</v>
      </c>
      <c r="V72" s="453">
        <v>100</v>
      </c>
      <c r="W72" s="453">
        <v>500</v>
      </c>
      <c r="X72" s="453" t="s">
        <v>58</v>
      </c>
      <c r="Z72" s="453" t="s">
        <v>150</v>
      </c>
      <c r="AA72" s="453">
        <v>1300</v>
      </c>
      <c r="AC72" s="453" t="s">
        <v>324</v>
      </c>
    </row>
    <row r="73" spans="1:29">
      <c r="A73" s="453">
        <v>72</v>
      </c>
      <c r="B73" s="453" t="s">
        <v>326</v>
      </c>
      <c r="C73" s="453" t="s">
        <v>327</v>
      </c>
      <c r="D73" s="550" t="s">
        <v>328</v>
      </c>
      <c r="F73" s="453">
        <v>2004</v>
      </c>
      <c r="G73" s="453">
        <v>2009</v>
      </c>
      <c r="H73" s="453">
        <v>350000</v>
      </c>
      <c r="I73" s="472">
        <v>750000</v>
      </c>
      <c r="J73" s="453">
        <v>1</v>
      </c>
      <c r="K73" s="453">
        <v>7</v>
      </c>
      <c r="L73" s="453" t="s">
        <v>147</v>
      </c>
      <c r="M73" s="453">
        <v>2</v>
      </c>
      <c r="N73" s="453" t="s">
        <v>122</v>
      </c>
      <c r="O73" s="453">
        <v>300</v>
      </c>
      <c r="P73" s="453" t="s">
        <v>132</v>
      </c>
      <c r="Q73" s="453" t="s">
        <v>124</v>
      </c>
      <c r="R73" s="453">
        <v>0</v>
      </c>
      <c r="S73" s="453">
        <v>0</v>
      </c>
      <c r="T73" s="453">
        <v>15</v>
      </c>
      <c r="V73" s="453">
        <v>100</v>
      </c>
      <c r="W73" s="453">
        <v>500</v>
      </c>
      <c r="X73" s="453" t="s">
        <v>125</v>
      </c>
      <c r="Z73" s="453" t="s">
        <v>150</v>
      </c>
      <c r="AA73" s="453">
        <v>73</v>
      </c>
      <c r="AC73" s="453" t="s">
        <v>326</v>
      </c>
    </row>
    <row r="74" spans="1:29">
      <c r="A74" s="453">
        <v>73</v>
      </c>
      <c r="B74" s="453" t="s">
        <v>329</v>
      </c>
      <c r="C74" s="453" t="s">
        <v>330</v>
      </c>
      <c r="D74" s="550" t="s">
        <v>331</v>
      </c>
      <c r="F74" s="453">
        <v>1980</v>
      </c>
      <c r="G74" s="453">
        <v>2012</v>
      </c>
      <c r="H74" s="453">
        <v>80000</v>
      </c>
      <c r="I74" s="472">
        <v>150000</v>
      </c>
      <c r="J74" s="453">
        <v>1</v>
      </c>
      <c r="K74" s="453">
        <v>1</v>
      </c>
      <c r="L74" s="453" t="s">
        <v>154</v>
      </c>
      <c r="M74" s="453">
        <v>1</v>
      </c>
      <c r="N74" s="453" t="s">
        <v>122</v>
      </c>
      <c r="O74" s="453">
        <v>100</v>
      </c>
      <c r="P74" s="453" t="s">
        <v>148</v>
      </c>
      <c r="Q74" s="453" t="s">
        <v>149</v>
      </c>
      <c r="R74" s="453">
        <v>0</v>
      </c>
      <c r="S74" s="453">
        <v>0</v>
      </c>
      <c r="T74" s="453">
        <v>2</v>
      </c>
      <c r="V74" s="453">
        <v>50</v>
      </c>
      <c r="W74" s="453">
        <v>250</v>
      </c>
      <c r="X74" s="453" t="s">
        <v>58</v>
      </c>
      <c r="Z74" s="453" t="s">
        <v>150</v>
      </c>
      <c r="AA74" s="453">
        <v>76</v>
      </c>
      <c r="AC74" s="453" t="s">
        <v>329</v>
      </c>
    </row>
    <row r="75" spans="1:29">
      <c r="A75" s="453">
        <v>74</v>
      </c>
      <c r="B75" s="453" t="s">
        <v>332</v>
      </c>
      <c r="C75" s="453" t="s">
        <v>333</v>
      </c>
      <c r="D75" s="550" t="s">
        <v>334</v>
      </c>
      <c r="F75" s="453">
        <v>2004</v>
      </c>
      <c r="G75" s="453">
        <v>2016</v>
      </c>
      <c r="H75" s="453">
        <v>50000</v>
      </c>
      <c r="I75" s="472">
        <v>150000</v>
      </c>
      <c r="J75" s="453">
        <v>1</v>
      </c>
      <c r="K75" s="453">
        <v>1</v>
      </c>
      <c r="L75" s="453" t="s">
        <v>154</v>
      </c>
      <c r="M75" s="453">
        <v>1</v>
      </c>
      <c r="N75" s="453" t="s">
        <v>122</v>
      </c>
      <c r="O75" s="453">
        <v>100</v>
      </c>
      <c r="P75" s="453" t="s">
        <v>148</v>
      </c>
      <c r="Q75" s="453" t="s">
        <v>149</v>
      </c>
      <c r="R75" s="453">
        <v>0</v>
      </c>
      <c r="S75" s="453">
        <v>0</v>
      </c>
      <c r="T75" s="453">
        <v>2</v>
      </c>
      <c r="V75" s="453">
        <v>50</v>
      </c>
      <c r="W75" s="453">
        <v>250</v>
      </c>
      <c r="X75" s="453" t="s">
        <v>58</v>
      </c>
      <c r="Z75" s="453" t="s">
        <v>150</v>
      </c>
      <c r="AA75" s="453">
        <v>1325</v>
      </c>
      <c r="AC75" s="453" t="s">
        <v>332</v>
      </c>
    </row>
    <row r="76" spans="1:29">
      <c r="A76" s="453">
        <v>75</v>
      </c>
      <c r="B76" s="453" t="s">
        <v>335</v>
      </c>
      <c r="C76" s="453" t="s">
        <v>336</v>
      </c>
      <c r="D76" s="550" t="s">
        <v>337</v>
      </c>
      <c r="F76" s="453">
        <v>2002</v>
      </c>
      <c r="G76" s="453">
        <v>2009</v>
      </c>
      <c r="H76" s="453">
        <v>64500</v>
      </c>
      <c r="I76" s="472">
        <v>100000</v>
      </c>
      <c r="J76" s="453">
        <v>1</v>
      </c>
      <c r="K76" s="453">
        <v>1</v>
      </c>
      <c r="L76" s="453" t="s">
        <v>154</v>
      </c>
      <c r="M76" s="453">
        <v>1</v>
      </c>
      <c r="N76" s="453" t="s">
        <v>122</v>
      </c>
      <c r="O76" s="453">
        <v>100</v>
      </c>
      <c r="P76" s="453" t="s">
        <v>148</v>
      </c>
      <c r="Q76" s="453" t="s">
        <v>149</v>
      </c>
      <c r="R76" s="453">
        <v>0</v>
      </c>
      <c r="S76" s="453">
        <v>0</v>
      </c>
      <c r="T76" s="453">
        <v>4</v>
      </c>
      <c r="V76" s="453">
        <v>50</v>
      </c>
      <c r="W76" s="453">
        <v>250</v>
      </c>
      <c r="X76" s="453" t="s">
        <v>58</v>
      </c>
      <c r="Z76" s="453" t="s">
        <v>150</v>
      </c>
      <c r="AA76" s="453">
        <v>81</v>
      </c>
      <c r="AC76" s="453" t="s">
        <v>335</v>
      </c>
    </row>
    <row r="77" spans="1:29">
      <c r="A77" s="453">
        <v>76</v>
      </c>
      <c r="B77" s="453" t="s">
        <v>338</v>
      </c>
      <c r="C77" s="453" t="s">
        <v>339</v>
      </c>
      <c r="D77" s="550" t="s">
        <v>340</v>
      </c>
      <c r="F77" s="453">
        <v>2018</v>
      </c>
      <c r="G77" s="453">
        <v>2025</v>
      </c>
      <c r="H77" s="453">
        <v>150000</v>
      </c>
      <c r="I77" s="472">
        <v>175000</v>
      </c>
      <c r="J77" s="453">
        <v>1</v>
      </c>
      <c r="K77" s="453">
        <v>1</v>
      </c>
      <c r="L77" s="453" t="s">
        <v>154</v>
      </c>
      <c r="M77" s="453">
        <v>1</v>
      </c>
      <c r="N77" s="453" t="s">
        <v>122</v>
      </c>
      <c r="O77" s="453">
        <v>100</v>
      </c>
      <c r="P77" s="453" t="s">
        <v>150</v>
      </c>
      <c r="Q77" s="453" t="s">
        <v>149</v>
      </c>
      <c r="R77" s="453">
        <v>0.25</v>
      </c>
      <c r="S77" s="453">
        <v>0.5</v>
      </c>
      <c r="T77" s="453">
        <v>1</v>
      </c>
      <c r="V77" s="453">
        <v>100</v>
      </c>
      <c r="W77" s="453">
        <v>0.05</v>
      </c>
      <c r="X77" s="453" t="s">
        <v>125</v>
      </c>
      <c r="Z77" s="453" t="s">
        <v>150</v>
      </c>
      <c r="AC77" s="453" t="s">
        <v>338</v>
      </c>
    </row>
    <row r="78" spans="1:29">
      <c r="A78" s="453">
        <v>77</v>
      </c>
      <c r="B78" s="453" t="s">
        <v>341</v>
      </c>
      <c r="C78" s="453" t="s">
        <v>342</v>
      </c>
      <c r="D78" s="550" t="s">
        <v>343</v>
      </c>
      <c r="F78" s="453">
        <v>1960</v>
      </c>
      <c r="G78" s="453">
        <v>2025</v>
      </c>
      <c r="H78" s="453">
        <v>14500</v>
      </c>
      <c r="I78" s="472">
        <v>51000</v>
      </c>
      <c r="J78" s="453">
        <v>1</v>
      </c>
      <c r="K78" s="453">
        <v>1</v>
      </c>
      <c r="L78" s="453" t="s">
        <v>121</v>
      </c>
      <c r="M78" s="453">
        <v>1</v>
      </c>
      <c r="N78" s="453" t="s">
        <v>122</v>
      </c>
      <c r="O78" s="453">
        <v>160</v>
      </c>
      <c r="P78" s="453" t="s">
        <v>148</v>
      </c>
      <c r="Q78" s="453" t="s">
        <v>124</v>
      </c>
      <c r="R78" s="453">
        <v>0</v>
      </c>
      <c r="S78" s="453">
        <v>0</v>
      </c>
      <c r="T78" s="453">
        <v>1</v>
      </c>
      <c r="V78" s="453">
        <v>100</v>
      </c>
      <c r="W78" s="453">
        <v>500</v>
      </c>
      <c r="X78" s="453" t="s">
        <v>125</v>
      </c>
      <c r="Z78" s="453" t="s">
        <v>150</v>
      </c>
      <c r="AA78" s="453">
        <v>82</v>
      </c>
      <c r="AC78" s="453" t="s">
        <v>341</v>
      </c>
    </row>
    <row r="79" spans="1:29">
      <c r="A79" s="453">
        <v>78</v>
      </c>
      <c r="B79" s="453" t="s">
        <v>344</v>
      </c>
      <c r="C79" s="453" t="s">
        <v>345</v>
      </c>
      <c r="D79" s="550" t="s">
        <v>346</v>
      </c>
      <c r="F79" s="453">
        <v>1988</v>
      </c>
      <c r="G79" s="453">
        <v>2025</v>
      </c>
      <c r="H79" s="453">
        <v>50000</v>
      </c>
      <c r="I79" s="472">
        <v>245000</v>
      </c>
      <c r="J79" s="453">
        <v>1</v>
      </c>
      <c r="K79" s="453">
        <v>1</v>
      </c>
      <c r="L79" s="453" t="s">
        <v>147</v>
      </c>
      <c r="M79" s="453">
        <v>1</v>
      </c>
      <c r="N79" s="453" t="s">
        <v>122</v>
      </c>
      <c r="O79" s="453">
        <v>180</v>
      </c>
      <c r="P79" s="453" t="s">
        <v>123</v>
      </c>
      <c r="Q79" s="453" t="s">
        <v>124</v>
      </c>
      <c r="R79" s="453">
        <v>0.3</v>
      </c>
      <c r="S79" s="453">
        <v>0.15</v>
      </c>
      <c r="T79" s="453">
        <v>8</v>
      </c>
      <c r="V79" s="453">
        <v>100</v>
      </c>
      <c r="W79" s="453">
        <v>500</v>
      </c>
      <c r="X79" s="453" t="s">
        <v>125</v>
      </c>
      <c r="Z79" s="453" t="s">
        <v>150</v>
      </c>
      <c r="AA79" s="453">
        <v>85</v>
      </c>
      <c r="AC79" s="453" t="s">
        <v>344</v>
      </c>
    </row>
    <row r="80" spans="1:29">
      <c r="A80" s="453">
        <v>79</v>
      </c>
      <c r="B80" s="453" t="s">
        <v>347</v>
      </c>
      <c r="C80" s="453" t="s">
        <v>345</v>
      </c>
      <c r="D80" s="550" t="s">
        <v>348</v>
      </c>
      <c r="F80" s="453">
        <v>1973</v>
      </c>
      <c r="G80" s="453">
        <v>2025</v>
      </c>
      <c r="H80" s="453">
        <v>49500</v>
      </c>
      <c r="I80" s="472">
        <v>150000</v>
      </c>
      <c r="J80" s="453">
        <v>1</v>
      </c>
      <c r="K80" s="453">
        <v>0</v>
      </c>
      <c r="L80" s="453" t="s">
        <v>147</v>
      </c>
      <c r="M80" s="453">
        <v>1</v>
      </c>
      <c r="N80" s="453" t="s">
        <v>122</v>
      </c>
      <c r="O80" s="453">
        <v>150</v>
      </c>
      <c r="P80" s="453" t="s">
        <v>123</v>
      </c>
      <c r="Q80" s="453" t="s">
        <v>133</v>
      </c>
      <c r="R80" s="453">
        <v>0.6</v>
      </c>
      <c r="S80" s="453">
        <v>0.5</v>
      </c>
      <c r="T80" s="453">
        <v>1</v>
      </c>
      <c r="V80" s="453">
        <v>250</v>
      </c>
      <c r="W80" s="453">
        <v>2500</v>
      </c>
      <c r="X80" s="453" t="s">
        <v>125</v>
      </c>
      <c r="Z80" s="453" t="s">
        <v>150</v>
      </c>
      <c r="AA80" s="453">
        <v>86</v>
      </c>
      <c r="AC80" s="453" t="s">
        <v>347</v>
      </c>
    </row>
    <row r="81" spans="1:29">
      <c r="A81" s="453">
        <v>80</v>
      </c>
      <c r="B81" s="453" t="s">
        <v>349</v>
      </c>
      <c r="C81" s="453" t="s">
        <v>345</v>
      </c>
      <c r="D81" s="550" t="s">
        <v>350</v>
      </c>
      <c r="F81" s="453">
        <v>1971</v>
      </c>
      <c r="G81" s="453">
        <v>2025</v>
      </c>
      <c r="H81" s="453">
        <v>49500</v>
      </c>
      <c r="I81" s="472">
        <v>201000</v>
      </c>
      <c r="J81" s="453">
        <v>1</v>
      </c>
      <c r="K81" s="453">
        <v>1</v>
      </c>
      <c r="L81" s="453" t="s">
        <v>147</v>
      </c>
      <c r="M81" s="453">
        <v>1</v>
      </c>
      <c r="N81" s="453" t="s">
        <v>122</v>
      </c>
      <c r="O81" s="453">
        <v>250</v>
      </c>
      <c r="P81" s="453" t="s">
        <v>123</v>
      </c>
      <c r="Q81" s="453" t="s">
        <v>133</v>
      </c>
      <c r="R81" s="453">
        <v>0.6</v>
      </c>
      <c r="S81" s="453">
        <v>0.5</v>
      </c>
      <c r="T81" s="453">
        <v>9</v>
      </c>
      <c r="V81" s="453">
        <v>250</v>
      </c>
      <c r="W81" s="453">
        <v>2500</v>
      </c>
      <c r="X81" s="453" t="s">
        <v>125</v>
      </c>
      <c r="Z81" s="453" t="s">
        <v>150</v>
      </c>
      <c r="AA81" s="453">
        <v>88</v>
      </c>
      <c r="AC81" s="453" t="s">
        <v>349</v>
      </c>
    </row>
    <row r="82" spans="1:29">
      <c r="A82" s="453">
        <v>81</v>
      </c>
      <c r="B82" s="453" t="s">
        <v>351</v>
      </c>
      <c r="C82" s="453" t="s">
        <v>352</v>
      </c>
      <c r="D82" s="550" t="s">
        <v>353</v>
      </c>
      <c r="F82" s="453">
        <v>1970</v>
      </c>
      <c r="G82" s="453">
        <v>1980</v>
      </c>
      <c r="H82" s="453">
        <v>34500</v>
      </c>
      <c r="I82" s="472">
        <v>61000</v>
      </c>
      <c r="J82" s="453">
        <v>1</v>
      </c>
      <c r="K82" s="453">
        <v>1</v>
      </c>
      <c r="L82" s="453" t="s">
        <v>147</v>
      </c>
      <c r="M82" s="453">
        <v>1</v>
      </c>
      <c r="N82" s="453" t="s">
        <v>122</v>
      </c>
      <c r="O82" s="453">
        <v>180</v>
      </c>
      <c r="P82" s="453" t="s">
        <v>148</v>
      </c>
      <c r="Q82" s="453" t="s">
        <v>124</v>
      </c>
      <c r="R82" s="453">
        <v>0.35</v>
      </c>
      <c r="S82" s="453">
        <v>0.35</v>
      </c>
      <c r="T82" s="453">
        <v>5</v>
      </c>
      <c r="V82" s="453">
        <v>50</v>
      </c>
      <c r="W82" s="453">
        <v>250</v>
      </c>
      <c r="X82" s="453" t="s">
        <v>58</v>
      </c>
      <c r="Z82" s="453" t="s">
        <v>150</v>
      </c>
      <c r="AA82" s="453">
        <v>93</v>
      </c>
      <c r="AC82" s="453" t="s">
        <v>351</v>
      </c>
    </row>
    <row r="83" spans="1:29">
      <c r="A83" s="453">
        <v>82</v>
      </c>
      <c r="B83" s="453" t="s">
        <v>354</v>
      </c>
      <c r="C83" s="453" t="s">
        <v>355</v>
      </c>
      <c r="D83" s="550" t="s">
        <v>356</v>
      </c>
      <c r="F83" s="453">
        <v>1970</v>
      </c>
      <c r="G83" s="453">
        <v>1990</v>
      </c>
      <c r="H83" s="453">
        <v>74500</v>
      </c>
      <c r="I83" s="472">
        <v>101000</v>
      </c>
      <c r="J83" s="453">
        <v>1</v>
      </c>
      <c r="K83" s="453">
        <v>0</v>
      </c>
      <c r="L83" s="453" t="s">
        <v>147</v>
      </c>
      <c r="M83" s="453">
        <v>1</v>
      </c>
      <c r="N83" s="453" t="s">
        <v>122</v>
      </c>
      <c r="O83" s="453">
        <v>160</v>
      </c>
      <c r="P83" s="453" t="s">
        <v>123</v>
      </c>
      <c r="Q83" s="453" t="s">
        <v>133</v>
      </c>
      <c r="R83" s="453">
        <v>0.6</v>
      </c>
      <c r="S83" s="453">
        <v>0.6</v>
      </c>
      <c r="T83" s="453">
        <v>1</v>
      </c>
      <c r="V83" s="453">
        <v>100</v>
      </c>
      <c r="W83" s="453">
        <v>500</v>
      </c>
      <c r="X83" s="453" t="s">
        <v>125</v>
      </c>
      <c r="Z83" s="453" t="s">
        <v>150</v>
      </c>
      <c r="AA83" s="453">
        <v>94</v>
      </c>
      <c r="AC83" s="453" t="s">
        <v>354</v>
      </c>
    </row>
    <row r="84" spans="1:29">
      <c r="A84" s="453">
        <v>83</v>
      </c>
      <c r="B84" s="453" t="s">
        <v>357</v>
      </c>
      <c r="C84" s="453" t="s">
        <v>358</v>
      </c>
      <c r="D84" s="550" t="s">
        <v>359</v>
      </c>
      <c r="F84" s="453">
        <v>1990</v>
      </c>
      <c r="G84" s="453">
        <v>2025</v>
      </c>
      <c r="H84" s="453">
        <v>75000</v>
      </c>
      <c r="I84" s="472">
        <v>200000</v>
      </c>
      <c r="J84" s="453">
        <v>1</v>
      </c>
      <c r="K84" s="453">
        <v>1</v>
      </c>
      <c r="L84" s="453" t="s">
        <v>154</v>
      </c>
      <c r="M84" s="453">
        <v>1</v>
      </c>
      <c r="N84" s="453" t="s">
        <v>122</v>
      </c>
      <c r="O84" s="453">
        <v>100</v>
      </c>
      <c r="P84" s="453" t="s">
        <v>148</v>
      </c>
      <c r="Q84" s="453" t="s">
        <v>149</v>
      </c>
      <c r="R84" s="453">
        <v>0</v>
      </c>
      <c r="S84" s="453">
        <v>0</v>
      </c>
      <c r="T84" s="453">
        <v>2</v>
      </c>
      <c r="V84" s="453">
        <v>50</v>
      </c>
      <c r="W84" s="453">
        <v>250</v>
      </c>
      <c r="X84" s="453" t="s">
        <v>58</v>
      </c>
      <c r="Z84" s="453" t="s">
        <v>150</v>
      </c>
      <c r="AA84" s="453">
        <v>95</v>
      </c>
      <c r="AB84" s="453" t="s">
        <v>360</v>
      </c>
      <c r="AC84" s="453" t="s">
        <v>357</v>
      </c>
    </row>
    <row r="85" spans="1:29">
      <c r="A85" s="453">
        <v>84</v>
      </c>
      <c r="B85" s="453" t="s">
        <v>361</v>
      </c>
      <c r="C85" s="453" t="s">
        <v>362</v>
      </c>
      <c r="D85" s="550" t="s">
        <v>363</v>
      </c>
      <c r="F85" s="453">
        <v>1967</v>
      </c>
      <c r="G85" s="453">
        <v>1993</v>
      </c>
      <c r="H85" s="453">
        <v>75000</v>
      </c>
      <c r="I85" s="472">
        <v>200000</v>
      </c>
      <c r="J85" s="453">
        <v>1</v>
      </c>
      <c r="K85" s="453">
        <v>1</v>
      </c>
      <c r="L85" s="453" t="s">
        <v>129</v>
      </c>
      <c r="M85" s="453">
        <v>5</v>
      </c>
      <c r="N85" s="453" t="s">
        <v>364</v>
      </c>
      <c r="O85" s="453">
        <v>3140</v>
      </c>
      <c r="P85" s="453" t="s">
        <v>132</v>
      </c>
      <c r="Q85" s="453" t="s">
        <v>124</v>
      </c>
      <c r="R85" s="453">
        <v>0</v>
      </c>
      <c r="S85" s="453">
        <v>1.45</v>
      </c>
      <c r="T85" s="453">
        <v>1</v>
      </c>
      <c r="U85" s="453" t="s">
        <v>229</v>
      </c>
      <c r="V85" s="453">
        <v>1000</v>
      </c>
      <c r="W85" s="453">
        <v>5000</v>
      </c>
      <c r="X85" s="453" t="s">
        <v>125</v>
      </c>
      <c r="Z85" s="453" t="s">
        <v>150</v>
      </c>
      <c r="AC85" s="453" t="s">
        <v>361</v>
      </c>
    </row>
    <row r="86" spans="1:29">
      <c r="A86" s="453">
        <v>85</v>
      </c>
      <c r="B86" s="453" t="s">
        <v>365</v>
      </c>
      <c r="C86" s="453" t="s">
        <v>366</v>
      </c>
      <c r="D86" s="550" t="s">
        <v>367</v>
      </c>
      <c r="F86" s="453">
        <v>1967</v>
      </c>
      <c r="G86" s="453">
        <v>1968</v>
      </c>
      <c r="H86" s="453">
        <v>15000</v>
      </c>
      <c r="I86" s="472">
        <v>25000</v>
      </c>
      <c r="J86" s="453">
        <v>1</v>
      </c>
      <c r="K86" s="453">
        <v>1</v>
      </c>
      <c r="L86" s="453" t="s">
        <v>147</v>
      </c>
      <c r="M86" s="453">
        <v>1</v>
      </c>
      <c r="N86" s="453" t="s">
        <v>122</v>
      </c>
      <c r="O86" s="453">
        <v>100</v>
      </c>
      <c r="P86" s="453" t="s">
        <v>148</v>
      </c>
      <c r="Q86" s="453" t="s">
        <v>149</v>
      </c>
      <c r="R86" s="453">
        <v>0</v>
      </c>
      <c r="S86" s="453">
        <v>0</v>
      </c>
      <c r="T86" s="453">
        <v>2</v>
      </c>
      <c r="V86" s="453">
        <v>50</v>
      </c>
      <c r="W86" s="453">
        <v>250</v>
      </c>
      <c r="X86" s="453" t="s">
        <v>58</v>
      </c>
      <c r="Z86" s="453" t="s">
        <v>150</v>
      </c>
      <c r="AC86" s="453" t="s">
        <v>365</v>
      </c>
    </row>
    <row r="87" spans="1:29">
      <c r="A87" s="453">
        <v>86</v>
      </c>
      <c r="B87" s="453" t="s">
        <v>368</v>
      </c>
      <c r="C87" s="453" t="s">
        <v>366</v>
      </c>
      <c r="D87" s="550" t="s">
        <v>369</v>
      </c>
      <c r="F87" s="453">
        <v>1968</v>
      </c>
      <c r="G87" s="453">
        <v>1975</v>
      </c>
      <c r="H87" s="453">
        <v>20000</v>
      </c>
      <c r="I87" s="472">
        <v>45000</v>
      </c>
      <c r="J87" s="453">
        <v>1</v>
      </c>
      <c r="K87" s="453">
        <v>3</v>
      </c>
      <c r="L87" s="453" t="s">
        <v>147</v>
      </c>
      <c r="M87" s="453">
        <v>1</v>
      </c>
      <c r="N87" s="453" t="s">
        <v>122</v>
      </c>
      <c r="O87" s="453">
        <v>150</v>
      </c>
      <c r="P87" s="453" t="s">
        <v>148</v>
      </c>
      <c r="Q87" s="453" t="s">
        <v>149</v>
      </c>
      <c r="R87" s="453">
        <v>0</v>
      </c>
      <c r="S87" s="453">
        <v>0</v>
      </c>
      <c r="T87" s="453">
        <v>4</v>
      </c>
      <c r="V87" s="453">
        <v>50</v>
      </c>
      <c r="W87" s="453">
        <v>250</v>
      </c>
      <c r="X87" s="453" t="s">
        <v>58</v>
      </c>
      <c r="Z87" s="453" t="s">
        <v>150</v>
      </c>
      <c r="AA87" s="453">
        <v>98</v>
      </c>
      <c r="AC87" s="453" t="s">
        <v>368</v>
      </c>
    </row>
    <row r="88" spans="1:29">
      <c r="A88" s="453">
        <v>87</v>
      </c>
      <c r="B88" s="453" t="s">
        <v>370</v>
      </c>
      <c r="C88" s="453" t="s">
        <v>366</v>
      </c>
      <c r="D88" s="550" t="s">
        <v>371</v>
      </c>
      <c r="F88" s="453">
        <v>1968</v>
      </c>
      <c r="G88" s="453">
        <v>1976</v>
      </c>
      <c r="H88" s="453">
        <v>20000</v>
      </c>
      <c r="I88" s="472">
        <v>45000</v>
      </c>
      <c r="J88" s="453">
        <v>1</v>
      </c>
      <c r="K88" s="453">
        <v>3</v>
      </c>
      <c r="L88" s="453" t="s">
        <v>147</v>
      </c>
      <c r="M88" s="453">
        <v>1</v>
      </c>
      <c r="N88" s="453" t="s">
        <v>122</v>
      </c>
      <c r="O88" s="453">
        <v>160</v>
      </c>
      <c r="P88" s="453" t="s">
        <v>148</v>
      </c>
      <c r="Q88" s="453" t="s">
        <v>149</v>
      </c>
      <c r="R88" s="453">
        <v>0</v>
      </c>
      <c r="S88" s="453">
        <v>0</v>
      </c>
      <c r="T88" s="453">
        <v>4</v>
      </c>
      <c r="V88" s="453">
        <v>50</v>
      </c>
      <c r="W88" s="453">
        <v>250</v>
      </c>
      <c r="X88" s="453" t="s">
        <v>58</v>
      </c>
      <c r="Z88" s="453" t="s">
        <v>150</v>
      </c>
      <c r="AC88" s="453" t="s">
        <v>370</v>
      </c>
    </row>
    <row r="89" spans="1:29">
      <c r="A89" s="453">
        <v>88</v>
      </c>
      <c r="B89" s="453" t="s">
        <v>372</v>
      </c>
      <c r="C89" s="453" t="s">
        <v>366</v>
      </c>
      <c r="D89" s="550" t="s">
        <v>373</v>
      </c>
      <c r="F89" s="453">
        <v>1964</v>
      </c>
      <c r="G89" s="453">
        <v>1965</v>
      </c>
      <c r="H89" s="453">
        <v>80000</v>
      </c>
      <c r="I89" s="472">
        <v>160000</v>
      </c>
      <c r="J89" s="453">
        <v>1</v>
      </c>
      <c r="K89" s="453">
        <v>4</v>
      </c>
      <c r="L89" s="453" t="s">
        <v>147</v>
      </c>
      <c r="M89" s="453">
        <v>2</v>
      </c>
      <c r="N89" s="453" t="s">
        <v>122</v>
      </c>
      <c r="O89" s="453">
        <v>260</v>
      </c>
      <c r="P89" s="453" t="s">
        <v>132</v>
      </c>
      <c r="Q89" s="453" t="s">
        <v>124</v>
      </c>
      <c r="R89" s="453">
        <v>0.25</v>
      </c>
      <c r="S89" s="453">
        <v>0</v>
      </c>
      <c r="T89" s="453">
        <v>15</v>
      </c>
      <c r="U89" s="453" t="s">
        <v>229</v>
      </c>
      <c r="V89" s="453">
        <v>100</v>
      </c>
      <c r="W89" s="453">
        <v>500</v>
      </c>
      <c r="X89" s="453" t="s">
        <v>125</v>
      </c>
      <c r="Z89" s="453" t="s">
        <v>150</v>
      </c>
      <c r="AB89" s="453" t="s">
        <v>374</v>
      </c>
      <c r="AC89" s="453" t="s">
        <v>372</v>
      </c>
    </row>
    <row r="90" spans="1:29">
      <c r="A90" s="453">
        <v>89</v>
      </c>
      <c r="B90" s="453" t="s">
        <v>375</v>
      </c>
      <c r="C90" s="453" t="s">
        <v>366</v>
      </c>
      <c r="D90" s="550" t="s">
        <v>376</v>
      </c>
      <c r="F90" s="453">
        <v>1965</v>
      </c>
      <c r="G90" s="453">
        <v>1969</v>
      </c>
      <c r="H90" s="453">
        <v>100000</v>
      </c>
      <c r="I90" s="472">
        <v>200000</v>
      </c>
      <c r="J90" s="453">
        <v>1</v>
      </c>
      <c r="K90" s="453">
        <v>7</v>
      </c>
      <c r="L90" s="453" t="s">
        <v>147</v>
      </c>
      <c r="M90" s="453">
        <v>2</v>
      </c>
      <c r="N90" s="453" t="s">
        <v>122</v>
      </c>
      <c r="O90" s="453">
        <v>340</v>
      </c>
      <c r="P90" s="453" t="s">
        <v>132</v>
      </c>
      <c r="Q90" s="453" t="s">
        <v>124</v>
      </c>
      <c r="R90" s="453">
        <v>0.25</v>
      </c>
      <c r="S90" s="453">
        <v>0</v>
      </c>
      <c r="T90" s="453">
        <v>15</v>
      </c>
      <c r="U90" s="453" t="s">
        <v>229</v>
      </c>
      <c r="V90" s="453">
        <v>100</v>
      </c>
      <c r="W90" s="453">
        <v>500</v>
      </c>
      <c r="X90" s="453" t="s">
        <v>125</v>
      </c>
      <c r="Z90" s="453" t="s">
        <v>150</v>
      </c>
      <c r="AB90" s="453" t="s">
        <v>377</v>
      </c>
      <c r="AC90" s="453" t="s">
        <v>375</v>
      </c>
    </row>
    <row r="91" spans="1:29">
      <c r="A91" s="453">
        <v>90</v>
      </c>
      <c r="B91" s="453" t="s">
        <v>378</v>
      </c>
      <c r="C91" s="453" t="s">
        <v>379</v>
      </c>
      <c r="D91" s="550">
        <v>17</v>
      </c>
      <c r="F91" s="453">
        <v>1932</v>
      </c>
      <c r="G91" s="453">
        <v>1949</v>
      </c>
      <c r="H91" s="453">
        <v>39500</v>
      </c>
      <c r="I91" s="472">
        <v>350000</v>
      </c>
      <c r="J91" s="453">
        <v>1</v>
      </c>
      <c r="K91" s="453">
        <v>4</v>
      </c>
      <c r="L91" s="453" t="s">
        <v>147</v>
      </c>
      <c r="M91" s="453">
        <v>1</v>
      </c>
      <c r="N91" s="453" t="s">
        <v>122</v>
      </c>
      <c r="O91" s="453">
        <v>450</v>
      </c>
      <c r="P91" s="453" t="s">
        <v>130</v>
      </c>
      <c r="Q91" s="453" t="s">
        <v>133</v>
      </c>
      <c r="R91" s="453">
        <v>0.75</v>
      </c>
      <c r="S91" s="453">
        <v>0.25</v>
      </c>
      <c r="T91" s="453">
        <v>11</v>
      </c>
      <c r="V91" s="453">
        <v>100</v>
      </c>
      <c r="W91" s="453">
        <v>1000</v>
      </c>
      <c r="X91" s="453" t="s">
        <v>125</v>
      </c>
      <c r="Z91" s="453" t="s">
        <v>150</v>
      </c>
      <c r="AA91" s="453">
        <v>115</v>
      </c>
      <c r="AC91" s="453" t="s">
        <v>378</v>
      </c>
    </row>
    <row r="92" spans="1:29">
      <c r="A92" s="453">
        <v>91</v>
      </c>
      <c r="B92" s="453" t="s">
        <v>380</v>
      </c>
      <c r="C92" s="453" t="s">
        <v>379</v>
      </c>
      <c r="D92" s="550">
        <v>18</v>
      </c>
      <c r="F92" s="453">
        <v>1937</v>
      </c>
      <c r="G92" s="453">
        <v>1966</v>
      </c>
      <c r="H92" s="453">
        <v>45000</v>
      </c>
      <c r="I92" s="472">
        <v>120000</v>
      </c>
      <c r="J92" s="453">
        <v>1</v>
      </c>
      <c r="K92" s="453">
        <v>8</v>
      </c>
      <c r="L92" s="453" t="s">
        <v>147</v>
      </c>
      <c r="M92" s="453">
        <v>2</v>
      </c>
      <c r="N92" s="453" t="s">
        <v>122</v>
      </c>
      <c r="O92" s="453">
        <v>450</v>
      </c>
      <c r="P92" s="453" t="s">
        <v>130</v>
      </c>
      <c r="Q92" s="453" t="s">
        <v>133</v>
      </c>
      <c r="R92" s="453">
        <v>0.6</v>
      </c>
      <c r="S92" s="453">
        <v>0.6</v>
      </c>
      <c r="T92" s="453">
        <v>16</v>
      </c>
      <c r="U92" s="453" t="s">
        <v>229</v>
      </c>
      <c r="V92" s="453">
        <v>1000</v>
      </c>
      <c r="W92" s="453">
        <v>0.1</v>
      </c>
      <c r="X92" s="453" t="s">
        <v>125</v>
      </c>
      <c r="Z92" s="453" t="s">
        <v>150</v>
      </c>
      <c r="AA92" s="453">
        <v>116</v>
      </c>
      <c r="AC92" s="453" t="s">
        <v>380</v>
      </c>
    </row>
    <row r="93" spans="1:29">
      <c r="A93" s="453">
        <v>92</v>
      </c>
      <c r="B93" s="453" t="s">
        <v>381</v>
      </c>
      <c r="C93" s="453" t="s">
        <v>379</v>
      </c>
      <c r="D93" s="550">
        <v>19</v>
      </c>
      <c r="F93" s="453">
        <v>1966</v>
      </c>
      <c r="G93" s="453">
        <v>1979</v>
      </c>
      <c r="H93" s="453">
        <v>13000</v>
      </c>
      <c r="I93" s="472">
        <v>35000</v>
      </c>
      <c r="J93" s="453">
        <v>1</v>
      </c>
      <c r="K93" s="453">
        <v>3</v>
      </c>
      <c r="L93" s="453" t="s">
        <v>147</v>
      </c>
      <c r="M93" s="453">
        <v>1</v>
      </c>
      <c r="N93" s="453" t="s">
        <v>122</v>
      </c>
      <c r="O93" s="453">
        <v>150</v>
      </c>
      <c r="P93" s="453" t="s">
        <v>148</v>
      </c>
      <c r="Q93" s="453" t="s">
        <v>149</v>
      </c>
      <c r="R93" s="453">
        <v>0.1</v>
      </c>
      <c r="S93" s="453">
        <v>0.1</v>
      </c>
      <c r="T93" s="453">
        <v>4</v>
      </c>
      <c r="V93" s="453">
        <v>50</v>
      </c>
      <c r="W93" s="453">
        <v>250</v>
      </c>
      <c r="X93" s="453" t="s">
        <v>58</v>
      </c>
      <c r="Z93" s="453" t="s">
        <v>150</v>
      </c>
      <c r="AA93" s="453">
        <v>117</v>
      </c>
      <c r="AC93" s="453" t="s">
        <v>381</v>
      </c>
    </row>
    <row r="94" spans="1:29">
      <c r="A94" s="453">
        <v>93</v>
      </c>
      <c r="B94" s="453" t="s">
        <v>382</v>
      </c>
      <c r="C94" s="453" t="s">
        <v>379</v>
      </c>
      <c r="D94" s="550">
        <v>23</v>
      </c>
      <c r="F94" s="453">
        <v>1962</v>
      </c>
      <c r="G94" s="453">
        <v>1972</v>
      </c>
      <c r="H94" s="453">
        <v>12000</v>
      </c>
      <c r="I94" s="472">
        <v>35000</v>
      </c>
      <c r="J94" s="453">
        <v>1</v>
      </c>
      <c r="K94" s="453">
        <v>3</v>
      </c>
      <c r="L94" s="453" t="s">
        <v>147</v>
      </c>
      <c r="M94" s="453">
        <v>1</v>
      </c>
      <c r="N94" s="453" t="s">
        <v>122</v>
      </c>
      <c r="O94" s="453">
        <v>165</v>
      </c>
      <c r="P94" s="453" t="s">
        <v>148</v>
      </c>
      <c r="Q94" s="453" t="s">
        <v>149</v>
      </c>
      <c r="R94" s="453">
        <v>0.1</v>
      </c>
      <c r="S94" s="453">
        <v>0.1</v>
      </c>
      <c r="T94" s="453">
        <v>4</v>
      </c>
      <c r="V94" s="453">
        <v>50</v>
      </c>
      <c r="W94" s="453">
        <v>250</v>
      </c>
      <c r="X94" s="453" t="s">
        <v>58</v>
      </c>
      <c r="Z94" s="453" t="s">
        <v>150</v>
      </c>
      <c r="AA94" s="453">
        <v>109</v>
      </c>
      <c r="AC94" s="453" t="s">
        <v>382</v>
      </c>
    </row>
    <row r="95" spans="1:29">
      <c r="A95" s="453">
        <v>94</v>
      </c>
      <c r="B95" s="611" t="s">
        <v>383</v>
      </c>
      <c r="C95" s="453" t="s">
        <v>379</v>
      </c>
      <c r="D95" s="550">
        <v>33</v>
      </c>
      <c r="F95" s="453">
        <v>1960</v>
      </c>
      <c r="G95" s="453">
        <v>1964</v>
      </c>
      <c r="H95" s="453">
        <v>33000</v>
      </c>
      <c r="I95" s="472">
        <v>70000</v>
      </c>
      <c r="J95" s="453">
        <v>1</v>
      </c>
      <c r="K95" s="453">
        <v>3</v>
      </c>
      <c r="L95" s="453" t="s">
        <v>147</v>
      </c>
      <c r="M95" s="453">
        <v>1</v>
      </c>
      <c r="N95" s="453" t="s">
        <v>122</v>
      </c>
      <c r="O95" s="453">
        <v>225</v>
      </c>
      <c r="P95" s="453" t="s">
        <v>132</v>
      </c>
      <c r="Q95" s="453" t="s">
        <v>124</v>
      </c>
      <c r="R95" s="453">
        <v>0.6</v>
      </c>
      <c r="S95" s="453">
        <v>0.1</v>
      </c>
      <c r="T95" s="453">
        <v>11</v>
      </c>
      <c r="V95" s="453">
        <v>100</v>
      </c>
      <c r="W95" s="453">
        <v>500</v>
      </c>
      <c r="X95" s="453" t="s">
        <v>58</v>
      </c>
      <c r="Z95" s="453" t="s">
        <v>150</v>
      </c>
      <c r="AA95" s="453">
        <v>119</v>
      </c>
      <c r="AC95" s="453" t="s">
        <v>384</v>
      </c>
    </row>
    <row r="96" spans="1:29">
      <c r="A96" s="453">
        <v>95</v>
      </c>
      <c r="B96" s="611" t="s">
        <v>385</v>
      </c>
      <c r="C96" s="453" t="s">
        <v>379</v>
      </c>
      <c r="D96" s="550">
        <v>33</v>
      </c>
      <c r="F96" s="453">
        <v>1965</v>
      </c>
      <c r="G96" s="453">
        <v>1970</v>
      </c>
      <c r="H96" s="453">
        <v>44000</v>
      </c>
      <c r="I96" s="472">
        <v>95000</v>
      </c>
      <c r="J96" s="453">
        <v>1</v>
      </c>
      <c r="K96" s="453">
        <v>4</v>
      </c>
      <c r="L96" s="453" t="s">
        <v>147</v>
      </c>
      <c r="M96" s="453">
        <v>1</v>
      </c>
      <c r="N96" s="453" t="s">
        <v>122</v>
      </c>
      <c r="O96" s="453">
        <v>285</v>
      </c>
      <c r="P96" s="453" t="s">
        <v>132</v>
      </c>
      <c r="Q96" s="453" t="s">
        <v>124</v>
      </c>
      <c r="R96" s="453">
        <v>0.6</v>
      </c>
      <c r="S96" s="453">
        <v>0.1</v>
      </c>
      <c r="T96" s="453">
        <v>11</v>
      </c>
      <c r="V96" s="453">
        <v>100</v>
      </c>
      <c r="W96" s="453">
        <v>500</v>
      </c>
      <c r="X96" s="453" t="s">
        <v>58</v>
      </c>
      <c r="Z96" s="453" t="s">
        <v>150</v>
      </c>
      <c r="AA96" s="453">
        <v>120</v>
      </c>
      <c r="AC96" s="453" t="s">
        <v>384</v>
      </c>
    </row>
    <row r="97" spans="1:29">
      <c r="A97" s="453">
        <v>96</v>
      </c>
      <c r="B97" s="611" t="s">
        <v>386</v>
      </c>
      <c r="C97" s="453" t="s">
        <v>379</v>
      </c>
      <c r="D97" s="550">
        <v>33</v>
      </c>
      <c r="F97" s="453">
        <v>1971</v>
      </c>
      <c r="G97" s="453">
        <v>1979</v>
      </c>
      <c r="H97" s="453">
        <v>56000</v>
      </c>
      <c r="I97" s="472">
        <v>145000</v>
      </c>
      <c r="J97" s="453">
        <v>1</v>
      </c>
      <c r="K97" s="453">
        <v>5</v>
      </c>
      <c r="L97" s="453" t="s">
        <v>147</v>
      </c>
      <c r="M97" s="453">
        <v>1</v>
      </c>
      <c r="N97" s="453" t="s">
        <v>122</v>
      </c>
      <c r="O97" s="453">
        <v>285</v>
      </c>
      <c r="P97" s="453" t="s">
        <v>132</v>
      </c>
      <c r="Q97" s="453" t="s">
        <v>124</v>
      </c>
      <c r="R97" s="453">
        <v>0.1</v>
      </c>
      <c r="S97" s="453">
        <v>0.1</v>
      </c>
      <c r="T97" s="453">
        <v>11</v>
      </c>
      <c r="V97" s="453">
        <v>100</v>
      </c>
      <c r="W97" s="453">
        <v>500</v>
      </c>
      <c r="X97" s="453" t="s">
        <v>58</v>
      </c>
      <c r="Z97" s="453" t="s">
        <v>150</v>
      </c>
      <c r="AA97" s="453">
        <v>121</v>
      </c>
      <c r="AC97" s="453" t="s">
        <v>384</v>
      </c>
    </row>
    <row r="98" spans="1:29">
      <c r="A98" s="453">
        <v>97</v>
      </c>
      <c r="B98" s="611" t="s">
        <v>387</v>
      </c>
      <c r="C98" s="453" t="s">
        <v>379</v>
      </c>
      <c r="D98" s="550">
        <v>35</v>
      </c>
      <c r="F98" s="453">
        <v>1947</v>
      </c>
      <c r="G98" s="453">
        <v>1959</v>
      </c>
      <c r="H98" s="453">
        <v>13000</v>
      </c>
      <c r="I98" s="472">
        <v>55000</v>
      </c>
      <c r="J98" s="453">
        <v>1</v>
      </c>
      <c r="K98" s="453">
        <v>3</v>
      </c>
      <c r="L98" s="453" t="s">
        <v>147</v>
      </c>
      <c r="M98" s="453">
        <v>1</v>
      </c>
      <c r="N98" s="453" t="s">
        <v>122</v>
      </c>
      <c r="O98" s="453">
        <v>185</v>
      </c>
      <c r="P98" s="453" t="s">
        <v>132</v>
      </c>
      <c r="Q98" s="453" t="s">
        <v>124</v>
      </c>
      <c r="R98" s="453">
        <v>0.6</v>
      </c>
      <c r="S98" s="453">
        <v>0.1</v>
      </c>
      <c r="T98" s="453">
        <v>11</v>
      </c>
      <c r="V98" s="453">
        <v>100</v>
      </c>
      <c r="W98" s="453">
        <v>500</v>
      </c>
      <c r="X98" s="453" t="s">
        <v>58</v>
      </c>
      <c r="Z98" s="453" t="s">
        <v>150</v>
      </c>
      <c r="AA98" s="453">
        <v>123</v>
      </c>
      <c r="AC98" s="453" t="s">
        <v>388</v>
      </c>
    </row>
    <row r="99" spans="1:29">
      <c r="A99" s="453">
        <v>98</v>
      </c>
      <c r="B99" s="611" t="s">
        <v>389</v>
      </c>
      <c r="C99" s="453" t="s">
        <v>379</v>
      </c>
      <c r="D99" s="550">
        <v>35</v>
      </c>
      <c r="F99" s="453">
        <v>1960</v>
      </c>
      <c r="G99" s="453">
        <v>1963</v>
      </c>
      <c r="H99" s="453">
        <v>34000</v>
      </c>
      <c r="I99" s="472">
        <v>65000</v>
      </c>
      <c r="J99" s="453">
        <v>1</v>
      </c>
      <c r="K99" s="453">
        <v>4</v>
      </c>
      <c r="L99" s="453" t="s">
        <v>147</v>
      </c>
      <c r="M99" s="453">
        <v>1</v>
      </c>
      <c r="N99" s="453" t="s">
        <v>122</v>
      </c>
      <c r="O99" s="453">
        <v>260</v>
      </c>
      <c r="P99" s="453" t="s">
        <v>132</v>
      </c>
      <c r="Q99" s="453" t="s">
        <v>124</v>
      </c>
      <c r="R99" s="453">
        <v>0.6</v>
      </c>
      <c r="S99" s="453">
        <v>0.1</v>
      </c>
      <c r="T99" s="453">
        <v>11</v>
      </c>
      <c r="V99" s="453">
        <v>100</v>
      </c>
      <c r="W99" s="453">
        <v>500</v>
      </c>
      <c r="X99" s="453" t="s">
        <v>58</v>
      </c>
      <c r="Z99" s="453" t="s">
        <v>150</v>
      </c>
      <c r="AA99" s="453">
        <v>124</v>
      </c>
      <c r="AC99" s="453" t="s">
        <v>388</v>
      </c>
    </row>
    <row r="100" spans="1:29">
      <c r="A100" s="453">
        <v>99</v>
      </c>
      <c r="B100" s="611" t="s">
        <v>390</v>
      </c>
      <c r="C100" s="453" t="s">
        <v>379</v>
      </c>
      <c r="D100" s="550">
        <v>35</v>
      </c>
      <c r="F100" s="453">
        <v>1964</v>
      </c>
      <c r="G100" s="453">
        <v>1969</v>
      </c>
      <c r="H100" s="453">
        <v>42000</v>
      </c>
      <c r="I100" s="472">
        <v>100000</v>
      </c>
      <c r="J100" s="453">
        <v>1</v>
      </c>
      <c r="K100" s="453">
        <v>5</v>
      </c>
      <c r="L100" s="453" t="s">
        <v>147</v>
      </c>
      <c r="M100" s="453">
        <v>1</v>
      </c>
      <c r="N100" s="453" t="s">
        <v>122</v>
      </c>
      <c r="O100" s="453">
        <v>285</v>
      </c>
      <c r="P100" s="453" t="s">
        <v>132</v>
      </c>
      <c r="Q100" s="453" t="s">
        <v>124</v>
      </c>
      <c r="R100" s="453">
        <v>0.1</v>
      </c>
      <c r="S100" s="453">
        <v>0.1</v>
      </c>
      <c r="T100" s="453">
        <v>11</v>
      </c>
      <c r="V100" s="453">
        <v>100</v>
      </c>
      <c r="W100" s="453">
        <v>500</v>
      </c>
      <c r="X100" s="453" t="s">
        <v>58</v>
      </c>
      <c r="Z100" s="453" t="s">
        <v>150</v>
      </c>
      <c r="AA100" s="453">
        <v>125</v>
      </c>
      <c r="AC100" s="453" t="s">
        <v>388</v>
      </c>
    </row>
    <row r="101" spans="1:29">
      <c r="A101" s="453">
        <v>100</v>
      </c>
      <c r="B101" s="453" t="s">
        <v>391</v>
      </c>
      <c r="C101" s="453" t="s">
        <v>379</v>
      </c>
      <c r="D101" s="550">
        <v>36</v>
      </c>
      <c r="F101" s="453">
        <v>1968</v>
      </c>
      <c r="G101" s="453">
        <v>1969</v>
      </c>
      <c r="H101" s="453">
        <v>65000</v>
      </c>
      <c r="I101" s="472">
        <v>120000</v>
      </c>
      <c r="J101" s="453">
        <v>1</v>
      </c>
      <c r="K101" s="453">
        <v>5</v>
      </c>
      <c r="L101" s="453" t="s">
        <v>147</v>
      </c>
      <c r="M101" s="453">
        <v>1</v>
      </c>
      <c r="N101" s="453" t="s">
        <v>122</v>
      </c>
      <c r="O101" s="453">
        <v>285</v>
      </c>
      <c r="P101" s="453" t="s">
        <v>132</v>
      </c>
      <c r="Q101" s="453" t="s">
        <v>124</v>
      </c>
      <c r="R101" s="453">
        <v>0.1</v>
      </c>
      <c r="S101" s="453">
        <v>0.1</v>
      </c>
      <c r="T101" s="453">
        <v>11</v>
      </c>
      <c r="V101" s="453">
        <v>100</v>
      </c>
      <c r="W101" s="453">
        <v>500</v>
      </c>
      <c r="X101" s="453" t="s">
        <v>58</v>
      </c>
      <c r="Z101" s="453" t="s">
        <v>150</v>
      </c>
      <c r="AA101" s="453">
        <v>128</v>
      </c>
      <c r="AC101" s="453" t="s">
        <v>391</v>
      </c>
    </row>
    <row r="102" spans="1:29">
      <c r="A102" s="453">
        <v>101</v>
      </c>
      <c r="B102" s="611" t="s">
        <v>392</v>
      </c>
      <c r="C102" s="453" t="s">
        <v>379</v>
      </c>
      <c r="D102" s="550">
        <v>50</v>
      </c>
      <c r="F102" s="453">
        <v>1952</v>
      </c>
      <c r="G102" s="453">
        <v>1957</v>
      </c>
      <c r="H102" s="453">
        <v>30000</v>
      </c>
      <c r="I102" s="472">
        <v>65000</v>
      </c>
      <c r="J102" s="453">
        <v>1</v>
      </c>
      <c r="K102" s="453">
        <v>5</v>
      </c>
      <c r="L102" s="453" t="s">
        <v>147</v>
      </c>
      <c r="M102" s="453">
        <v>2</v>
      </c>
      <c r="N102" s="453" t="s">
        <v>122</v>
      </c>
      <c r="O102" s="453">
        <v>340</v>
      </c>
      <c r="P102" s="453" t="s">
        <v>132</v>
      </c>
      <c r="Q102" s="453" t="s">
        <v>124</v>
      </c>
      <c r="R102" s="453">
        <v>0.5</v>
      </c>
      <c r="S102" s="453">
        <v>0.25</v>
      </c>
      <c r="T102" s="453">
        <v>15</v>
      </c>
      <c r="U102" s="453" t="s">
        <v>229</v>
      </c>
      <c r="V102" s="453">
        <v>100</v>
      </c>
      <c r="W102" s="453">
        <v>500</v>
      </c>
      <c r="X102" s="453" t="s">
        <v>125</v>
      </c>
      <c r="Z102" s="453" t="s">
        <v>150</v>
      </c>
      <c r="AA102" s="453">
        <v>131</v>
      </c>
      <c r="AC102" s="453" t="s">
        <v>393</v>
      </c>
    </row>
    <row r="103" spans="1:29">
      <c r="A103" s="453">
        <v>102</v>
      </c>
      <c r="B103" s="611" t="s">
        <v>394</v>
      </c>
      <c r="C103" s="453" t="s">
        <v>379</v>
      </c>
      <c r="D103" s="550">
        <v>50</v>
      </c>
      <c r="F103" s="453">
        <v>1958</v>
      </c>
      <c r="G103" s="453">
        <v>1962</v>
      </c>
      <c r="H103" s="453">
        <v>39000</v>
      </c>
      <c r="I103" s="472">
        <v>85000</v>
      </c>
      <c r="J103" s="453">
        <v>1</v>
      </c>
      <c r="K103" s="453">
        <v>6</v>
      </c>
      <c r="L103" s="453" t="s">
        <v>147</v>
      </c>
      <c r="M103" s="453">
        <v>2</v>
      </c>
      <c r="N103" s="453" t="s">
        <v>122</v>
      </c>
      <c r="O103" s="453">
        <v>340</v>
      </c>
      <c r="P103" s="453" t="s">
        <v>132</v>
      </c>
      <c r="Q103" s="453" t="s">
        <v>124</v>
      </c>
      <c r="R103" s="453">
        <v>0.5</v>
      </c>
      <c r="S103" s="453">
        <v>0.25</v>
      </c>
      <c r="T103" s="453">
        <v>15</v>
      </c>
      <c r="U103" s="453" t="s">
        <v>229</v>
      </c>
      <c r="V103" s="453">
        <v>100</v>
      </c>
      <c r="W103" s="453">
        <v>500</v>
      </c>
      <c r="X103" s="453" t="s">
        <v>125</v>
      </c>
      <c r="Z103" s="453" t="s">
        <v>150</v>
      </c>
      <c r="AA103" s="453">
        <v>169</v>
      </c>
      <c r="AC103" s="453" t="s">
        <v>393</v>
      </c>
    </row>
    <row r="104" spans="1:29">
      <c r="A104" s="453">
        <v>103</v>
      </c>
      <c r="B104" s="453" t="s">
        <v>395</v>
      </c>
      <c r="C104" s="453" t="s">
        <v>379</v>
      </c>
      <c r="D104" s="550">
        <v>55</v>
      </c>
      <c r="F104" s="453">
        <v>1961</v>
      </c>
      <c r="G104" s="453">
        <v>1969</v>
      </c>
      <c r="H104" s="453">
        <v>37000</v>
      </c>
      <c r="I104" s="472">
        <v>90000</v>
      </c>
      <c r="J104" s="453">
        <v>1</v>
      </c>
      <c r="K104" s="453">
        <v>5</v>
      </c>
      <c r="L104" s="453" t="s">
        <v>147</v>
      </c>
      <c r="M104" s="453">
        <v>2</v>
      </c>
      <c r="N104" s="453" t="s">
        <v>122</v>
      </c>
      <c r="O104" s="453">
        <v>260</v>
      </c>
      <c r="P104" s="453" t="s">
        <v>132</v>
      </c>
      <c r="Q104" s="453" t="s">
        <v>124</v>
      </c>
      <c r="R104" s="453">
        <v>0</v>
      </c>
      <c r="S104" s="453">
        <v>0</v>
      </c>
      <c r="T104" s="453">
        <v>15</v>
      </c>
      <c r="U104" s="453" t="s">
        <v>229</v>
      </c>
      <c r="V104" s="453">
        <v>100</v>
      </c>
      <c r="W104" s="453">
        <v>500</v>
      </c>
      <c r="X104" s="453" t="s">
        <v>58</v>
      </c>
      <c r="Z104" s="453" t="s">
        <v>150</v>
      </c>
      <c r="AA104" s="453">
        <v>132</v>
      </c>
      <c r="AC104" s="453" t="s">
        <v>395</v>
      </c>
    </row>
    <row r="105" spans="1:29">
      <c r="A105" s="453">
        <v>104</v>
      </c>
      <c r="B105" s="453" t="s">
        <v>396</v>
      </c>
      <c r="C105" s="453" t="s">
        <v>379</v>
      </c>
      <c r="D105" s="550">
        <v>56</v>
      </c>
      <c r="F105" s="453">
        <v>1967</v>
      </c>
      <c r="G105" s="453">
        <v>1970</v>
      </c>
      <c r="H105" s="453">
        <v>52000</v>
      </c>
      <c r="I105" s="472">
        <v>110000</v>
      </c>
      <c r="J105" s="453">
        <v>1</v>
      </c>
      <c r="K105" s="453">
        <v>5</v>
      </c>
      <c r="L105" s="453" t="s">
        <v>147</v>
      </c>
      <c r="M105" s="453">
        <v>2</v>
      </c>
      <c r="N105" s="453" t="s">
        <v>122</v>
      </c>
      <c r="O105" s="453">
        <v>380</v>
      </c>
      <c r="P105" s="453" t="s">
        <v>132</v>
      </c>
      <c r="Q105" s="453" t="s">
        <v>124</v>
      </c>
      <c r="R105" s="453">
        <v>0</v>
      </c>
      <c r="S105" s="453">
        <v>0</v>
      </c>
      <c r="T105" s="453">
        <v>15</v>
      </c>
      <c r="U105" s="453" t="s">
        <v>229</v>
      </c>
      <c r="V105" s="453">
        <v>100</v>
      </c>
      <c r="W105" s="453">
        <v>500</v>
      </c>
      <c r="X105" s="453" t="s">
        <v>58</v>
      </c>
      <c r="Z105" s="453" t="s">
        <v>150</v>
      </c>
      <c r="AA105" s="453">
        <v>135</v>
      </c>
      <c r="AC105" s="453" t="s">
        <v>396</v>
      </c>
    </row>
    <row r="106" spans="1:29">
      <c r="A106" s="453">
        <v>105</v>
      </c>
      <c r="B106" s="611" t="s">
        <v>397</v>
      </c>
      <c r="C106" s="453" t="s">
        <v>379</v>
      </c>
      <c r="D106" s="550">
        <v>58</v>
      </c>
      <c r="F106" s="453">
        <v>1970</v>
      </c>
      <c r="G106" s="453">
        <v>1979</v>
      </c>
      <c r="H106" s="453">
        <v>75000</v>
      </c>
      <c r="I106" s="472">
        <v>195000</v>
      </c>
      <c r="J106" s="453">
        <v>1</v>
      </c>
      <c r="K106" s="453">
        <v>5</v>
      </c>
      <c r="L106" s="453" t="s">
        <v>147</v>
      </c>
      <c r="M106" s="453">
        <v>2</v>
      </c>
      <c r="N106" s="453" t="s">
        <v>122</v>
      </c>
      <c r="O106" s="453">
        <v>285</v>
      </c>
      <c r="P106" s="453" t="s">
        <v>132</v>
      </c>
      <c r="Q106" s="453" t="s">
        <v>124</v>
      </c>
      <c r="R106" s="453">
        <v>0</v>
      </c>
      <c r="S106" s="453">
        <v>0</v>
      </c>
      <c r="T106" s="453">
        <v>15</v>
      </c>
      <c r="U106" s="453" t="s">
        <v>229</v>
      </c>
      <c r="V106" s="453">
        <v>100</v>
      </c>
      <c r="W106" s="453">
        <v>500</v>
      </c>
      <c r="X106" s="453" t="s">
        <v>58</v>
      </c>
      <c r="Z106" s="453" t="s">
        <v>150</v>
      </c>
      <c r="AA106" s="453">
        <v>136</v>
      </c>
      <c r="AC106" s="453" t="s">
        <v>398</v>
      </c>
    </row>
    <row r="107" spans="1:29">
      <c r="A107" s="453">
        <v>106</v>
      </c>
      <c r="B107" s="611" t="s">
        <v>399</v>
      </c>
      <c r="C107" s="453" t="s">
        <v>379</v>
      </c>
      <c r="D107" s="550">
        <v>58</v>
      </c>
      <c r="F107" s="453">
        <v>2010</v>
      </c>
      <c r="G107" s="453">
        <v>2017</v>
      </c>
      <c r="H107" s="453">
        <v>825000</v>
      </c>
      <c r="I107" s="472">
        <v>1716250</v>
      </c>
      <c r="J107" s="453">
        <v>1</v>
      </c>
      <c r="K107" s="453">
        <v>6</v>
      </c>
      <c r="L107" s="453" t="s">
        <v>147</v>
      </c>
      <c r="M107" s="453">
        <v>2</v>
      </c>
      <c r="N107" s="453" t="s">
        <v>122</v>
      </c>
      <c r="O107" s="453">
        <v>300</v>
      </c>
      <c r="P107" s="453" t="s">
        <v>132</v>
      </c>
      <c r="Q107" s="453" t="s">
        <v>124</v>
      </c>
      <c r="R107" s="453">
        <v>0</v>
      </c>
      <c r="S107" s="453">
        <v>0</v>
      </c>
      <c r="T107" s="453">
        <v>15</v>
      </c>
      <c r="U107" s="453" t="s">
        <v>229</v>
      </c>
      <c r="V107" s="453">
        <v>100</v>
      </c>
      <c r="W107" s="453">
        <v>500</v>
      </c>
      <c r="X107" s="453" t="s">
        <v>58</v>
      </c>
      <c r="Z107" s="453" t="s">
        <v>150</v>
      </c>
      <c r="AA107" s="453">
        <v>114</v>
      </c>
      <c r="AC107" s="453" t="s">
        <v>398</v>
      </c>
    </row>
    <row r="108" spans="1:29">
      <c r="A108" s="453">
        <v>107</v>
      </c>
      <c r="B108" s="453" t="s">
        <v>400</v>
      </c>
      <c r="C108" s="453" t="s">
        <v>379</v>
      </c>
      <c r="D108" s="550">
        <v>60</v>
      </c>
      <c r="F108" s="453">
        <v>1968</v>
      </c>
      <c r="G108" s="453">
        <v>1974</v>
      </c>
      <c r="H108" s="453">
        <v>63000</v>
      </c>
      <c r="I108" s="472">
        <v>160000</v>
      </c>
      <c r="J108" s="453">
        <v>1</v>
      </c>
      <c r="K108" s="453">
        <v>5</v>
      </c>
      <c r="L108" s="453" t="s">
        <v>147</v>
      </c>
      <c r="M108" s="453">
        <v>2</v>
      </c>
      <c r="N108" s="453" t="s">
        <v>122</v>
      </c>
      <c r="O108" s="453">
        <v>380</v>
      </c>
      <c r="P108" s="453" t="s">
        <v>132</v>
      </c>
      <c r="Q108" s="453" t="s">
        <v>133</v>
      </c>
      <c r="R108" s="453">
        <v>0.15</v>
      </c>
      <c r="S108" s="453">
        <v>0.15</v>
      </c>
      <c r="T108" s="453">
        <v>16</v>
      </c>
      <c r="U108" s="453" t="s">
        <v>123</v>
      </c>
      <c r="V108" s="453">
        <v>100</v>
      </c>
      <c r="W108" s="453">
        <v>500</v>
      </c>
      <c r="X108" s="453" t="s">
        <v>125</v>
      </c>
      <c r="Z108" s="453" t="s">
        <v>150</v>
      </c>
      <c r="AA108" s="453">
        <v>141</v>
      </c>
      <c r="AC108" s="453" t="s">
        <v>400</v>
      </c>
    </row>
    <row r="109" spans="1:29">
      <c r="A109" s="453">
        <v>108</v>
      </c>
      <c r="B109" s="453" t="s">
        <v>401</v>
      </c>
      <c r="C109" s="453" t="s">
        <v>379</v>
      </c>
      <c r="D109" s="550">
        <v>76</v>
      </c>
      <c r="F109" s="453">
        <v>1978</v>
      </c>
      <c r="G109" s="453">
        <v>1982</v>
      </c>
      <c r="H109" s="453">
        <v>48000</v>
      </c>
      <c r="I109" s="472">
        <v>115000</v>
      </c>
      <c r="J109" s="453">
        <v>1</v>
      </c>
      <c r="K109" s="453">
        <v>3</v>
      </c>
      <c r="L109" s="453" t="s">
        <v>147</v>
      </c>
      <c r="M109" s="453">
        <v>2</v>
      </c>
      <c r="N109" s="453" t="s">
        <v>122</v>
      </c>
      <c r="O109" s="453">
        <v>180</v>
      </c>
      <c r="P109" s="453" t="s">
        <v>132</v>
      </c>
      <c r="Q109" s="453" t="s">
        <v>149</v>
      </c>
      <c r="R109" s="453">
        <v>0</v>
      </c>
      <c r="S109" s="453">
        <v>0</v>
      </c>
      <c r="T109" s="453">
        <v>14</v>
      </c>
      <c r="V109" s="453">
        <v>100</v>
      </c>
      <c r="W109" s="453">
        <v>500</v>
      </c>
      <c r="X109" s="453" t="s">
        <v>58</v>
      </c>
      <c r="Z109" s="453" t="s">
        <v>150</v>
      </c>
      <c r="AA109" s="453">
        <v>144</v>
      </c>
      <c r="AC109" s="453" t="s">
        <v>401</v>
      </c>
    </row>
    <row r="110" spans="1:29">
      <c r="A110" s="453">
        <v>109</v>
      </c>
      <c r="B110" s="453" t="s">
        <v>402</v>
      </c>
      <c r="C110" s="453" t="s">
        <v>379</v>
      </c>
      <c r="D110" s="550">
        <v>77</v>
      </c>
      <c r="F110" s="453">
        <v>1979</v>
      </c>
      <c r="G110" s="453">
        <v>1981</v>
      </c>
      <c r="H110" s="453">
        <v>12000</v>
      </c>
      <c r="I110" s="472">
        <v>25000</v>
      </c>
      <c r="J110" s="453">
        <v>1</v>
      </c>
      <c r="K110" s="453">
        <v>1</v>
      </c>
      <c r="L110" s="453" t="s">
        <v>147</v>
      </c>
      <c r="M110" s="453">
        <v>1</v>
      </c>
      <c r="N110" s="453" t="s">
        <v>122</v>
      </c>
      <c r="O110" s="453">
        <v>115</v>
      </c>
      <c r="P110" s="453" t="s">
        <v>148</v>
      </c>
      <c r="Q110" s="453" t="s">
        <v>149</v>
      </c>
      <c r="R110" s="453">
        <v>0.15</v>
      </c>
      <c r="S110" s="453">
        <v>0.15</v>
      </c>
      <c r="T110" s="453">
        <v>4</v>
      </c>
      <c r="V110" s="453">
        <v>50</v>
      </c>
      <c r="W110" s="453">
        <v>250</v>
      </c>
      <c r="X110" s="453" t="s">
        <v>58</v>
      </c>
      <c r="Z110" s="453" t="s">
        <v>150</v>
      </c>
      <c r="AA110" s="453">
        <v>145</v>
      </c>
      <c r="AC110" s="453" t="s">
        <v>402</v>
      </c>
    </row>
    <row r="111" spans="1:29">
      <c r="A111" s="453">
        <v>110</v>
      </c>
      <c r="B111" s="611" t="s">
        <v>403</v>
      </c>
      <c r="C111" s="453" t="s">
        <v>379</v>
      </c>
      <c r="D111" s="550">
        <v>95</v>
      </c>
      <c r="F111" s="453">
        <v>1957</v>
      </c>
      <c r="G111" s="453">
        <v>1959</v>
      </c>
      <c r="H111" s="453">
        <v>26000</v>
      </c>
      <c r="I111" s="472">
        <v>50000</v>
      </c>
      <c r="J111" s="453">
        <v>1</v>
      </c>
      <c r="K111" s="453">
        <v>4</v>
      </c>
      <c r="L111" s="453" t="s">
        <v>147</v>
      </c>
      <c r="M111" s="453">
        <v>2</v>
      </c>
      <c r="N111" s="453" t="s">
        <v>122</v>
      </c>
      <c r="O111" s="453">
        <v>180</v>
      </c>
      <c r="P111" s="453" t="s">
        <v>132</v>
      </c>
      <c r="Q111" s="453" t="s">
        <v>149</v>
      </c>
      <c r="R111" s="453">
        <v>0</v>
      </c>
      <c r="S111" s="453">
        <v>0</v>
      </c>
      <c r="T111" s="453">
        <v>14</v>
      </c>
      <c r="V111" s="453">
        <v>100</v>
      </c>
      <c r="W111" s="453">
        <v>500</v>
      </c>
      <c r="X111" s="453" t="s">
        <v>58</v>
      </c>
      <c r="Z111" s="453" t="s">
        <v>150</v>
      </c>
      <c r="AA111" s="453">
        <v>148</v>
      </c>
      <c r="AC111" s="453" t="s">
        <v>404</v>
      </c>
    </row>
    <row r="112" spans="1:29">
      <c r="A112" s="453">
        <v>111</v>
      </c>
      <c r="B112" s="611" t="s">
        <v>405</v>
      </c>
      <c r="C112" s="453" t="s">
        <v>379</v>
      </c>
      <c r="D112" s="550">
        <v>95</v>
      </c>
      <c r="F112" s="453">
        <v>1960</v>
      </c>
      <c r="G112" s="453">
        <v>1968</v>
      </c>
      <c r="H112" s="453">
        <v>30000</v>
      </c>
      <c r="I112" s="472">
        <v>75000</v>
      </c>
      <c r="J112" s="453">
        <v>1</v>
      </c>
      <c r="K112" s="453">
        <v>5</v>
      </c>
      <c r="L112" s="453" t="s">
        <v>147</v>
      </c>
      <c r="M112" s="453">
        <v>2</v>
      </c>
      <c r="N112" s="453" t="s">
        <v>122</v>
      </c>
      <c r="O112" s="453">
        <v>180</v>
      </c>
      <c r="P112" s="453" t="s">
        <v>132</v>
      </c>
      <c r="Q112" s="453" t="s">
        <v>149</v>
      </c>
      <c r="R112" s="453">
        <v>0</v>
      </c>
      <c r="S112" s="453">
        <v>0</v>
      </c>
      <c r="T112" s="453">
        <v>14</v>
      </c>
      <c r="V112" s="453">
        <v>100</v>
      </c>
      <c r="W112" s="453">
        <v>500</v>
      </c>
      <c r="X112" s="453" t="s">
        <v>58</v>
      </c>
      <c r="Z112" s="453" t="s">
        <v>150</v>
      </c>
      <c r="AA112" s="453">
        <v>149</v>
      </c>
      <c r="AC112" s="453" t="s">
        <v>404</v>
      </c>
    </row>
    <row r="113" spans="1:29">
      <c r="A113" s="453">
        <v>112</v>
      </c>
      <c r="B113" s="453" t="s">
        <v>406</v>
      </c>
      <c r="C113" s="453" t="s">
        <v>379</v>
      </c>
      <c r="D113" s="550" t="s">
        <v>407</v>
      </c>
      <c r="F113" s="453">
        <v>1974</v>
      </c>
      <c r="G113" s="453">
        <v>2024</v>
      </c>
      <c r="H113" s="453">
        <v>412500</v>
      </c>
      <c r="I113" s="472">
        <v>940000</v>
      </c>
      <c r="J113" s="453">
        <v>1</v>
      </c>
      <c r="K113" s="453">
        <v>9</v>
      </c>
      <c r="L113" s="453" t="s">
        <v>147</v>
      </c>
      <c r="M113" s="453">
        <v>4</v>
      </c>
      <c r="N113" s="453" t="s">
        <v>130</v>
      </c>
      <c r="O113" s="453">
        <v>850</v>
      </c>
      <c r="P113" s="453" t="s">
        <v>132</v>
      </c>
      <c r="Q113" s="453" t="s">
        <v>133</v>
      </c>
      <c r="R113" s="453">
        <v>-0.1</v>
      </c>
      <c r="S113" s="453">
        <v>-0.1</v>
      </c>
      <c r="T113" s="453">
        <v>20</v>
      </c>
      <c r="U113" s="453" t="s">
        <v>123</v>
      </c>
      <c r="V113" s="453">
        <v>1000</v>
      </c>
      <c r="W113" s="453">
        <v>5000</v>
      </c>
      <c r="X113" s="453" t="s">
        <v>125</v>
      </c>
      <c r="Z113" s="453" t="s">
        <v>150</v>
      </c>
      <c r="AA113" s="453">
        <v>1319</v>
      </c>
      <c r="AC113" s="453" t="s">
        <v>406</v>
      </c>
    </row>
    <row r="114" spans="1:29">
      <c r="A114" s="453">
        <v>113</v>
      </c>
      <c r="B114" s="611" t="s">
        <v>408</v>
      </c>
      <c r="C114" s="453" t="s">
        <v>379</v>
      </c>
      <c r="D114" s="612" t="s">
        <v>409</v>
      </c>
      <c r="F114" s="453">
        <v>1974</v>
      </c>
      <c r="G114" s="453">
        <v>2024</v>
      </c>
      <c r="H114" s="453">
        <v>412500</v>
      </c>
      <c r="I114" s="472">
        <v>7000000</v>
      </c>
      <c r="J114" s="453">
        <v>2</v>
      </c>
      <c r="K114" s="453">
        <v>9</v>
      </c>
      <c r="L114" s="453" t="s">
        <v>147</v>
      </c>
      <c r="M114" s="453">
        <v>4</v>
      </c>
      <c r="N114" s="453" t="s">
        <v>130</v>
      </c>
      <c r="O114" s="453">
        <v>850</v>
      </c>
      <c r="P114" s="453" t="s">
        <v>132</v>
      </c>
      <c r="Q114" s="453" t="s">
        <v>133</v>
      </c>
      <c r="R114" s="453">
        <v>-0.1</v>
      </c>
      <c r="S114" s="453">
        <v>-0.1</v>
      </c>
      <c r="T114" s="453">
        <v>20</v>
      </c>
      <c r="U114" s="453" t="s">
        <v>123</v>
      </c>
      <c r="V114" s="453">
        <v>1000</v>
      </c>
      <c r="W114" s="453">
        <v>5000</v>
      </c>
      <c r="X114" s="453" t="s">
        <v>125</v>
      </c>
      <c r="Z114" s="453" t="s">
        <v>150</v>
      </c>
      <c r="AA114" s="453">
        <v>1319</v>
      </c>
      <c r="AC114" s="611" t="s">
        <v>410</v>
      </c>
    </row>
    <row r="115" spans="1:29">
      <c r="A115" s="453">
        <v>114</v>
      </c>
      <c r="B115" s="453" t="s">
        <v>411</v>
      </c>
      <c r="C115" s="453" t="s">
        <v>379</v>
      </c>
      <c r="D115" s="550" t="s">
        <v>412</v>
      </c>
      <c r="F115" s="453">
        <v>1966</v>
      </c>
      <c r="G115" s="453">
        <v>1969</v>
      </c>
      <c r="H115" s="453">
        <v>17000</v>
      </c>
      <c r="I115" s="472">
        <v>35000</v>
      </c>
      <c r="J115" s="453">
        <v>1</v>
      </c>
      <c r="K115" s="453">
        <v>5</v>
      </c>
      <c r="L115" s="453" t="s">
        <v>147</v>
      </c>
      <c r="M115" s="453">
        <v>1</v>
      </c>
      <c r="N115" s="453" t="s">
        <v>122</v>
      </c>
      <c r="O115" s="453">
        <v>200</v>
      </c>
      <c r="P115" s="453" t="s">
        <v>132</v>
      </c>
      <c r="Q115" s="453" t="s">
        <v>124</v>
      </c>
      <c r="R115" s="453">
        <v>0</v>
      </c>
      <c r="S115" s="453">
        <v>0</v>
      </c>
      <c r="T115" s="453">
        <v>5</v>
      </c>
      <c r="V115" s="453">
        <v>100</v>
      </c>
      <c r="W115" s="453">
        <v>500</v>
      </c>
      <c r="X115" s="453" t="s">
        <v>58</v>
      </c>
      <c r="Z115" s="453" t="s">
        <v>150</v>
      </c>
      <c r="AA115" s="453">
        <v>168</v>
      </c>
      <c r="AC115" s="453" t="s">
        <v>411</v>
      </c>
    </row>
    <row r="116" spans="1:29">
      <c r="A116" s="453">
        <v>115</v>
      </c>
      <c r="B116" s="453" t="s">
        <v>413</v>
      </c>
      <c r="C116" s="453" t="s">
        <v>379</v>
      </c>
      <c r="D116" s="550" t="s">
        <v>414</v>
      </c>
      <c r="F116" s="453">
        <v>1970</v>
      </c>
      <c r="G116" s="453">
        <v>1979</v>
      </c>
      <c r="H116" s="453">
        <v>23250</v>
      </c>
      <c r="I116" s="472">
        <v>50000</v>
      </c>
      <c r="J116" s="453">
        <v>1</v>
      </c>
      <c r="K116" s="453">
        <v>5</v>
      </c>
      <c r="L116" s="453" t="s">
        <v>147</v>
      </c>
      <c r="M116" s="453">
        <v>1</v>
      </c>
      <c r="N116" s="453" t="s">
        <v>122</v>
      </c>
      <c r="O116" s="453">
        <v>200</v>
      </c>
      <c r="P116" s="453" t="s">
        <v>132</v>
      </c>
      <c r="Q116" s="453" t="s">
        <v>124</v>
      </c>
      <c r="R116" s="453">
        <v>0</v>
      </c>
      <c r="S116" s="453">
        <v>0</v>
      </c>
      <c r="T116" s="453">
        <v>11</v>
      </c>
      <c r="V116" s="453">
        <v>100</v>
      </c>
      <c r="W116" s="453">
        <v>500</v>
      </c>
      <c r="X116" s="453" t="s">
        <v>58</v>
      </c>
      <c r="Z116" s="453" t="s">
        <v>150</v>
      </c>
      <c r="AA116" s="453">
        <v>102</v>
      </c>
      <c r="AC116" s="453" t="s">
        <v>413</v>
      </c>
    </row>
    <row r="117" spans="1:29">
      <c r="A117" s="453">
        <v>116</v>
      </c>
      <c r="B117" s="453" t="s">
        <v>415</v>
      </c>
      <c r="C117" s="453" t="s">
        <v>379</v>
      </c>
      <c r="D117" s="550" t="s">
        <v>416</v>
      </c>
      <c r="F117" s="453">
        <v>1975</v>
      </c>
      <c r="G117" s="453">
        <v>1979</v>
      </c>
      <c r="H117" s="453">
        <v>105000</v>
      </c>
      <c r="I117" s="472">
        <v>215000</v>
      </c>
      <c r="J117" s="453">
        <v>1</v>
      </c>
      <c r="K117" s="453">
        <v>5</v>
      </c>
      <c r="L117" s="453" t="s">
        <v>147</v>
      </c>
      <c r="M117" s="453">
        <v>2</v>
      </c>
      <c r="N117" s="453" t="s">
        <v>122</v>
      </c>
      <c r="O117" s="453">
        <v>310</v>
      </c>
      <c r="P117" s="453" t="s">
        <v>132</v>
      </c>
      <c r="Q117" s="453" t="s">
        <v>133</v>
      </c>
      <c r="R117" s="453">
        <v>0</v>
      </c>
      <c r="S117" s="453">
        <v>0</v>
      </c>
      <c r="T117" s="453">
        <v>16</v>
      </c>
      <c r="U117" s="453" t="s">
        <v>123</v>
      </c>
      <c r="V117" s="453">
        <v>100</v>
      </c>
      <c r="W117" s="453">
        <v>500</v>
      </c>
      <c r="X117" s="453" t="s">
        <v>125</v>
      </c>
      <c r="Z117" s="453" t="s">
        <v>150</v>
      </c>
      <c r="AA117" s="453">
        <v>108</v>
      </c>
      <c r="AC117" s="453" t="s">
        <v>415</v>
      </c>
    </row>
    <row r="118" spans="1:29">
      <c r="A118" s="453">
        <v>117</v>
      </c>
      <c r="B118" s="453" t="s">
        <v>417</v>
      </c>
      <c r="C118" s="453" t="s">
        <v>379</v>
      </c>
      <c r="D118" s="550" t="s">
        <v>418</v>
      </c>
      <c r="F118" s="453">
        <v>1960</v>
      </c>
      <c r="G118" s="453">
        <v>1970</v>
      </c>
      <c r="H118" s="453">
        <v>24000</v>
      </c>
      <c r="I118" s="472">
        <v>75000</v>
      </c>
      <c r="J118" s="453">
        <v>1</v>
      </c>
      <c r="K118" s="453">
        <v>9</v>
      </c>
      <c r="L118" s="453" t="s">
        <v>147</v>
      </c>
      <c r="M118" s="453">
        <v>2</v>
      </c>
      <c r="N118" s="453" t="s">
        <v>122</v>
      </c>
      <c r="O118" s="453">
        <v>340</v>
      </c>
      <c r="P118" s="453" t="s">
        <v>132</v>
      </c>
      <c r="Q118" s="453" t="s">
        <v>133</v>
      </c>
      <c r="R118" s="453">
        <v>1</v>
      </c>
      <c r="S118" s="453">
        <v>1</v>
      </c>
      <c r="T118" s="453">
        <v>16</v>
      </c>
      <c r="U118" s="453" t="s">
        <v>123</v>
      </c>
      <c r="V118" s="453">
        <v>100</v>
      </c>
      <c r="W118" s="453">
        <v>500</v>
      </c>
      <c r="X118" s="453" t="s">
        <v>125</v>
      </c>
      <c r="Z118" s="453" t="s">
        <v>150</v>
      </c>
      <c r="AA118" s="453">
        <v>143</v>
      </c>
      <c r="AC118" s="453" t="s">
        <v>417</v>
      </c>
    </row>
    <row r="119" spans="1:29">
      <c r="A119" s="453">
        <v>118</v>
      </c>
      <c r="B119" s="453" t="s">
        <v>419</v>
      </c>
      <c r="C119" s="453" t="s">
        <v>379</v>
      </c>
      <c r="D119" s="550" t="s">
        <v>420</v>
      </c>
      <c r="F119" s="453">
        <v>1962</v>
      </c>
      <c r="G119" s="453">
        <v>1969</v>
      </c>
      <c r="H119" s="453">
        <v>34000</v>
      </c>
      <c r="I119" s="472">
        <v>90000</v>
      </c>
      <c r="J119" s="453">
        <v>1</v>
      </c>
      <c r="K119" s="453">
        <v>9</v>
      </c>
      <c r="L119" s="453" t="s">
        <v>147</v>
      </c>
      <c r="M119" s="453">
        <v>2</v>
      </c>
      <c r="N119" s="453" t="s">
        <v>122</v>
      </c>
      <c r="O119" s="453">
        <v>380</v>
      </c>
      <c r="P119" s="453" t="s">
        <v>132</v>
      </c>
      <c r="Q119" s="453" t="s">
        <v>133</v>
      </c>
      <c r="R119" s="453">
        <v>1</v>
      </c>
      <c r="S119" s="453">
        <v>1</v>
      </c>
      <c r="T119" s="453">
        <v>16</v>
      </c>
      <c r="U119" s="453" t="s">
        <v>123</v>
      </c>
      <c r="V119" s="453">
        <v>100</v>
      </c>
      <c r="W119" s="453">
        <v>500</v>
      </c>
      <c r="X119" s="453" t="s">
        <v>125</v>
      </c>
      <c r="Z119" s="453" t="s">
        <v>150</v>
      </c>
      <c r="AA119" s="453">
        <v>146</v>
      </c>
      <c r="AC119" s="453" t="s">
        <v>419</v>
      </c>
    </row>
    <row r="120" spans="1:29">
      <c r="A120" s="453">
        <v>119</v>
      </c>
      <c r="B120" s="453" t="s">
        <v>421</v>
      </c>
      <c r="C120" s="453" t="s">
        <v>379</v>
      </c>
      <c r="D120" s="550" t="s">
        <v>422</v>
      </c>
      <c r="F120" s="453">
        <v>1965</v>
      </c>
      <c r="G120" s="453">
        <v>1966</v>
      </c>
      <c r="H120" s="453">
        <v>150000</v>
      </c>
      <c r="I120" s="472">
        <v>287500</v>
      </c>
      <c r="J120" s="453">
        <v>1</v>
      </c>
      <c r="K120" s="453">
        <v>9</v>
      </c>
      <c r="L120" s="453" t="s">
        <v>147</v>
      </c>
      <c r="M120" s="453">
        <v>4</v>
      </c>
      <c r="N120" s="453" t="s">
        <v>130</v>
      </c>
      <c r="O120" s="453">
        <v>500</v>
      </c>
      <c r="P120" s="453" t="s">
        <v>132</v>
      </c>
      <c r="Q120" s="453" t="s">
        <v>133</v>
      </c>
      <c r="R120" s="453">
        <v>-0.1</v>
      </c>
      <c r="S120" s="453">
        <v>0</v>
      </c>
      <c r="T120" s="453">
        <v>20</v>
      </c>
      <c r="U120" s="453" t="s">
        <v>123</v>
      </c>
      <c r="V120" s="453">
        <v>1000</v>
      </c>
      <c r="W120" s="453">
        <v>5000</v>
      </c>
      <c r="X120" s="453" t="s">
        <v>125</v>
      </c>
      <c r="Z120" s="453" t="s">
        <v>150</v>
      </c>
      <c r="AA120" s="453">
        <v>150</v>
      </c>
      <c r="AC120" s="453" t="s">
        <v>421</v>
      </c>
    </row>
    <row r="121" spans="1:29">
      <c r="A121" s="453">
        <v>120</v>
      </c>
      <c r="B121" s="453" t="s">
        <v>423</v>
      </c>
      <c r="C121" s="453" t="s">
        <v>379</v>
      </c>
      <c r="D121" s="550" t="s">
        <v>424</v>
      </c>
      <c r="F121" s="453">
        <v>1967</v>
      </c>
      <c r="G121" s="453">
        <v>1969</v>
      </c>
      <c r="H121" s="453">
        <v>210000</v>
      </c>
      <c r="I121" s="472">
        <v>406250</v>
      </c>
      <c r="J121" s="453">
        <v>1</v>
      </c>
      <c r="K121" s="453">
        <v>9</v>
      </c>
      <c r="L121" s="453" t="s">
        <v>147</v>
      </c>
      <c r="M121" s="453">
        <v>4</v>
      </c>
      <c r="N121" s="453" t="s">
        <v>130</v>
      </c>
      <c r="O121" s="453">
        <v>550</v>
      </c>
      <c r="P121" s="453" t="s">
        <v>132</v>
      </c>
      <c r="Q121" s="453" t="s">
        <v>133</v>
      </c>
      <c r="R121" s="453">
        <v>0</v>
      </c>
      <c r="S121" s="453">
        <v>0</v>
      </c>
      <c r="T121" s="453">
        <v>20</v>
      </c>
      <c r="U121" s="453" t="s">
        <v>123</v>
      </c>
      <c r="V121" s="453">
        <v>1000</v>
      </c>
      <c r="W121" s="453">
        <v>5000</v>
      </c>
      <c r="X121" s="453" t="s">
        <v>125</v>
      </c>
      <c r="Z121" s="453" t="s">
        <v>150</v>
      </c>
      <c r="AA121" s="453">
        <v>151</v>
      </c>
      <c r="AC121" s="453" t="s">
        <v>423</v>
      </c>
    </row>
    <row r="122" spans="1:29">
      <c r="A122" s="453">
        <v>121</v>
      </c>
      <c r="B122" s="453" t="s">
        <v>425</v>
      </c>
      <c r="C122" s="453" t="s">
        <v>379</v>
      </c>
      <c r="D122" s="550" t="s">
        <v>426</v>
      </c>
      <c r="F122" s="453">
        <v>1970</v>
      </c>
      <c r="G122" s="453">
        <v>1974</v>
      </c>
      <c r="H122" s="453">
        <v>262500</v>
      </c>
      <c r="I122" s="472">
        <v>562500</v>
      </c>
      <c r="J122" s="453">
        <v>1</v>
      </c>
      <c r="K122" s="453">
        <v>9</v>
      </c>
      <c r="L122" s="453" t="s">
        <v>147</v>
      </c>
      <c r="M122" s="453">
        <v>4</v>
      </c>
      <c r="N122" s="453" t="s">
        <v>130</v>
      </c>
      <c r="O122" s="453">
        <v>550</v>
      </c>
      <c r="P122" s="453" t="s">
        <v>132</v>
      </c>
      <c r="Q122" s="453" t="s">
        <v>133</v>
      </c>
      <c r="R122" s="453">
        <v>0</v>
      </c>
      <c r="S122" s="453">
        <v>0</v>
      </c>
      <c r="T122" s="453">
        <v>20</v>
      </c>
      <c r="U122" s="453" t="s">
        <v>123</v>
      </c>
      <c r="V122" s="453">
        <v>1000</v>
      </c>
      <c r="W122" s="453">
        <v>5000</v>
      </c>
      <c r="X122" s="453" t="s">
        <v>125</v>
      </c>
      <c r="Z122" s="453" t="s">
        <v>150</v>
      </c>
      <c r="AA122" s="453">
        <v>152</v>
      </c>
      <c r="AC122" s="453" t="s">
        <v>425</v>
      </c>
    </row>
    <row r="123" spans="1:29">
      <c r="A123" s="453">
        <v>122</v>
      </c>
      <c r="B123" s="453" t="s">
        <v>427</v>
      </c>
      <c r="C123" s="453" t="s">
        <v>379</v>
      </c>
      <c r="D123" s="550" t="s">
        <v>428</v>
      </c>
      <c r="F123" s="453">
        <v>1975</v>
      </c>
      <c r="G123" s="453">
        <v>1979</v>
      </c>
      <c r="H123" s="453">
        <v>356250</v>
      </c>
      <c r="I123" s="472">
        <v>720000</v>
      </c>
      <c r="J123" s="453">
        <v>1</v>
      </c>
      <c r="K123" s="453">
        <v>9</v>
      </c>
      <c r="L123" s="453" t="s">
        <v>147</v>
      </c>
      <c r="M123" s="453">
        <v>4</v>
      </c>
      <c r="N123" s="453" t="s">
        <v>130</v>
      </c>
      <c r="O123" s="453">
        <v>550</v>
      </c>
      <c r="P123" s="453" t="s">
        <v>132</v>
      </c>
      <c r="Q123" s="453" t="s">
        <v>133</v>
      </c>
      <c r="R123" s="453">
        <v>-0.1</v>
      </c>
      <c r="S123" s="453">
        <v>-0.1</v>
      </c>
      <c r="T123" s="453">
        <v>20</v>
      </c>
      <c r="U123" s="453" t="s">
        <v>123</v>
      </c>
      <c r="V123" s="453">
        <v>1000</v>
      </c>
      <c r="W123" s="453">
        <v>5000</v>
      </c>
      <c r="X123" s="453" t="s">
        <v>125</v>
      </c>
      <c r="Z123" s="453" t="s">
        <v>150</v>
      </c>
      <c r="AA123" s="453">
        <v>153</v>
      </c>
      <c r="AC123" s="453" t="s">
        <v>427</v>
      </c>
    </row>
    <row r="124" spans="1:29">
      <c r="A124" s="453">
        <v>123</v>
      </c>
      <c r="B124" s="453" t="s">
        <v>429</v>
      </c>
      <c r="C124" s="453" t="s">
        <v>379</v>
      </c>
      <c r="D124" s="550" t="s">
        <v>430</v>
      </c>
      <c r="F124" s="453">
        <v>1995</v>
      </c>
      <c r="G124" s="453">
        <v>2000</v>
      </c>
      <c r="H124" s="453">
        <v>750000</v>
      </c>
      <c r="I124" s="472">
        <v>1400000</v>
      </c>
      <c r="J124" s="453">
        <v>1</v>
      </c>
      <c r="K124" s="453">
        <v>9</v>
      </c>
      <c r="L124" s="453" t="s">
        <v>147</v>
      </c>
      <c r="M124" s="453">
        <v>4</v>
      </c>
      <c r="N124" s="453" t="s">
        <v>130</v>
      </c>
      <c r="O124" s="453">
        <v>550</v>
      </c>
      <c r="P124" s="453" t="s">
        <v>132</v>
      </c>
      <c r="Q124" s="453" t="s">
        <v>133</v>
      </c>
      <c r="R124" s="453">
        <v>-0.1</v>
      </c>
      <c r="S124" s="453">
        <v>-0.1</v>
      </c>
      <c r="T124" s="453">
        <v>20</v>
      </c>
      <c r="U124" s="453" t="s">
        <v>123</v>
      </c>
      <c r="V124" s="453">
        <v>1000</v>
      </c>
      <c r="W124" s="453">
        <v>5000</v>
      </c>
      <c r="X124" s="453" t="s">
        <v>125</v>
      </c>
      <c r="Z124" s="453" t="s">
        <v>150</v>
      </c>
      <c r="AA124" s="453">
        <v>161</v>
      </c>
      <c r="AC124" s="453" t="s">
        <v>429</v>
      </c>
    </row>
    <row r="125" spans="1:29">
      <c r="A125" s="453">
        <v>124</v>
      </c>
      <c r="B125" s="453" t="s">
        <v>431</v>
      </c>
      <c r="C125" s="453" t="s">
        <v>379</v>
      </c>
      <c r="D125" s="550" t="s">
        <v>432</v>
      </c>
      <c r="F125" s="453">
        <v>1972</v>
      </c>
      <c r="G125" s="453">
        <v>1976</v>
      </c>
      <c r="H125" s="453">
        <v>337500</v>
      </c>
      <c r="I125" s="472">
        <v>660000</v>
      </c>
      <c r="J125" s="453">
        <v>1</v>
      </c>
      <c r="K125" s="453">
        <v>9</v>
      </c>
      <c r="L125" s="453" t="s">
        <v>147</v>
      </c>
      <c r="M125" s="453">
        <v>4</v>
      </c>
      <c r="N125" s="453" t="s">
        <v>130</v>
      </c>
      <c r="O125" s="453">
        <v>550</v>
      </c>
      <c r="P125" s="453" t="s">
        <v>132</v>
      </c>
      <c r="Q125" s="453" t="s">
        <v>133</v>
      </c>
      <c r="R125" s="453">
        <v>-0.1</v>
      </c>
      <c r="S125" s="453">
        <v>-0.1</v>
      </c>
      <c r="T125" s="453">
        <v>20</v>
      </c>
      <c r="U125" s="453" t="s">
        <v>123</v>
      </c>
      <c r="V125" s="453">
        <v>1000</v>
      </c>
      <c r="W125" s="453">
        <v>5000</v>
      </c>
      <c r="X125" s="453" t="s">
        <v>125</v>
      </c>
      <c r="Z125" s="453" t="s">
        <v>150</v>
      </c>
      <c r="AA125" s="453">
        <v>162</v>
      </c>
      <c r="AC125" s="453" t="s">
        <v>431</v>
      </c>
    </row>
    <row r="126" spans="1:29">
      <c r="A126" s="453">
        <v>125</v>
      </c>
      <c r="B126" s="453" t="s">
        <v>433</v>
      </c>
      <c r="C126" s="453" t="s">
        <v>379</v>
      </c>
      <c r="D126" s="550" t="s">
        <v>434</v>
      </c>
      <c r="F126" s="453">
        <v>1979</v>
      </c>
      <c r="G126" s="453">
        <v>1983</v>
      </c>
      <c r="H126" s="453">
        <v>525000</v>
      </c>
      <c r="I126" s="472">
        <v>1125000</v>
      </c>
      <c r="J126" s="453">
        <v>1</v>
      </c>
      <c r="K126" s="453">
        <v>9</v>
      </c>
      <c r="L126" s="453" t="s">
        <v>147</v>
      </c>
      <c r="M126" s="453">
        <v>4</v>
      </c>
      <c r="N126" s="453" t="s">
        <v>130</v>
      </c>
      <c r="O126" s="453">
        <v>750</v>
      </c>
      <c r="P126" s="453" t="s">
        <v>132</v>
      </c>
      <c r="Q126" s="453" t="s">
        <v>133</v>
      </c>
      <c r="R126" s="453">
        <v>-0.1</v>
      </c>
      <c r="S126" s="453">
        <v>-0.1</v>
      </c>
      <c r="T126" s="453">
        <v>20</v>
      </c>
      <c r="U126" s="453" t="s">
        <v>123</v>
      </c>
      <c r="V126" s="453">
        <v>1000</v>
      </c>
      <c r="W126" s="453">
        <v>5000</v>
      </c>
      <c r="X126" s="453" t="s">
        <v>125</v>
      </c>
      <c r="Z126" s="453" t="s">
        <v>150</v>
      </c>
      <c r="AA126" s="453">
        <v>164</v>
      </c>
      <c r="AC126" s="453" t="s">
        <v>433</v>
      </c>
    </row>
    <row r="127" spans="1:29">
      <c r="A127" s="453">
        <v>126</v>
      </c>
      <c r="B127" s="611" t="s">
        <v>435</v>
      </c>
      <c r="C127" s="611" t="s">
        <v>379</v>
      </c>
      <c r="D127" s="550">
        <v>400</v>
      </c>
      <c r="F127" s="453">
        <v>1990</v>
      </c>
      <c r="G127" s="453">
        <v>2010</v>
      </c>
      <c r="H127" s="453">
        <v>800000</v>
      </c>
      <c r="I127" s="472">
        <v>2500000</v>
      </c>
      <c r="J127" s="453">
        <v>2</v>
      </c>
      <c r="K127" s="453">
        <v>9</v>
      </c>
      <c r="L127" s="453" t="s">
        <v>147</v>
      </c>
      <c r="M127" s="453">
        <v>5</v>
      </c>
      <c r="N127" s="453" t="s">
        <v>130</v>
      </c>
      <c r="O127" s="453">
        <v>3200</v>
      </c>
      <c r="P127" s="453" t="s">
        <v>132</v>
      </c>
      <c r="Q127" s="453" t="s">
        <v>124</v>
      </c>
      <c r="R127" s="453">
        <v>-0.33</v>
      </c>
      <c r="S127" s="453">
        <v>-0.23</v>
      </c>
      <c r="T127" s="453">
        <v>21</v>
      </c>
      <c r="U127" s="453" t="s">
        <v>123</v>
      </c>
      <c r="V127" s="453">
        <v>10000</v>
      </c>
      <c r="W127" s="453">
        <v>25000</v>
      </c>
      <c r="X127" s="453" t="s">
        <v>125</v>
      </c>
      <c r="Z127" s="453" t="s">
        <v>150</v>
      </c>
      <c r="AC127" s="611" t="s">
        <v>436</v>
      </c>
    </row>
    <row r="128" spans="1:29">
      <c r="A128" s="453">
        <v>127</v>
      </c>
      <c r="B128" s="611" t="s">
        <v>437</v>
      </c>
      <c r="C128" s="611" t="s">
        <v>379</v>
      </c>
      <c r="D128" s="550">
        <v>800</v>
      </c>
      <c r="F128" s="453">
        <v>1984</v>
      </c>
      <c r="G128" s="453">
        <v>2013</v>
      </c>
      <c r="H128" s="453">
        <v>1100000</v>
      </c>
      <c r="I128" s="472">
        <v>4000000</v>
      </c>
      <c r="J128" s="453">
        <v>2</v>
      </c>
      <c r="K128" s="453">
        <v>9</v>
      </c>
      <c r="L128" s="453" t="s">
        <v>147</v>
      </c>
      <c r="M128" s="453">
        <v>5</v>
      </c>
      <c r="N128" s="453" t="s">
        <v>130</v>
      </c>
      <c r="O128" s="453">
        <v>3200</v>
      </c>
      <c r="P128" s="453" t="s">
        <v>132</v>
      </c>
      <c r="Q128" s="453" t="s">
        <v>124</v>
      </c>
      <c r="R128" s="453">
        <v>-0.33</v>
      </c>
      <c r="S128" s="453">
        <v>-0.23</v>
      </c>
      <c r="T128" s="453">
        <v>21</v>
      </c>
      <c r="U128" s="453" t="s">
        <v>123</v>
      </c>
      <c r="V128" s="453">
        <v>10000</v>
      </c>
      <c r="W128" s="453">
        <v>25000</v>
      </c>
      <c r="X128" s="453" t="s">
        <v>125</v>
      </c>
      <c r="Z128" s="453" t="s">
        <v>150</v>
      </c>
      <c r="AC128" s="611" t="s">
        <v>438</v>
      </c>
    </row>
    <row r="129" spans="1:29">
      <c r="A129" s="453">
        <v>128</v>
      </c>
      <c r="B129" s="453" t="s">
        <v>439</v>
      </c>
      <c r="C129" s="453" t="s">
        <v>379</v>
      </c>
      <c r="D129" s="550" t="s">
        <v>440</v>
      </c>
      <c r="F129" s="453">
        <v>2001</v>
      </c>
      <c r="G129" s="453">
        <v>2005</v>
      </c>
      <c r="H129" s="453">
        <v>3100000</v>
      </c>
      <c r="I129" s="472">
        <v>3500000</v>
      </c>
      <c r="J129" s="453">
        <v>2</v>
      </c>
      <c r="K129" s="453">
        <v>5</v>
      </c>
      <c r="L129" s="453" t="s">
        <v>147</v>
      </c>
      <c r="M129" s="453">
        <v>5</v>
      </c>
      <c r="N129" s="453" t="s">
        <v>130</v>
      </c>
      <c r="O129" s="453">
        <v>2300</v>
      </c>
      <c r="P129" s="453" t="s">
        <v>132</v>
      </c>
      <c r="Q129" s="453" t="s">
        <v>124</v>
      </c>
      <c r="R129" s="453">
        <v>-0.33</v>
      </c>
      <c r="S129" s="453">
        <v>-0.23</v>
      </c>
      <c r="T129" s="453">
        <v>21</v>
      </c>
      <c r="U129" s="453" t="s">
        <v>123</v>
      </c>
      <c r="V129" s="453">
        <v>1000</v>
      </c>
      <c r="W129" s="453">
        <v>0.1</v>
      </c>
      <c r="X129" s="453" t="s">
        <v>125</v>
      </c>
      <c r="Z129" s="453" t="s">
        <v>150</v>
      </c>
      <c r="AA129" s="453">
        <v>166</v>
      </c>
      <c r="AC129" s="453" t="s">
        <v>439</v>
      </c>
    </row>
    <row r="130" spans="1:29">
      <c r="A130" s="453">
        <v>129</v>
      </c>
      <c r="B130" s="453" t="s">
        <v>441</v>
      </c>
      <c r="C130" s="453" t="s">
        <v>379</v>
      </c>
      <c r="D130" s="550" t="s">
        <v>442</v>
      </c>
      <c r="F130" s="453">
        <v>1949</v>
      </c>
      <c r="G130" s="453">
        <v>1965</v>
      </c>
      <c r="H130" s="453">
        <v>84500</v>
      </c>
      <c r="I130" s="472">
        <v>201000</v>
      </c>
      <c r="J130" s="453">
        <v>1</v>
      </c>
      <c r="K130" s="453">
        <v>1</v>
      </c>
      <c r="L130" s="453" t="s">
        <v>147</v>
      </c>
      <c r="M130" s="453">
        <v>1</v>
      </c>
      <c r="N130" s="453" t="s">
        <v>122</v>
      </c>
      <c r="O130" s="453">
        <v>225</v>
      </c>
      <c r="P130" s="453" t="s">
        <v>132</v>
      </c>
      <c r="Q130" s="453" t="s">
        <v>124</v>
      </c>
      <c r="R130" s="453">
        <v>3</v>
      </c>
      <c r="S130" s="453">
        <v>3</v>
      </c>
      <c r="T130" s="453">
        <v>11</v>
      </c>
      <c r="V130" s="453">
        <v>100</v>
      </c>
      <c r="W130" s="453">
        <v>500</v>
      </c>
      <c r="X130" s="453" t="s">
        <v>125</v>
      </c>
      <c r="Z130" s="453" t="s">
        <v>150</v>
      </c>
      <c r="AA130" s="453">
        <v>167</v>
      </c>
      <c r="AC130" s="453" t="s">
        <v>441</v>
      </c>
    </row>
    <row r="131" spans="1:29">
      <c r="A131" s="453">
        <v>130</v>
      </c>
      <c r="B131" s="453" t="s">
        <v>443</v>
      </c>
      <c r="C131" s="453" t="s">
        <v>379</v>
      </c>
      <c r="D131" s="550" t="s">
        <v>444</v>
      </c>
      <c r="F131" s="453">
        <v>1970</v>
      </c>
      <c r="G131" s="453">
        <v>1990</v>
      </c>
      <c r="H131" s="453">
        <v>100000</v>
      </c>
      <c r="I131" s="472">
        <v>500000</v>
      </c>
      <c r="J131" s="453">
        <v>1</v>
      </c>
      <c r="K131" s="453">
        <v>1</v>
      </c>
      <c r="L131" s="453" t="s">
        <v>121</v>
      </c>
      <c r="M131" s="453">
        <v>3</v>
      </c>
      <c r="N131" s="453" t="s">
        <v>130</v>
      </c>
      <c r="O131" s="453">
        <v>500</v>
      </c>
      <c r="P131" s="453" t="s">
        <v>132</v>
      </c>
      <c r="Q131" s="453" t="s">
        <v>133</v>
      </c>
      <c r="R131" s="453">
        <v>0</v>
      </c>
      <c r="S131" s="453">
        <v>1</v>
      </c>
      <c r="T131" s="453">
        <v>1</v>
      </c>
      <c r="V131" s="453">
        <v>1000</v>
      </c>
      <c r="W131" s="453">
        <v>0.1</v>
      </c>
      <c r="X131" s="453" t="s">
        <v>125</v>
      </c>
      <c r="AB131" s="453" t="s">
        <v>140</v>
      </c>
      <c r="AC131" s="453" t="s">
        <v>443</v>
      </c>
    </row>
    <row r="132" spans="1:29">
      <c r="A132" s="453">
        <v>131</v>
      </c>
      <c r="B132" s="453" t="s">
        <v>445</v>
      </c>
      <c r="C132" s="453" t="s">
        <v>446</v>
      </c>
      <c r="D132" s="550" t="s">
        <v>447</v>
      </c>
      <c r="F132" s="453">
        <v>1968</v>
      </c>
      <c r="G132" s="453">
        <v>2010</v>
      </c>
      <c r="H132" s="453">
        <v>150000</v>
      </c>
      <c r="I132" s="472">
        <v>500000</v>
      </c>
      <c r="J132" s="453">
        <v>1</v>
      </c>
      <c r="K132" s="453">
        <v>5</v>
      </c>
      <c r="L132" s="453" t="s">
        <v>147</v>
      </c>
      <c r="M132" s="453">
        <v>3</v>
      </c>
      <c r="N132" s="453" t="s">
        <v>130</v>
      </c>
      <c r="O132" s="453">
        <v>500</v>
      </c>
      <c r="P132" s="453" t="s">
        <v>132</v>
      </c>
      <c r="Q132" s="453" t="s">
        <v>133</v>
      </c>
      <c r="R132" s="453">
        <v>0</v>
      </c>
      <c r="S132" s="453">
        <v>0</v>
      </c>
      <c r="T132" s="453">
        <v>19</v>
      </c>
      <c r="U132" s="453" t="s">
        <v>123</v>
      </c>
      <c r="V132" s="453">
        <v>1000</v>
      </c>
      <c r="W132" s="453">
        <v>0.05</v>
      </c>
      <c r="X132" s="453" t="s">
        <v>125</v>
      </c>
      <c r="Z132" s="453" t="s">
        <v>150</v>
      </c>
      <c r="AC132" s="453" t="s">
        <v>445</v>
      </c>
    </row>
    <row r="133" spans="1:29">
      <c r="A133" s="453">
        <v>132</v>
      </c>
      <c r="B133" s="453" t="s">
        <v>448</v>
      </c>
      <c r="C133" s="453" t="s">
        <v>449</v>
      </c>
      <c r="D133" s="550">
        <v>47</v>
      </c>
      <c r="F133" s="453">
        <v>1946</v>
      </c>
      <c r="G133" s="453">
        <v>1976</v>
      </c>
      <c r="H133" s="453">
        <v>39500</v>
      </c>
      <c r="I133" s="472">
        <v>200000</v>
      </c>
      <c r="J133" s="453">
        <v>1</v>
      </c>
      <c r="K133" s="453">
        <v>2</v>
      </c>
      <c r="L133" s="453" t="s">
        <v>147</v>
      </c>
      <c r="M133" s="453">
        <v>6</v>
      </c>
      <c r="N133" s="453" t="s">
        <v>122</v>
      </c>
      <c r="O133" s="453">
        <v>240</v>
      </c>
      <c r="P133" s="453" t="s">
        <v>148</v>
      </c>
      <c r="Q133" s="453" t="s">
        <v>149</v>
      </c>
      <c r="R133" s="453">
        <v>0</v>
      </c>
      <c r="S133" s="453">
        <v>0</v>
      </c>
      <c r="T133" s="453">
        <v>17</v>
      </c>
      <c r="V133" s="453">
        <v>1000</v>
      </c>
      <c r="W133" s="453">
        <v>0.05</v>
      </c>
      <c r="X133" s="453" t="s">
        <v>125</v>
      </c>
      <c r="Z133" s="453" t="s">
        <v>150</v>
      </c>
      <c r="AA133" s="453">
        <v>181</v>
      </c>
      <c r="AC133" s="453" t="s">
        <v>448</v>
      </c>
    </row>
    <row r="134" spans="1:29">
      <c r="A134" s="453">
        <v>133</v>
      </c>
      <c r="B134" s="453" t="s">
        <v>450</v>
      </c>
      <c r="C134" s="453" t="s">
        <v>449</v>
      </c>
      <c r="D134" s="550">
        <v>212</v>
      </c>
      <c r="F134" s="453">
        <v>1971</v>
      </c>
      <c r="G134" s="453">
        <v>1983</v>
      </c>
      <c r="H134" s="453">
        <v>1200000</v>
      </c>
      <c r="I134" s="472">
        <v>2000000</v>
      </c>
      <c r="J134" s="453">
        <v>1</v>
      </c>
      <c r="K134" s="453">
        <v>14</v>
      </c>
      <c r="L134" s="453" t="s">
        <v>451</v>
      </c>
      <c r="M134" s="453">
        <v>7</v>
      </c>
      <c r="N134" s="453" t="s">
        <v>130</v>
      </c>
      <c r="O134" s="453">
        <v>1800</v>
      </c>
      <c r="P134" s="453" t="s">
        <v>148</v>
      </c>
      <c r="Q134" s="453" t="s">
        <v>133</v>
      </c>
      <c r="R134" s="453">
        <v>0</v>
      </c>
      <c r="S134" s="453">
        <v>0</v>
      </c>
      <c r="T134" s="453">
        <v>1</v>
      </c>
      <c r="U134" s="453" t="s">
        <v>229</v>
      </c>
      <c r="V134" s="453">
        <v>1000</v>
      </c>
      <c r="W134" s="453">
        <v>2.5000000000000001E-2</v>
      </c>
      <c r="X134" s="453" t="s">
        <v>125</v>
      </c>
      <c r="AB134" s="453" t="s">
        <v>452</v>
      </c>
      <c r="AC134" s="453" t="s">
        <v>450</v>
      </c>
    </row>
    <row r="135" spans="1:29">
      <c r="A135" s="453">
        <v>134</v>
      </c>
      <c r="B135" s="453" t="s">
        <v>453</v>
      </c>
      <c r="C135" s="453" t="s">
        <v>449</v>
      </c>
      <c r="D135" s="550">
        <v>222</v>
      </c>
      <c r="F135" s="453">
        <v>1980</v>
      </c>
      <c r="G135" s="453">
        <v>1987</v>
      </c>
      <c r="H135" s="453">
        <v>600000</v>
      </c>
      <c r="I135" s="472">
        <v>1450000</v>
      </c>
      <c r="J135" s="453">
        <v>1</v>
      </c>
      <c r="K135" s="453">
        <v>9</v>
      </c>
      <c r="L135" s="453" t="s">
        <v>147</v>
      </c>
      <c r="M135" s="453">
        <v>7</v>
      </c>
      <c r="N135" s="453" t="s">
        <v>130</v>
      </c>
      <c r="O135" s="453">
        <v>684</v>
      </c>
      <c r="P135" s="453" t="s">
        <v>148</v>
      </c>
      <c r="Q135" s="453" t="s">
        <v>133</v>
      </c>
      <c r="R135" s="453">
        <v>0</v>
      </c>
      <c r="S135" s="453">
        <v>0</v>
      </c>
      <c r="T135" s="453">
        <v>23</v>
      </c>
      <c r="U135" s="453" t="s">
        <v>123</v>
      </c>
      <c r="V135" s="453">
        <v>1000</v>
      </c>
      <c r="W135" s="453">
        <v>2.5000000000000001E-2</v>
      </c>
      <c r="X135" s="453" t="s">
        <v>125</v>
      </c>
      <c r="Z135" s="453" t="s">
        <v>150</v>
      </c>
      <c r="AA135" s="453">
        <v>173</v>
      </c>
      <c r="AC135" s="453" t="s">
        <v>453</v>
      </c>
    </row>
    <row r="136" spans="1:29">
      <c r="A136" s="453">
        <v>135</v>
      </c>
      <c r="B136" s="453" t="s">
        <v>454</v>
      </c>
      <c r="C136" s="453" t="s">
        <v>449</v>
      </c>
      <c r="D136" s="550">
        <v>230</v>
      </c>
      <c r="F136" s="453">
        <v>1992</v>
      </c>
      <c r="G136" s="453">
        <v>1995</v>
      </c>
      <c r="H136" s="453">
        <v>3000000</v>
      </c>
      <c r="I136" s="472">
        <v>3500000</v>
      </c>
      <c r="J136" s="453">
        <v>1</v>
      </c>
      <c r="K136" s="453">
        <v>9</v>
      </c>
      <c r="L136" s="453" t="s">
        <v>147</v>
      </c>
      <c r="M136" s="453">
        <v>7</v>
      </c>
      <c r="N136" s="453" t="s">
        <v>130</v>
      </c>
      <c r="O136" s="453">
        <v>700</v>
      </c>
      <c r="P136" s="453" t="s">
        <v>148</v>
      </c>
      <c r="Q136" s="453" t="s">
        <v>133</v>
      </c>
      <c r="R136" s="453">
        <v>0</v>
      </c>
      <c r="S136" s="453">
        <v>0</v>
      </c>
      <c r="T136" s="453">
        <v>23</v>
      </c>
      <c r="U136" s="453" t="s">
        <v>123</v>
      </c>
      <c r="V136" s="453">
        <v>1000</v>
      </c>
      <c r="W136" s="453">
        <v>2.5000000000000001E-2</v>
      </c>
      <c r="X136" s="453" t="s">
        <v>125</v>
      </c>
      <c r="Z136" s="453" t="s">
        <v>150</v>
      </c>
      <c r="AA136" s="453">
        <v>174</v>
      </c>
      <c r="AC136" s="453" t="s">
        <v>454</v>
      </c>
    </row>
    <row r="137" spans="1:29">
      <c r="A137" s="453">
        <v>136</v>
      </c>
      <c r="B137" s="453" t="s">
        <v>455</v>
      </c>
      <c r="C137" s="453" t="s">
        <v>449</v>
      </c>
      <c r="D137" s="550">
        <v>407</v>
      </c>
      <c r="F137" s="453">
        <v>1996</v>
      </c>
      <c r="G137" s="453">
        <v>2000</v>
      </c>
      <c r="H137" s="453">
        <v>900000</v>
      </c>
      <c r="I137" s="472">
        <v>1625000</v>
      </c>
      <c r="J137" s="453">
        <v>1</v>
      </c>
      <c r="K137" s="453">
        <v>6</v>
      </c>
      <c r="L137" s="453" t="s">
        <v>147</v>
      </c>
      <c r="M137" s="453">
        <v>7</v>
      </c>
      <c r="N137" s="453" t="s">
        <v>130</v>
      </c>
      <c r="O137" s="453">
        <v>814</v>
      </c>
      <c r="P137" s="453" t="s">
        <v>148</v>
      </c>
      <c r="Q137" s="453" t="s">
        <v>124</v>
      </c>
      <c r="R137" s="453">
        <v>0</v>
      </c>
      <c r="S137" s="453">
        <v>0</v>
      </c>
      <c r="T137" s="453">
        <v>23</v>
      </c>
      <c r="U137" s="453" t="s">
        <v>123</v>
      </c>
      <c r="V137" s="453">
        <v>1000</v>
      </c>
      <c r="W137" s="453">
        <v>2.5000000000000001E-2</v>
      </c>
      <c r="X137" s="453" t="s">
        <v>125</v>
      </c>
      <c r="Z137" s="453" t="s">
        <v>150</v>
      </c>
      <c r="AA137" s="453">
        <v>175</v>
      </c>
      <c r="AC137" s="453" t="s">
        <v>455</v>
      </c>
    </row>
    <row r="138" spans="1:29">
      <c r="A138" s="453">
        <v>137</v>
      </c>
      <c r="B138" s="453" t="s">
        <v>456</v>
      </c>
      <c r="C138" s="453" t="s">
        <v>449</v>
      </c>
      <c r="D138" s="550">
        <v>427</v>
      </c>
      <c r="F138" s="453">
        <v>1999</v>
      </c>
      <c r="G138" s="453">
        <v>2002</v>
      </c>
      <c r="H138" s="453">
        <v>525000</v>
      </c>
      <c r="I138" s="472">
        <v>1250000</v>
      </c>
      <c r="J138" s="453">
        <v>1</v>
      </c>
      <c r="K138" s="453">
        <v>7</v>
      </c>
      <c r="L138" s="453" t="s">
        <v>147</v>
      </c>
      <c r="M138" s="453">
        <v>7</v>
      </c>
      <c r="N138" s="453" t="s">
        <v>130</v>
      </c>
      <c r="O138" s="453">
        <v>814</v>
      </c>
      <c r="P138" s="453" t="s">
        <v>148</v>
      </c>
      <c r="Q138" s="453" t="s">
        <v>124</v>
      </c>
      <c r="R138" s="453">
        <v>0</v>
      </c>
      <c r="S138" s="453">
        <v>0</v>
      </c>
      <c r="T138" s="453">
        <v>23</v>
      </c>
      <c r="U138" s="453" t="s">
        <v>123</v>
      </c>
      <c r="V138" s="453">
        <v>1000</v>
      </c>
      <c r="W138" s="453">
        <v>2.5000000000000001E-2</v>
      </c>
      <c r="X138" s="453" t="s">
        <v>125</v>
      </c>
      <c r="Z138" s="453" t="s">
        <v>150</v>
      </c>
      <c r="AA138" s="453">
        <v>175</v>
      </c>
      <c r="AC138" s="453" t="s">
        <v>456</v>
      </c>
    </row>
    <row r="139" spans="1:29">
      <c r="A139" s="453">
        <v>138</v>
      </c>
      <c r="B139" s="453" t="s">
        <v>457</v>
      </c>
      <c r="C139" s="453" t="s">
        <v>449</v>
      </c>
      <c r="D139" s="550">
        <v>429</v>
      </c>
      <c r="F139" s="453">
        <v>2010</v>
      </c>
      <c r="G139" s="453">
        <v>2016</v>
      </c>
      <c r="H139" s="453">
        <v>3300000</v>
      </c>
      <c r="I139" s="472">
        <v>7500000</v>
      </c>
      <c r="J139" s="453">
        <v>1</v>
      </c>
      <c r="K139" s="453">
        <v>7</v>
      </c>
      <c r="L139" s="453" t="s">
        <v>147</v>
      </c>
      <c r="M139" s="453">
        <v>7</v>
      </c>
      <c r="N139" s="453" t="s">
        <v>130</v>
      </c>
      <c r="O139" s="453">
        <v>814</v>
      </c>
      <c r="P139" s="453" t="s">
        <v>148</v>
      </c>
      <c r="Q139" s="453" t="s">
        <v>124</v>
      </c>
      <c r="R139" s="453">
        <v>0</v>
      </c>
      <c r="S139" s="453">
        <v>0</v>
      </c>
      <c r="T139" s="453">
        <v>23</v>
      </c>
      <c r="U139" s="453" t="s">
        <v>123</v>
      </c>
      <c r="V139" s="453">
        <v>1000</v>
      </c>
      <c r="W139" s="453">
        <v>2.5000000000000001E-2</v>
      </c>
      <c r="X139" s="453" t="s">
        <v>125</v>
      </c>
      <c r="Z139" s="453" t="s">
        <v>150</v>
      </c>
      <c r="AA139" s="453">
        <v>175</v>
      </c>
      <c r="AC139" s="453" t="s">
        <v>457</v>
      </c>
    </row>
    <row r="140" spans="1:29">
      <c r="A140" s="453">
        <v>139</v>
      </c>
      <c r="B140" s="453" t="s">
        <v>458</v>
      </c>
      <c r="C140" s="453" t="s">
        <v>449</v>
      </c>
      <c r="D140" s="550">
        <v>430</v>
      </c>
      <c r="F140" s="453">
        <v>1996</v>
      </c>
      <c r="G140" s="453">
        <v>2000</v>
      </c>
      <c r="H140" s="453">
        <v>525000</v>
      </c>
      <c r="I140" s="472">
        <v>1375000</v>
      </c>
      <c r="J140" s="453">
        <v>1</v>
      </c>
      <c r="K140" s="453">
        <v>9</v>
      </c>
      <c r="L140" s="453" t="s">
        <v>147</v>
      </c>
      <c r="M140" s="453">
        <v>7</v>
      </c>
      <c r="N140" s="453" t="s">
        <v>130</v>
      </c>
      <c r="O140" s="453">
        <v>814</v>
      </c>
      <c r="P140" s="453" t="s">
        <v>148</v>
      </c>
      <c r="Q140" s="453" t="s">
        <v>124</v>
      </c>
      <c r="R140" s="453">
        <v>0</v>
      </c>
      <c r="S140" s="453">
        <v>0</v>
      </c>
      <c r="T140" s="453">
        <v>23</v>
      </c>
      <c r="U140" s="453" t="s">
        <v>123</v>
      </c>
      <c r="V140" s="453">
        <v>1000</v>
      </c>
      <c r="W140" s="453">
        <v>2.5000000000000001E-2</v>
      </c>
      <c r="X140" s="453" t="s">
        <v>125</v>
      </c>
      <c r="Z140" s="453" t="s">
        <v>150</v>
      </c>
      <c r="AA140" s="453">
        <v>175</v>
      </c>
      <c r="AC140" s="453" t="s">
        <v>458</v>
      </c>
    </row>
    <row r="141" spans="1:29">
      <c r="A141" s="453">
        <v>140</v>
      </c>
      <c r="B141" s="453" t="s">
        <v>459</v>
      </c>
      <c r="C141" s="453" t="s">
        <v>449</v>
      </c>
      <c r="D141" s="550" t="s">
        <v>460</v>
      </c>
      <c r="F141" s="453">
        <v>1982</v>
      </c>
      <c r="G141" s="453">
        <v>1992</v>
      </c>
      <c r="H141" s="453">
        <v>850000</v>
      </c>
      <c r="I141" s="472">
        <v>1000000</v>
      </c>
      <c r="J141" s="453">
        <v>1</v>
      </c>
      <c r="K141" s="453">
        <v>6</v>
      </c>
      <c r="L141" s="453" t="s">
        <v>147</v>
      </c>
      <c r="M141" s="453">
        <v>7</v>
      </c>
      <c r="N141" s="453" t="s">
        <v>130</v>
      </c>
      <c r="O141" s="453">
        <v>650</v>
      </c>
      <c r="P141" s="453" t="s">
        <v>148</v>
      </c>
      <c r="Q141" s="453" t="s">
        <v>124</v>
      </c>
      <c r="R141" s="453">
        <v>0</v>
      </c>
      <c r="S141" s="453">
        <v>0</v>
      </c>
      <c r="T141" s="453">
        <v>23</v>
      </c>
      <c r="U141" s="453" t="s">
        <v>123</v>
      </c>
      <c r="V141" s="453">
        <v>1000</v>
      </c>
      <c r="W141" s="453">
        <v>2.5000000000000001E-2</v>
      </c>
      <c r="X141" s="453" t="s">
        <v>125</v>
      </c>
      <c r="Z141" s="453" t="s">
        <v>150</v>
      </c>
      <c r="AA141" s="453">
        <v>176</v>
      </c>
      <c r="AC141" s="453" t="s">
        <v>459</v>
      </c>
    </row>
    <row r="142" spans="1:29">
      <c r="A142" s="453">
        <v>141</v>
      </c>
      <c r="B142" s="453" t="s">
        <v>461</v>
      </c>
      <c r="C142" s="453" t="s">
        <v>449</v>
      </c>
      <c r="D142" s="550" t="s">
        <v>462</v>
      </c>
      <c r="F142" s="453">
        <v>1993</v>
      </c>
      <c r="G142" s="453">
        <v>2008</v>
      </c>
      <c r="H142" s="453">
        <v>1000000</v>
      </c>
      <c r="I142" s="472">
        <v>2000000</v>
      </c>
      <c r="J142" s="453">
        <v>1</v>
      </c>
      <c r="K142" s="453">
        <v>6</v>
      </c>
      <c r="L142" s="453" t="s">
        <v>147</v>
      </c>
      <c r="M142" s="453">
        <v>7</v>
      </c>
      <c r="N142" s="453" t="s">
        <v>130</v>
      </c>
      <c r="O142" s="453">
        <v>650</v>
      </c>
      <c r="P142" s="453" t="s">
        <v>148</v>
      </c>
      <c r="Q142" s="453" t="s">
        <v>124</v>
      </c>
      <c r="R142" s="453">
        <v>0</v>
      </c>
      <c r="S142" s="453">
        <v>0</v>
      </c>
      <c r="T142" s="453">
        <v>23</v>
      </c>
      <c r="U142" s="453" t="s">
        <v>123</v>
      </c>
      <c r="V142" s="453">
        <v>1000</v>
      </c>
      <c r="W142" s="453">
        <v>2.5000000000000001E-2</v>
      </c>
      <c r="X142" s="453" t="s">
        <v>125</v>
      </c>
      <c r="Z142" s="453" t="s">
        <v>150</v>
      </c>
      <c r="AA142" s="453">
        <v>177</v>
      </c>
      <c r="AC142" s="453" t="s">
        <v>461</v>
      </c>
    </row>
    <row r="143" spans="1:29">
      <c r="A143" s="453">
        <v>142</v>
      </c>
      <c r="B143" s="453" t="s">
        <v>463</v>
      </c>
      <c r="C143" s="453" t="s">
        <v>449</v>
      </c>
      <c r="D143" s="550" t="s">
        <v>464</v>
      </c>
      <c r="F143" s="453">
        <v>1966</v>
      </c>
      <c r="G143" s="453">
        <v>1971</v>
      </c>
      <c r="H143" s="453">
        <v>180000</v>
      </c>
      <c r="I143" s="472">
        <v>245000</v>
      </c>
      <c r="J143" s="453">
        <v>1</v>
      </c>
      <c r="K143" s="453">
        <v>4</v>
      </c>
      <c r="L143" s="453" t="s">
        <v>147</v>
      </c>
      <c r="M143" s="453">
        <v>7</v>
      </c>
      <c r="N143" s="453" t="s">
        <v>130</v>
      </c>
      <c r="O143" s="453">
        <v>317</v>
      </c>
      <c r="P143" s="453" t="s">
        <v>148</v>
      </c>
      <c r="Q143" s="453" t="s">
        <v>149</v>
      </c>
      <c r="R143" s="453">
        <v>0</v>
      </c>
      <c r="S143" s="453">
        <v>0</v>
      </c>
      <c r="T143" s="453">
        <v>22</v>
      </c>
      <c r="U143" s="453" t="s">
        <v>123</v>
      </c>
      <c r="V143" s="453">
        <v>1000</v>
      </c>
      <c r="W143" s="453">
        <v>2.5000000000000001E-2</v>
      </c>
      <c r="X143" s="453" t="s">
        <v>125</v>
      </c>
      <c r="Z143" s="453" t="s">
        <v>150</v>
      </c>
      <c r="AA143" s="453">
        <v>178</v>
      </c>
      <c r="AC143" s="453" t="s">
        <v>463</v>
      </c>
    </row>
    <row r="144" spans="1:29">
      <c r="A144" s="453">
        <v>143</v>
      </c>
      <c r="B144" s="453" t="s">
        <v>465</v>
      </c>
      <c r="C144" s="453" t="s">
        <v>449</v>
      </c>
      <c r="D144" s="550" t="s">
        <v>466</v>
      </c>
      <c r="F144" s="453">
        <v>1972</v>
      </c>
      <c r="G144" s="453">
        <v>1977</v>
      </c>
      <c r="H144" s="453">
        <v>255000</v>
      </c>
      <c r="I144" s="472">
        <v>325000</v>
      </c>
      <c r="J144" s="453">
        <v>1</v>
      </c>
      <c r="K144" s="453">
        <v>4</v>
      </c>
      <c r="L144" s="453" t="s">
        <v>147</v>
      </c>
      <c r="M144" s="453">
        <v>7</v>
      </c>
      <c r="N144" s="453" t="s">
        <v>130</v>
      </c>
      <c r="O144" s="453">
        <v>400</v>
      </c>
      <c r="P144" s="453" t="s">
        <v>148</v>
      </c>
      <c r="Q144" s="453" t="s">
        <v>149</v>
      </c>
      <c r="R144" s="453">
        <v>0</v>
      </c>
      <c r="S144" s="453">
        <v>0</v>
      </c>
      <c r="T144" s="453">
        <v>22</v>
      </c>
      <c r="U144" s="453" t="s">
        <v>123</v>
      </c>
      <c r="V144" s="453">
        <v>1000</v>
      </c>
      <c r="W144" s="453">
        <v>2.5000000000000001E-2</v>
      </c>
      <c r="X144" s="453" t="s">
        <v>125</v>
      </c>
      <c r="Z144" s="453" t="s">
        <v>150</v>
      </c>
      <c r="AA144" s="453">
        <v>179</v>
      </c>
      <c r="AC144" s="453" t="s">
        <v>465</v>
      </c>
    </row>
    <row r="145" spans="1:29">
      <c r="A145" s="453">
        <v>144</v>
      </c>
      <c r="B145" s="453" t="s">
        <v>467</v>
      </c>
      <c r="C145" s="453" t="s">
        <v>449</v>
      </c>
      <c r="D145" s="550" t="s">
        <v>468</v>
      </c>
      <c r="F145" s="453">
        <v>1975</v>
      </c>
      <c r="G145" s="453">
        <v>1983</v>
      </c>
      <c r="H145" s="453">
        <v>500000</v>
      </c>
      <c r="I145" s="472">
        <v>670000</v>
      </c>
      <c r="J145" s="453">
        <v>1</v>
      </c>
      <c r="K145" s="453">
        <v>6</v>
      </c>
      <c r="L145" s="453" t="s">
        <v>147</v>
      </c>
      <c r="M145" s="453">
        <v>7</v>
      </c>
      <c r="N145" s="453" t="s">
        <v>130</v>
      </c>
      <c r="O145" s="453">
        <v>435</v>
      </c>
      <c r="P145" s="453" t="s">
        <v>148</v>
      </c>
      <c r="Q145" s="453" t="s">
        <v>124</v>
      </c>
      <c r="R145" s="453">
        <v>0</v>
      </c>
      <c r="S145" s="453">
        <v>0</v>
      </c>
      <c r="T145" s="453">
        <v>23</v>
      </c>
      <c r="U145" s="453" t="s">
        <v>123</v>
      </c>
      <c r="V145" s="453">
        <v>1000</v>
      </c>
      <c r="W145" s="453">
        <v>2.5000000000000001E-2</v>
      </c>
      <c r="X145" s="453" t="s">
        <v>125</v>
      </c>
      <c r="Z145" s="453" t="s">
        <v>150</v>
      </c>
      <c r="AA145" s="453">
        <v>171</v>
      </c>
      <c r="AC145" s="453" t="s">
        <v>467</v>
      </c>
    </row>
    <row r="146" spans="1:29">
      <c r="A146" s="453">
        <v>145</v>
      </c>
      <c r="B146" s="453" t="s">
        <v>469</v>
      </c>
      <c r="C146" s="453" t="s">
        <v>449</v>
      </c>
      <c r="D146" s="550" t="s">
        <v>470</v>
      </c>
      <c r="F146" s="453">
        <v>1983</v>
      </c>
      <c r="G146" s="453">
        <v>1987</v>
      </c>
      <c r="H146" s="453">
        <v>350000</v>
      </c>
      <c r="I146" s="472">
        <v>700000</v>
      </c>
      <c r="J146" s="453">
        <v>1</v>
      </c>
      <c r="K146" s="453">
        <v>8</v>
      </c>
      <c r="L146" s="453" t="s">
        <v>147</v>
      </c>
      <c r="M146" s="453">
        <v>7</v>
      </c>
      <c r="N146" s="453" t="s">
        <v>130</v>
      </c>
      <c r="O146" s="453">
        <v>684</v>
      </c>
      <c r="P146" s="453" t="s">
        <v>148</v>
      </c>
      <c r="Q146" s="453" t="s">
        <v>133</v>
      </c>
      <c r="R146" s="453">
        <v>0</v>
      </c>
      <c r="S146" s="453">
        <v>0</v>
      </c>
      <c r="T146" s="453">
        <v>23</v>
      </c>
      <c r="U146" s="453" t="s">
        <v>123</v>
      </c>
      <c r="V146" s="453">
        <v>1000</v>
      </c>
      <c r="W146" s="453">
        <v>2.5000000000000001E-2</v>
      </c>
      <c r="X146" s="453" t="s">
        <v>125</v>
      </c>
      <c r="Z146" s="453" t="s">
        <v>150</v>
      </c>
      <c r="AA146" s="453">
        <v>172</v>
      </c>
      <c r="AC146" s="453" t="s">
        <v>469</v>
      </c>
    </row>
    <row r="147" spans="1:29">
      <c r="A147" s="453">
        <v>146</v>
      </c>
      <c r="B147" s="453" t="s">
        <v>471</v>
      </c>
      <c r="C147" s="453" t="s">
        <v>449</v>
      </c>
      <c r="D147" s="550" t="s">
        <v>472</v>
      </c>
      <c r="F147" s="453">
        <v>2016</v>
      </c>
      <c r="G147" s="453">
        <v>2025</v>
      </c>
      <c r="H147" s="453">
        <v>1000000</v>
      </c>
      <c r="I147" s="472">
        <v>1800000</v>
      </c>
      <c r="J147" s="453">
        <v>1</v>
      </c>
      <c r="K147" s="453">
        <v>4</v>
      </c>
      <c r="L147" s="453" t="s">
        <v>147</v>
      </c>
      <c r="M147" s="453">
        <v>7</v>
      </c>
      <c r="N147" s="453" t="s">
        <v>130</v>
      </c>
      <c r="O147" s="453">
        <v>504</v>
      </c>
      <c r="P147" s="453" t="s">
        <v>148</v>
      </c>
      <c r="Q147" s="453" t="s">
        <v>124</v>
      </c>
      <c r="R147" s="453">
        <v>0.15</v>
      </c>
      <c r="S147" s="453">
        <v>0.15</v>
      </c>
      <c r="T147" s="453">
        <v>23</v>
      </c>
      <c r="U147" s="453" t="s">
        <v>123</v>
      </c>
      <c r="V147" s="453">
        <v>1000</v>
      </c>
      <c r="W147" s="453">
        <v>2.5000000000000001E-2</v>
      </c>
      <c r="X147" s="453" t="s">
        <v>125</v>
      </c>
      <c r="Z147" s="453" t="s">
        <v>150</v>
      </c>
      <c r="AC147" s="453" t="s">
        <v>471</v>
      </c>
    </row>
    <row r="148" spans="1:29">
      <c r="A148" s="453">
        <v>147</v>
      </c>
      <c r="B148" s="453" t="s">
        <v>473</v>
      </c>
      <c r="C148" s="453" t="s">
        <v>474</v>
      </c>
      <c r="D148" s="550" t="s">
        <v>475</v>
      </c>
      <c r="F148" s="453">
        <v>1939</v>
      </c>
      <c r="G148" s="453">
        <v>1949</v>
      </c>
      <c r="H148" s="453">
        <v>14500</v>
      </c>
      <c r="I148" s="472">
        <v>30000</v>
      </c>
      <c r="J148" s="453">
        <v>1</v>
      </c>
      <c r="K148" s="453">
        <v>3</v>
      </c>
      <c r="L148" s="453" t="s">
        <v>147</v>
      </c>
      <c r="M148" s="453">
        <v>1</v>
      </c>
      <c r="N148" s="453" t="s">
        <v>122</v>
      </c>
      <c r="O148" s="453">
        <v>200</v>
      </c>
      <c r="P148" s="453" t="s">
        <v>130</v>
      </c>
      <c r="Q148" s="453" t="s">
        <v>124</v>
      </c>
      <c r="R148" s="453">
        <v>0.25</v>
      </c>
      <c r="S148" s="453">
        <v>0.25</v>
      </c>
      <c r="T148" s="453">
        <v>8</v>
      </c>
      <c r="V148" s="453">
        <v>100</v>
      </c>
      <c r="W148" s="453">
        <v>1000</v>
      </c>
      <c r="X148" s="453" t="s">
        <v>125</v>
      </c>
      <c r="Z148" s="453" t="s">
        <v>150</v>
      </c>
      <c r="AA148" s="453">
        <v>182</v>
      </c>
      <c r="AC148" s="453" t="s">
        <v>473</v>
      </c>
    </row>
    <row r="149" spans="1:29">
      <c r="A149" s="453">
        <v>148</v>
      </c>
      <c r="B149" s="453" t="s">
        <v>476</v>
      </c>
      <c r="C149" s="453" t="s">
        <v>474</v>
      </c>
      <c r="D149" s="550" t="s">
        <v>477</v>
      </c>
      <c r="F149" s="453">
        <v>1949</v>
      </c>
      <c r="G149" s="453">
        <v>1958</v>
      </c>
      <c r="H149" s="453">
        <v>15000</v>
      </c>
      <c r="I149" s="472">
        <v>50000</v>
      </c>
      <c r="J149" s="453">
        <v>1</v>
      </c>
      <c r="K149" s="453">
        <v>3</v>
      </c>
      <c r="L149" s="453" t="s">
        <v>147</v>
      </c>
      <c r="M149" s="453">
        <v>1</v>
      </c>
      <c r="N149" s="453" t="s">
        <v>122</v>
      </c>
      <c r="O149" s="453">
        <v>230</v>
      </c>
      <c r="P149" s="453" t="s">
        <v>130</v>
      </c>
      <c r="Q149" s="453" t="s">
        <v>124</v>
      </c>
      <c r="R149" s="453">
        <v>0.25</v>
      </c>
      <c r="S149" s="453">
        <v>0.25</v>
      </c>
      <c r="T149" s="453">
        <v>8</v>
      </c>
      <c r="V149" s="453">
        <v>100</v>
      </c>
      <c r="W149" s="453">
        <v>1000</v>
      </c>
      <c r="X149" s="453" t="s">
        <v>125</v>
      </c>
      <c r="Z149" s="453" t="s">
        <v>150</v>
      </c>
      <c r="AC149" s="453" t="s">
        <v>476</v>
      </c>
    </row>
    <row r="150" spans="1:29">
      <c r="A150" s="453">
        <v>149</v>
      </c>
      <c r="B150" s="453" t="s">
        <v>478</v>
      </c>
      <c r="C150" s="453" t="s">
        <v>474</v>
      </c>
      <c r="D150" s="550" t="s">
        <v>479</v>
      </c>
      <c r="F150" s="453">
        <v>1959</v>
      </c>
      <c r="G150" s="453">
        <v>1968</v>
      </c>
      <c r="H150" s="453">
        <v>20000</v>
      </c>
      <c r="I150" s="472">
        <v>65000</v>
      </c>
      <c r="J150" s="453">
        <v>1</v>
      </c>
      <c r="K150" s="453">
        <v>3</v>
      </c>
      <c r="L150" s="453" t="s">
        <v>147</v>
      </c>
      <c r="M150" s="453">
        <v>1</v>
      </c>
      <c r="N150" s="453" t="s">
        <v>122</v>
      </c>
      <c r="O150" s="453">
        <v>260</v>
      </c>
      <c r="P150" s="453" t="s">
        <v>132</v>
      </c>
      <c r="Q150" s="453" t="s">
        <v>124</v>
      </c>
      <c r="R150" s="453">
        <v>0.5</v>
      </c>
      <c r="S150" s="453">
        <v>0.15</v>
      </c>
      <c r="T150" s="453">
        <v>11</v>
      </c>
      <c r="V150" s="453">
        <v>100</v>
      </c>
      <c r="W150" s="453">
        <v>500</v>
      </c>
      <c r="X150" s="453" t="s">
        <v>125</v>
      </c>
      <c r="Z150" s="453" t="s">
        <v>150</v>
      </c>
      <c r="AA150" s="453">
        <v>183</v>
      </c>
      <c r="AC150" s="453" t="s">
        <v>478</v>
      </c>
    </row>
    <row r="151" spans="1:29">
      <c r="A151" s="453">
        <v>150</v>
      </c>
      <c r="B151" s="453" t="s">
        <v>480</v>
      </c>
      <c r="C151" s="453" t="s">
        <v>474</v>
      </c>
      <c r="D151" s="550" t="s">
        <v>481</v>
      </c>
      <c r="F151" s="453">
        <v>1977</v>
      </c>
      <c r="G151" s="453">
        <v>1985</v>
      </c>
      <c r="H151" s="453">
        <v>49500</v>
      </c>
      <c r="I151" s="472">
        <v>101000</v>
      </c>
      <c r="J151" s="453">
        <v>1</v>
      </c>
      <c r="K151" s="453">
        <v>3</v>
      </c>
      <c r="L151" s="453" t="s">
        <v>147</v>
      </c>
      <c r="M151" s="453">
        <v>1</v>
      </c>
      <c r="N151" s="453" t="s">
        <v>122</v>
      </c>
      <c r="O151" s="453">
        <v>250</v>
      </c>
      <c r="P151" s="453" t="s">
        <v>132</v>
      </c>
      <c r="Q151" s="453" t="s">
        <v>124</v>
      </c>
      <c r="R151" s="453">
        <v>3</v>
      </c>
      <c r="S151" s="453">
        <v>3</v>
      </c>
      <c r="T151" s="453">
        <v>11</v>
      </c>
      <c r="V151" s="453">
        <v>500</v>
      </c>
      <c r="W151" s="453">
        <v>0.1</v>
      </c>
      <c r="X151" s="453" t="s">
        <v>125</v>
      </c>
      <c r="Z151" s="453" t="s">
        <v>150</v>
      </c>
      <c r="AA151" s="453">
        <v>184</v>
      </c>
      <c r="AB151" s="453" t="s">
        <v>482</v>
      </c>
      <c r="AC151" s="453" t="s">
        <v>480</v>
      </c>
    </row>
    <row r="152" spans="1:29">
      <c r="A152" s="453">
        <v>151</v>
      </c>
      <c r="B152" s="453" t="s">
        <v>483</v>
      </c>
      <c r="C152" s="453" t="s">
        <v>474</v>
      </c>
      <c r="D152" s="550" t="s">
        <v>484</v>
      </c>
      <c r="F152" s="453">
        <v>1929</v>
      </c>
      <c r="G152" s="453">
        <v>1935</v>
      </c>
      <c r="H152" s="453">
        <v>49500</v>
      </c>
      <c r="I152" s="472">
        <v>151000</v>
      </c>
      <c r="J152" s="453">
        <v>1</v>
      </c>
      <c r="K152" s="453">
        <v>5</v>
      </c>
      <c r="L152" s="453" t="s">
        <v>147</v>
      </c>
      <c r="M152" s="453">
        <v>1</v>
      </c>
      <c r="N152" s="453" t="s">
        <v>122</v>
      </c>
      <c r="O152" s="453">
        <v>975</v>
      </c>
      <c r="P152" s="453" t="s">
        <v>123</v>
      </c>
      <c r="Q152" s="453" t="s">
        <v>133</v>
      </c>
      <c r="R152" s="453">
        <v>0.35</v>
      </c>
      <c r="S152" s="453">
        <v>0.35</v>
      </c>
      <c r="T152" s="453">
        <v>9</v>
      </c>
      <c r="V152" s="453">
        <v>100</v>
      </c>
      <c r="W152" s="453">
        <v>500</v>
      </c>
      <c r="X152" s="453" t="s">
        <v>125</v>
      </c>
      <c r="Z152" s="453" t="s">
        <v>150</v>
      </c>
      <c r="AA152" s="453">
        <v>185</v>
      </c>
      <c r="AC152" s="453" t="s">
        <v>483</v>
      </c>
    </row>
    <row r="153" spans="1:29">
      <c r="A153" s="453">
        <v>152</v>
      </c>
      <c r="B153" s="453" t="s">
        <v>485</v>
      </c>
      <c r="C153" s="453" t="s">
        <v>474</v>
      </c>
      <c r="D153" s="550" t="s">
        <v>486</v>
      </c>
      <c r="F153" s="453">
        <v>1966</v>
      </c>
      <c r="G153" s="453">
        <v>1969</v>
      </c>
      <c r="H153" s="453">
        <v>22000</v>
      </c>
      <c r="I153" s="472">
        <v>50000</v>
      </c>
      <c r="J153" s="453">
        <v>1</v>
      </c>
      <c r="K153" s="453">
        <v>3</v>
      </c>
      <c r="L153" s="453" t="s">
        <v>147</v>
      </c>
      <c r="M153" s="453">
        <v>1</v>
      </c>
      <c r="N153" s="453" t="s">
        <v>122</v>
      </c>
      <c r="O153" s="453">
        <v>300</v>
      </c>
      <c r="P153" s="453" t="s">
        <v>132</v>
      </c>
      <c r="Q153" s="453" t="s">
        <v>124</v>
      </c>
      <c r="R153" s="453">
        <v>0.6</v>
      </c>
      <c r="S153" s="453">
        <v>0.25</v>
      </c>
      <c r="T153" s="453">
        <v>11</v>
      </c>
      <c r="V153" s="453">
        <v>100</v>
      </c>
      <c r="W153" s="453">
        <v>500</v>
      </c>
      <c r="X153" s="453" t="s">
        <v>125</v>
      </c>
      <c r="Z153" s="453" t="s">
        <v>150</v>
      </c>
      <c r="AA153" s="453">
        <v>186</v>
      </c>
      <c r="AC153" s="453" t="s">
        <v>485</v>
      </c>
    </row>
    <row r="154" spans="1:29">
      <c r="A154" s="453">
        <v>153</v>
      </c>
      <c r="B154" s="611" t="s">
        <v>487</v>
      </c>
      <c r="C154" s="611" t="s">
        <v>488</v>
      </c>
      <c r="D154" s="612" t="s">
        <v>489</v>
      </c>
      <c r="F154" s="453">
        <v>1980</v>
      </c>
      <c r="G154" s="453">
        <v>2024</v>
      </c>
      <c r="H154" s="453">
        <v>675000</v>
      </c>
      <c r="I154" s="472">
        <v>33300000</v>
      </c>
      <c r="J154" s="453">
        <v>2</v>
      </c>
      <c r="K154" s="453">
        <v>10</v>
      </c>
      <c r="L154" s="611" t="s">
        <v>147</v>
      </c>
      <c r="M154" s="453">
        <v>5</v>
      </c>
      <c r="N154" s="611" t="s">
        <v>130</v>
      </c>
      <c r="O154" s="453">
        <v>3045</v>
      </c>
      <c r="P154" s="611" t="s">
        <v>132</v>
      </c>
      <c r="Q154" s="611" t="s">
        <v>133</v>
      </c>
      <c r="R154" s="453">
        <v>-0.1</v>
      </c>
      <c r="S154" s="453">
        <v>0</v>
      </c>
      <c r="T154" s="453">
        <v>21</v>
      </c>
      <c r="U154" s="611" t="s">
        <v>123</v>
      </c>
      <c r="V154" s="453">
        <v>10000</v>
      </c>
      <c r="W154" s="453">
        <v>25000</v>
      </c>
      <c r="X154" s="611" t="s">
        <v>125</v>
      </c>
      <c r="Z154" s="611" t="s">
        <v>150</v>
      </c>
      <c r="AC154" s="611" t="s">
        <v>487</v>
      </c>
    </row>
    <row r="155" spans="1:29">
      <c r="A155" s="453">
        <v>154</v>
      </c>
      <c r="B155" s="453" t="s">
        <v>490</v>
      </c>
      <c r="C155" s="453" t="s">
        <v>491</v>
      </c>
      <c r="D155" s="550" t="s">
        <v>492</v>
      </c>
      <c r="F155" s="453">
        <v>1990</v>
      </c>
      <c r="G155" s="453">
        <v>2012</v>
      </c>
      <c r="H155" s="453">
        <v>80000</v>
      </c>
      <c r="I155" s="472">
        <v>150000</v>
      </c>
      <c r="J155" s="453">
        <v>1</v>
      </c>
      <c r="K155" s="453">
        <v>1</v>
      </c>
      <c r="L155" s="453" t="s">
        <v>154</v>
      </c>
      <c r="M155" s="453">
        <v>1</v>
      </c>
      <c r="N155" s="453" t="s">
        <v>122</v>
      </c>
      <c r="O155" s="453">
        <v>100</v>
      </c>
      <c r="P155" s="453" t="s">
        <v>148</v>
      </c>
      <c r="Q155" s="453" t="s">
        <v>149</v>
      </c>
      <c r="R155" s="453">
        <v>0.25</v>
      </c>
      <c r="S155" s="453">
        <v>0.25</v>
      </c>
      <c r="T155" s="453">
        <v>2</v>
      </c>
      <c r="V155" s="453">
        <v>50</v>
      </c>
      <c r="W155" s="453">
        <v>250</v>
      </c>
      <c r="X155" s="453" t="s">
        <v>58</v>
      </c>
      <c r="Z155" s="453" t="s">
        <v>150</v>
      </c>
      <c r="AA155" s="453">
        <v>193</v>
      </c>
      <c r="AC155" s="453" t="s">
        <v>490</v>
      </c>
    </row>
    <row r="156" spans="1:29">
      <c r="A156" s="453">
        <v>155</v>
      </c>
      <c r="B156" s="453" t="s">
        <v>493</v>
      </c>
      <c r="C156" s="453" t="s">
        <v>494</v>
      </c>
      <c r="D156" s="550" t="s">
        <v>495</v>
      </c>
      <c r="F156" s="453">
        <v>1931</v>
      </c>
      <c r="G156" s="453">
        <v>1936</v>
      </c>
      <c r="H156" s="453">
        <v>9500</v>
      </c>
      <c r="I156" s="472">
        <v>51000</v>
      </c>
      <c r="J156" s="453">
        <v>1</v>
      </c>
      <c r="K156" s="453">
        <v>2</v>
      </c>
      <c r="L156" s="453" t="s">
        <v>147</v>
      </c>
      <c r="M156" s="453">
        <v>1</v>
      </c>
      <c r="N156" s="453" t="s">
        <v>122</v>
      </c>
      <c r="O156" s="453">
        <v>220</v>
      </c>
      <c r="P156" s="453" t="s">
        <v>123</v>
      </c>
      <c r="Q156" s="453" t="s">
        <v>124</v>
      </c>
      <c r="R156" s="453">
        <v>0</v>
      </c>
      <c r="S156" s="453">
        <v>0</v>
      </c>
      <c r="T156" s="453">
        <v>8</v>
      </c>
      <c r="V156" s="453">
        <v>100</v>
      </c>
      <c r="W156" s="453">
        <v>500</v>
      </c>
      <c r="X156" s="453" t="s">
        <v>58</v>
      </c>
      <c r="Z156" s="453" t="s">
        <v>150</v>
      </c>
      <c r="AA156" s="453">
        <v>194</v>
      </c>
      <c r="AC156" s="453" t="s">
        <v>493</v>
      </c>
    </row>
    <row r="157" spans="1:29">
      <c r="A157" s="453">
        <v>156</v>
      </c>
      <c r="B157" s="453" t="s">
        <v>496</v>
      </c>
      <c r="C157" s="453" t="s">
        <v>497</v>
      </c>
      <c r="D157" s="550" t="s">
        <v>498</v>
      </c>
      <c r="F157" s="453">
        <v>1928</v>
      </c>
      <c r="G157" s="453">
        <v>1934</v>
      </c>
      <c r="H157" s="453">
        <v>150000</v>
      </c>
      <c r="I157" s="472">
        <v>250000</v>
      </c>
      <c r="J157" s="453">
        <v>1</v>
      </c>
      <c r="K157" s="453">
        <v>4</v>
      </c>
      <c r="L157" s="453" t="s">
        <v>147</v>
      </c>
      <c r="M157" s="453">
        <v>1</v>
      </c>
      <c r="N157" s="453" t="s">
        <v>122</v>
      </c>
      <c r="O157" s="453">
        <v>650</v>
      </c>
      <c r="P157" s="453" t="s">
        <v>123</v>
      </c>
      <c r="Q157" s="453" t="s">
        <v>133</v>
      </c>
      <c r="R157" s="453">
        <v>0.5</v>
      </c>
      <c r="S157" s="453">
        <v>0.25</v>
      </c>
      <c r="T157" s="453">
        <v>1</v>
      </c>
      <c r="V157" s="453">
        <v>100</v>
      </c>
      <c r="W157" s="453">
        <v>500</v>
      </c>
      <c r="X157" s="453" t="s">
        <v>125</v>
      </c>
      <c r="Z157" s="453" t="s">
        <v>150</v>
      </c>
      <c r="AA157" s="453">
        <v>195</v>
      </c>
      <c r="AC157" s="453" t="s">
        <v>496</v>
      </c>
    </row>
    <row r="158" spans="1:29">
      <c r="A158" s="453">
        <v>157</v>
      </c>
      <c r="B158" s="453" t="s">
        <v>499</v>
      </c>
      <c r="C158" s="453" t="s">
        <v>497</v>
      </c>
      <c r="D158" s="550" t="s">
        <v>500</v>
      </c>
      <c r="F158" s="453">
        <v>1928</v>
      </c>
      <c r="G158" s="453">
        <v>1947</v>
      </c>
      <c r="H158" s="453">
        <v>44500</v>
      </c>
      <c r="I158" s="472">
        <v>250000</v>
      </c>
      <c r="J158" s="453">
        <v>1</v>
      </c>
      <c r="K158" s="453">
        <v>2</v>
      </c>
      <c r="L158" s="453" t="s">
        <v>147</v>
      </c>
      <c r="M158" s="453">
        <v>1</v>
      </c>
      <c r="N158" s="453" t="s">
        <v>122</v>
      </c>
      <c r="O158" s="453">
        <v>450</v>
      </c>
      <c r="P158" s="453" t="s">
        <v>123</v>
      </c>
      <c r="Q158" s="453" t="s">
        <v>124</v>
      </c>
      <c r="R158" s="453">
        <v>0.5</v>
      </c>
      <c r="S158" s="453">
        <v>0.25</v>
      </c>
      <c r="T158" s="453">
        <v>8</v>
      </c>
      <c r="V158" s="453">
        <v>100</v>
      </c>
      <c r="W158" s="453">
        <v>500</v>
      </c>
      <c r="X158" s="453" t="s">
        <v>125</v>
      </c>
      <c r="Z158" s="453" t="s">
        <v>150</v>
      </c>
      <c r="AA158" s="453">
        <v>196</v>
      </c>
      <c r="AC158" s="453" t="s">
        <v>499</v>
      </c>
    </row>
    <row r="159" spans="1:29">
      <c r="A159" s="453">
        <v>158</v>
      </c>
      <c r="B159" s="453" t="s">
        <v>501</v>
      </c>
      <c r="C159" s="453" t="s">
        <v>497</v>
      </c>
      <c r="D159" s="550" t="s">
        <v>502</v>
      </c>
      <c r="F159" s="453">
        <v>1928</v>
      </c>
      <c r="G159" s="453">
        <v>1955</v>
      </c>
      <c r="H159" s="453">
        <v>44500</v>
      </c>
      <c r="I159" s="472">
        <v>250000</v>
      </c>
      <c r="J159" s="453">
        <v>1</v>
      </c>
      <c r="K159" s="453">
        <v>1</v>
      </c>
      <c r="L159" s="453" t="s">
        <v>147</v>
      </c>
      <c r="M159" s="453">
        <v>1</v>
      </c>
      <c r="N159" s="453" t="s">
        <v>122</v>
      </c>
      <c r="O159" s="453">
        <v>225</v>
      </c>
      <c r="P159" s="453" t="s">
        <v>123</v>
      </c>
      <c r="Q159" s="453" t="s">
        <v>124</v>
      </c>
      <c r="R159" s="453">
        <v>0.5</v>
      </c>
      <c r="S159" s="453">
        <v>0.25</v>
      </c>
      <c r="T159" s="453">
        <v>8</v>
      </c>
      <c r="V159" s="453">
        <v>100</v>
      </c>
      <c r="W159" s="453">
        <v>500</v>
      </c>
      <c r="X159" s="453" t="s">
        <v>125</v>
      </c>
      <c r="Z159" s="453" t="s">
        <v>150</v>
      </c>
      <c r="AA159" s="453">
        <v>197</v>
      </c>
      <c r="AB159" s="453" t="s">
        <v>503</v>
      </c>
      <c r="AC159" s="453" t="s">
        <v>501</v>
      </c>
    </row>
    <row r="160" spans="1:29">
      <c r="A160" s="453">
        <v>159</v>
      </c>
      <c r="B160" s="453" t="s">
        <v>504</v>
      </c>
      <c r="C160" s="453" t="s">
        <v>505</v>
      </c>
      <c r="D160" s="550">
        <v>305</v>
      </c>
      <c r="F160" s="453">
        <v>1965</v>
      </c>
      <c r="G160" s="453">
        <v>1979</v>
      </c>
      <c r="H160" s="453">
        <v>0</v>
      </c>
      <c r="I160" s="472">
        <v>0</v>
      </c>
      <c r="J160" s="453">
        <v>1</v>
      </c>
      <c r="K160" s="453">
        <v>4</v>
      </c>
      <c r="L160" s="453" t="s">
        <v>147</v>
      </c>
      <c r="M160" s="453">
        <v>6</v>
      </c>
      <c r="N160" s="453" t="s">
        <v>122</v>
      </c>
      <c r="O160" s="453">
        <v>305</v>
      </c>
      <c r="P160" s="453" t="s">
        <v>148</v>
      </c>
      <c r="Q160" s="453" t="s">
        <v>133</v>
      </c>
      <c r="R160" s="453">
        <v>0.5</v>
      </c>
      <c r="S160" s="453">
        <v>2</v>
      </c>
      <c r="T160" s="453">
        <v>1</v>
      </c>
      <c r="X160" s="453" t="s">
        <v>125</v>
      </c>
      <c r="AB160" s="453" t="s">
        <v>506</v>
      </c>
      <c r="AC160" s="453" t="s">
        <v>504</v>
      </c>
    </row>
    <row r="161" spans="1:29">
      <c r="A161" s="453">
        <v>160</v>
      </c>
      <c r="B161" s="453" t="s">
        <v>507</v>
      </c>
      <c r="C161" s="453" t="s">
        <v>505</v>
      </c>
      <c r="D161" s="550" t="s">
        <v>508</v>
      </c>
      <c r="F161" s="453">
        <v>1958</v>
      </c>
      <c r="G161" s="453">
        <v>1979</v>
      </c>
      <c r="H161" s="453">
        <v>0</v>
      </c>
      <c r="I161" s="472">
        <v>0</v>
      </c>
      <c r="J161" s="453">
        <v>1</v>
      </c>
      <c r="K161" s="453">
        <v>1</v>
      </c>
      <c r="L161" s="453" t="s">
        <v>147</v>
      </c>
      <c r="M161" s="453">
        <v>6</v>
      </c>
      <c r="N161" s="453" t="s">
        <v>122</v>
      </c>
      <c r="O161" s="453">
        <v>180</v>
      </c>
      <c r="P161" s="453" t="s">
        <v>148</v>
      </c>
      <c r="Q161" s="453" t="s">
        <v>133</v>
      </c>
      <c r="R161" s="453">
        <v>0.5</v>
      </c>
      <c r="S161" s="453">
        <v>2</v>
      </c>
      <c r="T161" s="453">
        <v>1</v>
      </c>
      <c r="X161" s="453" t="s">
        <v>125</v>
      </c>
      <c r="AB161" s="453" t="s">
        <v>506</v>
      </c>
      <c r="AC161" s="453" t="s">
        <v>507</v>
      </c>
    </row>
    <row r="162" spans="1:29">
      <c r="A162" s="453">
        <v>161</v>
      </c>
      <c r="B162" s="453" t="s">
        <v>509</v>
      </c>
      <c r="C162" s="453" t="s">
        <v>510</v>
      </c>
      <c r="D162" s="550" t="s">
        <v>511</v>
      </c>
      <c r="F162" s="453">
        <v>2015</v>
      </c>
      <c r="G162" s="453">
        <v>2025</v>
      </c>
      <c r="H162" s="453">
        <v>75000</v>
      </c>
      <c r="I162" s="472">
        <v>225000</v>
      </c>
      <c r="J162" s="453">
        <v>1</v>
      </c>
      <c r="K162" s="453">
        <v>1</v>
      </c>
      <c r="L162" s="453" t="s">
        <v>154</v>
      </c>
      <c r="M162" s="453">
        <v>1</v>
      </c>
      <c r="N162" s="453" t="s">
        <v>122</v>
      </c>
      <c r="O162" s="453">
        <v>100</v>
      </c>
      <c r="P162" s="453" t="s">
        <v>148</v>
      </c>
      <c r="Q162" s="453" t="s">
        <v>149</v>
      </c>
      <c r="R162" s="453">
        <v>0</v>
      </c>
      <c r="S162" s="453">
        <v>0</v>
      </c>
      <c r="T162" s="453">
        <v>2</v>
      </c>
      <c r="V162" s="453">
        <v>100</v>
      </c>
      <c r="W162" s="453">
        <v>500</v>
      </c>
      <c r="X162" s="453" t="s">
        <v>58</v>
      </c>
      <c r="Z162" s="453" t="s">
        <v>150</v>
      </c>
      <c r="AC162" s="453" t="s">
        <v>509</v>
      </c>
    </row>
    <row r="163" spans="1:29">
      <c r="A163" s="453">
        <v>162</v>
      </c>
      <c r="B163" s="453" t="s">
        <v>512</v>
      </c>
      <c r="C163" s="453" t="s">
        <v>513</v>
      </c>
      <c r="D163" s="550" t="s">
        <v>514</v>
      </c>
      <c r="F163" s="453">
        <v>1937</v>
      </c>
      <c r="G163" s="453">
        <v>1942</v>
      </c>
      <c r="H163" s="453">
        <v>25000</v>
      </c>
      <c r="I163" s="472">
        <v>75000</v>
      </c>
      <c r="J163" s="453">
        <v>1</v>
      </c>
      <c r="K163" s="453">
        <v>1</v>
      </c>
      <c r="L163" s="453" t="s">
        <v>147</v>
      </c>
      <c r="M163" s="453">
        <v>1</v>
      </c>
      <c r="N163" s="453" t="s">
        <v>122</v>
      </c>
      <c r="O163" s="453">
        <v>60</v>
      </c>
      <c r="P163" s="453" t="s">
        <v>123</v>
      </c>
      <c r="Q163" s="453" t="s">
        <v>149</v>
      </c>
      <c r="R163" s="453">
        <v>0.35</v>
      </c>
      <c r="S163" s="453">
        <v>0.35</v>
      </c>
      <c r="T163" s="453">
        <v>1</v>
      </c>
      <c r="V163" s="453">
        <v>100</v>
      </c>
      <c r="W163" s="453">
        <v>500</v>
      </c>
      <c r="X163" s="453" t="s">
        <v>125</v>
      </c>
      <c r="Z163" s="453" t="s">
        <v>150</v>
      </c>
      <c r="AA163" s="453">
        <v>208</v>
      </c>
      <c r="AC163" s="453" t="s">
        <v>512</v>
      </c>
    </row>
    <row r="164" spans="1:29">
      <c r="A164" s="453">
        <v>163</v>
      </c>
      <c r="B164" s="453" t="s">
        <v>515</v>
      </c>
      <c r="C164" s="453" t="s">
        <v>516</v>
      </c>
      <c r="D164" s="550" t="s">
        <v>517</v>
      </c>
      <c r="F164" s="453">
        <v>1990</v>
      </c>
      <c r="G164" s="453">
        <v>2016</v>
      </c>
      <c r="H164" s="453">
        <v>80000</v>
      </c>
      <c r="I164" s="472">
        <v>150000</v>
      </c>
      <c r="J164" s="453">
        <v>1</v>
      </c>
      <c r="K164" s="453">
        <v>1</v>
      </c>
      <c r="L164" s="453" t="s">
        <v>154</v>
      </c>
      <c r="M164" s="453">
        <v>1</v>
      </c>
      <c r="N164" s="453" t="s">
        <v>122</v>
      </c>
      <c r="O164" s="453">
        <v>100</v>
      </c>
      <c r="P164" s="453" t="s">
        <v>123</v>
      </c>
      <c r="Q164" s="453" t="s">
        <v>149</v>
      </c>
      <c r="R164" s="453">
        <v>0</v>
      </c>
      <c r="S164" s="453">
        <v>0</v>
      </c>
      <c r="T164" s="453">
        <v>3</v>
      </c>
      <c r="V164" s="453">
        <v>100</v>
      </c>
      <c r="W164" s="453">
        <v>500</v>
      </c>
      <c r="X164" s="453" t="s">
        <v>58</v>
      </c>
      <c r="Z164" s="453" t="s">
        <v>150</v>
      </c>
      <c r="AA164" s="453">
        <v>210</v>
      </c>
      <c r="AC164" s="453" t="s">
        <v>515</v>
      </c>
    </row>
    <row r="165" spans="1:29">
      <c r="A165" s="453">
        <v>164</v>
      </c>
      <c r="B165" s="453" t="s">
        <v>518</v>
      </c>
      <c r="C165" s="453" t="s">
        <v>519</v>
      </c>
      <c r="D165" s="550">
        <v>120</v>
      </c>
      <c r="F165" s="453">
        <v>1946</v>
      </c>
      <c r="G165" s="453">
        <v>1950</v>
      </c>
      <c r="H165" s="453">
        <v>11000</v>
      </c>
      <c r="I165" s="472">
        <v>21000</v>
      </c>
      <c r="J165" s="453">
        <v>1</v>
      </c>
      <c r="K165" s="453">
        <v>1</v>
      </c>
      <c r="L165" s="453" t="s">
        <v>147</v>
      </c>
      <c r="M165" s="453">
        <v>1</v>
      </c>
      <c r="N165" s="453" t="s">
        <v>122</v>
      </c>
      <c r="O165" s="453">
        <v>85</v>
      </c>
      <c r="P165" s="453" t="s">
        <v>123</v>
      </c>
      <c r="Q165" s="453" t="s">
        <v>149</v>
      </c>
      <c r="R165" s="453">
        <v>0</v>
      </c>
      <c r="S165" s="453">
        <v>0</v>
      </c>
      <c r="T165" s="453">
        <v>7</v>
      </c>
      <c r="V165" s="453">
        <v>100</v>
      </c>
      <c r="W165" s="453">
        <v>500</v>
      </c>
      <c r="X165" s="453" t="s">
        <v>58</v>
      </c>
      <c r="Z165" s="453" t="s">
        <v>150</v>
      </c>
      <c r="AA165" s="453">
        <v>326</v>
      </c>
      <c r="AC165" s="453" t="s">
        <v>518</v>
      </c>
    </row>
    <row r="166" spans="1:29">
      <c r="A166" s="453">
        <v>165</v>
      </c>
      <c r="B166" s="453" t="s">
        <v>520</v>
      </c>
      <c r="C166" s="453" t="s">
        <v>519</v>
      </c>
      <c r="D166" s="550">
        <v>140</v>
      </c>
      <c r="F166" s="453">
        <v>1946</v>
      </c>
      <c r="G166" s="453">
        <v>1951</v>
      </c>
      <c r="H166" s="453">
        <v>11000</v>
      </c>
      <c r="I166" s="472">
        <v>21000</v>
      </c>
      <c r="J166" s="453">
        <v>1</v>
      </c>
      <c r="K166" s="453">
        <v>1</v>
      </c>
      <c r="L166" s="453" t="s">
        <v>147</v>
      </c>
      <c r="M166" s="453">
        <v>1</v>
      </c>
      <c r="N166" s="453" t="s">
        <v>122</v>
      </c>
      <c r="O166" s="453">
        <v>90</v>
      </c>
      <c r="P166" s="453" t="s">
        <v>123</v>
      </c>
      <c r="Q166" s="453" t="s">
        <v>149</v>
      </c>
      <c r="R166" s="453">
        <v>0</v>
      </c>
      <c r="S166" s="453">
        <v>0</v>
      </c>
      <c r="T166" s="453">
        <v>7</v>
      </c>
      <c r="V166" s="453">
        <v>100</v>
      </c>
      <c r="W166" s="453">
        <v>500</v>
      </c>
      <c r="X166" s="453" t="s">
        <v>58</v>
      </c>
      <c r="Z166" s="453" t="s">
        <v>150</v>
      </c>
      <c r="AA166" s="453">
        <v>243</v>
      </c>
      <c r="AC166" s="453" t="s">
        <v>520</v>
      </c>
    </row>
    <row r="167" spans="1:29">
      <c r="A167" s="453">
        <v>166</v>
      </c>
      <c r="B167" s="453" t="s">
        <v>521</v>
      </c>
      <c r="C167" s="453" t="s">
        <v>519</v>
      </c>
      <c r="D167" s="550">
        <v>150</v>
      </c>
      <c r="F167" s="453">
        <v>1958</v>
      </c>
      <c r="G167" s="453">
        <v>1977</v>
      </c>
      <c r="H167" s="453">
        <v>9000</v>
      </c>
      <c r="I167" s="472">
        <v>32000</v>
      </c>
      <c r="J167" s="453">
        <v>1</v>
      </c>
      <c r="K167" s="453">
        <v>1</v>
      </c>
      <c r="L167" s="453" t="s">
        <v>147</v>
      </c>
      <c r="M167" s="453">
        <v>1</v>
      </c>
      <c r="N167" s="453" t="s">
        <v>122</v>
      </c>
      <c r="O167" s="453">
        <v>100</v>
      </c>
      <c r="P167" s="453" t="s">
        <v>148</v>
      </c>
      <c r="Q167" s="453" t="s">
        <v>149</v>
      </c>
      <c r="R167" s="453">
        <v>0</v>
      </c>
      <c r="S167" s="453">
        <v>0</v>
      </c>
      <c r="T167" s="453">
        <v>4</v>
      </c>
      <c r="V167" s="453">
        <v>50</v>
      </c>
      <c r="W167" s="453">
        <v>250</v>
      </c>
      <c r="X167" s="453" t="s">
        <v>58</v>
      </c>
      <c r="Z167" s="453" t="s">
        <v>150</v>
      </c>
      <c r="AA167" s="453">
        <v>244</v>
      </c>
      <c r="AC167" s="453" t="s">
        <v>521</v>
      </c>
    </row>
    <row r="168" spans="1:29">
      <c r="A168" s="453">
        <v>167</v>
      </c>
      <c r="B168" s="453" t="s">
        <v>522</v>
      </c>
      <c r="C168" s="453" t="s">
        <v>519</v>
      </c>
      <c r="D168" s="550">
        <v>152</v>
      </c>
      <c r="F168" s="453">
        <v>1977</v>
      </c>
      <c r="G168" s="453">
        <v>1986</v>
      </c>
      <c r="H168" s="453">
        <v>14000</v>
      </c>
      <c r="I168" s="472">
        <v>54500</v>
      </c>
      <c r="J168" s="453">
        <v>1</v>
      </c>
      <c r="K168" s="453">
        <v>1</v>
      </c>
      <c r="L168" s="453" t="s">
        <v>147</v>
      </c>
      <c r="M168" s="453">
        <v>1</v>
      </c>
      <c r="N168" s="453" t="s">
        <v>122</v>
      </c>
      <c r="O168" s="453">
        <v>110</v>
      </c>
      <c r="P168" s="453" t="s">
        <v>148</v>
      </c>
      <c r="Q168" s="453" t="s">
        <v>149</v>
      </c>
      <c r="R168" s="453">
        <v>0</v>
      </c>
      <c r="S168" s="453">
        <v>0</v>
      </c>
      <c r="T168" s="453">
        <v>4</v>
      </c>
      <c r="V168" s="453">
        <v>50</v>
      </c>
      <c r="W168" s="453">
        <v>250</v>
      </c>
      <c r="X168" s="453" t="s">
        <v>58</v>
      </c>
      <c r="Z168" s="453" t="s">
        <v>150</v>
      </c>
      <c r="AA168" s="453">
        <v>246</v>
      </c>
      <c r="AC168" s="453" t="s">
        <v>522</v>
      </c>
    </row>
    <row r="169" spans="1:29">
      <c r="A169" s="453">
        <v>168</v>
      </c>
      <c r="B169" s="453" t="s">
        <v>523</v>
      </c>
      <c r="C169" s="453" t="s">
        <v>519</v>
      </c>
      <c r="D169" s="550">
        <v>162</v>
      </c>
      <c r="F169" s="453">
        <v>2009</v>
      </c>
      <c r="G169" s="453">
        <v>2012</v>
      </c>
      <c r="H169" s="453">
        <v>71250</v>
      </c>
      <c r="I169" s="472">
        <v>160000</v>
      </c>
      <c r="J169" s="453">
        <v>1</v>
      </c>
      <c r="K169" s="453">
        <v>1</v>
      </c>
      <c r="L169" s="453" t="s">
        <v>154</v>
      </c>
      <c r="M169" s="453">
        <v>1</v>
      </c>
      <c r="N169" s="453" t="s">
        <v>122</v>
      </c>
      <c r="O169" s="453">
        <v>100</v>
      </c>
      <c r="P169" s="453" t="s">
        <v>148</v>
      </c>
      <c r="Q169" s="453" t="s">
        <v>149</v>
      </c>
      <c r="R169" s="453">
        <v>0</v>
      </c>
      <c r="S169" s="453">
        <v>0</v>
      </c>
      <c r="T169" s="453">
        <v>2</v>
      </c>
      <c r="V169" s="453">
        <v>50</v>
      </c>
      <c r="W169" s="453">
        <v>250</v>
      </c>
      <c r="X169" s="453" t="s">
        <v>58</v>
      </c>
      <c r="Z169" s="453" t="s">
        <v>150</v>
      </c>
      <c r="AA169" s="453">
        <v>233</v>
      </c>
      <c r="AC169" s="453" t="s">
        <v>523</v>
      </c>
    </row>
    <row r="170" spans="1:29">
      <c r="A170" s="453">
        <v>169</v>
      </c>
      <c r="B170" s="453" t="s">
        <v>524</v>
      </c>
      <c r="C170" s="453" t="s">
        <v>519</v>
      </c>
      <c r="D170" s="550">
        <v>170</v>
      </c>
      <c r="F170" s="453">
        <v>1948</v>
      </c>
      <c r="G170" s="453">
        <v>1956</v>
      </c>
      <c r="H170" s="453">
        <v>15000</v>
      </c>
      <c r="I170" s="472">
        <v>31500</v>
      </c>
      <c r="J170" s="453">
        <v>1</v>
      </c>
      <c r="K170" s="453">
        <v>3</v>
      </c>
      <c r="L170" s="453" t="s">
        <v>147</v>
      </c>
      <c r="M170" s="453">
        <v>1</v>
      </c>
      <c r="N170" s="453" t="s">
        <v>122</v>
      </c>
      <c r="O170" s="453">
        <v>145</v>
      </c>
      <c r="P170" s="453" t="s">
        <v>123</v>
      </c>
      <c r="Q170" s="453" t="s">
        <v>149</v>
      </c>
      <c r="R170" s="453">
        <v>0</v>
      </c>
      <c r="S170" s="453">
        <v>0</v>
      </c>
      <c r="T170" s="453">
        <v>7</v>
      </c>
      <c r="V170" s="453">
        <v>100</v>
      </c>
      <c r="W170" s="453">
        <v>500</v>
      </c>
      <c r="X170" s="453" t="s">
        <v>58</v>
      </c>
      <c r="Z170" s="453" t="s">
        <v>150</v>
      </c>
      <c r="AA170" s="453">
        <v>234</v>
      </c>
      <c r="AC170" s="453" t="s">
        <v>524</v>
      </c>
    </row>
    <row r="171" spans="1:29">
      <c r="A171" s="453">
        <v>170</v>
      </c>
      <c r="B171" s="453" t="s">
        <v>525</v>
      </c>
      <c r="C171" s="453" t="s">
        <v>519</v>
      </c>
      <c r="D171" s="550">
        <v>172</v>
      </c>
      <c r="F171" s="453">
        <v>1955</v>
      </c>
      <c r="G171" s="453">
        <v>1969</v>
      </c>
      <c r="H171" s="453">
        <v>13500</v>
      </c>
      <c r="I171" s="472">
        <v>40000</v>
      </c>
      <c r="J171" s="453">
        <v>1</v>
      </c>
      <c r="K171" s="453">
        <v>3</v>
      </c>
      <c r="L171" s="453" t="s">
        <v>147</v>
      </c>
      <c r="M171" s="453">
        <v>1</v>
      </c>
      <c r="N171" s="453" t="s">
        <v>122</v>
      </c>
      <c r="O171" s="453">
        <v>145</v>
      </c>
      <c r="P171" s="453" t="s">
        <v>148</v>
      </c>
      <c r="Q171" s="453" t="s">
        <v>149</v>
      </c>
      <c r="R171" s="453">
        <v>0</v>
      </c>
      <c r="S171" s="453">
        <v>0</v>
      </c>
      <c r="T171" s="453">
        <v>4</v>
      </c>
      <c r="V171" s="453">
        <v>50</v>
      </c>
      <c r="W171" s="453">
        <v>250</v>
      </c>
      <c r="X171" s="453" t="s">
        <v>58</v>
      </c>
      <c r="Z171" s="453" t="s">
        <v>150</v>
      </c>
      <c r="AA171" s="453">
        <v>248</v>
      </c>
      <c r="AC171" s="453" t="s">
        <v>525</v>
      </c>
    </row>
    <row r="172" spans="1:29">
      <c r="A172" s="453">
        <v>171</v>
      </c>
      <c r="B172" s="453" t="s">
        <v>526</v>
      </c>
      <c r="C172" s="453" t="s">
        <v>519</v>
      </c>
      <c r="D172" s="550">
        <v>175</v>
      </c>
      <c r="F172" s="453">
        <v>1958</v>
      </c>
      <c r="G172" s="453">
        <v>1963</v>
      </c>
      <c r="H172" s="453">
        <v>12000</v>
      </c>
      <c r="I172" s="472">
        <v>30000</v>
      </c>
      <c r="J172" s="453">
        <v>1</v>
      </c>
      <c r="K172" s="453">
        <v>3</v>
      </c>
      <c r="L172" s="453" t="s">
        <v>147</v>
      </c>
      <c r="M172" s="453">
        <v>1</v>
      </c>
      <c r="N172" s="453" t="s">
        <v>122</v>
      </c>
      <c r="O172" s="453">
        <v>175</v>
      </c>
      <c r="P172" s="453" t="s">
        <v>148</v>
      </c>
      <c r="Q172" s="453" t="s">
        <v>149</v>
      </c>
      <c r="R172" s="453">
        <v>0.25</v>
      </c>
      <c r="S172" s="453">
        <v>0.25</v>
      </c>
      <c r="T172" s="453">
        <v>4</v>
      </c>
      <c r="V172" s="453">
        <v>50</v>
      </c>
      <c r="W172" s="453">
        <v>250</v>
      </c>
      <c r="X172" s="453" t="s">
        <v>58</v>
      </c>
      <c r="Z172" s="453" t="s">
        <v>150</v>
      </c>
      <c r="AA172" s="453">
        <v>258</v>
      </c>
      <c r="AC172" s="453" t="s">
        <v>526</v>
      </c>
    </row>
    <row r="173" spans="1:29">
      <c r="A173" s="453">
        <v>172</v>
      </c>
      <c r="B173" s="453" t="s">
        <v>527</v>
      </c>
      <c r="C173" s="453" t="s">
        <v>519</v>
      </c>
      <c r="D173" s="550">
        <v>177</v>
      </c>
      <c r="F173" s="453">
        <v>1968</v>
      </c>
      <c r="G173" s="453">
        <v>1968</v>
      </c>
      <c r="H173" s="453">
        <v>24000</v>
      </c>
      <c r="I173" s="472">
        <v>40000</v>
      </c>
      <c r="J173" s="453">
        <v>1</v>
      </c>
      <c r="K173" s="453">
        <v>3</v>
      </c>
      <c r="L173" s="453" t="s">
        <v>147</v>
      </c>
      <c r="M173" s="453">
        <v>1</v>
      </c>
      <c r="N173" s="453" t="s">
        <v>122</v>
      </c>
      <c r="O173" s="453">
        <v>150</v>
      </c>
      <c r="P173" s="453" t="s">
        <v>148</v>
      </c>
      <c r="Q173" s="453" t="s">
        <v>149</v>
      </c>
      <c r="R173" s="453">
        <v>0.25</v>
      </c>
      <c r="S173" s="453">
        <v>0.25</v>
      </c>
      <c r="T173" s="453">
        <v>4</v>
      </c>
      <c r="V173" s="453">
        <v>50</v>
      </c>
      <c r="W173" s="453">
        <v>250</v>
      </c>
      <c r="X173" s="453" t="s">
        <v>58</v>
      </c>
      <c r="Z173" s="453" t="s">
        <v>150</v>
      </c>
      <c r="AC173" s="453" t="s">
        <v>527</v>
      </c>
    </row>
    <row r="174" spans="1:29">
      <c r="A174" s="453">
        <v>173</v>
      </c>
      <c r="B174" s="611" t="s">
        <v>528</v>
      </c>
      <c r="C174" s="453" t="s">
        <v>519</v>
      </c>
      <c r="D174" s="550">
        <v>180</v>
      </c>
      <c r="F174" s="453">
        <v>1953</v>
      </c>
      <c r="G174" s="453">
        <v>1959</v>
      </c>
      <c r="H174" s="453">
        <v>45000</v>
      </c>
      <c r="I174" s="472">
        <v>84000</v>
      </c>
      <c r="J174" s="453">
        <v>1</v>
      </c>
      <c r="K174" s="453">
        <v>3</v>
      </c>
      <c r="L174" s="453" t="s">
        <v>147</v>
      </c>
      <c r="M174" s="453">
        <v>1</v>
      </c>
      <c r="N174" s="453" t="s">
        <v>122</v>
      </c>
      <c r="O174" s="453">
        <v>230</v>
      </c>
      <c r="P174" s="453" t="s">
        <v>123</v>
      </c>
      <c r="Q174" s="453" t="s">
        <v>124</v>
      </c>
      <c r="R174" s="453">
        <v>0.2</v>
      </c>
      <c r="S174" s="453">
        <v>0.2</v>
      </c>
      <c r="T174" s="453">
        <v>8</v>
      </c>
      <c r="V174" s="453">
        <v>100</v>
      </c>
      <c r="W174" s="453">
        <v>500</v>
      </c>
      <c r="X174" s="453" t="s">
        <v>58</v>
      </c>
      <c r="Z174" s="453" t="s">
        <v>150</v>
      </c>
      <c r="AA174" s="453">
        <v>263</v>
      </c>
      <c r="AC174" s="453" t="s">
        <v>529</v>
      </c>
    </row>
    <row r="175" spans="1:29">
      <c r="A175" s="453">
        <v>174</v>
      </c>
      <c r="B175" s="611" t="s">
        <v>530</v>
      </c>
      <c r="C175" s="453" t="s">
        <v>519</v>
      </c>
      <c r="D175" s="550">
        <v>180</v>
      </c>
      <c r="F175" s="453">
        <v>1965</v>
      </c>
      <c r="G175" s="453">
        <v>1969</v>
      </c>
      <c r="H175" s="453">
        <v>54000</v>
      </c>
      <c r="I175" s="472">
        <v>96500</v>
      </c>
      <c r="J175" s="453">
        <v>1</v>
      </c>
      <c r="K175" s="453">
        <v>5</v>
      </c>
      <c r="L175" s="453" t="s">
        <v>147</v>
      </c>
      <c r="M175" s="453">
        <v>1</v>
      </c>
      <c r="N175" s="453" t="s">
        <v>122</v>
      </c>
      <c r="O175" s="453">
        <v>230</v>
      </c>
      <c r="P175" s="453" t="s">
        <v>123</v>
      </c>
      <c r="Q175" s="453" t="s">
        <v>124</v>
      </c>
      <c r="R175" s="453">
        <v>0.2</v>
      </c>
      <c r="S175" s="453">
        <v>0.2</v>
      </c>
      <c r="T175" s="453">
        <v>8</v>
      </c>
      <c r="V175" s="453">
        <v>100</v>
      </c>
      <c r="W175" s="453">
        <v>500</v>
      </c>
      <c r="X175" s="453" t="s">
        <v>58</v>
      </c>
      <c r="Z175" s="453" t="s">
        <v>150</v>
      </c>
      <c r="AA175" s="453">
        <v>224</v>
      </c>
      <c r="AC175" s="453" t="s">
        <v>529</v>
      </c>
    </row>
    <row r="176" spans="1:29">
      <c r="A176" s="453">
        <v>175</v>
      </c>
      <c r="B176" s="453" t="s">
        <v>531</v>
      </c>
      <c r="C176" s="453" t="s">
        <v>519</v>
      </c>
      <c r="D176" s="550">
        <v>182</v>
      </c>
      <c r="F176" s="453">
        <v>1956</v>
      </c>
      <c r="G176" s="453">
        <v>1959</v>
      </c>
      <c r="H176" s="453">
        <v>22500</v>
      </c>
      <c r="I176" s="472">
        <v>45000</v>
      </c>
      <c r="J176" s="453">
        <v>1</v>
      </c>
      <c r="K176" s="453">
        <v>3</v>
      </c>
      <c r="L176" s="453" t="s">
        <v>147</v>
      </c>
      <c r="M176" s="453">
        <v>1</v>
      </c>
      <c r="N176" s="453" t="s">
        <v>122</v>
      </c>
      <c r="O176" s="453">
        <v>230</v>
      </c>
      <c r="P176" s="453" t="s">
        <v>148</v>
      </c>
      <c r="Q176" s="453" t="s">
        <v>124</v>
      </c>
      <c r="R176" s="453">
        <v>0</v>
      </c>
      <c r="S176" s="453">
        <v>0</v>
      </c>
      <c r="T176" s="453">
        <v>5</v>
      </c>
      <c r="V176" s="453">
        <v>50</v>
      </c>
      <c r="W176" s="453">
        <v>250</v>
      </c>
      <c r="X176" s="453" t="s">
        <v>58</v>
      </c>
      <c r="Z176" s="453" t="s">
        <v>150</v>
      </c>
      <c r="AA176" s="453">
        <v>266</v>
      </c>
      <c r="AC176" s="453" t="s">
        <v>531</v>
      </c>
    </row>
    <row r="177" spans="1:29">
      <c r="A177" s="453">
        <v>176</v>
      </c>
      <c r="B177" s="453" t="s">
        <v>532</v>
      </c>
      <c r="C177" s="453" t="s">
        <v>519</v>
      </c>
      <c r="D177" s="550">
        <v>185</v>
      </c>
      <c r="F177" s="453">
        <v>1961</v>
      </c>
      <c r="G177" s="453">
        <v>1969</v>
      </c>
      <c r="H177" s="453">
        <v>58000</v>
      </c>
      <c r="I177" s="472">
        <v>115000</v>
      </c>
      <c r="J177" s="453">
        <v>1</v>
      </c>
      <c r="K177" s="453">
        <v>5</v>
      </c>
      <c r="L177" s="453" t="s">
        <v>147</v>
      </c>
      <c r="M177" s="453">
        <v>1</v>
      </c>
      <c r="N177" s="453" t="s">
        <v>122</v>
      </c>
      <c r="O177" s="453">
        <v>260</v>
      </c>
      <c r="P177" s="453" t="s">
        <v>123</v>
      </c>
      <c r="Q177" s="453" t="s">
        <v>124</v>
      </c>
      <c r="R177" s="453">
        <v>0.25</v>
      </c>
      <c r="S177" s="453">
        <v>0.25</v>
      </c>
      <c r="T177" s="453">
        <v>8</v>
      </c>
      <c r="V177" s="453">
        <v>100</v>
      </c>
      <c r="W177" s="453">
        <v>500</v>
      </c>
      <c r="X177" s="453" t="s">
        <v>58</v>
      </c>
      <c r="Z177" s="453" t="s">
        <v>150</v>
      </c>
      <c r="AA177" s="453">
        <v>274</v>
      </c>
      <c r="AC177" s="453" t="s">
        <v>532</v>
      </c>
    </row>
    <row r="178" spans="1:29">
      <c r="A178" s="453">
        <v>177</v>
      </c>
      <c r="B178" s="453" t="s">
        <v>533</v>
      </c>
      <c r="C178" s="453" t="s">
        <v>519</v>
      </c>
      <c r="D178" s="550">
        <v>188</v>
      </c>
      <c r="F178" s="453">
        <v>1966</v>
      </c>
      <c r="G178" s="453">
        <v>1983</v>
      </c>
      <c r="H178" s="453">
        <v>50000</v>
      </c>
      <c r="I178" s="472">
        <v>150000</v>
      </c>
      <c r="J178" s="453">
        <v>1</v>
      </c>
      <c r="K178" s="453">
        <v>0</v>
      </c>
      <c r="L178" s="453" t="s">
        <v>147</v>
      </c>
      <c r="M178" s="453">
        <v>1</v>
      </c>
      <c r="N178" s="453" t="s">
        <v>163</v>
      </c>
      <c r="O178" s="453">
        <v>300</v>
      </c>
      <c r="P178" s="453" t="s">
        <v>123</v>
      </c>
      <c r="Q178" s="453" t="s">
        <v>124</v>
      </c>
      <c r="R178" s="453">
        <v>0</v>
      </c>
      <c r="S178" s="453">
        <v>0</v>
      </c>
      <c r="T178" s="453">
        <v>1</v>
      </c>
      <c r="V178" s="453">
        <v>100</v>
      </c>
      <c r="W178" s="453">
        <v>500</v>
      </c>
      <c r="X178" s="453" t="s">
        <v>125</v>
      </c>
      <c r="Z178" s="453" t="s">
        <v>150</v>
      </c>
      <c r="AB178" s="453" t="s">
        <v>534</v>
      </c>
      <c r="AC178" s="453" t="s">
        <v>533</v>
      </c>
    </row>
    <row r="179" spans="1:29">
      <c r="A179" s="453">
        <v>178</v>
      </c>
      <c r="B179" s="453" t="s">
        <v>535</v>
      </c>
      <c r="C179" s="453" t="s">
        <v>519</v>
      </c>
      <c r="D179" s="550">
        <v>205</v>
      </c>
      <c r="F179" s="453">
        <v>1962</v>
      </c>
      <c r="G179" s="453">
        <v>1964</v>
      </c>
      <c r="H179" s="453">
        <v>26000</v>
      </c>
      <c r="I179" s="472">
        <v>50000</v>
      </c>
      <c r="J179" s="453">
        <v>1</v>
      </c>
      <c r="K179" s="453">
        <v>5</v>
      </c>
      <c r="L179" s="453" t="s">
        <v>147</v>
      </c>
      <c r="M179" s="453">
        <v>1</v>
      </c>
      <c r="N179" s="453" t="s">
        <v>122</v>
      </c>
      <c r="O179" s="453">
        <v>260</v>
      </c>
      <c r="P179" s="453" t="s">
        <v>148</v>
      </c>
      <c r="Q179" s="453" t="s">
        <v>133</v>
      </c>
      <c r="R179" s="453">
        <v>0</v>
      </c>
      <c r="S179" s="453">
        <v>0</v>
      </c>
      <c r="T179" s="453">
        <v>6</v>
      </c>
      <c r="V179" s="453">
        <v>50</v>
      </c>
      <c r="W179" s="453">
        <v>250</v>
      </c>
      <c r="X179" s="453" t="s">
        <v>58</v>
      </c>
      <c r="Z179" s="453" t="s">
        <v>150</v>
      </c>
      <c r="AA179" s="453">
        <v>276</v>
      </c>
      <c r="AC179" s="453" t="s">
        <v>535</v>
      </c>
    </row>
    <row r="180" spans="1:29">
      <c r="A180" s="453">
        <v>179</v>
      </c>
      <c r="B180" s="453" t="s">
        <v>536</v>
      </c>
      <c r="C180" s="453" t="s">
        <v>519</v>
      </c>
      <c r="D180" s="550">
        <v>206</v>
      </c>
      <c r="F180" s="453">
        <v>1964</v>
      </c>
      <c r="G180" s="453">
        <v>1969</v>
      </c>
      <c r="H180" s="453">
        <v>47000</v>
      </c>
      <c r="I180" s="472">
        <v>95000</v>
      </c>
      <c r="J180" s="453">
        <v>1</v>
      </c>
      <c r="K180" s="453">
        <v>5</v>
      </c>
      <c r="L180" s="453" t="s">
        <v>147</v>
      </c>
      <c r="M180" s="453">
        <v>1</v>
      </c>
      <c r="N180" s="453" t="s">
        <v>122</v>
      </c>
      <c r="O180" s="453">
        <v>285</v>
      </c>
      <c r="P180" s="453" t="s">
        <v>148</v>
      </c>
      <c r="Q180" s="453" t="s">
        <v>133</v>
      </c>
      <c r="R180" s="453">
        <v>0</v>
      </c>
      <c r="S180" s="453">
        <v>0</v>
      </c>
      <c r="T180" s="453">
        <v>6</v>
      </c>
      <c r="V180" s="453">
        <v>50</v>
      </c>
      <c r="W180" s="453">
        <v>250</v>
      </c>
      <c r="X180" s="453" t="s">
        <v>58</v>
      </c>
      <c r="Z180" s="453" t="s">
        <v>150</v>
      </c>
      <c r="AA180" s="453">
        <v>277</v>
      </c>
      <c r="AC180" s="453" t="s">
        <v>536</v>
      </c>
    </row>
    <row r="181" spans="1:29">
      <c r="A181" s="453">
        <v>180</v>
      </c>
      <c r="B181" s="453" t="s">
        <v>537</v>
      </c>
      <c r="C181" s="453" t="s">
        <v>519</v>
      </c>
      <c r="D181" s="550">
        <v>207</v>
      </c>
      <c r="F181" s="453">
        <v>1969</v>
      </c>
      <c r="G181" s="453">
        <v>1979</v>
      </c>
      <c r="H181" s="453">
        <v>62000</v>
      </c>
      <c r="I181" s="472">
        <v>175000</v>
      </c>
      <c r="J181" s="453">
        <v>1</v>
      </c>
      <c r="K181" s="453">
        <v>7</v>
      </c>
      <c r="L181" s="453" t="s">
        <v>147</v>
      </c>
      <c r="M181" s="453">
        <v>1</v>
      </c>
      <c r="N181" s="453" t="s">
        <v>122</v>
      </c>
      <c r="O181" s="453">
        <v>300</v>
      </c>
      <c r="P181" s="453" t="s">
        <v>148</v>
      </c>
      <c r="Q181" s="453" t="s">
        <v>133</v>
      </c>
      <c r="R181" s="453">
        <v>0</v>
      </c>
      <c r="S181" s="453">
        <v>0</v>
      </c>
      <c r="T181" s="453">
        <v>6</v>
      </c>
      <c r="V181" s="453">
        <v>50</v>
      </c>
      <c r="W181" s="453">
        <v>250</v>
      </c>
      <c r="X181" s="453" t="s">
        <v>58</v>
      </c>
      <c r="Z181" s="453" t="s">
        <v>150</v>
      </c>
      <c r="AA181" s="453">
        <v>229</v>
      </c>
      <c r="AC181" s="453" t="s">
        <v>537</v>
      </c>
    </row>
    <row r="182" spans="1:29">
      <c r="A182" s="453">
        <v>181</v>
      </c>
      <c r="B182" s="453" t="s">
        <v>538</v>
      </c>
      <c r="C182" s="453" t="s">
        <v>519</v>
      </c>
      <c r="D182" s="550">
        <v>208</v>
      </c>
      <c r="F182" s="453">
        <v>1985</v>
      </c>
      <c r="G182" s="453">
        <v>1993</v>
      </c>
      <c r="H182" s="453">
        <v>600000</v>
      </c>
      <c r="I182" s="472">
        <v>1100000</v>
      </c>
      <c r="J182" s="453">
        <v>1</v>
      </c>
      <c r="K182" s="453">
        <v>9</v>
      </c>
      <c r="L182" s="453" t="s">
        <v>147</v>
      </c>
      <c r="M182" s="453">
        <v>3</v>
      </c>
      <c r="N182" s="453" t="s">
        <v>130</v>
      </c>
      <c r="O182" s="453">
        <v>675</v>
      </c>
      <c r="P182" s="453" t="s">
        <v>148</v>
      </c>
      <c r="Q182" s="453" t="s">
        <v>124</v>
      </c>
      <c r="R182" s="453">
        <v>0</v>
      </c>
      <c r="S182" s="453">
        <v>0</v>
      </c>
      <c r="T182" s="453">
        <v>19</v>
      </c>
      <c r="U182" s="453" t="s">
        <v>123</v>
      </c>
      <c r="V182" s="453">
        <v>1000</v>
      </c>
      <c r="W182" s="453">
        <v>5000</v>
      </c>
      <c r="X182" s="453" t="s">
        <v>125</v>
      </c>
      <c r="Z182" s="453" t="s">
        <v>150</v>
      </c>
      <c r="AA182" s="453">
        <v>220</v>
      </c>
      <c r="AC182" s="453" t="s">
        <v>538</v>
      </c>
    </row>
    <row r="183" spans="1:29">
      <c r="A183" s="453">
        <v>182</v>
      </c>
      <c r="B183" s="611" t="s">
        <v>539</v>
      </c>
      <c r="C183" s="453" t="s">
        <v>519</v>
      </c>
      <c r="D183" s="550">
        <v>210</v>
      </c>
      <c r="F183" s="453">
        <v>1960</v>
      </c>
      <c r="G183" s="453">
        <v>1963</v>
      </c>
      <c r="H183" s="453">
        <v>22500</v>
      </c>
      <c r="I183" s="472">
        <v>42000</v>
      </c>
      <c r="J183" s="453">
        <v>1</v>
      </c>
      <c r="K183" s="453">
        <v>3</v>
      </c>
      <c r="L183" s="453" t="s">
        <v>147</v>
      </c>
      <c r="M183" s="453">
        <v>1</v>
      </c>
      <c r="N183" s="453" t="s">
        <v>122</v>
      </c>
      <c r="O183" s="453">
        <v>260</v>
      </c>
      <c r="P183" s="453" t="s">
        <v>132</v>
      </c>
      <c r="Q183" s="453" t="s">
        <v>124</v>
      </c>
      <c r="R183" s="453">
        <v>1</v>
      </c>
      <c r="S183" s="453">
        <v>0.5</v>
      </c>
      <c r="T183" s="453">
        <v>11</v>
      </c>
      <c r="U183" s="453" t="s">
        <v>150</v>
      </c>
      <c r="V183" s="453">
        <v>100</v>
      </c>
      <c r="W183" s="453">
        <v>500</v>
      </c>
      <c r="X183" s="453" t="s">
        <v>125</v>
      </c>
      <c r="Z183" s="453" t="s">
        <v>150</v>
      </c>
      <c r="AA183" s="453">
        <v>278</v>
      </c>
      <c r="AC183" s="453" t="s">
        <v>540</v>
      </c>
    </row>
    <row r="184" spans="1:29">
      <c r="A184" s="453">
        <v>183</v>
      </c>
      <c r="B184" s="611" t="s">
        <v>541</v>
      </c>
      <c r="C184" s="453" t="s">
        <v>519</v>
      </c>
      <c r="D184" s="550">
        <v>210</v>
      </c>
      <c r="F184" s="453">
        <v>1964</v>
      </c>
      <c r="G184" s="453">
        <v>1969</v>
      </c>
      <c r="H184" s="453">
        <v>27000</v>
      </c>
      <c r="I184" s="472">
        <v>83000</v>
      </c>
      <c r="J184" s="453">
        <v>1</v>
      </c>
      <c r="K184" s="453">
        <v>5</v>
      </c>
      <c r="L184" s="453" t="s">
        <v>147</v>
      </c>
      <c r="M184" s="453">
        <v>1</v>
      </c>
      <c r="N184" s="453" t="s">
        <v>122</v>
      </c>
      <c r="O184" s="453">
        <v>285</v>
      </c>
      <c r="P184" s="453" t="s">
        <v>132</v>
      </c>
      <c r="Q184" s="453" t="s">
        <v>124</v>
      </c>
      <c r="R184" s="453">
        <v>0.75</v>
      </c>
      <c r="S184" s="453">
        <v>0.75</v>
      </c>
      <c r="T184" s="453">
        <v>11</v>
      </c>
      <c r="U184" s="453" t="s">
        <v>150</v>
      </c>
      <c r="V184" s="453">
        <v>100</v>
      </c>
      <c r="W184" s="453">
        <v>500</v>
      </c>
      <c r="X184" s="453" t="s">
        <v>125</v>
      </c>
      <c r="Z184" s="453" t="s">
        <v>150</v>
      </c>
      <c r="AA184" s="453">
        <v>279</v>
      </c>
      <c r="AC184" s="453" t="s">
        <v>540</v>
      </c>
    </row>
    <row r="185" spans="1:29">
      <c r="A185" s="453">
        <v>184</v>
      </c>
      <c r="B185" s="453" t="s">
        <v>542</v>
      </c>
      <c r="C185" s="453" t="s">
        <v>519</v>
      </c>
      <c r="D185" s="550">
        <v>303</v>
      </c>
      <c r="F185" s="453">
        <v>1981</v>
      </c>
      <c r="G185" s="453">
        <v>1984</v>
      </c>
      <c r="H185" s="453">
        <v>93000</v>
      </c>
      <c r="I185" s="472">
        <v>182000</v>
      </c>
      <c r="J185" s="453">
        <v>1</v>
      </c>
      <c r="K185" s="453">
        <v>5</v>
      </c>
      <c r="L185" s="453" t="s">
        <v>147</v>
      </c>
      <c r="M185" s="453">
        <v>2</v>
      </c>
      <c r="N185" s="453" t="s">
        <v>122</v>
      </c>
      <c r="O185" s="453">
        <v>250</v>
      </c>
      <c r="P185" s="453" t="s">
        <v>132</v>
      </c>
      <c r="Q185" s="453" t="s">
        <v>149</v>
      </c>
      <c r="R185" s="453">
        <v>0</v>
      </c>
      <c r="S185" s="453">
        <v>0</v>
      </c>
      <c r="T185" s="453">
        <v>14</v>
      </c>
      <c r="U185" s="453" t="s">
        <v>229</v>
      </c>
      <c r="V185" s="453">
        <v>100</v>
      </c>
      <c r="W185" s="453">
        <v>500</v>
      </c>
      <c r="X185" s="453" t="s">
        <v>58</v>
      </c>
      <c r="Z185" s="453" t="s">
        <v>150</v>
      </c>
      <c r="AA185" s="453">
        <v>287</v>
      </c>
      <c r="AC185" s="453" t="s">
        <v>542</v>
      </c>
    </row>
    <row r="186" spans="1:29">
      <c r="A186" s="453">
        <v>185</v>
      </c>
      <c r="B186" s="611" t="s">
        <v>543</v>
      </c>
      <c r="C186" s="453" t="s">
        <v>519</v>
      </c>
      <c r="D186" s="550">
        <v>310</v>
      </c>
      <c r="F186" s="453">
        <v>1954</v>
      </c>
      <c r="G186" s="453">
        <v>1962</v>
      </c>
      <c r="H186" s="453">
        <v>21000</v>
      </c>
      <c r="I186" s="472">
        <v>60000</v>
      </c>
      <c r="J186" s="453">
        <v>1</v>
      </c>
      <c r="K186" s="453">
        <v>4</v>
      </c>
      <c r="L186" s="453" t="s">
        <v>147</v>
      </c>
      <c r="M186" s="453">
        <v>2</v>
      </c>
      <c r="N186" s="453" t="s">
        <v>122</v>
      </c>
      <c r="O186" s="453">
        <v>240</v>
      </c>
      <c r="P186" s="453" t="s">
        <v>132</v>
      </c>
      <c r="Q186" s="453" t="s">
        <v>124</v>
      </c>
      <c r="R186" s="453">
        <v>0</v>
      </c>
      <c r="S186" s="453">
        <v>0</v>
      </c>
      <c r="T186" s="453">
        <v>15</v>
      </c>
      <c r="U186" s="453" t="s">
        <v>229</v>
      </c>
      <c r="V186" s="453">
        <v>100</v>
      </c>
      <c r="W186" s="453">
        <v>500</v>
      </c>
      <c r="X186" s="453" t="s">
        <v>58</v>
      </c>
      <c r="Z186" s="453" t="s">
        <v>150</v>
      </c>
      <c r="AA186" s="453">
        <v>289</v>
      </c>
      <c r="AC186" s="453" t="s">
        <v>544</v>
      </c>
    </row>
    <row r="187" spans="1:29">
      <c r="A187" s="453">
        <v>186</v>
      </c>
      <c r="B187" s="611" t="s">
        <v>545</v>
      </c>
      <c r="C187" s="453" t="s">
        <v>519</v>
      </c>
      <c r="D187" s="550">
        <v>310</v>
      </c>
      <c r="F187" s="453">
        <v>1963</v>
      </c>
      <c r="G187" s="453">
        <v>1969</v>
      </c>
      <c r="H187" s="453">
        <v>35000</v>
      </c>
      <c r="I187" s="472">
        <v>105000</v>
      </c>
      <c r="J187" s="453">
        <v>1</v>
      </c>
      <c r="K187" s="453">
        <v>5</v>
      </c>
      <c r="L187" s="453" t="s">
        <v>147</v>
      </c>
      <c r="M187" s="453">
        <v>2</v>
      </c>
      <c r="N187" s="453" t="s">
        <v>122</v>
      </c>
      <c r="O187" s="453">
        <v>260</v>
      </c>
      <c r="P187" s="453" t="s">
        <v>132</v>
      </c>
      <c r="Q187" s="453" t="s">
        <v>124</v>
      </c>
      <c r="R187" s="453">
        <v>0</v>
      </c>
      <c r="S187" s="453">
        <v>0</v>
      </c>
      <c r="T187" s="453">
        <v>15</v>
      </c>
      <c r="U187" s="453" t="s">
        <v>229</v>
      </c>
      <c r="V187" s="453">
        <v>100</v>
      </c>
      <c r="W187" s="453">
        <v>500</v>
      </c>
      <c r="X187" s="453" t="s">
        <v>58</v>
      </c>
      <c r="Z187" s="453" t="s">
        <v>150</v>
      </c>
      <c r="AA187" s="453">
        <v>290</v>
      </c>
      <c r="AC187" s="453" t="s">
        <v>544</v>
      </c>
    </row>
    <row r="188" spans="1:29">
      <c r="A188" s="453">
        <v>187</v>
      </c>
      <c r="B188" s="453" t="s">
        <v>546</v>
      </c>
      <c r="C188" s="453" t="s">
        <v>519</v>
      </c>
      <c r="D188" s="550">
        <v>320</v>
      </c>
      <c r="F188" s="453">
        <v>1961</v>
      </c>
      <c r="G188" s="453">
        <v>1968</v>
      </c>
      <c r="H188" s="453">
        <v>26000</v>
      </c>
      <c r="I188" s="472">
        <v>80000</v>
      </c>
      <c r="J188" s="453">
        <v>1</v>
      </c>
      <c r="K188" s="453">
        <v>5</v>
      </c>
      <c r="L188" s="453" t="s">
        <v>147</v>
      </c>
      <c r="M188" s="453">
        <v>2</v>
      </c>
      <c r="N188" s="453" t="s">
        <v>122</v>
      </c>
      <c r="O188" s="453">
        <v>260</v>
      </c>
      <c r="P188" s="453" t="s">
        <v>132</v>
      </c>
      <c r="Q188" s="453" t="s">
        <v>124</v>
      </c>
      <c r="R188" s="453">
        <v>0.15</v>
      </c>
      <c r="S188" s="453">
        <v>0.15</v>
      </c>
      <c r="T188" s="453">
        <v>15</v>
      </c>
      <c r="U188" s="453" t="s">
        <v>229</v>
      </c>
      <c r="V188" s="453">
        <v>100</v>
      </c>
      <c r="W188" s="453">
        <v>500</v>
      </c>
      <c r="X188" s="453" t="s">
        <v>58</v>
      </c>
      <c r="Z188" s="453" t="s">
        <v>150</v>
      </c>
      <c r="AA188" s="453">
        <v>293</v>
      </c>
      <c r="AC188" s="453" t="s">
        <v>546</v>
      </c>
    </row>
    <row r="189" spans="1:29">
      <c r="A189" s="453">
        <v>188</v>
      </c>
      <c r="B189" s="453" t="s">
        <v>547</v>
      </c>
      <c r="C189" s="453" t="s">
        <v>519</v>
      </c>
      <c r="D189" s="550">
        <v>335</v>
      </c>
      <c r="F189" s="453">
        <v>1979</v>
      </c>
      <c r="G189" s="453">
        <v>1981</v>
      </c>
      <c r="H189" s="453">
        <v>71000</v>
      </c>
      <c r="I189" s="472">
        <v>120000</v>
      </c>
      <c r="J189" s="453">
        <v>1</v>
      </c>
      <c r="K189" s="453">
        <v>5</v>
      </c>
      <c r="L189" s="453" t="s">
        <v>147</v>
      </c>
      <c r="M189" s="453">
        <v>2</v>
      </c>
      <c r="N189" s="453" t="s">
        <v>122</v>
      </c>
      <c r="O189" s="453">
        <v>300</v>
      </c>
      <c r="P189" s="453" t="s">
        <v>132</v>
      </c>
      <c r="Q189" s="453" t="s">
        <v>124</v>
      </c>
      <c r="R189" s="453">
        <v>0.25</v>
      </c>
      <c r="S189" s="453">
        <v>0</v>
      </c>
      <c r="T189" s="453">
        <v>15</v>
      </c>
      <c r="U189" s="453" t="s">
        <v>229</v>
      </c>
      <c r="V189" s="453">
        <v>100</v>
      </c>
      <c r="W189" s="453">
        <v>500</v>
      </c>
      <c r="X189" s="453" t="s">
        <v>58</v>
      </c>
      <c r="Z189" s="453" t="s">
        <v>150</v>
      </c>
      <c r="AA189" s="453">
        <v>294</v>
      </c>
      <c r="AC189" s="453" t="s">
        <v>547</v>
      </c>
    </row>
    <row r="190" spans="1:29">
      <c r="A190" s="453">
        <v>189</v>
      </c>
      <c r="B190" s="453" t="s">
        <v>548</v>
      </c>
      <c r="C190" s="453" t="s">
        <v>519</v>
      </c>
      <c r="D190" s="550">
        <v>336</v>
      </c>
      <c r="F190" s="453">
        <v>1963</v>
      </c>
      <c r="G190" s="453">
        <v>1964</v>
      </c>
      <c r="H190" s="453">
        <v>24000</v>
      </c>
      <c r="I190" s="472">
        <v>42000</v>
      </c>
      <c r="J190" s="453">
        <v>1</v>
      </c>
      <c r="K190" s="453">
        <v>5</v>
      </c>
      <c r="L190" s="453" t="s">
        <v>147</v>
      </c>
      <c r="M190" s="453">
        <v>2</v>
      </c>
      <c r="N190" s="453" t="s">
        <v>122</v>
      </c>
      <c r="O190" s="453">
        <v>210</v>
      </c>
      <c r="P190" s="453" t="s">
        <v>148</v>
      </c>
      <c r="Q190" s="453" t="s">
        <v>149</v>
      </c>
      <c r="R190" s="453">
        <v>0.35</v>
      </c>
      <c r="S190" s="453">
        <v>0.35</v>
      </c>
      <c r="T190" s="453">
        <v>14</v>
      </c>
      <c r="U190" s="453" t="s">
        <v>229</v>
      </c>
      <c r="V190" s="453">
        <v>100</v>
      </c>
      <c r="W190" s="453">
        <v>500</v>
      </c>
      <c r="X190" s="453" t="s">
        <v>58</v>
      </c>
      <c r="Z190" s="453" t="s">
        <v>150</v>
      </c>
      <c r="AA190" s="453">
        <v>295</v>
      </c>
      <c r="AC190" s="453" t="s">
        <v>548</v>
      </c>
    </row>
    <row r="191" spans="1:29">
      <c r="A191" s="453">
        <v>190</v>
      </c>
      <c r="B191" s="453" t="s">
        <v>549</v>
      </c>
      <c r="C191" s="453" t="s">
        <v>519</v>
      </c>
      <c r="D191" s="550">
        <v>337</v>
      </c>
      <c r="F191" s="453">
        <v>1965</v>
      </c>
      <c r="G191" s="453">
        <v>1969</v>
      </c>
      <c r="H191" s="453">
        <v>26000</v>
      </c>
      <c r="I191" s="472">
        <v>70000</v>
      </c>
      <c r="J191" s="453">
        <v>1</v>
      </c>
      <c r="K191" s="453">
        <v>5</v>
      </c>
      <c r="L191" s="453" t="s">
        <v>147</v>
      </c>
      <c r="M191" s="453">
        <v>2</v>
      </c>
      <c r="N191" s="453" t="s">
        <v>122</v>
      </c>
      <c r="O191" s="453">
        <v>210</v>
      </c>
      <c r="P191" s="453" t="s">
        <v>132</v>
      </c>
      <c r="Q191" s="453" t="s">
        <v>149</v>
      </c>
      <c r="R191" s="453">
        <v>0.25</v>
      </c>
      <c r="S191" s="453">
        <v>0.25</v>
      </c>
      <c r="T191" s="453">
        <v>14</v>
      </c>
      <c r="U191" s="453" t="s">
        <v>229</v>
      </c>
      <c r="V191" s="453">
        <v>100</v>
      </c>
      <c r="W191" s="453">
        <v>500</v>
      </c>
      <c r="X191" s="453" t="s">
        <v>58</v>
      </c>
      <c r="Z191" s="453" t="s">
        <v>150</v>
      </c>
      <c r="AA191" s="453">
        <v>296</v>
      </c>
      <c r="AC191" s="453" t="s">
        <v>549</v>
      </c>
    </row>
    <row r="192" spans="1:29">
      <c r="A192" s="453">
        <v>191</v>
      </c>
      <c r="B192" s="453" t="s">
        <v>550</v>
      </c>
      <c r="C192" s="453" t="s">
        <v>519</v>
      </c>
      <c r="D192" s="550">
        <v>340</v>
      </c>
      <c r="F192" s="453">
        <v>1972</v>
      </c>
      <c r="G192" s="453">
        <v>1979</v>
      </c>
      <c r="H192" s="453">
        <v>93000</v>
      </c>
      <c r="I192" s="472">
        <v>235000</v>
      </c>
      <c r="J192" s="453">
        <v>1</v>
      </c>
      <c r="K192" s="453">
        <v>5</v>
      </c>
      <c r="L192" s="453" t="s">
        <v>147</v>
      </c>
      <c r="M192" s="453">
        <v>2</v>
      </c>
      <c r="N192" s="453" t="s">
        <v>122</v>
      </c>
      <c r="O192" s="453">
        <v>310</v>
      </c>
      <c r="P192" s="453" t="s">
        <v>132</v>
      </c>
      <c r="Q192" s="453" t="s">
        <v>133</v>
      </c>
      <c r="R192" s="453">
        <v>0</v>
      </c>
      <c r="S192" s="453">
        <v>0</v>
      </c>
      <c r="T192" s="453">
        <v>16</v>
      </c>
      <c r="U192" s="453" t="s">
        <v>123</v>
      </c>
      <c r="V192" s="453">
        <v>100</v>
      </c>
      <c r="W192" s="453">
        <v>500</v>
      </c>
      <c r="X192" s="453" t="s">
        <v>125</v>
      </c>
      <c r="Z192" s="453" t="s">
        <v>150</v>
      </c>
      <c r="AA192" s="453">
        <v>300</v>
      </c>
      <c r="AC192" s="453" t="s">
        <v>550</v>
      </c>
    </row>
    <row r="193" spans="1:29">
      <c r="A193" s="453">
        <v>192</v>
      </c>
      <c r="B193" s="453" t="s">
        <v>551</v>
      </c>
      <c r="C193" s="453" t="s">
        <v>519</v>
      </c>
      <c r="D193" s="550">
        <v>401</v>
      </c>
      <c r="F193" s="453">
        <v>1967</v>
      </c>
      <c r="G193" s="453">
        <v>1972</v>
      </c>
      <c r="H193" s="453">
        <v>46000</v>
      </c>
      <c r="I193" s="472">
        <v>120000</v>
      </c>
      <c r="J193" s="453">
        <v>1</v>
      </c>
      <c r="K193" s="453">
        <v>7</v>
      </c>
      <c r="L193" s="453" t="s">
        <v>147</v>
      </c>
      <c r="M193" s="453">
        <v>2</v>
      </c>
      <c r="N193" s="453" t="s">
        <v>122</v>
      </c>
      <c r="O193" s="453">
        <v>300</v>
      </c>
      <c r="P193" s="453" t="s">
        <v>132</v>
      </c>
      <c r="Q193" s="453" t="s">
        <v>124</v>
      </c>
      <c r="R193" s="453">
        <v>0</v>
      </c>
      <c r="S193" s="453">
        <v>0</v>
      </c>
      <c r="T193" s="453">
        <v>15</v>
      </c>
      <c r="U193" s="453" t="s">
        <v>123</v>
      </c>
      <c r="V193" s="453">
        <v>100</v>
      </c>
      <c r="W193" s="453">
        <v>500</v>
      </c>
      <c r="X193" s="453" t="s">
        <v>58</v>
      </c>
      <c r="Z193" s="453" t="s">
        <v>150</v>
      </c>
      <c r="AA193" s="453">
        <v>304</v>
      </c>
      <c r="AC193" s="453" t="s">
        <v>551</v>
      </c>
    </row>
    <row r="194" spans="1:29">
      <c r="A194" s="453">
        <v>193</v>
      </c>
      <c r="B194" s="611" t="s">
        <v>552</v>
      </c>
      <c r="C194" s="453" t="s">
        <v>519</v>
      </c>
      <c r="D194" s="550">
        <v>402</v>
      </c>
      <c r="F194" s="453">
        <v>1967</v>
      </c>
      <c r="G194" s="453">
        <v>1969</v>
      </c>
      <c r="H194" s="453">
        <v>47000</v>
      </c>
      <c r="I194" s="472">
        <v>60000</v>
      </c>
      <c r="J194" s="453">
        <v>1</v>
      </c>
      <c r="K194" s="453">
        <v>8</v>
      </c>
      <c r="L194" s="453" t="s">
        <v>147</v>
      </c>
      <c r="M194" s="453">
        <v>2</v>
      </c>
      <c r="N194" s="453" t="s">
        <v>122</v>
      </c>
      <c r="O194" s="453">
        <v>300</v>
      </c>
      <c r="P194" s="453" t="s">
        <v>132</v>
      </c>
      <c r="Q194" s="453" t="s">
        <v>124</v>
      </c>
      <c r="R194" s="453">
        <v>0</v>
      </c>
      <c r="S194" s="453">
        <v>0</v>
      </c>
      <c r="T194" s="453">
        <v>15</v>
      </c>
      <c r="U194" s="453" t="s">
        <v>123</v>
      </c>
      <c r="V194" s="453">
        <v>100</v>
      </c>
      <c r="W194" s="453">
        <v>500</v>
      </c>
      <c r="X194" s="453" t="s">
        <v>58</v>
      </c>
      <c r="Z194" s="453" t="s">
        <v>150</v>
      </c>
      <c r="AA194" s="453">
        <v>305</v>
      </c>
      <c r="AC194" s="453" t="s">
        <v>553</v>
      </c>
    </row>
    <row r="195" spans="1:29">
      <c r="A195" s="453">
        <v>194</v>
      </c>
      <c r="B195" s="611" t="s">
        <v>554</v>
      </c>
      <c r="C195" s="453" t="s">
        <v>519</v>
      </c>
      <c r="D195" s="550">
        <v>402</v>
      </c>
      <c r="F195" s="453">
        <v>1970</v>
      </c>
      <c r="G195" s="453">
        <v>1974</v>
      </c>
      <c r="H195" s="453">
        <v>63000</v>
      </c>
      <c r="I195" s="472">
        <v>135000</v>
      </c>
      <c r="J195" s="453">
        <v>1</v>
      </c>
      <c r="K195" s="453">
        <v>9</v>
      </c>
      <c r="L195" s="453" t="s">
        <v>147</v>
      </c>
      <c r="M195" s="453">
        <v>2</v>
      </c>
      <c r="N195" s="453" t="s">
        <v>122</v>
      </c>
      <c r="O195" s="453">
        <v>300</v>
      </c>
      <c r="P195" s="453" t="s">
        <v>132</v>
      </c>
      <c r="Q195" s="453" t="s">
        <v>124</v>
      </c>
      <c r="R195" s="453">
        <v>0</v>
      </c>
      <c r="S195" s="453">
        <v>0</v>
      </c>
      <c r="T195" s="453">
        <v>15</v>
      </c>
      <c r="U195" s="453" t="s">
        <v>123</v>
      </c>
      <c r="V195" s="453">
        <v>100</v>
      </c>
      <c r="W195" s="453">
        <v>500</v>
      </c>
      <c r="X195" s="453" t="s">
        <v>58</v>
      </c>
      <c r="Z195" s="453" t="s">
        <v>150</v>
      </c>
      <c r="AA195" s="453">
        <v>306</v>
      </c>
      <c r="AC195" s="453" t="s">
        <v>553</v>
      </c>
    </row>
    <row r="196" spans="1:29">
      <c r="A196" s="453">
        <v>195</v>
      </c>
      <c r="B196" s="453" t="s">
        <v>555</v>
      </c>
      <c r="C196" s="453" t="s">
        <v>519</v>
      </c>
      <c r="D196" s="550">
        <v>404</v>
      </c>
      <c r="F196" s="453">
        <v>1977</v>
      </c>
      <c r="G196" s="453">
        <v>1981</v>
      </c>
      <c r="H196" s="453">
        <v>146000</v>
      </c>
      <c r="I196" s="472">
        <v>295000</v>
      </c>
      <c r="J196" s="453">
        <v>1</v>
      </c>
      <c r="K196" s="453">
        <v>9</v>
      </c>
      <c r="L196" s="453" t="s">
        <v>147</v>
      </c>
      <c r="M196" s="453">
        <v>2</v>
      </c>
      <c r="N196" s="453" t="s">
        <v>122</v>
      </c>
      <c r="O196" s="453">
        <v>375</v>
      </c>
      <c r="P196" s="453" t="s">
        <v>132</v>
      </c>
      <c r="Q196" s="453" t="s">
        <v>124</v>
      </c>
      <c r="R196" s="453">
        <v>0</v>
      </c>
      <c r="S196" s="453">
        <v>0</v>
      </c>
      <c r="T196" s="453">
        <v>15</v>
      </c>
      <c r="U196" s="453" t="s">
        <v>123</v>
      </c>
      <c r="V196" s="453">
        <v>100</v>
      </c>
      <c r="W196" s="453">
        <v>500</v>
      </c>
      <c r="X196" s="453" t="s">
        <v>58</v>
      </c>
      <c r="Z196" s="453" t="s">
        <v>150</v>
      </c>
      <c r="AA196" s="453">
        <v>308</v>
      </c>
      <c r="AC196" s="453" t="s">
        <v>555</v>
      </c>
    </row>
    <row r="197" spans="1:29">
      <c r="A197" s="453">
        <v>196</v>
      </c>
      <c r="B197" s="453" t="s">
        <v>556</v>
      </c>
      <c r="C197" s="453" t="s">
        <v>519</v>
      </c>
      <c r="D197" s="550">
        <v>414</v>
      </c>
      <c r="F197" s="453">
        <v>1970</v>
      </c>
      <c r="G197" s="453">
        <v>1977</v>
      </c>
      <c r="H197" s="453">
        <v>86000</v>
      </c>
      <c r="I197" s="472">
        <v>215000</v>
      </c>
      <c r="J197" s="453">
        <v>1</v>
      </c>
      <c r="K197" s="453">
        <v>6</v>
      </c>
      <c r="L197" s="453" t="s">
        <v>147</v>
      </c>
      <c r="M197" s="453">
        <v>2</v>
      </c>
      <c r="N197" s="453" t="s">
        <v>122</v>
      </c>
      <c r="O197" s="453">
        <v>310</v>
      </c>
      <c r="P197" s="453" t="s">
        <v>132</v>
      </c>
      <c r="Q197" s="453" t="s">
        <v>133</v>
      </c>
      <c r="R197" s="453">
        <v>0</v>
      </c>
      <c r="S197" s="453">
        <v>0</v>
      </c>
      <c r="T197" s="453">
        <v>16</v>
      </c>
      <c r="U197" s="453" t="s">
        <v>123</v>
      </c>
      <c r="V197" s="453">
        <v>100</v>
      </c>
      <c r="W197" s="453">
        <v>500</v>
      </c>
      <c r="X197" s="453" t="s">
        <v>125</v>
      </c>
      <c r="Z197" s="453" t="s">
        <v>150</v>
      </c>
      <c r="AA197" s="453">
        <v>231</v>
      </c>
      <c r="AC197" s="453" t="s">
        <v>556</v>
      </c>
    </row>
    <row r="198" spans="1:29">
      <c r="A198" s="453">
        <v>197</v>
      </c>
      <c r="B198" s="611" t="s">
        <v>557</v>
      </c>
      <c r="C198" s="453" t="s">
        <v>519</v>
      </c>
      <c r="D198" s="550">
        <v>421</v>
      </c>
      <c r="F198" s="453">
        <v>1968</v>
      </c>
      <c r="G198" s="453">
        <v>1969</v>
      </c>
      <c r="H198" s="453">
        <v>75000</v>
      </c>
      <c r="I198" s="472">
        <v>135000</v>
      </c>
      <c r="J198" s="453">
        <v>1</v>
      </c>
      <c r="K198" s="453">
        <v>6</v>
      </c>
      <c r="L198" s="453" t="s">
        <v>147</v>
      </c>
      <c r="M198" s="453">
        <v>2</v>
      </c>
      <c r="N198" s="453" t="s">
        <v>122</v>
      </c>
      <c r="O198" s="453">
        <v>375</v>
      </c>
      <c r="P198" s="453" t="s">
        <v>132</v>
      </c>
      <c r="Q198" s="453" t="s">
        <v>133</v>
      </c>
      <c r="R198" s="453">
        <v>0</v>
      </c>
      <c r="S198" s="453">
        <v>0</v>
      </c>
      <c r="T198" s="453">
        <v>16</v>
      </c>
      <c r="U198" s="453" t="s">
        <v>123</v>
      </c>
      <c r="V198" s="453">
        <v>100</v>
      </c>
      <c r="W198" s="453">
        <v>500</v>
      </c>
      <c r="X198" s="453" t="s">
        <v>125</v>
      </c>
      <c r="Z198" s="453" t="s">
        <v>150</v>
      </c>
      <c r="AA198" s="453">
        <v>310</v>
      </c>
      <c r="AC198" s="453" t="s">
        <v>558</v>
      </c>
    </row>
    <row r="199" spans="1:29">
      <c r="A199" s="453">
        <v>198</v>
      </c>
      <c r="B199" s="611" t="s">
        <v>559</v>
      </c>
      <c r="C199" s="453" t="s">
        <v>519</v>
      </c>
      <c r="D199" s="550">
        <v>421</v>
      </c>
      <c r="F199" s="453">
        <v>1970</v>
      </c>
      <c r="G199" s="453">
        <v>1974</v>
      </c>
      <c r="H199" s="453">
        <v>93000</v>
      </c>
      <c r="I199" s="472">
        <v>210000</v>
      </c>
      <c r="J199" s="453">
        <v>1</v>
      </c>
      <c r="K199" s="453">
        <v>7</v>
      </c>
      <c r="L199" s="453" t="s">
        <v>147</v>
      </c>
      <c r="M199" s="453">
        <v>2</v>
      </c>
      <c r="N199" s="453" t="s">
        <v>122</v>
      </c>
      <c r="O199" s="453">
        <v>375</v>
      </c>
      <c r="P199" s="453" t="s">
        <v>132</v>
      </c>
      <c r="Q199" s="453" t="s">
        <v>133</v>
      </c>
      <c r="R199" s="453">
        <v>0</v>
      </c>
      <c r="S199" s="453">
        <v>0</v>
      </c>
      <c r="T199" s="453">
        <v>16</v>
      </c>
      <c r="U199" s="453" t="s">
        <v>123</v>
      </c>
      <c r="V199" s="453">
        <v>100</v>
      </c>
      <c r="W199" s="453">
        <v>500</v>
      </c>
      <c r="X199" s="453" t="s">
        <v>125</v>
      </c>
      <c r="Z199" s="453" t="s">
        <v>150</v>
      </c>
      <c r="AA199" s="453">
        <v>311</v>
      </c>
      <c r="AC199" s="453" t="s">
        <v>558</v>
      </c>
    </row>
    <row r="200" spans="1:29">
      <c r="A200" s="453">
        <v>199</v>
      </c>
      <c r="B200" s="453" t="s">
        <v>560</v>
      </c>
      <c r="C200" s="453" t="s">
        <v>519</v>
      </c>
      <c r="D200" s="550" t="s">
        <v>561</v>
      </c>
      <c r="F200" s="453">
        <v>1959</v>
      </c>
      <c r="G200" s="453">
        <v>1977</v>
      </c>
      <c r="H200" s="453">
        <v>9500</v>
      </c>
      <c r="I200" s="472">
        <v>32500</v>
      </c>
      <c r="J200" s="453">
        <v>1</v>
      </c>
      <c r="K200" s="453">
        <v>1</v>
      </c>
      <c r="L200" s="453" t="s">
        <v>147</v>
      </c>
      <c r="M200" s="453">
        <v>1</v>
      </c>
      <c r="N200" s="453" t="s">
        <v>122</v>
      </c>
      <c r="O200" s="453">
        <v>100</v>
      </c>
      <c r="P200" s="453" t="s">
        <v>123</v>
      </c>
      <c r="Q200" s="453" t="s">
        <v>149</v>
      </c>
      <c r="R200" s="453">
        <v>0</v>
      </c>
      <c r="S200" s="453">
        <v>0</v>
      </c>
      <c r="T200" s="453">
        <v>7</v>
      </c>
      <c r="V200" s="453">
        <v>100</v>
      </c>
      <c r="W200" s="453">
        <v>500</v>
      </c>
      <c r="X200" s="453" t="s">
        <v>58</v>
      </c>
      <c r="Z200" s="453" t="s">
        <v>150</v>
      </c>
      <c r="AA200" s="453">
        <v>245</v>
      </c>
      <c r="AC200" s="453" t="s">
        <v>560</v>
      </c>
    </row>
    <row r="201" spans="1:29">
      <c r="A201" s="453">
        <v>200</v>
      </c>
      <c r="B201" s="453" t="s">
        <v>562</v>
      </c>
      <c r="C201" s="453" t="s">
        <v>519</v>
      </c>
      <c r="D201" s="550" t="s">
        <v>563</v>
      </c>
      <c r="F201" s="453">
        <v>1978</v>
      </c>
      <c r="G201" s="453">
        <v>1986</v>
      </c>
      <c r="H201" s="453">
        <v>15000</v>
      </c>
      <c r="I201" s="472">
        <v>55000</v>
      </c>
      <c r="J201" s="453">
        <v>1</v>
      </c>
      <c r="K201" s="453">
        <v>1</v>
      </c>
      <c r="L201" s="453" t="s">
        <v>147</v>
      </c>
      <c r="M201" s="453">
        <v>1</v>
      </c>
      <c r="N201" s="453" t="s">
        <v>122</v>
      </c>
      <c r="O201" s="453">
        <v>100</v>
      </c>
      <c r="P201" s="453" t="s">
        <v>123</v>
      </c>
      <c r="Q201" s="453" t="s">
        <v>149</v>
      </c>
      <c r="R201" s="453">
        <v>0</v>
      </c>
      <c r="S201" s="453">
        <v>0</v>
      </c>
      <c r="T201" s="453">
        <v>7</v>
      </c>
      <c r="V201" s="453">
        <v>100</v>
      </c>
      <c r="W201" s="453">
        <v>500</v>
      </c>
      <c r="X201" s="453" t="s">
        <v>58</v>
      </c>
      <c r="Z201" s="453" t="s">
        <v>150</v>
      </c>
      <c r="AA201" s="453">
        <v>247</v>
      </c>
      <c r="AC201" s="453" t="s">
        <v>562</v>
      </c>
    </row>
    <row r="202" spans="1:29">
      <c r="A202" s="453">
        <v>201</v>
      </c>
      <c r="B202" s="453" t="s">
        <v>564</v>
      </c>
      <c r="C202" s="453" t="s">
        <v>519</v>
      </c>
      <c r="D202" s="550" t="s">
        <v>565</v>
      </c>
      <c r="F202" s="453">
        <v>1979</v>
      </c>
      <c r="G202" s="453">
        <v>1985</v>
      </c>
      <c r="H202" s="453">
        <v>30000</v>
      </c>
      <c r="I202" s="472">
        <v>75000</v>
      </c>
      <c r="J202" s="453">
        <v>1</v>
      </c>
      <c r="K202" s="453">
        <v>3</v>
      </c>
      <c r="L202" s="453" t="s">
        <v>147</v>
      </c>
      <c r="M202" s="453">
        <v>1</v>
      </c>
      <c r="N202" s="453" t="s">
        <v>122</v>
      </c>
      <c r="O202" s="453">
        <v>180</v>
      </c>
      <c r="P202" s="453" t="s">
        <v>132</v>
      </c>
      <c r="Q202" s="453" t="s">
        <v>149</v>
      </c>
      <c r="R202" s="453">
        <v>0.5</v>
      </c>
      <c r="S202" s="453">
        <v>0</v>
      </c>
      <c r="T202" s="453">
        <v>10</v>
      </c>
      <c r="V202" s="453">
        <v>100</v>
      </c>
      <c r="W202" s="453">
        <v>500</v>
      </c>
      <c r="X202" s="453" t="s">
        <v>58</v>
      </c>
      <c r="Z202" s="453" t="s">
        <v>150</v>
      </c>
      <c r="AA202" s="453">
        <v>252</v>
      </c>
      <c r="AC202" s="453" t="s">
        <v>564</v>
      </c>
    </row>
    <row r="203" spans="1:29">
      <c r="A203" s="453">
        <v>202</v>
      </c>
      <c r="B203" s="453" t="s">
        <v>566</v>
      </c>
      <c r="C203" s="453" t="s">
        <v>519</v>
      </c>
      <c r="D203" s="550" t="s">
        <v>567</v>
      </c>
      <c r="F203" s="453">
        <v>1955</v>
      </c>
      <c r="G203" s="453">
        <v>1969</v>
      </c>
      <c r="H203" s="453">
        <v>15000</v>
      </c>
      <c r="I203" s="472">
        <v>40000</v>
      </c>
      <c r="J203" s="453">
        <v>1</v>
      </c>
      <c r="K203" s="453">
        <v>3</v>
      </c>
      <c r="L203" s="453" t="s">
        <v>147</v>
      </c>
      <c r="M203" s="453">
        <v>1</v>
      </c>
      <c r="N203" s="453" t="s">
        <v>122</v>
      </c>
      <c r="O203" s="453">
        <v>145</v>
      </c>
      <c r="P203" s="453" t="s">
        <v>123</v>
      </c>
      <c r="Q203" s="453" t="s">
        <v>149</v>
      </c>
      <c r="R203" s="453">
        <v>0</v>
      </c>
      <c r="S203" s="453">
        <v>0</v>
      </c>
      <c r="T203" s="453">
        <v>7</v>
      </c>
      <c r="V203" s="453">
        <v>100</v>
      </c>
      <c r="W203" s="453">
        <v>500</v>
      </c>
      <c r="X203" s="453" t="s">
        <v>58</v>
      </c>
      <c r="Z203" s="453" t="s">
        <v>150</v>
      </c>
      <c r="AA203" s="453">
        <v>253</v>
      </c>
      <c r="AC203" s="453" t="s">
        <v>566</v>
      </c>
    </row>
    <row r="204" spans="1:29">
      <c r="A204" s="453">
        <v>203</v>
      </c>
      <c r="B204" s="453" t="s">
        <v>568</v>
      </c>
      <c r="C204" s="453" t="s">
        <v>519</v>
      </c>
      <c r="D204" s="550" t="s">
        <v>569</v>
      </c>
      <c r="F204" s="453">
        <v>1977</v>
      </c>
      <c r="G204" s="453">
        <v>1981</v>
      </c>
      <c r="H204" s="453">
        <v>32000</v>
      </c>
      <c r="I204" s="472">
        <v>65000</v>
      </c>
      <c r="J204" s="453">
        <v>1</v>
      </c>
      <c r="K204" s="453">
        <v>3</v>
      </c>
      <c r="L204" s="453" t="s">
        <v>147</v>
      </c>
      <c r="M204" s="453">
        <v>1</v>
      </c>
      <c r="N204" s="453" t="s">
        <v>122</v>
      </c>
      <c r="O204" s="453">
        <v>195</v>
      </c>
      <c r="P204" s="453" t="s">
        <v>148</v>
      </c>
      <c r="Q204" s="453" t="s">
        <v>149</v>
      </c>
      <c r="R204" s="453">
        <v>0</v>
      </c>
      <c r="S204" s="453">
        <v>0</v>
      </c>
      <c r="T204" s="453">
        <v>4</v>
      </c>
      <c r="V204" s="453">
        <v>50</v>
      </c>
      <c r="W204" s="453">
        <v>250</v>
      </c>
      <c r="X204" s="453" t="s">
        <v>58</v>
      </c>
      <c r="Z204" s="453" t="s">
        <v>150</v>
      </c>
      <c r="AA204" s="453">
        <v>257</v>
      </c>
      <c r="AC204" s="453" t="s">
        <v>568</v>
      </c>
    </row>
    <row r="205" spans="1:29">
      <c r="A205" s="453">
        <v>204</v>
      </c>
      <c r="B205" s="453" t="s">
        <v>570</v>
      </c>
      <c r="C205" s="453" t="s">
        <v>519</v>
      </c>
      <c r="D205" s="550" t="s">
        <v>571</v>
      </c>
      <c r="F205" s="453">
        <v>1958</v>
      </c>
      <c r="G205" s="453">
        <v>1963</v>
      </c>
      <c r="H205" s="453">
        <v>15000</v>
      </c>
      <c r="I205" s="472">
        <v>25000</v>
      </c>
      <c r="J205" s="453">
        <v>1</v>
      </c>
      <c r="K205" s="453">
        <v>3</v>
      </c>
      <c r="L205" s="453" t="s">
        <v>147</v>
      </c>
      <c r="M205" s="453">
        <v>1</v>
      </c>
      <c r="N205" s="453" t="s">
        <v>122</v>
      </c>
      <c r="O205" s="453">
        <v>180</v>
      </c>
      <c r="P205" s="453" t="s">
        <v>123</v>
      </c>
      <c r="Q205" s="453" t="s">
        <v>149</v>
      </c>
      <c r="R205" s="453">
        <v>0.25</v>
      </c>
      <c r="S205" s="453">
        <v>0</v>
      </c>
      <c r="T205" s="453">
        <v>7</v>
      </c>
      <c r="V205" s="453">
        <v>100</v>
      </c>
      <c r="W205" s="453">
        <v>500</v>
      </c>
      <c r="X205" s="453" t="s">
        <v>58</v>
      </c>
      <c r="Z205" s="453" t="s">
        <v>150</v>
      </c>
      <c r="AA205" s="453">
        <v>259</v>
      </c>
      <c r="AC205" s="453" t="s">
        <v>570</v>
      </c>
    </row>
    <row r="206" spans="1:29">
      <c r="A206" s="453">
        <v>205</v>
      </c>
      <c r="B206" s="453" t="s">
        <v>572</v>
      </c>
      <c r="C206" s="453" t="s">
        <v>519</v>
      </c>
      <c r="D206" s="550" t="s">
        <v>573</v>
      </c>
      <c r="F206" s="453">
        <v>1971</v>
      </c>
      <c r="G206" s="453">
        <v>1978</v>
      </c>
      <c r="H206" s="453">
        <v>32000</v>
      </c>
      <c r="I206" s="472">
        <v>65000</v>
      </c>
      <c r="J206" s="453">
        <v>1</v>
      </c>
      <c r="K206" s="453">
        <v>3</v>
      </c>
      <c r="L206" s="453" t="s">
        <v>147</v>
      </c>
      <c r="M206" s="453">
        <v>1</v>
      </c>
      <c r="N206" s="453" t="s">
        <v>122</v>
      </c>
      <c r="O206" s="453">
        <v>200</v>
      </c>
      <c r="P206" s="453" t="s">
        <v>132</v>
      </c>
      <c r="Q206" s="453" t="s">
        <v>149</v>
      </c>
      <c r="R206" s="453">
        <v>0.5</v>
      </c>
      <c r="S206" s="453">
        <v>0</v>
      </c>
      <c r="T206" s="453">
        <v>10</v>
      </c>
      <c r="V206" s="453">
        <v>100</v>
      </c>
      <c r="W206" s="453">
        <v>500</v>
      </c>
      <c r="X206" s="453" t="s">
        <v>58</v>
      </c>
      <c r="Z206" s="453" t="s">
        <v>150</v>
      </c>
      <c r="AA206" s="453">
        <v>262</v>
      </c>
      <c r="AC206" s="453" t="s">
        <v>572</v>
      </c>
    </row>
    <row r="207" spans="1:29">
      <c r="A207" s="453">
        <v>206</v>
      </c>
      <c r="B207" s="453" t="s">
        <v>574</v>
      </c>
      <c r="C207" s="453" t="s">
        <v>519</v>
      </c>
      <c r="D207" s="550" t="s">
        <v>575</v>
      </c>
      <c r="F207" s="453">
        <v>1978</v>
      </c>
      <c r="G207" s="453">
        <v>1982</v>
      </c>
      <c r="H207" s="453">
        <v>52500</v>
      </c>
      <c r="I207" s="472">
        <v>120000</v>
      </c>
      <c r="J207" s="453">
        <v>1</v>
      </c>
      <c r="K207" s="453">
        <v>3</v>
      </c>
      <c r="L207" s="453" t="s">
        <v>147</v>
      </c>
      <c r="M207" s="453">
        <v>1</v>
      </c>
      <c r="N207" s="453" t="s">
        <v>122</v>
      </c>
      <c r="O207" s="453">
        <v>235</v>
      </c>
      <c r="P207" s="453" t="s">
        <v>132</v>
      </c>
      <c r="Q207" s="453" t="s">
        <v>124</v>
      </c>
      <c r="R207" s="453">
        <v>0.5</v>
      </c>
      <c r="S207" s="453">
        <v>0</v>
      </c>
      <c r="T207" s="453">
        <v>11</v>
      </c>
      <c r="V207" s="453">
        <v>100</v>
      </c>
      <c r="W207" s="453">
        <v>500</v>
      </c>
      <c r="X207" s="453" t="s">
        <v>58</v>
      </c>
      <c r="Z207" s="453" t="s">
        <v>150</v>
      </c>
      <c r="AA207" s="453">
        <v>271</v>
      </c>
      <c r="AC207" s="453" t="s">
        <v>574</v>
      </c>
    </row>
    <row r="208" spans="1:29">
      <c r="A208" s="453">
        <v>207</v>
      </c>
      <c r="B208" s="453" t="s">
        <v>576</v>
      </c>
      <c r="C208" s="453" t="s">
        <v>519</v>
      </c>
      <c r="D208" s="550" t="s">
        <v>577</v>
      </c>
      <c r="F208" s="453">
        <v>1956</v>
      </c>
      <c r="G208" s="453">
        <v>1969</v>
      </c>
      <c r="H208" s="453">
        <v>22500</v>
      </c>
      <c r="I208" s="472">
        <v>64000</v>
      </c>
      <c r="J208" s="453">
        <v>1</v>
      </c>
      <c r="K208" s="453">
        <v>3</v>
      </c>
      <c r="L208" s="453" t="s">
        <v>147</v>
      </c>
      <c r="M208" s="453">
        <v>1</v>
      </c>
      <c r="N208" s="453" t="s">
        <v>122</v>
      </c>
      <c r="O208" s="453">
        <v>230</v>
      </c>
      <c r="P208" s="453" t="s">
        <v>123</v>
      </c>
      <c r="Q208" s="453" t="s">
        <v>124</v>
      </c>
      <c r="R208" s="453">
        <v>0</v>
      </c>
      <c r="S208" s="453">
        <v>0</v>
      </c>
      <c r="T208" s="453">
        <v>8</v>
      </c>
      <c r="V208" s="453">
        <v>100</v>
      </c>
      <c r="W208" s="453">
        <v>500</v>
      </c>
      <c r="X208" s="453" t="s">
        <v>58</v>
      </c>
      <c r="Z208" s="453" t="s">
        <v>150</v>
      </c>
      <c r="AA208" s="453">
        <v>273</v>
      </c>
      <c r="AC208" s="453" t="s">
        <v>576</v>
      </c>
    </row>
    <row r="209" spans="1:29">
      <c r="A209" s="453">
        <v>208</v>
      </c>
      <c r="B209" s="453" t="s">
        <v>578</v>
      </c>
      <c r="C209" s="453" t="s">
        <v>519</v>
      </c>
      <c r="D209" s="550" t="s">
        <v>579</v>
      </c>
      <c r="F209" s="453">
        <v>1947</v>
      </c>
      <c r="G209" s="453">
        <v>1953</v>
      </c>
      <c r="H209" s="453">
        <v>37500</v>
      </c>
      <c r="I209" s="472">
        <v>75000</v>
      </c>
      <c r="J209" s="453">
        <v>1</v>
      </c>
      <c r="K209" s="453">
        <v>4</v>
      </c>
      <c r="L209" s="453" t="s">
        <v>147</v>
      </c>
      <c r="M209" s="453">
        <v>1</v>
      </c>
      <c r="N209" s="453" t="s">
        <v>122</v>
      </c>
      <c r="O209" s="453">
        <v>300</v>
      </c>
      <c r="P209" s="453" t="s">
        <v>123</v>
      </c>
      <c r="Q209" s="453" t="s">
        <v>133</v>
      </c>
      <c r="R209" s="453">
        <v>0.25</v>
      </c>
      <c r="S209" s="453">
        <v>0.25</v>
      </c>
      <c r="T209" s="453">
        <v>9</v>
      </c>
      <c r="V209" s="453">
        <v>100</v>
      </c>
      <c r="W209" s="453">
        <v>500</v>
      </c>
      <c r="X209" s="453" t="s">
        <v>58</v>
      </c>
      <c r="Z209" s="453" t="s">
        <v>150</v>
      </c>
      <c r="AA209" s="453">
        <v>225</v>
      </c>
      <c r="AC209" s="453" t="s">
        <v>578</v>
      </c>
    </row>
    <row r="210" spans="1:29">
      <c r="A210" s="453">
        <v>209</v>
      </c>
      <c r="B210" s="453" t="s">
        <v>580</v>
      </c>
      <c r="C210" s="453" t="s">
        <v>519</v>
      </c>
      <c r="D210" s="550" t="s">
        <v>581</v>
      </c>
      <c r="F210" s="453">
        <v>1978</v>
      </c>
      <c r="G210" s="453">
        <v>1983</v>
      </c>
      <c r="H210" s="453">
        <v>101000</v>
      </c>
      <c r="I210" s="472">
        <v>235000</v>
      </c>
      <c r="J210" s="453">
        <v>1</v>
      </c>
      <c r="K210" s="453">
        <v>5</v>
      </c>
      <c r="L210" s="453" t="s">
        <v>147</v>
      </c>
      <c r="M210" s="453">
        <v>1</v>
      </c>
      <c r="N210" s="453" t="s">
        <v>122</v>
      </c>
      <c r="O210" s="453">
        <v>310</v>
      </c>
      <c r="P210" s="453" t="s">
        <v>132</v>
      </c>
      <c r="Q210" s="453" t="s">
        <v>133</v>
      </c>
      <c r="R210" s="453">
        <v>0.75</v>
      </c>
      <c r="S210" s="453">
        <v>0.75</v>
      </c>
      <c r="T210" s="453">
        <v>11</v>
      </c>
      <c r="U210" s="453" t="s">
        <v>123</v>
      </c>
      <c r="V210" s="453">
        <v>100</v>
      </c>
      <c r="W210" s="453">
        <v>500</v>
      </c>
      <c r="X210" s="453" t="s">
        <v>125</v>
      </c>
      <c r="Z210" s="453" t="s">
        <v>150</v>
      </c>
      <c r="AA210" s="453">
        <v>282</v>
      </c>
      <c r="AC210" s="453" t="s">
        <v>580</v>
      </c>
    </row>
    <row r="211" spans="1:29">
      <c r="A211" s="453">
        <v>210</v>
      </c>
      <c r="B211" s="453" t="s">
        <v>582</v>
      </c>
      <c r="C211" s="453" t="s">
        <v>519</v>
      </c>
      <c r="D211" s="550" t="s">
        <v>583</v>
      </c>
      <c r="E211" s="453" t="s">
        <v>584</v>
      </c>
      <c r="F211" s="453">
        <v>1966</v>
      </c>
      <c r="G211" s="453">
        <v>1976</v>
      </c>
      <c r="H211" s="453">
        <v>250000</v>
      </c>
      <c r="I211" s="472">
        <v>450000</v>
      </c>
      <c r="J211" s="453">
        <v>1</v>
      </c>
      <c r="K211" s="453">
        <v>5</v>
      </c>
      <c r="L211" s="453" t="s">
        <v>147</v>
      </c>
      <c r="M211" s="453">
        <v>3</v>
      </c>
      <c r="N211" s="453" t="s">
        <v>130</v>
      </c>
      <c r="O211" s="453">
        <v>450</v>
      </c>
      <c r="P211" s="453" t="s">
        <v>132</v>
      </c>
      <c r="Q211" s="453" t="s">
        <v>149</v>
      </c>
      <c r="R211" s="453">
        <v>0</v>
      </c>
      <c r="S211" s="453">
        <v>0</v>
      </c>
      <c r="T211" s="453">
        <v>19</v>
      </c>
      <c r="U211" s="453" t="s">
        <v>123</v>
      </c>
      <c r="V211" s="453">
        <v>1000</v>
      </c>
      <c r="W211" s="453">
        <v>5000</v>
      </c>
      <c r="X211" s="453" t="s">
        <v>125</v>
      </c>
      <c r="Z211" s="453" t="s">
        <v>150</v>
      </c>
      <c r="AA211" s="453">
        <v>284</v>
      </c>
      <c r="AC211" s="453" t="s">
        <v>582</v>
      </c>
    </row>
    <row r="212" spans="1:29">
      <c r="A212" s="453">
        <v>211</v>
      </c>
      <c r="B212" s="453" t="s">
        <v>585</v>
      </c>
      <c r="C212" s="453" t="s">
        <v>519</v>
      </c>
      <c r="D212" s="550" t="s">
        <v>586</v>
      </c>
      <c r="F212" s="453">
        <v>2000</v>
      </c>
      <c r="G212" s="453">
        <v>2003</v>
      </c>
      <c r="H212" s="453">
        <v>120000</v>
      </c>
      <c r="I212" s="472">
        <v>220000</v>
      </c>
      <c r="J212" s="453">
        <v>1</v>
      </c>
      <c r="K212" s="453">
        <v>3</v>
      </c>
      <c r="L212" s="453" t="s">
        <v>147</v>
      </c>
      <c r="M212" s="453">
        <v>1</v>
      </c>
      <c r="N212" s="453" t="s">
        <v>122</v>
      </c>
      <c r="O212" s="453">
        <v>310</v>
      </c>
      <c r="P212" s="453" t="s">
        <v>123</v>
      </c>
      <c r="Q212" s="453" t="s">
        <v>124</v>
      </c>
      <c r="R212" s="453">
        <v>0.75</v>
      </c>
      <c r="S212" s="453">
        <v>0.35</v>
      </c>
      <c r="T212" s="453">
        <v>6</v>
      </c>
      <c r="V212" s="453">
        <v>100</v>
      </c>
      <c r="W212" s="453">
        <v>500</v>
      </c>
      <c r="X212" s="453" t="s">
        <v>125</v>
      </c>
      <c r="Z212" s="453" t="s">
        <v>150</v>
      </c>
      <c r="AA212" s="453">
        <v>286</v>
      </c>
      <c r="AC212" s="453" t="s">
        <v>585</v>
      </c>
    </row>
    <row r="213" spans="1:29">
      <c r="A213" s="453">
        <v>212</v>
      </c>
      <c r="B213" s="453" t="s">
        <v>587</v>
      </c>
      <c r="C213" s="453" t="s">
        <v>519</v>
      </c>
      <c r="D213" s="550" t="s">
        <v>588</v>
      </c>
      <c r="F213" s="453">
        <v>1950</v>
      </c>
      <c r="G213" s="453">
        <v>2009</v>
      </c>
      <c r="H213" s="453">
        <v>40000</v>
      </c>
      <c r="I213" s="472">
        <v>100000</v>
      </c>
      <c r="J213" s="453">
        <v>1</v>
      </c>
      <c r="K213" s="453">
        <v>1</v>
      </c>
      <c r="L213" s="453" t="s">
        <v>147</v>
      </c>
      <c r="M213" s="453">
        <v>1</v>
      </c>
      <c r="N213" s="453" t="s">
        <v>122</v>
      </c>
      <c r="O213" s="453">
        <v>213</v>
      </c>
      <c r="P213" s="453" t="s">
        <v>123</v>
      </c>
      <c r="Q213" s="453" t="s">
        <v>124</v>
      </c>
      <c r="R213" s="453">
        <v>0</v>
      </c>
      <c r="S213" s="453">
        <v>0</v>
      </c>
      <c r="T213" s="453">
        <v>8</v>
      </c>
      <c r="V213" s="453">
        <v>100</v>
      </c>
      <c r="W213" s="453">
        <v>500</v>
      </c>
      <c r="X213" s="453" t="s">
        <v>58</v>
      </c>
      <c r="Z213" s="453" t="s">
        <v>150</v>
      </c>
      <c r="AA213" s="453">
        <v>288</v>
      </c>
      <c r="AC213" s="453" t="s">
        <v>587</v>
      </c>
    </row>
    <row r="214" spans="1:29">
      <c r="A214" s="453">
        <v>213</v>
      </c>
      <c r="B214" s="453" t="s">
        <v>589</v>
      </c>
      <c r="C214" s="453" t="s">
        <v>519</v>
      </c>
      <c r="D214" s="550" t="s">
        <v>590</v>
      </c>
      <c r="F214" s="453">
        <v>1973</v>
      </c>
      <c r="G214" s="453">
        <v>1980</v>
      </c>
      <c r="H214" s="453">
        <v>52000</v>
      </c>
      <c r="I214" s="472">
        <v>120000</v>
      </c>
      <c r="J214" s="453">
        <v>1</v>
      </c>
      <c r="K214" s="453">
        <v>4</v>
      </c>
      <c r="L214" s="453" t="s">
        <v>147</v>
      </c>
      <c r="M214" s="453">
        <v>2</v>
      </c>
      <c r="N214" s="453" t="s">
        <v>122</v>
      </c>
      <c r="O214" s="453">
        <v>225</v>
      </c>
      <c r="P214" s="453" t="s">
        <v>132</v>
      </c>
      <c r="Q214" s="453" t="s">
        <v>133</v>
      </c>
      <c r="R214" s="453">
        <v>0.75</v>
      </c>
      <c r="S214" s="453">
        <v>0.25</v>
      </c>
      <c r="T214" s="453">
        <v>16</v>
      </c>
      <c r="U214" s="453" t="s">
        <v>123</v>
      </c>
      <c r="V214" s="453">
        <v>100</v>
      </c>
      <c r="W214" s="453">
        <v>500</v>
      </c>
      <c r="X214" s="453" t="s">
        <v>125</v>
      </c>
      <c r="Z214" s="453" t="s">
        <v>150</v>
      </c>
      <c r="AA214" s="453">
        <v>298</v>
      </c>
      <c r="AC214" s="453" t="s">
        <v>589</v>
      </c>
    </row>
    <row r="215" spans="1:29">
      <c r="A215" s="453">
        <v>214</v>
      </c>
      <c r="B215" s="453" t="s">
        <v>591</v>
      </c>
      <c r="C215" s="453" t="s">
        <v>519</v>
      </c>
      <c r="D215" s="550" t="s">
        <v>592</v>
      </c>
      <c r="F215" s="453">
        <v>1935</v>
      </c>
      <c r="G215" s="453">
        <v>1941</v>
      </c>
      <c r="H215" s="453">
        <v>25000</v>
      </c>
      <c r="I215" s="472">
        <v>150000</v>
      </c>
      <c r="J215" s="453">
        <v>1</v>
      </c>
      <c r="K215" s="453">
        <v>3</v>
      </c>
      <c r="L215" s="453" t="s">
        <v>147</v>
      </c>
      <c r="M215" s="453">
        <v>1</v>
      </c>
      <c r="N215" s="453" t="s">
        <v>122</v>
      </c>
      <c r="O215" s="453">
        <v>165</v>
      </c>
      <c r="P215" s="453" t="s">
        <v>123</v>
      </c>
      <c r="Q215" s="453" t="s">
        <v>124</v>
      </c>
      <c r="R215" s="453">
        <v>0</v>
      </c>
      <c r="S215" s="453">
        <v>0</v>
      </c>
      <c r="T215" s="453">
        <v>8</v>
      </c>
      <c r="V215" s="453">
        <v>100</v>
      </c>
      <c r="W215" s="453">
        <v>500</v>
      </c>
      <c r="X215" s="453" t="s">
        <v>58</v>
      </c>
      <c r="Z215" s="453" t="s">
        <v>150</v>
      </c>
      <c r="AA215" s="453">
        <v>299</v>
      </c>
      <c r="AC215" s="453" t="s">
        <v>591</v>
      </c>
    </row>
    <row r="216" spans="1:29">
      <c r="A216" s="453">
        <v>215</v>
      </c>
      <c r="B216" s="453" t="s">
        <v>593</v>
      </c>
      <c r="C216" s="453" t="s">
        <v>519</v>
      </c>
      <c r="D216" s="550" t="s">
        <v>594</v>
      </c>
      <c r="F216" s="453">
        <v>2003</v>
      </c>
      <c r="G216" s="453">
        <v>2007</v>
      </c>
      <c r="H216" s="453">
        <v>175000</v>
      </c>
      <c r="I216" s="472">
        <v>300000</v>
      </c>
      <c r="J216" s="453">
        <v>1</v>
      </c>
      <c r="K216" s="453">
        <v>3</v>
      </c>
      <c r="L216" s="453" t="s">
        <v>147</v>
      </c>
      <c r="M216" s="453">
        <v>1</v>
      </c>
      <c r="N216" s="453" t="s">
        <v>122</v>
      </c>
      <c r="O216" s="453">
        <v>310</v>
      </c>
      <c r="P216" s="453" t="s">
        <v>148</v>
      </c>
      <c r="Q216" s="453" t="s">
        <v>124</v>
      </c>
      <c r="R216" s="453">
        <v>0.75</v>
      </c>
      <c r="S216" s="453">
        <v>0.35</v>
      </c>
      <c r="T216" s="453">
        <v>6</v>
      </c>
      <c r="V216" s="453">
        <v>100</v>
      </c>
      <c r="W216" s="453">
        <v>0.05</v>
      </c>
      <c r="X216" s="453" t="s">
        <v>125</v>
      </c>
      <c r="Z216" s="453" t="s">
        <v>150</v>
      </c>
      <c r="AA216" s="453">
        <v>302</v>
      </c>
      <c r="AC216" s="453" t="s">
        <v>593</v>
      </c>
    </row>
    <row r="217" spans="1:29">
      <c r="A217" s="453">
        <v>216</v>
      </c>
      <c r="B217" s="453" t="s">
        <v>595</v>
      </c>
      <c r="C217" s="453" t="s">
        <v>519</v>
      </c>
      <c r="D217" s="550" t="s">
        <v>596</v>
      </c>
      <c r="F217" s="453">
        <v>2008</v>
      </c>
      <c r="G217" s="453">
        <v>2013</v>
      </c>
      <c r="H217" s="453">
        <v>260000</v>
      </c>
      <c r="I217" s="472">
        <v>525000</v>
      </c>
      <c r="J217" s="453">
        <v>1</v>
      </c>
      <c r="K217" s="453">
        <v>3</v>
      </c>
      <c r="L217" s="453" t="s">
        <v>147</v>
      </c>
      <c r="M217" s="453">
        <v>1</v>
      </c>
      <c r="N217" s="453" t="s">
        <v>122</v>
      </c>
      <c r="O217" s="453">
        <v>310</v>
      </c>
      <c r="P217" s="453" t="s">
        <v>148</v>
      </c>
      <c r="Q217" s="453" t="s">
        <v>124</v>
      </c>
      <c r="R217" s="453">
        <v>0.75</v>
      </c>
      <c r="S217" s="453">
        <v>0.35</v>
      </c>
      <c r="T217" s="453">
        <v>5</v>
      </c>
      <c r="V217" s="453">
        <v>100</v>
      </c>
      <c r="W217" s="453">
        <v>0.05</v>
      </c>
      <c r="X217" s="453" t="s">
        <v>125</v>
      </c>
      <c r="Z217" s="453" t="s">
        <v>150</v>
      </c>
      <c r="AA217" s="453">
        <v>325</v>
      </c>
      <c r="AC217" s="453" t="s">
        <v>595</v>
      </c>
    </row>
    <row r="218" spans="1:29">
      <c r="A218" s="453">
        <v>217</v>
      </c>
      <c r="B218" s="453" t="s">
        <v>597</v>
      </c>
      <c r="C218" s="453" t="s">
        <v>519</v>
      </c>
      <c r="D218" s="550" t="s">
        <v>598</v>
      </c>
      <c r="F218" s="453">
        <v>2004</v>
      </c>
      <c r="G218" s="453">
        <v>2007</v>
      </c>
      <c r="H218" s="453">
        <v>200000</v>
      </c>
      <c r="I218" s="472">
        <v>325000</v>
      </c>
      <c r="J218" s="453">
        <v>1</v>
      </c>
      <c r="K218" s="453">
        <v>3</v>
      </c>
      <c r="L218" s="453" t="s">
        <v>147</v>
      </c>
      <c r="M218" s="453">
        <v>1</v>
      </c>
      <c r="N218" s="453" t="s">
        <v>122</v>
      </c>
      <c r="O218" s="453">
        <v>310</v>
      </c>
      <c r="P218" s="453" t="s">
        <v>148</v>
      </c>
      <c r="Q218" s="453" t="s">
        <v>124</v>
      </c>
      <c r="R218" s="453">
        <v>0.75</v>
      </c>
      <c r="S218" s="453">
        <v>0.35</v>
      </c>
      <c r="T218" s="453">
        <v>6</v>
      </c>
      <c r="V218" s="453">
        <v>100</v>
      </c>
      <c r="W218" s="453">
        <v>0.05</v>
      </c>
      <c r="X218" s="453" t="s">
        <v>125</v>
      </c>
      <c r="Z218" s="453" t="s">
        <v>150</v>
      </c>
      <c r="AA218" s="453">
        <v>328</v>
      </c>
      <c r="AC218" s="453" t="s">
        <v>597</v>
      </c>
    </row>
    <row r="219" spans="1:29">
      <c r="A219" s="453">
        <v>218</v>
      </c>
      <c r="B219" s="453" t="s">
        <v>599</v>
      </c>
      <c r="C219" s="453" t="s">
        <v>519</v>
      </c>
      <c r="D219" s="550" t="s">
        <v>600</v>
      </c>
      <c r="F219" s="453">
        <v>2008</v>
      </c>
      <c r="G219" s="453">
        <v>2010</v>
      </c>
      <c r="H219" s="453">
        <v>300000</v>
      </c>
      <c r="I219" s="472">
        <v>550000</v>
      </c>
      <c r="J219" s="453">
        <v>1</v>
      </c>
      <c r="K219" s="453">
        <v>3</v>
      </c>
      <c r="L219" s="453" t="s">
        <v>147</v>
      </c>
      <c r="M219" s="453">
        <v>1</v>
      </c>
      <c r="N219" s="453" t="s">
        <v>122</v>
      </c>
      <c r="O219" s="453">
        <v>310</v>
      </c>
      <c r="P219" s="453" t="s">
        <v>148</v>
      </c>
      <c r="Q219" s="453" t="s">
        <v>124</v>
      </c>
      <c r="R219" s="453">
        <v>0.75</v>
      </c>
      <c r="S219" s="453">
        <v>0.35</v>
      </c>
      <c r="T219" s="453">
        <v>6</v>
      </c>
      <c r="V219" s="453">
        <v>100</v>
      </c>
      <c r="W219" s="453">
        <v>0.05</v>
      </c>
      <c r="X219" s="453" t="s">
        <v>125</v>
      </c>
      <c r="Z219" s="453" t="s">
        <v>150</v>
      </c>
      <c r="AA219" s="453">
        <v>303</v>
      </c>
      <c r="AC219" s="453" t="s">
        <v>599</v>
      </c>
    </row>
    <row r="220" spans="1:29">
      <c r="A220" s="453">
        <v>219</v>
      </c>
      <c r="B220" s="453" t="s">
        <v>601</v>
      </c>
      <c r="C220" s="453" t="s">
        <v>519</v>
      </c>
      <c r="D220" s="550" t="s">
        <v>602</v>
      </c>
      <c r="F220" s="453">
        <v>1978</v>
      </c>
      <c r="G220" s="453">
        <v>1985</v>
      </c>
      <c r="H220" s="453">
        <v>187000</v>
      </c>
      <c r="I220" s="472">
        <v>465000</v>
      </c>
      <c r="J220" s="453">
        <v>1</v>
      </c>
      <c r="K220" s="453">
        <v>7</v>
      </c>
      <c r="L220" s="453" t="s">
        <v>147</v>
      </c>
      <c r="M220" s="453">
        <v>2</v>
      </c>
      <c r="N220" s="453" t="s">
        <v>122</v>
      </c>
      <c r="O220" s="453">
        <v>310</v>
      </c>
      <c r="P220" s="453" t="s">
        <v>132</v>
      </c>
      <c r="Q220" s="453" t="s">
        <v>133</v>
      </c>
      <c r="R220" s="453">
        <v>0</v>
      </c>
      <c r="S220" s="453">
        <v>0</v>
      </c>
      <c r="T220" s="453">
        <v>16</v>
      </c>
      <c r="U220" s="453" t="s">
        <v>123</v>
      </c>
      <c r="V220" s="453">
        <v>100</v>
      </c>
      <c r="W220" s="453">
        <v>500</v>
      </c>
      <c r="X220" s="453" t="s">
        <v>125</v>
      </c>
      <c r="Z220" s="453" t="s">
        <v>150</v>
      </c>
      <c r="AA220" s="453">
        <v>309</v>
      </c>
      <c r="AC220" s="453" t="s">
        <v>601</v>
      </c>
    </row>
    <row r="221" spans="1:29">
      <c r="A221" s="453">
        <v>220</v>
      </c>
      <c r="B221" s="453" t="s">
        <v>603</v>
      </c>
      <c r="C221" s="453" t="s">
        <v>519</v>
      </c>
      <c r="D221" s="550" t="s">
        <v>604</v>
      </c>
      <c r="F221" s="453">
        <v>1981</v>
      </c>
      <c r="G221" s="453">
        <v>1986</v>
      </c>
      <c r="H221" s="453">
        <v>622500</v>
      </c>
      <c r="I221" s="472">
        <v>1350000</v>
      </c>
      <c r="J221" s="453">
        <v>1</v>
      </c>
      <c r="K221" s="453">
        <v>7</v>
      </c>
      <c r="L221" s="453" t="s">
        <v>147</v>
      </c>
      <c r="M221" s="453">
        <v>4</v>
      </c>
      <c r="N221" s="453" t="s">
        <v>130</v>
      </c>
      <c r="O221" s="453">
        <v>450</v>
      </c>
      <c r="P221" s="453" t="s">
        <v>132</v>
      </c>
      <c r="Q221" s="453" t="s">
        <v>149</v>
      </c>
      <c r="R221" s="453">
        <v>0</v>
      </c>
      <c r="S221" s="453">
        <v>0</v>
      </c>
      <c r="T221" s="453">
        <v>20</v>
      </c>
      <c r="U221" s="453" t="s">
        <v>123</v>
      </c>
      <c r="V221" s="453">
        <v>10000</v>
      </c>
      <c r="W221" s="453">
        <v>25000</v>
      </c>
      <c r="X221" s="453" t="s">
        <v>125</v>
      </c>
      <c r="Z221" s="453" t="s">
        <v>150</v>
      </c>
      <c r="AA221" s="453">
        <v>313</v>
      </c>
      <c r="AC221" s="453" t="s">
        <v>603</v>
      </c>
    </row>
    <row r="222" spans="1:29">
      <c r="A222" s="453">
        <v>221</v>
      </c>
      <c r="B222" s="453" t="s">
        <v>605</v>
      </c>
      <c r="C222" s="453" t="s">
        <v>519</v>
      </c>
      <c r="D222" s="550" t="s">
        <v>606</v>
      </c>
      <c r="F222" s="453">
        <v>1978</v>
      </c>
      <c r="G222" s="453">
        <v>1986</v>
      </c>
      <c r="H222" s="453">
        <v>750000</v>
      </c>
      <c r="I222" s="472">
        <v>1750000</v>
      </c>
      <c r="J222" s="453">
        <v>1</v>
      </c>
      <c r="K222" s="453">
        <v>9</v>
      </c>
      <c r="L222" s="453" t="s">
        <v>147</v>
      </c>
      <c r="M222" s="453">
        <v>4</v>
      </c>
      <c r="N222" s="453" t="s">
        <v>130</v>
      </c>
      <c r="O222" s="453">
        <v>635</v>
      </c>
      <c r="P222" s="453" t="s">
        <v>132</v>
      </c>
      <c r="Q222" s="453" t="s">
        <v>133</v>
      </c>
      <c r="R222" s="453">
        <v>0</v>
      </c>
      <c r="S222" s="453">
        <v>0</v>
      </c>
      <c r="T222" s="453">
        <v>20</v>
      </c>
      <c r="U222" s="453" t="s">
        <v>123</v>
      </c>
      <c r="V222" s="453">
        <v>10000</v>
      </c>
      <c r="W222" s="453">
        <v>25000</v>
      </c>
      <c r="X222" s="453" t="s">
        <v>125</v>
      </c>
      <c r="Z222" s="453" t="s">
        <v>150</v>
      </c>
      <c r="AA222" s="453">
        <v>314</v>
      </c>
      <c r="AC222" s="453" t="s">
        <v>605</v>
      </c>
    </row>
    <row r="223" spans="1:29">
      <c r="A223" s="453">
        <v>222</v>
      </c>
      <c r="B223" s="453" t="s">
        <v>607</v>
      </c>
      <c r="C223" s="453" t="s">
        <v>519</v>
      </c>
      <c r="D223" s="550" t="s">
        <v>608</v>
      </c>
      <c r="F223" s="453">
        <v>1975</v>
      </c>
      <c r="G223" s="453">
        <v>1976</v>
      </c>
      <c r="H223" s="453">
        <v>300000</v>
      </c>
      <c r="I223" s="472">
        <v>500000</v>
      </c>
      <c r="J223" s="453">
        <v>2</v>
      </c>
      <c r="K223" s="453">
        <v>7</v>
      </c>
      <c r="L223" s="453" t="s">
        <v>147</v>
      </c>
      <c r="M223" s="453">
        <v>5</v>
      </c>
      <c r="N223" s="453" t="s">
        <v>130</v>
      </c>
      <c r="O223" s="453">
        <v>2200</v>
      </c>
      <c r="P223" s="453" t="s">
        <v>132</v>
      </c>
      <c r="Q223" s="453" t="s">
        <v>124</v>
      </c>
      <c r="R223" s="453">
        <v>-0.33</v>
      </c>
      <c r="S223" s="453">
        <v>-0.23</v>
      </c>
      <c r="T223" s="453">
        <v>21</v>
      </c>
      <c r="U223" s="453" t="s">
        <v>123</v>
      </c>
      <c r="V223" s="453">
        <v>10000</v>
      </c>
      <c r="W223" s="453">
        <v>25000</v>
      </c>
      <c r="X223" s="453" t="s">
        <v>125</v>
      </c>
      <c r="Z223" s="453" t="s">
        <v>150</v>
      </c>
      <c r="AA223" s="453">
        <v>232</v>
      </c>
      <c r="AC223" s="453" t="s">
        <v>607</v>
      </c>
    </row>
    <row r="224" spans="1:29">
      <c r="A224" s="453">
        <v>223</v>
      </c>
      <c r="B224" s="453" t="s">
        <v>609</v>
      </c>
      <c r="C224" s="453" t="s">
        <v>519</v>
      </c>
      <c r="D224" s="550" t="s">
        <v>610</v>
      </c>
      <c r="F224" s="453">
        <v>1977</v>
      </c>
      <c r="G224" s="453">
        <v>1981</v>
      </c>
      <c r="H224" s="453">
        <v>500000</v>
      </c>
      <c r="I224" s="472">
        <v>800000</v>
      </c>
      <c r="J224" s="453">
        <v>2</v>
      </c>
      <c r="K224" s="453">
        <v>7</v>
      </c>
      <c r="L224" s="453" t="s">
        <v>147</v>
      </c>
      <c r="M224" s="453">
        <v>5</v>
      </c>
      <c r="N224" s="453" t="s">
        <v>130</v>
      </c>
      <c r="O224" s="453">
        <v>2200</v>
      </c>
      <c r="P224" s="453" t="s">
        <v>132</v>
      </c>
      <c r="Q224" s="453" t="s">
        <v>124</v>
      </c>
      <c r="R224" s="453">
        <v>-0.33</v>
      </c>
      <c r="S224" s="453">
        <v>-0.23</v>
      </c>
      <c r="T224" s="453">
        <v>21</v>
      </c>
      <c r="U224" s="453" t="s">
        <v>123</v>
      </c>
      <c r="V224" s="453">
        <v>10000</v>
      </c>
      <c r="W224" s="453">
        <v>25000</v>
      </c>
      <c r="X224" s="453" t="s">
        <v>125</v>
      </c>
      <c r="Z224" s="453" t="s">
        <v>150</v>
      </c>
      <c r="AA224" s="453">
        <v>318</v>
      </c>
      <c r="AC224" s="453" t="s">
        <v>609</v>
      </c>
    </row>
    <row r="225" spans="1:29">
      <c r="A225" s="453">
        <v>224</v>
      </c>
      <c r="B225" s="611" t="s">
        <v>611</v>
      </c>
      <c r="C225" s="611" t="s">
        <v>519</v>
      </c>
      <c r="D225" s="612" t="s">
        <v>612</v>
      </c>
      <c r="F225" s="453">
        <v>1993</v>
      </c>
      <c r="G225" s="453">
        <v>1999</v>
      </c>
      <c r="H225" s="453">
        <v>675000</v>
      </c>
      <c r="I225" s="472">
        <v>1750000</v>
      </c>
      <c r="J225" s="453">
        <v>2</v>
      </c>
      <c r="K225" s="453">
        <v>10</v>
      </c>
      <c r="L225" s="611" t="s">
        <v>147</v>
      </c>
      <c r="M225" s="453">
        <v>5</v>
      </c>
      <c r="N225" s="611" t="s">
        <v>130</v>
      </c>
      <c r="O225" s="453">
        <v>3045</v>
      </c>
      <c r="P225" s="611" t="s">
        <v>132</v>
      </c>
      <c r="Q225" s="611" t="s">
        <v>133</v>
      </c>
      <c r="R225" s="453">
        <v>-0.33</v>
      </c>
      <c r="S225" s="453">
        <v>-0.23</v>
      </c>
      <c r="T225" s="453">
        <v>21</v>
      </c>
      <c r="U225" s="611" t="s">
        <v>123</v>
      </c>
      <c r="V225" s="453">
        <v>10000</v>
      </c>
      <c r="W225" s="453">
        <v>25000</v>
      </c>
      <c r="X225" s="611" t="s">
        <v>125</v>
      </c>
      <c r="Z225" s="611" t="s">
        <v>150</v>
      </c>
      <c r="AC225" s="611" t="s">
        <v>613</v>
      </c>
    </row>
    <row r="226" spans="1:29">
      <c r="A226" s="453">
        <v>225</v>
      </c>
      <c r="B226" s="611" t="s">
        <v>614</v>
      </c>
      <c r="C226" s="453" t="s">
        <v>519</v>
      </c>
      <c r="D226" s="612" t="s">
        <v>615</v>
      </c>
      <c r="F226" s="453">
        <v>2006</v>
      </c>
      <c r="G226" s="453">
        <v>2013</v>
      </c>
      <c r="H226" s="453">
        <v>1600000</v>
      </c>
      <c r="I226" s="472">
        <v>3300000</v>
      </c>
      <c r="J226" s="453">
        <v>1</v>
      </c>
      <c r="K226" s="453">
        <v>5</v>
      </c>
      <c r="L226" s="453" t="s">
        <v>147</v>
      </c>
      <c r="M226" s="453">
        <v>5</v>
      </c>
      <c r="N226" s="453" t="s">
        <v>130</v>
      </c>
      <c r="O226" s="453">
        <v>1350</v>
      </c>
      <c r="P226" s="453" t="s">
        <v>132</v>
      </c>
      <c r="Q226" s="453" t="s">
        <v>149</v>
      </c>
      <c r="R226" s="453">
        <v>-0.33</v>
      </c>
      <c r="S226" s="453">
        <v>-0.23</v>
      </c>
      <c r="T226" s="453">
        <v>21</v>
      </c>
      <c r="U226" s="453" t="s">
        <v>123</v>
      </c>
      <c r="V226" s="453">
        <v>10000</v>
      </c>
      <c r="W226" s="453">
        <v>25000</v>
      </c>
      <c r="X226" s="453" t="s">
        <v>125</v>
      </c>
      <c r="Z226" s="453" t="s">
        <v>150</v>
      </c>
      <c r="AA226" s="453">
        <v>320</v>
      </c>
      <c r="AC226" s="611" t="s">
        <v>616</v>
      </c>
    </row>
    <row r="227" spans="1:29">
      <c r="A227" s="453">
        <v>226</v>
      </c>
      <c r="B227" s="611" t="s">
        <v>617</v>
      </c>
      <c r="C227" s="453" t="s">
        <v>519</v>
      </c>
      <c r="D227" s="550">
        <v>525</v>
      </c>
      <c r="F227" s="453">
        <v>1993</v>
      </c>
      <c r="G227" s="453">
        <v>1999</v>
      </c>
      <c r="H227" s="453">
        <v>1200000</v>
      </c>
      <c r="I227" s="472">
        <v>1800000</v>
      </c>
      <c r="J227" s="453">
        <v>2</v>
      </c>
      <c r="K227" s="453">
        <v>6</v>
      </c>
      <c r="L227" s="453" t="s">
        <v>147</v>
      </c>
      <c r="M227" s="453">
        <v>5</v>
      </c>
      <c r="N227" s="453" t="s">
        <v>130</v>
      </c>
      <c r="O227" s="453">
        <v>1929</v>
      </c>
      <c r="P227" s="453" t="s">
        <v>132</v>
      </c>
      <c r="Q227" s="453" t="s">
        <v>133</v>
      </c>
      <c r="R227" s="453">
        <v>-0.33</v>
      </c>
      <c r="S227" s="453">
        <v>-0.23</v>
      </c>
      <c r="T227" s="453">
        <v>21</v>
      </c>
      <c r="U227" s="453" t="s">
        <v>123</v>
      </c>
      <c r="V227" s="453">
        <v>1000</v>
      </c>
      <c r="W227" s="453">
        <v>5000</v>
      </c>
      <c r="X227" s="453" t="s">
        <v>125</v>
      </c>
      <c r="Z227" s="453" t="s">
        <v>150</v>
      </c>
      <c r="AA227" s="453">
        <v>321</v>
      </c>
      <c r="AC227" s="611" t="s">
        <v>617</v>
      </c>
    </row>
    <row r="228" spans="1:29">
      <c r="A228" s="453">
        <v>227</v>
      </c>
      <c r="B228" s="611" t="s">
        <v>618</v>
      </c>
      <c r="C228" s="453" t="s">
        <v>519</v>
      </c>
      <c r="D228" s="612" t="s">
        <v>619</v>
      </c>
      <c r="F228" s="453">
        <v>2000</v>
      </c>
      <c r="G228" s="453">
        <v>2008</v>
      </c>
      <c r="H228" s="453">
        <v>2000000</v>
      </c>
      <c r="I228" s="472">
        <v>3500000</v>
      </c>
      <c r="J228" s="453">
        <v>2</v>
      </c>
      <c r="K228" s="453">
        <v>6</v>
      </c>
      <c r="L228" s="453" t="s">
        <v>147</v>
      </c>
      <c r="M228" s="453">
        <v>5</v>
      </c>
      <c r="N228" s="453" t="s">
        <v>130</v>
      </c>
      <c r="O228" s="453">
        <v>1929</v>
      </c>
      <c r="P228" s="453" t="s">
        <v>132</v>
      </c>
      <c r="Q228" s="453" t="s">
        <v>133</v>
      </c>
      <c r="R228" s="453">
        <v>-0.33</v>
      </c>
      <c r="S228" s="453">
        <v>-0.23</v>
      </c>
      <c r="T228" s="453">
        <v>21</v>
      </c>
      <c r="U228" s="453" t="s">
        <v>123</v>
      </c>
      <c r="V228" s="453">
        <v>1000</v>
      </c>
      <c r="W228" s="453">
        <v>5000</v>
      </c>
      <c r="X228" s="453" t="s">
        <v>125</v>
      </c>
      <c r="Z228" s="453" t="s">
        <v>150</v>
      </c>
      <c r="AA228" s="453">
        <v>316</v>
      </c>
      <c r="AC228" s="611" t="s">
        <v>618</v>
      </c>
    </row>
    <row r="229" spans="1:29">
      <c r="A229" s="453">
        <v>228</v>
      </c>
      <c r="B229" s="611" t="s">
        <v>620</v>
      </c>
      <c r="C229" s="611" t="s">
        <v>519</v>
      </c>
      <c r="D229" s="612" t="s">
        <v>621</v>
      </c>
      <c r="F229" s="453">
        <v>2000</v>
      </c>
      <c r="G229" s="453">
        <v>2015</v>
      </c>
      <c r="H229" s="453">
        <v>1500000</v>
      </c>
      <c r="I229" s="472">
        <v>5500000</v>
      </c>
      <c r="J229" s="453">
        <v>2</v>
      </c>
      <c r="K229" s="453">
        <v>7</v>
      </c>
      <c r="L229" s="611" t="s">
        <v>147</v>
      </c>
      <c r="M229" s="453">
        <v>5</v>
      </c>
      <c r="N229" s="611" t="s">
        <v>130</v>
      </c>
      <c r="O229" s="453">
        <v>2490</v>
      </c>
      <c r="P229" s="611" t="s">
        <v>132</v>
      </c>
      <c r="Q229" s="611" t="s">
        <v>133</v>
      </c>
      <c r="R229" s="453">
        <v>-0.33</v>
      </c>
      <c r="S229" s="453">
        <v>-0.23</v>
      </c>
      <c r="T229" s="453">
        <v>21</v>
      </c>
      <c r="U229" s="611" t="s">
        <v>123</v>
      </c>
      <c r="V229" s="453">
        <v>1000</v>
      </c>
      <c r="W229" s="453">
        <v>5000</v>
      </c>
      <c r="X229" s="611" t="s">
        <v>125</v>
      </c>
      <c r="Z229" s="611" t="s">
        <v>150</v>
      </c>
      <c r="AC229" s="611" t="s">
        <v>620</v>
      </c>
    </row>
    <row r="230" spans="1:29">
      <c r="A230" s="453">
        <v>229</v>
      </c>
      <c r="B230" s="611" t="s">
        <v>622</v>
      </c>
      <c r="C230" s="611" t="s">
        <v>519</v>
      </c>
      <c r="D230" s="612" t="s">
        <v>623</v>
      </c>
      <c r="F230" s="453">
        <v>2004</v>
      </c>
      <c r="G230" s="453">
        <v>2020</v>
      </c>
      <c r="H230" s="453">
        <v>2400000</v>
      </c>
      <c r="I230" s="472">
        <v>9625000</v>
      </c>
      <c r="J230" s="453">
        <v>2</v>
      </c>
      <c r="K230" s="453">
        <v>7</v>
      </c>
      <c r="L230" s="611" t="s">
        <v>147</v>
      </c>
      <c r="M230" s="453">
        <v>5</v>
      </c>
      <c r="N230" s="611" t="s">
        <v>130</v>
      </c>
      <c r="O230" s="453">
        <v>2820</v>
      </c>
      <c r="P230" s="611" t="s">
        <v>132</v>
      </c>
      <c r="Q230" s="611" t="s">
        <v>133</v>
      </c>
      <c r="R230" s="453">
        <v>-0.33</v>
      </c>
      <c r="S230" s="453">
        <v>-0.23</v>
      </c>
      <c r="T230" s="453">
        <v>21</v>
      </c>
      <c r="U230" s="611" t="s">
        <v>123</v>
      </c>
      <c r="V230" s="453">
        <v>1000</v>
      </c>
      <c r="W230" s="453">
        <v>5000</v>
      </c>
      <c r="X230" s="611" t="s">
        <v>125</v>
      </c>
      <c r="Z230" s="611" t="s">
        <v>150</v>
      </c>
      <c r="AC230" s="611" t="s">
        <v>622</v>
      </c>
    </row>
    <row r="231" spans="1:29">
      <c r="A231" s="453">
        <v>230</v>
      </c>
      <c r="B231" s="611" t="s">
        <v>624</v>
      </c>
      <c r="C231" s="611" t="s">
        <v>519</v>
      </c>
      <c r="D231" s="612" t="s">
        <v>625</v>
      </c>
      <c r="F231" s="453">
        <v>2010</v>
      </c>
      <c r="G231" s="453">
        <v>2024</v>
      </c>
      <c r="H231" s="453">
        <v>5500000</v>
      </c>
      <c r="I231" s="472">
        <v>15000000</v>
      </c>
      <c r="J231" s="453">
        <v>2</v>
      </c>
      <c r="K231" s="453">
        <v>10</v>
      </c>
      <c r="L231" s="611" t="s">
        <v>147</v>
      </c>
      <c r="M231" s="453">
        <v>5</v>
      </c>
      <c r="N231" s="611" t="s">
        <v>130</v>
      </c>
      <c r="O231" s="453">
        <v>2820</v>
      </c>
      <c r="P231" s="611" t="s">
        <v>132</v>
      </c>
      <c r="Q231" s="611" t="s">
        <v>133</v>
      </c>
      <c r="R231" s="453">
        <v>-0.33</v>
      </c>
      <c r="S231" s="453">
        <v>-0.23</v>
      </c>
      <c r="T231" s="453">
        <v>21</v>
      </c>
      <c r="U231" s="611" t="s">
        <v>123</v>
      </c>
      <c r="V231" s="453">
        <v>1000</v>
      </c>
      <c r="W231" s="453">
        <v>5000</v>
      </c>
      <c r="X231" s="611" t="s">
        <v>125</v>
      </c>
      <c r="Z231" s="611" t="s">
        <v>150</v>
      </c>
      <c r="AC231" s="611" t="s">
        <v>622</v>
      </c>
    </row>
    <row r="232" spans="1:29">
      <c r="A232" s="453">
        <v>231</v>
      </c>
      <c r="B232" s="611" t="s">
        <v>626</v>
      </c>
      <c r="C232" s="453" t="s">
        <v>519</v>
      </c>
      <c r="D232" s="612" t="s">
        <v>627</v>
      </c>
      <c r="F232" s="453">
        <v>1997</v>
      </c>
      <c r="G232" s="453">
        <v>2006</v>
      </c>
      <c r="H232" s="453">
        <v>1700000</v>
      </c>
      <c r="I232" s="472">
        <v>3200000</v>
      </c>
      <c r="J232" s="453">
        <v>2</v>
      </c>
      <c r="K232" s="453">
        <v>7</v>
      </c>
      <c r="L232" s="453" t="s">
        <v>147</v>
      </c>
      <c r="M232" s="453">
        <v>5</v>
      </c>
      <c r="N232" s="453" t="s">
        <v>130</v>
      </c>
      <c r="O232" s="453">
        <v>2750</v>
      </c>
      <c r="P232" s="453" t="s">
        <v>132</v>
      </c>
      <c r="Q232" s="453" t="s">
        <v>133</v>
      </c>
      <c r="R232" s="453">
        <v>-0.33</v>
      </c>
      <c r="S232" s="453">
        <v>-0.23</v>
      </c>
      <c r="T232" s="453">
        <v>21</v>
      </c>
      <c r="U232" s="453" t="s">
        <v>123</v>
      </c>
      <c r="V232" s="453">
        <v>10000</v>
      </c>
      <c r="W232" s="453">
        <v>25000</v>
      </c>
      <c r="X232" s="453" t="s">
        <v>125</v>
      </c>
      <c r="Z232" s="453" t="s">
        <v>150</v>
      </c>
      <c r="AA232" s="453">
        <v>315</v>
      </c>
      <c r="AC232" s="611" t="s">
        <v>626</v>
      </c>
    </row>
    <row r="233" spans="1:29">
      <c r="A233" s="453">
        <v>232</v>
      </c>
      <c r="B233" s="611" t="s">
        <v>628</v>
      </c>
      <c r="C233" s="453" t="s">
        <v>519</v>
      </c>
      <c r="D233" s="612" t="s">
        <v>629</v>
      </c>
      <c r="F233" s="453">
        <v>2007</v>
      </c>
      <c r="G233" s="453">
        <v>2009</v>
      </c>
      <c r="H233" s="453">
        <v>2200000</v>
      </c>
      <c r="I233" s="472">
        <v>6000000</v>
      </c>
      <c r="J233" s="453">
        <v>2</v>
      </c>
      <c r="K233" s="453">
        <v>9</v>
      </c>
      <c r="L233" s="453" t="s">
        <v>147</v>
      </c>
      <c r="M233" s="453">
        <v>5</v>
      </c>
      <c r="N233" s="453" t="s">
        <v>130</v>
      </c>
      <c r="O233" s="453">
        <v>4080</v>
      </c>
      <c r="P233" s="453" t="s">
        <v>132</v>
      </c>
      <c r="Q233" s="453" t="s">
        <v>124</v>
      </c>
      <c r="R233" s="453">
        <v>-0.33</v>
      </c>
      <c r="S233" s="453">
        <v>-0.23</v>
      </c>
      <c r="T233" s="453">
        <v>21</v>
      </c>
      <c r="U233" s="453" t="s">
        <v>123</v>
      </c>
      <c r="V233" s="453">
        <v>10000</v>
      </c>
      <c r="W233" s="453">
        <v>25000</v>
      </c>
      <c r="X233" s="453" t="s">
        <v>125</v>
      </c>
      <c r="Z233" s="453" t="s">
        <v>150</v>
      </c>
      <c r="AC233" s="611" t="s">
        <v>628</v>
      </c>
    </row>
    <row r="234" spans="1:29">
      <c r="A234" s="453">
        <v>233</v>
      </c>
      <c r="B234" s="662" t="s">
        <v>4010</v>
      </c>
      <c r="C234" s="453" t="s">
        <v>519</v>
      </c>
      <c r="D234" s="612" t="s">
        <v>630</v>
      </c>
      <c r="F234" s="453">
        <v>1998</v>
      </c>
      <c r="G234" s="453">
        <v>2004</v>
      </c>
      <c r="H234" s="453">
        <v>3200000</v>
      </c>
      <c r="I234" s="472">
        <v>7500000</v>
      </c>
      <c r="J234" s="453">
        <v>2</v>
      </c>
      <c r="K234" s="453">
        <v>9</v>
      </c>
      <c r="L234" s="453" t="s">
        <v>147</v>
      </c>
      <c r="M234" s="453">
        <v>5</v>
      </c>
      <c r="N234" s="453" t="s">
        <v>130</v>
      </c>
      <c r="O234" s="453">
        <v>4080</v>
      </c>
      <c r="P234" s="453" t="s">
        <v>132</v>
      </c>
      <c r="Q234" s="453" t="s">
        <v>124</v>
      </c>
      <c r="R234" s="453">
        <v>-0.33</v>
      </c>
      <c r="S234" s="453">
        <v>-0.23</v>
      </c>
      <c r="T234" s="453">
        <v>21</v>
      </c>
      <c r="U234" s="453" t="s">
        <v>123</v>
      </c>
      <c r="V234" s="453">
        <v>10000</v>
      </c>
      <c r="W234" s="453">
        <v>25000</v>
      </c>
      <c r="X234" s="453" t="s">
        <v>125</v>
      </c>
      <c r="Z234" s="453" t="s">
        <v>150</v>
      </c>
      <c r="AC234" s="662" t="s">
        <v>4010</v>
      </c>
    </row>
    <row r="235" spans="1:29">
      <c r="A235" s="453">
        <v>234</v>
      </c>
      <c r="B235" s="611" t="s">
        <v>631</v>
      </c>
      <c r="C235" s="611" t="s">
        <v>519</v>
      </c>
      <c r="D235" s="612" t="s">
        <v>632</v>
      </c>
      <c r="F235" s="453">
        <v>1983</v>
      </c>
      <c r="G235" s="453">
        <v>2000</v>
      </c>
      <c r="H235" s="453">
        <v>650000</v>
      </c>
      <c r="I235" s="472">
        <v>2000000</v>
      </c>
      <c r="J235" s="453">
        <v>2</v>
      </c>
      <c r="K235" s="453">
        <v>9</v>
      </c>
      <c r="L235" s="611" t="s">
        <v>147</v>
      </c>
      <c r="M235" s="453">
        <v>5</v>
      </c>
      <c r="N235" s="611" t="s">
        <v>130</v>
      </c>
      <c r="O235" s="453">
        <v>4080</v>
      </c>
      <c r="P235" s="611" t="s">
        <v>132</v>
      </c>
      <c r="Q235" s="611" t="s">
        <v>124</v>
      </c>
      <c r="R235" s="453">
        <v>-0.33</v>
      </c>
      <c r="S235" s="453">
        <v>-0.23</v>
      </c>
      <c r="T235" s="453">
        <v>21</v>
      </c>
      <c r="U235" s="611" t="s">
        <v>123</v>
      </c>
      <c r="V235" s="453">
        <v>10000</v>
      </c>
      <c r="W235" s="453">
        <v>25000</v>
      </c>
      <c r="X235" s="611" t="s">
        <v>125</v>
      </c>
      <c r="Z235" s="611" t="s">
        <v>150</v>
      </c>
      <c r="AC235" s="611" t="s">
        <v>631</v>
      </c>
    </row>
    <row r="236" spans="1:29">
      <c r="A236" s="453">
        <v>235</v>
      </c>
      <c r="B236" s="611" t="s">
        <v>633</v>
      </c>
      <c r="C236" s="611" t="s">
        <v>519</v>
      </c>
      <c r="D236" s="612" t="s">
        <v>634</v>
      </c>
      <c r="F236" s="453">
        <v>2015</v>
      </c>
      <c r="G236" s="453">
        <v>2024</v>
      </c>
      <c r="H236" s="453">
        <v>12500000</v>
      </c>
      <c r="I236" s="472">
        <v>36000000</v>
      </c>
      <c r="J236" s="453">
        <v>2</v>
      </c>
      <c r="K236" s="453">
        <v>9</v>
      </c>
      <c r="L236" s="611" t="s">
        <v>147</v>
      </c>
      <c r="M236" s="453">
        <v>5</v>
      </c>
      <c r="N236" s="611" t="s">
        <v>130</v>
      </c>
      <c r="O236" s="453">
        <v>5907</v>
      </c>
      <c r="P236" s="611" t="s">
        <v>132</v>
      </c>
      <c r="Q236" s="611" t="s">
        <v>124</v>
      </c>
      <c r="R236" s="453">
        <v>-0.33</v>
      </c>
      <c r="S236" s="453">
        <v>-0.23</v>
      </c>
      <c r="T236" s="453">
        <v>21</v>
      </c>
      <c r="U236" s="611" t="s">
        <v>123</v>
      </c>
      <c r="V236" s="453">
        <v>10000</v>
      </c>
      <c r="W236" s="453">
        <v>25000</v>
      </c>
      <c r="X236" s="611" t="s">
        <v>125</v>
      </c>
      <c r="Z236" s="611" t="s">
        <v>150</v>
      </c>
      <c r="AC236" s="611" t="s">
        <v>633</v>
      </c>
    </row>
    <row r="237" spans="1:29">
      <c r="A237" s="453">
        <v>236</v>
      </c>
      <c r="B237" s="611" t="s">
        <v>635</v>
      </c>
      <c r="C237" s="611" t="s">
        <v>519</v>
      </c>
      <c r="D237" s="612" t="s">
        <v>636</v>
      </c>
      <c r="F237" s="453">
        <v>2013</v>
      </c>
      <c r="G237" s="453">
        <v>2020</v>
      </c>
      <c r="H237" s="453">
        <v>2025000</v>
      </c>
      <c r="I237" s="472">
        <v>5375000</v>
      </c>
      <c r="J237" s="453">
        <v>2</v>
      </c>
      <c r="K237" s="453">
        <v>6</v>
      </c>
      <c r="L237" s="611" t="s">
        <v>147</v>
      </c>
      <c r="M237" s="453">
        <v>5</v>
      </c>
      <c r="N237" s="611" t="s">
        <v>130</v>
      </c>
      <c r="O237" s="453">
        <v>1956</v>
      </c>
      <c r="P237" s="611" t="s">
        <v>132</v>
      </c>
      <c r="Q237" s="611" t="s">
        <v>133</v>
      </c>
      <c r="R237" s="453">
        <v>-0.33</v>
      </c>
      <c r="S237" s="453">
        <v>-0.23</v>
      </c>
      <c r="T237" s="453">
        <v>21</v>
      </c>
      <c r="U237" s="611" t="s">
        <v>123</v>
      </c>
      <c r="V237" s="453">
        <v>1000</v>
      </c>
      <c r="W237" s="453">
        <v>5000</v>
      </c>
      <c r="X237" s="611" t="s">
        <v>125</v>
      </c>
      <c r="Z237" s="611" t="s">
        <v>150</v>
      </c>
      <c r="AC237" s="611" t="s">
        <v>635</v>
      </c>
    </row>
    <row r="238" spans="1:29">
      <c r="A238" s="453">
        <v>237</v>
      </c>
      <c r="B238" s="611" t="s">
        <v>637</v>
      </c>
      <c r="C238" s="611" t="s">
        <v>519</v>
      </c>
      <c r="D238" s="612" t="s">
        <v>638</v>
      </c>
      <c r="F238" s="453">
        <v>2004</v>
      </c>
      <c r="G238" s="453">
        <v>2024</v>
      </c>
      <c r="H238" s="453">
        <v>5000000</v>
      </c>
      <c r="I238" s="472">
        <v>30000000</v>
      </c>
      <c r="J238" s="453">
        <v>2</v>
      </c>
      <c r="K238" s="453">
        <v>12</v>
      </c>
      <c r="L238" s="611" t="s">
        <v>147</v>
      </c>
      <c r="M238" s="453">
        <v>5</v>
      </c>
      <c r="N238" s="611" t="s">
        <v>130</v>
      </c>
      <c r="O238" s="453">
        <v>5907</v>
      </c>
      <c r="P238" s="611" t="s">
        <v>132</v>
      </c>
      <c r="Q238" s="611" t="s">
        <v>124</v>
      </c>
      <c r="R238" s="453">
        <v>-0.33</v>
      </c>
      <c r="S238" s="453">
        <v>-0.23</v>
      </c>
      <c r="T238" s="453">
        <v>21</v>
      </c>
      <c r="U238" s="611" t="s">
        <v>123</v>
      </c>
      <c r="V238" s="453">
        <v>10000</v>
      </c>
      <c r="W238" s="453">
        <v>25000</v>
      </c>
      <c r="X238" s="611" t="s">
        <v>125</v>
      </c>
      <c r="Z238" s="611" t="s">
        <v>150</v>
      </c>
      <c r="AC238" s="611" t="s">
        <v>637</v>
      </c>
    </row>
    <row r="239" spans="1:29">
      <c r="A239" s="453">
        <v>238</v>
      </c>
      <c r="B239" s="646" t="s">
        <v>3966</v>
      </c>
      <c r="C239" s="611" t="s">
        <v>519</v>
      </c>
      <c r="D239" s="647" t="s">
        <v>3967</v>
      </c>
      <c r="F239" s="453">
        <v>1996</v>
      </c>
      <c r="G239" s="453">
        <v>2018</v>
      </c>
      <c r="H239" s="453">
        <v>1950000</v>
      </c>
      <c r="I239" s="472">
        <v>12760000</v>
      </c>
      <c r="J239" s="453">
        <v>2</v>
      </c>
      <c r="K239" s="453">
        <v>12</v>
      </c>
      <c r="L239" s="611" t="s">
        <v>147</v>
      </c>
      <c r="M239" s="453">
        <v>5</v>
      </c>
      <c r="N239" s="611" t="s">
        <v>130</v>
      </c>
      <c r="O239" s="453">
        <v>5907</v>
      </c>
      <c r="P239" s="611" t="s">
        <v>132</v>
      </c>
      <c r="Q239" s="611" t="s">
        <v>124</v>
      </c>
      <c r="R239" s="453">
        <v>-0.33</v>
      </c>
      <c r="S239" s="453">
        <v>-0.23</v>
      </c>
      <c r="T239" s="453">
        <v>21</v>
      </c>
      <c r="U239" s="611" t="s">
        <v>123</v>
      </c>
      <c r="V239" s="453">
        <v>10000</v>
      </c>
      <c r="W239" s="453">
        <v>25000</v>
      </c>
      <c r="X239" s="611" t="s">
        <v>125</v>
      </c>
      <c r="Z239" s="611" t="s">
        <v>150</v>
      </c>
      <c r="AC239" s="646" t="s">
        <v>3966</v>
      </c>
    </row>
    <row r="240" spans="1:29">
      <c r="A240" s="453">
        <v>239</v>
      </c>
      <c r="B240" s="453" t="s">
        <v>639</v>
      </c>
      <c r="C240" s="453" t="s">
        <v>519</v>
      </c>
      <c r="D240" s="550" t="s">
        <v>640</v>
      </c>
      <c r="F240" s="453">
        <v>2013</v>
      </c>
      <c r="G240" s="453">
        <v>2020</v>
      </c>
      <c r="H240" s="472">
        <v>390000</v>
      </c>
      <c r="I240" s="472">
        <v>515000</v>
      </c>
      <c r="J240" s="453">
        <v>1</v>
      </c>
      <c r="K240" s="453">
        <v>3</v>
      </c>
      <c r="L240" s="453" t="s">
        <v>147</v>
      </c>
      <c r="M240" s="453">
        <v>1</v>
      </c>
      <c r="N240" s="453" t="s">
        <v>122</v>
      </c>
      <c r="O240" s="453">
        <v>230</v>
      </c>
      <c r="P240" s="453" t="s">
        <v>148</v>
      </c>
      <c r="Q240" s="453" t="s">
        <v>149</v>
      </c>
      <c r="R240" s="453">
        <v>0.1</v>
      </c>
      <c r="S240" s="453">
        <v>0</v>
      </c>
      <c r="T240" s="453">
        <v>6</v>
      </c>
      <c r="V240" s="453">
        <v>50</v>
      </c>
      <c r="W240" s="453">
        <v>250</v>
      </c>
      <c r="X240" s="453" t="s">
        <v>58</v>
      </c>
      <c r="Z240" s="453" t="s">
        <v>150</v>
      </c>
      <c r="AB240" s="453" t="s">
        <v>641</v>
      </c>
      <c r="AC240" s="453" t="s">
        <v>639</v>
      </c>
    </row>
    <row r="241" spans="1:29">
      <c r="A241" s="453">
        <v>240</v>
      </c>
      <c r="B241" s="453" t="s">
        <v>642</v>
      </c>
      <c r="C241" s="453" t="s">
        <v>519</v>
      </c>
      <c r="D241" s="550" t="s">
        <v>643</v>
      </c>
      <c r="F241" s="453">
        <v>1957</v>
      </c>
      <c r="G241" s="453">
        <v>1967</v>
      </c>
      <c r="H241" s="472">
        <v>75000</v>
      </c>
      <c r="I241" s="472">
        <v>500000</v>
      </c>
      <c r="J241" s="453">
        <v>1</v>
      </c>
      <c r="K241" s="453">
        <v>1</v>
      </c>
      <c r="L241" s="453" t="s">
        <v>129</v>
      </c>
      <c r="M241" s="453">
        <v>5</v>
      </c>
      <c r="N241" s="453" t="s">
        <v>130</v>
      </c>
      <c r="O241" s="453">
        <v>2850</v>
      </c>
      <c r="P241" s="453" t="s">
        <v>132</v>
      </c>
      <c r="Q241" s="453" t="s">
        <v>133</v>
      </c>
      <c r="R241" s="453">
        <v>0</v>
      </c>
      <c r="S241" s="453">
        <v>0</v>
      </c>
      <c r="T241" s="453">
        <v>1</v>
      </c>
      <c r="U241" s="453" t="s">
        <v>229</v>
      </c>
      <c r="V241" s="453">
        <v>1000</v>
      </c>
      <c r="W241" s="453">
        <v>5000</v>
      </c>
      <c r="X241" s="453" t="s">
        <v>125</v>
      </c>
      <c r="Z241" s="453" t="s">
        <v>150</v>
      </c>
      <c r="AB241" s="453" t="s">
        <v>644</v>
      </c>
      <c r="AC241" s="453" t="s">
        <v>642</v>
      </c>
    </row>
    <row r="242" spans="1:29">
      <c r="A242" s="453">
        <v>241</v>
      </c>
      <c r="B242" s="453" t="s">
        <v>645</v>
      </c>
      <c r="C242" s="453" t="s">
        <v>519</v>
      </c>
      <c r="D242" s="550" t="s">
        <v>646</v>
      </c>
      <c r="F242" s="453">
        <v>1942</v>
      </c>
      <c r="G242" s="453">
        <v>1944</v>
      </c>
      <c r="H242" s="472">
        <v>40000</v>
      </c>
      <c r="I242" s="472">
        <v>125000</v>
      </c>
      <c r="J242" s="453">
        <v>1</v>
      </c>
      <c r="K242" s="453">
        <v>4</v>
      </c>
      <c r="L242" s="453" t="s">
        <v>147</v>
      </c>
      <c r="M242" s="453">
        <v>2</v>
      </c>
      <c r="N242" s="453" t="s">
        <v>122</v>
      </c>
      <c r="O242" s="453">
        <v>245</v>
      </c>
      <c r="P242" s="453" t="s">
        <v>130</v>
      </c>
      <c r="Q242" s="453" t="s">
        <v>124</v>
      </c>
      <c r="R242" s="453">
        <v>0.5</v>
      </c>
      <c r="S242" s="453">
        <v>0.5</v>
      </c>
      <c r="T242" s="453">
        <v>15</v>
      </c>
      <c r="U242" s="453" t="s">
        <v>229</v>
      </c>
      <c r="V242" s="453">
        <v>100</v>
      </c>
      <c r="W242" s="453">
        <v>500</v>
      </c>
      <c r="X242" s="453" t="s">
        <v>125</v>
      </c>
      <c r="Z242" s="453" t="s">
        <v>150</v>
      </c>
      <c r="AA242" s="453">
        <v>322</v>
      </c>
      <c r="AC242" s="453" t="s">
        <v>645</v>
      </c>
    </row>
    <row r="243" spans="1:29">
      <c r="A243" s="453">
        <v>242</v>
      </c>
      <c r="B243" s="453" t="s">
        <v>647</v>
      </c>
      <c r="C243" s="453" t="s">
        <v>519</v>
      </c>
      <c r="D243" s="550" t="s">
        <v>648</v>
      </c>
      <c r="F243" s="453">
        <v>2013</v>
      </c>
      <c r="G243" s="453">
        <v>2018</v>
      </c>
      <c r="H243" s="472">
        <v>550000</v>
      </c>
      <c r="I243" s="472">
        <v>750000</v>
      </c>
      <c r="J243" s="453">
        <v>1</v>
      </c>
      <c r="K243" s="453">
        <v>3</v>
      </c>
      <c r="L243" s="453" t="s">
        <v>147</v>
      </c>
      <c r="M243" s="453">
        <v>1</v>
      </c>
      <c r="N243" s="453" t="s">
        <v>122</v>
      </c>
      <c r="O243" s="453">
        <v>400</v>
      </c>
      <c r="P243" s="453" t="s">
        <v>148</v>
      </c>
      <c r="Q243" s="453" t="s">
        <v>133</v>
      </c>
      <c r="R243" s="453">
        <v>0.75</v>
      </c>
      <c r="S243" s="453">
        <v>0.35</v>
      </c>
      <c r="T243" s="453">
        <v>6</v>
      </c>
      <c r="V243" s="453">
        <v>100</v>
      </c>
      <c r="W243" s="453">
        <v>0.05</v>
      </c>
      <c r="X243" s="453" t="s">
        <v>125</v>
      </c>
      <c r="Z243" s="453" t="s">
        <v>150</v>
      </c>
      <c r="AC243" s="453" t="s">
        <v>647</v>
      </c>
    </row>
    <row r="244" spans="1:29">
      <c r="A244" s="453">
        <v>243</v>
      </c>
      <c r="B244" s="453" t="s">
        <v>649</v>
      </c>
      <c r="C244" s="453" t="s">
        <v>650</v>
      </c>
      <c r="D244" s="550" t="s">
        <v>651</v>
      </c>
      <c r="F244" s="453">
        <v>1954</v>
      </c>
      <c r="G244" s="453">
        <v>1972</v>
      </c>
      <c r="H244" s="472">
        <v>4500</v>
      </c>
      <c r="I244" s="472">
        <v>30000</v>
      </c>
      <c r="J244" s="453">
        <v>1</v>
      </c>
      <c r="K244" s="453">
        <v>1</v>
      </c>
      <c r="L244" s="453" t="s">
        <v>147</v>
      </c>
      <c r="M244" s="453">
        <v>1</v>
      </c>
      <c r="N244" s="453" t="s">
        <v>122</v>
      </c>
      <c r="O244" s="453">
        <v>60</v>
      </c>
      <c r="P244" s="453" t="s">
        <v>123</v>
      </c>
      <c r="Q244" s="453" t="s">
        <v>149</v>
      </c>
      <c r="R244" s="453">
        <v>0</v>
      </c>
      <c r="S244" s="453">
        <v>0</v>
      </c>
      <c r="T244" s="453">
        <v>7</v>
      </c>
      <c r="V244" s="453">
        <v>100</v>
      </c>
      <c r="W244" s="453">
        <v>500</v>
      </c>
      <c r="X244" s="453" t="s">
        <v>58</v>
      </c>
      <c r="Z244" s="453" t="s">
        <v>150</v>
      </c>
      <c r="AA244" s="453">
        <v>329</v>
      </c>
      <c r="AC244" s="453" t="s">
        <v>649</v>
      </c>
    </row>
    <row r="245" spans="1:29">
      <c r="A245" s="453">
        <v>244</v>
      </c>
      <c r="B245" s="453" t="s">
        <v>652</v>
      </c>
      <c r="C245" s="453" t="s">
        <v>650</v>
      </c>
      <c r="D245" s="550" t="s">
        <v>181</v>
      </c>
      <c r="E245" s="453" t="s">
        <v>653</v>
      </c>
      <c r="F245" s="453">
        <v>1955</v>
      </c>
      <c r="G245" s="453">
        <v>1963</v>
      </c>
      <c r="H245" s="472">
        <v>13500</v>
      </c>
      <c r="I245" s="472">
        <v>29500</v>
      </c>
      <c r="J245" s="453">
        <v>1</v>
      </c>
      <c r="K245" s="453">
        <v>1</v>
      </c>
      <c r="L245" s="453" t="s">
        <v>147</v>
      </c>
      <c r="M245" s="453">
        <v>1</v>
      </c>
      <c r="N245" s="453" t="s">
        <v>122</v>
      </c>
      <c r="O245" s="453">
        <v>90</v>
      </c>
      <c r="P245" s="453" t="s">
        <v>123</v>
      </c>
      <c r="Q245" s="453" t="s">
        <v>149</v>
      </c>
      <c r="R245" s="453">
        <v>0</v>
      </c>
      <c r="S245" s="453">
        <v>0</v>
      </c>
      <c r="T245" s="453">
        <v>7</v>
      </c>
      <c r="V245" s="453">
        <v>100</v>
      </c>
      <c r="W245" s="453">
        <v>500</v>
      </c>
      <c r="X245" s="453" t="s">
        <v>58</v>
      </c>
      <c r="Z245" s="453" t="s">
        <v>150</v>
      </c>
      <c r="AA245" s="453">
        <v>330</v>
      </c>
      <c r="AC245" s="453" t="s">
        <v>652</v>
      </c>
    </row>
    <row r="246" spans="1:29">
      <c r="A246" s="453">
        <v>245</v>
      </c>
      <c r="B246" s="453" t="s">
        <v>654</v>
      </c>
      <c r="C246" s="453" t="s">
        <v>650</v>
      </c>
      <c r="D246" s="550" t="s">
        <v>655</v>
      </c>
      <c r="E246" s="453" t="s">
        <v>656</v>
      </c>
      <c r="F246" s="453">
        <v>1964</v>
      </c>
      <c r="G246" s="453">
        <v>1970</v>
      </c>
      <c r="H246" s="472">
        <v>16000</v>
      </c>
      <c r="I246" s="472">
        <v>33500</v>
      </c>
      <c r="J246" s="453">
        <v>1</v>
      </c>
      <c r="K246" s="453">
        <v>1</v>
      </c>
      <c r="L246" s="453" t="s">
        <v>147</v>
      </c>
      <c r="M246" s="453">
        <v>1</v>
      </c>
      <c r="N246" s="453" t="s">
        <v>122</v>
      </c>
      <c r="O246" s="453">
        <v>115</v>
      </c>
      <c r="P246" s="453" t="s">
        <v>123</v>
      </c>
      <c r="Q246" s="453" t="s">
        <v>149</v>
      </c>
      <c r="R246" s="453">
        <v>0</v>
      </c>
      <c r="S246" s="453">
        <v>0</v>
      </c>
      <c r="T246" s="453">
        <v>7</v>
      </c>
      <c r="V246" s="453">
        <v>100</v>
      </c>
      <c r="W246" s="453">
        <v>500</v>
      </c>
      <c r="X246" s="453" t="s">
        <v>58</v>
      </c>
      <c r="Z246" s="453" t="s">
        <v>150</v>
      </c>
      <c r="AA246" s="453">
        <v>331</v>
      </c>
      <c r="AC246" s="453" t="s">
        <v>654</v>
      </c>
    </row>
    <row r="247" spans="1:29">
      <c r="A247" s="453">
        <v>246</v>
      </c>
      <c r="B247" s="453" t="s">
        <v>657</v>
      </c>
      <c r="C247" s="453" t="s">
        <v>650</v>
      </c>
      <c r="D247" s="550" t="s">
        <v>658</v>
      </c>
      <c r="E247" s="453" t="s">
        <v>659</v>
      </c>
      <c r="F247" s="453">
        <v>1957</v>
      </c>
      <c r="G247" s="453">
        <v>1962</v>
      </c>
      <c r="H247" s="472">
        <v>10500</v>
      </c>
      <c r="I247" s="472">
        <v>28000</v>
      </c>
      <c r="J247" s="453">
        <v>1</v>
      </c>
      <c r="K247" s="453">
        <v>1</v>
      </c>
      <c r="L247" s="453" t="s">
        <v>147</v>
      </c>
      <c r="M247" s="453">
        <v>1</v>
      </c>
      <c r="N247" s="453" t="s">
        <v>122</v>
      </c>
      <c r="O247" s="453">
        <v>85</v>
      </c>
      <c r="P247" s="453" t="s">
        <v>148</v>
      </c>
      <c r="Q247" s="453" t="s">
        <v>149</v>
      </c>
      <c r="R247" s="453">
        <v>0</v>
      </c>
      <c r="S247" s="453">
        <v>0</v>
      </c>
      <c r="T247" s="453">
        <v>4</v>
      </c>
      <c r="V247" s="453">
        <v>50</v>
      </c>
      <c r="W247" s="453">
        <v>250</v>
      </c>
      <c r="X247" s="453" t="s">
        <v>58</v>
      </c>
      <c r="Z247" s="453" t="s">
        <v>150</v>
      </c>
      <c r="AA247" s="453">
        <v>334</v>
      </c>
      <c r="AC247" s="453" t="s">
        <v>657</v>
      </c>
    </row>
    <row r="248" spans="1:29">
      <c r="A248" s="453">
        <v>247</v>
      </c>
      <c r="B248" s="453" t="s">
        <v>660</v>
      </c>
      <c r="C248" s="453" t="s">
        <v>650</v>
      </c>
      <c r="D248" s="550" t="s">
        <v>661</v>
      </c>
      <c r="E248" s="453" t="s">
        <v>662</v>
      </c>
      <c r="F248" s="453">
        <v>1998</v>
      </c>
      <c r="G248" s="453">
        <v>2018</v>
      </c>
      <c r="H248" s="472">
        <v>55000</v>
      </c>
      <c r="I248" s="472">
        <v>175000</v>
      </c>
      <c r="J248" s="453">
        <v>1</v>
      </c>
      <c r="K248" s="453">
        <v>1</v>
      </c>
      <c r="L248" s="453" t="s">
        <v>147</v>
      </c>
      <c r="M248" s="453">
        <v>1</v>
      </c>
      <c r="N248" s="453" t="s">
        <v>122</v>
      </c>
      <c r="O248" s="453">
        <v>160</v>
      </c>
      <c r="P248" s="453" t="s">
        <v>123</v>
      </c>
      <c r="Q248" s="453" t="s">
        <v>124</v>
      </c>
      <c r="R248" s="453">
        <v>0</v>
      </c>
      <c r="S248" s="453">
        <v>0</v>
      </c>
      <c r="T248" s="453">
        <v>8</v>
      </c>
      <c r="V248" s="453">
        <v>100</v>
      </c>
      <c r="W248" s="453">
        <v>500</v>
      </c>
      <c r="X248" s="453" t="s">
        <v>58</v>
      </c>
      <c r="Z248" s="453" t="s">
        <v>150</v>
      </c>
      <c r="AC248" s="453" t="s">
        <v>660</v>
      </c>
    </row>
    <row r="249" spans="1:29">
      <c r="A249" s="453">
        <v>248</v>
      </c>
      <c r="B249" s="453" t="s">
        <v>663</v>
      </c>
      <c r="C249" s="453" t="s">
        <v>650</v>
      </c>
      <c r="D249" s="550" t="s">
        <v>664</v>
      </c>
      <c r="E249" s="453" t="s">
        <v>665</v>
      </c>
      <c r="F249" s="453">
        <v>1959</v>
      </c>
      <c r="G249" s="453">
        <v>1969</v>
      </c>
      <c r="H249" s="472">
        <v>14500</v>
      </c>
      <c r="I249" s="472">
        <v>50000</v>
      </c>
      <c r="J249" s="453">
        <v>1</v>
      </c>
      <c r="K249" s="453">
        <v>1</v>
      </c>
      <c r="L249" s="453" t="s">
        <v>147</v>
      </c>
      <c r="M249" s="453">
        <v>1</v>
      </c>
      <c r="N249" s="453" t="s">
        <v>122</v>
      </c>
      <c r="O249" s="453">
        <v>150</v>
      </c>
      <c r="P249" s="453" t="s">
        <v>123</v>
      </c>
      <c r="Q249" s="453" t="s">
        <v>124</v>
      </c>
      <c r="R249" s="453">
        <v>0</v>
      </c>
      <c r="S249" s="453">
        <v>0</v>
      </c>
      <c r="T249" s="453">
        <v>8</v>
      </c>
      <c r="V249" s="453">
        <v>100</v>
      </c>
      <c r="W249" s="453">
        <v>500</v>
      </c>
      <c r="X249" s="453" t="s">
        <v>58</v>
      </c>
      <c r="Z249" s="453" t="s">
        <v>150</v>
      </c>
      <c r="AA249" s="453">
        <v>335</v>
      </c>
      <c r="AC249" s="453" t="s">
        <v>663</v>
      </c>
    </row>
    <row r="250" spans="1:29">
      <c r="A250" s="453">
        <v>249</v>
      </c>
      <c r="B250" s="453" t="s">
        <v>666</v>
      </c>
      <c r="C250" s="453" t="s">
        <v>650</v>
      </c>
      <c r="D250" s="550" t="s">
        <v>667</v>
      </c>
      <c r="E250" s="453" t="s">
        <v>668</v>
      </c>
      <c r="F250" s="453">
        <v>1959</v>
      </c>
      <c r="G250" s="453">
        <v>1969</v>
      </c>
      <c r="H250" s="472">
        <v>14500</v>
      </c>
      <c r="I250" s="472">
        <v>50000</v>
      </c>
      <c r="J250" s="453">
        <v>1</v>
      </c>
      <c r="K250" s="453">
        <v>1</v>
      </c>
      <c r="L250" s="453" t="s">
        <v>147</v>
      </c>
      <c r="M250" s="453">
        <v>1</v>
      </c>
      <c r="N250" s="453" t="s">
        <v>122</v>
      </c>
      <c r="O250" s="453">
        <v>150</v>
      </c>
      <c r="P250" s="453" t="s">
        <v>123</v>
      </c>
      <c r="Q250" s="453" t="s">
        <v>124</v>
      </c>
      <c r="R250" s="453">
        <v>0.1</v>
      </c>
      <c r="S250" s="453">
        <v>0.1</v>
      </c>
      <c r="T250" s="453">
        <v>8</v>
      </c>
      <c r="V250" s="453">
        <v>100</v>
      </c>
      <c r="W250" s="453">
        <v>500</v>
      </c>
      <c r="X250" s="453" t="s">
        <v>58</v>
      </c>
      <c r="Z250" s="453" t="s">
        <v>150</v>
      </c>
      <c r="AB250" s="453" t="s">
        <v>669</v>
      </c>
      <c r="AC250" s="453" t="s">
        <v>666</v>
      </c>
    </row>
    <row r="251" spans="1:29">
      <c r="A251" s="453">
        <v>250</v>
      </c>
      <c r="B251" s="453" t="s">
        <v>670</v>
      </c>
      <c r="C251" s="453" t="s">
        <v>650</v>
      </c>
      <c r="D251" s="550" t="s">
        <v>671</v>
      </c>
      <c r="E251" s="453" t="s">
        <v>672</v>
      </c>
      <c r="F251" s="453">
        <v>1971</v>
      </c>
      <c r="G251" s="453">
        <v>1984</v>
      </c>
      <c r="H251" s="472">
        <v>22500</v>
      </c>
      <c r="I251" s="472">
        <v>70000</v>
      </c>
      <c r="J251" s="453">
        <v>1</v>
      </c>
      <c r="K251" s="453">
        <v>1</v>
      </c>
      <c r="L251" s="453" t="s">
        <v>147</v>
      </c>
      <c r="M251" s="453">
        <v>1</v>
      </c>
      <c r="N251" s="453" t="s">
        <v>122</v>
      </c>
      <c r="O251" s="453">
        <v>180</v>
      </c>
      <c r="P251" s="453" t="s">
        <v>123</v>
      </c>
      <c r="Q251" s="453" t="s">
        <v>124</v>
      </c>
      <c r="R251" s="453">
        <v>0</v>
      </c>
      <c r="S251" s="453">
        <v>0</v>
      </c>
      <c r="T251" s="453">
        <v>8</v>
      </c>
      <c r="V251" s="453">
        <v>100</v>
      </c>
      <c r="W251" s="453">
        <v>500</v>
      </c>
      <c r="X251" s="453" t="s">
        <v>58</v>
      </c>
      <c r="Z251" s="453" t="s">
        <v>150</v>
      </c>
      <c r="AA251" s="453">
        <v>338</v>
      </c>
      <c r="AC251" s="453" t="s">
        <v>670</v>
      </c>
    </row>
    <row r="252" spans="1:29">
      <c r="A252" s="453">
        <v>251</v>
      </c>
      <c r="B252" s="453" t="s">
        <v>673</v>
      </c>
      <c r="C252" s="453" t="s">
        <v>650</v>
      </c>
      <c r="D252" s="550" t="s">
        <v>674</v>
      </c>
      <c r="E252" s="453" t="s">
        <v>675</v>
      </c>
      <c r="F252" s="453">
        <v>1971</v>
      </c>
      <c r="G252" s="453">
        <v>1984</v>
      </c>
      <c r="H252" s="472">
        <v>22500</v>
      </c>
      <c r="I252" s="472">
        <v>70000</v>
      </c>
      <c r="J252" s="453">
        <v>1</v>
      </c>
      <c r="K252" s="453">
        <v>1</v>
      </c>
      <c r="L252" s="453" t="s">
        <v>147</v>
      </c>
      <c r="M252" s="453">
        <v>1</v>
      </c>
      <c r="N252" s="453" t="s">
        <v>122</v>
      </c>
      <c r="O252" s="453">
        <v>180</v>
      </c>
      <c r="P252" s="453" t="s">
        <v>123</v>
      </c>
      <c r="Q252" s="453" t="s">
        <v>124</v>
      </c>
      <c r="R252" s="453">
        <v>0.1</v>
      </c>
      <c r="S252" s="453">
        <v>0.1</v>
      </c>
      <c r="T252" s="453">
        <v>8</v>
      </c>
      <c r="V252" s="453">
        <v>100</v>
      </c>
      <c r="W252" s="453">
        <v>500</v>
      </c>
      <c r="X252" s="453" t="s">
        <v>58</v>
      </c>
      <c r="Z252" s="453" t="s">
        <v>150</v>
      </c>
      <c r="AB252" s="453" t="s">
        <v>669</v>
      </c>
      <c r="AC252" s="453" t="s">
        <v>673</v>
      </c>
    </row>
    <row r="253" spans="1:29">
      <c r="A253" s="453">
        <v>252</v>
      </c>
      <c r="B253" s="453" t="s">
        <v>676</v>
      </c>
      <c r="C253" s="453" t="s">
        <v>677</v>
      </c>
      <c r="D253" s="550" t="s">
        <v>678</v>
      </c>
      <c r="E253" s="453" t="s">
        <v>679</v>
      </c>
      <c r="F253" s="453">
        <v>2016</v>
      </c>
      <c r="G253" s="453">
        <v>2025</v>
      </c>
      <c r="H253" s="472">
        <v>1750000</v>
      </c>
      <c r="I253" s="472">
        <v>2500000</v>
      </c>
      <c r="J253" s="453">
        <v>1</v>
      </c>
      <c r="K253" s="453">
        <v>6</v>
      </c>
      <c r="L253" s="453" t="s">
        <v>147</v>
      </c>
      <c r="M253" s="453">
        <v>5</v>
      </c>
      <c r="N253" s="453" t="s">
        <v>130</v>
      </c>
      <c r="O253" s="453">
        <v>1800</v>
      </c>
      <c r="P253" s="611" t="s">
        <v>132</v>
      </c>
      <c r="Q253" s="453" t="s">
        <v>133</v>
      </c>
      <c r="R253" s="453">
        <v>-0.3</v>
      </c>
      <c r="S253" s="453">
        <v>-0.2</v>
      </c>
      <c r="T253" s="453">
        <v>21</v>
      </c>
      <c r="U253" s="453" t="s">
        <v>123</v>
      </c>
      <c r="V253" s="453">
        <v>1000</v>
      </c>
      <c r="W253" s="453">
        <v>5000</v>
      </c>
      <c r="X253" s="453" t="s">
        <v>125</v>
      </c>
      <c r="Z253" s="453" t="s">
        <v>150</v>
      </c>
      <c r="AB253" s="453" t="s">
        <v>680</v>
      </c>
      <c r="AC253" s="453" t="s">
        <v>676</v>
      </c>
    </row>
    <row r="254" spans="1:29">
      <c r="A254" s="453">
        <v>253</v>
      </c>
      <c r="B254" s="453" t="s">
        <v>681</v>
      </c>
      <c r="C254" s="453" t="s">
        <v>677</v>
      </c>
      <c r="D254" s="550" t="s">
        <v>682</v>
      </c>
      <c r="F254" s="453">
        <v>1999</v>
      </c>
      <c r="G254" s="453">
        <v>2004</v>
      </c>
      <c r="H254" s="472">
        <v>60000</v>
      </c>
      <c r="I254" s="472">
        <v>165000</v>
      </c>
      <c r="J254" s="453">
        <v>1</v>
      </c>
      <c r="K254" s="453">
        <v>3</v>
      </c>
      <c r="L254" s="453" t="s">
        <v>147</v>
      </c>
      <c r="M254" s="453">
        <v>1</v>
      </c>
      <c r="N254" s="453" t="s">
        <v>122</v>
      </c>
      <c r="O254" s="453">
        <v>200</v>
      </c>
      <c r="P254" s="453" t="s">
        <v>148</v>
      </c>
      <c r="Q254" s="453" t="s">
        <v>124</v>
      </c>
      <c r="R254" s="453">
        <v>0.35</v>
      </c>
      <c r="S254" s="453">
        <v>0.15</v>
      </c>
      <c r="T254" s="453">
        <v>5</v>
      </c>
      <c r="V254" s="453">
        <v>100</v>
      </c>
      <c r="W254" s="453">
        <v>0.05</v>
      </c>
      <c r="X254" s="453" t="s">
        <v>58</v>
      </c>
      <c r="Z254" s="453" t="s">
        <v>150</v>
      </c>
      <c r="AA254" s="453">
        <v>344</v>
      </c>
      <c r="AC254" s="453" t="s">
        <v>681</v>
      </c>
    </row>
    <row r="255" spans="1:29">
      <c r="A255" s="453">
        <v>254</v>
      </c>
      <c r="B255" s="611" t="s">
        <v>683</v>
      </c>
      <c r="C255" s="453" t="s">
        <v>677</v>
      </c>
      <c r="D255" s="550" t="s">
        <v>684</v>
      </c>
      <c r="F255" s="453">
        <v>2001</v>
      </c>
      <c r="G255" s="453">
        <v>2004</v>
      </c>
      <c r="H255" s="472">
        <v>93000</v>
      </c>
      <c r="I255" s="472">
        <v>215000</v>
      </c>
      <c r="J255" s="453">
        <v>1</v>
      </c>
      <c r="K255" s="453">
        <v>3</v>
      </c>
      <c r="L255" s="453" t="s">
        <v>147</v>
      </c>
      <c r="M255" s="453">
        <v>1</v>
      </c>
      <c r="N255" s="453" t="s">
        <v>122</v>
      </c>
      <c r="O255" s="453">
        <v>310</v>
      </c>
      <c r="P255" s="453" t="s">
        <v>148</v>
      </c>
      <c r="Q255" s="453" t="s">
        <v>124</v>
      </c>
      <c r="R255" s="453">
        <v>0.4</v>
      </c>
      <c r="S255" s="453">
        <v>0.35</v>
      </c>
      <c r="T255" s="453">
        <v>6</v>
      </c>
      <c r="U255" s="453" t="s">
        <v>123</v>
      </c>
      <c r="V255" s="453">
        <v>100</v>
      </c>
      <c r="W255" s="453">
        <v>0.05</v>
      </c>
      <c r="X255" s="453" t="s">
        <v>125</v>
      </c>
      <c r="Z255" s="453" t="s">
        <v>150</v>
      </c>
      <c r="AA255" s="453">
        <v>347</v>
      </c>
      <c r="AC255" s="453" t="s">
        <v>685</v>
      </c>
    </row>
    <row r="256" spans="1:29">
      <c r="A256" s="453">
        <v>255</v>
      </c>
      <c r="B256" s="611" t="s">
        <v>686</v>
      </c>
      <c r="C256" s="453" t="s">
        <v>677</v>
      </c>
      <c r="D256" s="550" t="s">
        <v>684</v>
      </c>
      <c r="F256" s="453">
        <v>2012</v>
      </c>
      <c r="G256" s="453">
        <v>2020</v>
      </c>
      <c r="H256" s="472">
        <v>350000</v>
      </c>
      <c r="I256" s="472">
        <v>800000</v>
      </c>
      <c r="J256" s="453">
        <v>1</v>
      </c>
      <c r="K256" s="453">
        <v>4</v>
      </c>
      <c r="L256" s="453" t="s">
        <v>147</v>
      </c>
      <c r="M256" s="453">
        <v>1</v>
      </c>
      <c r="N256" s="453" t="s">
        <v>122</v>
      </c>
      <c r="O256" s="453">
        <v>310</v>
      </c>
      <c r="P256" s="453" t="s">
        <v>148</v>
      </c>
      <c r="Q256" s="453" t="s">
        <v>124</v>
      </c>
      <c r="R256" s="453">
        <v>0.4</v>
      </c>
      <c r="S256" s="453">
        <v>0.35</v>
      </c>
      <c r="T256" s="453">
        <v>6</v>
      </c>
      <c r="U256" s="453" t="s">
        <v>123</v>
      </c>
      <c r="V256" s="453">
        <v>100</v>
      </c>
      <c r="W256" s="453">
        <v>0.05</v>
      </c>
      <c r="X256" s="453" t="s">
        <v>125</v>
      </c>
      <c r="Z256" s="453" t="s">
        <v>150</v>
      </c>
      <c r="AC256" s="453" t="s">
        <v>685</v>
      </c>
    </row>
    <row r="257" spans="1:29">
      <c r="A257" s="453">
        <v>256</v>
      </c>
      <c r="B257" s="453" t="s">
        <v>687</v>
      </c>
      <c r="C257" s="453" t="s">
        <v>688</v>
      </c>
      <c r="D257" s="550">
        <v>300</v>
      </c>
      <c r="F257" s="453">
        <v>2000</v>
      </c>
      <c r="G257" s="453">
        <v>2003</v>
      </c>
      <c r="H257" s="472">
        <v>120000</v>
      </c>
      <c r="I257" s="472">
        <v>240000</v>
      </c>
      <c r="J257" s="453">
        <v>1</v>
      </c>
      <c r="K257" s="453">
        <v>3</v>
      </c>
      <c r="L257" s="453" t="s">
        <v>147</v>
      </c>
      <c r="M257" s="453">
        <v>1</v>
      </c>
      <c r="N257" s="453" t="s">
        <v>122</v>
      </c>
      <c r="O257" s="453">
        <v>310</v>
      </c>
      <c r="P257" s="453" t="s">
        <v>148</v>
      </c>
      <c r="Q257" s="453" t="s">
        <v>124</v>
      </c>
      <c r="R257" s="453">
        <v>0.75</v>
      </c>
      <c r="S257" s="453">
        <v>0.35</v>
      </c>
      <c r="T257" s="453">
        <v>5</v>
      </c>
      <c r="V257" s="453">
        <v>100</v>
      </c>
      <c r="W257" s="453">
        <v>0.05</v>
      </c>
      <c r="X257" s="453" t="s">
        <v>125</v>
      </c>
      <c r="Z257" s="453" t="s">
        <v>150</v>
      </c>
      <c r="AA257" s="453">
        <v>350</v>
      </c>
      <c r="AC257" s="453" t="s">
        <v>687</v>
      </c>
    </row>
    <row r="258" spans="1:29">
      <c r="A258" s="453">
        <v>257</v>
      </c>
      <c r="B258" s="453" t="s">
        <v>689</v>
      </c>
      <c r="C258" s="453" t="s">
        <v>688</v>
      </c>
      <c r="D258" s="550">
        <v>350</v>
      </c>
      <c r="F258" s="453">
        <v>2002</v>
      </c>
      <c r="G258" s="453">
        <v>2007</v>
      </c>
      <c r="H258" s="472">
        <v>170000</v>
      </c>
      <c r="I258" s="472">
        <v>340000</v>
      </c>
      <c r="J258" s="453">
        <v>1</v>
      </c>
      <c r="K258" s="453">
        <v>3</v>
      </c>
      <c r="L258" s="453" t="s">
        <v>147</v>
      </c>
      <c r="M258" s="453">
        <v>1</v>
      </c>
      <c r="N258" s="453" t="s">
        <v>122</v>
      </c>
      <c r="O258" s="453">
        <v>310</v>
      </c>
      <c r="P258" s="453" t="s">
        <v>148</v>
      </c>
      <c r="Q258" s="453" t="s">
        <v>124</v>
      </c>
      <c r="R258" s="453">
        <v>0.75</v>
      </c>
      <c r="S258" s="453">
        <v>0.35</v>
      </c>
      <c r="T258" s="453">
        <v>6</v>
      </c>
      <c r="V258" s="453">
        <v>100</v>
      </c>
      <c r="W258" s="453">
        <v>0.05</v>
      </c>
      <c r="X258" s="453" t="s">
        <v>125</v>
      </c>
      <c r="Z258" s="453" t="s">
        <v>150</v>
      </c>
      <c r="AA258" s="453">
        <v>351</v>
      </c>
      <c r="AC258" s="453" t="s">
        <v>689</v>
      </c>
    </row>
    <row r="259" spans="1:29">
      <c r="A259" s="453">
        <v>258</v>
      </c>
      <c r="B259" s="453" t="s">
        <v>690</v>
      </c>
      <c r="C259" s="453" t="s">
        <v>688</v>
      </c>
      <c r="D259" s="550">
        <v>400</v>
      </c>
      <c r="F259" s="453">
        <v>2003</v>
      </c>
      <c r="G259" s="453">
        <v>2007</v>
      </c>
      <c r="H259" s="472">
        <v>206000</v>
      </c>
      <c r="I259" s="472">
        <v>400000</v>
      </c>
      <c r="J259" s="453">
        <v>1</v>
      </c>
      <c r="K259" s="453">
        <v>3</v>
      </c>
      <c r="L259" s="453" t="s">
        <v>147</v>
      </c>
      <c r="M259" s="453">
        <v>1</v>
      </c>
      <c r="N259" s="453" t="s">
        <v>122</v>
      </c>
      <c r="O259" s="453">
        <v>350</v>
      </c>
      <c r="P259" s="453" t="s">
        <v>148</v>
      </c>
      <c r="Q259" s="453" t="s">
        <v>124</v>
      </c>
      <c r="R259" s="453">
        <v>0.1</v>
      </c>
      <c r="S259" s="453">
        <v>0.35</v>
      </c>
      <c r="T259" s="453">
        <v>6</v>
      </c>
      <c r="V259" s="453">
        <v>100</v>
      </c>
      <c r="W259" s="453">
        <v>0.05</v>
      </c>
      <c r="X259" s="453" t="s">
        <v>125</v>
      </c>
      <c r="Z259" s="453" t="s">
        <v>150</v>
      </c>
      <c r="AA259" s="453">
        <v>352</v>
      </c>
      <c r="AC259" s="453" t="s">
        <v>690</v>
      </c>
    </row>
    <row r="260" spans="1:29">
      <c r="A260" s="453">
        <v>259</v>
      </c>
      <c r="B260" s="453" t="s">
        <v>691</v>
      </c>
      <c r="C260" s="453" t="s">
        <v>692</v>
      </c>
      <c r="D260" s="550" t="s">
        <v>693</v>
      </c>
      <c r="F260" s="453">
        <v>2000</v>
      </c>
      <c r="G260" s="453">
        <v>2012</v>
      </c>
      <c r="H260" s="472">
        <v>90000</v>
      </c>
      <c r="I260" s="472">
        <v>150000</v>
      </c>
      <c r="J260" s="453">
        <v>1</v>
      </c>
      <c r="K260" s="453">
        <v>1</v>
      </c>
      <c r="L260" s="453" t="s">
        <v>154</v>
      </c>
      <c r="M260" s="453">
        <v>1</v>
      </c>
      <c r="N260" s="453" t="s">
        <v>122</v>
      </c>
      <c r="O260" s="453">
        <v>100</v>
      </c>
      <c r="P260" s="453" t="s">
        <v>150</v>
      </c>
      <c r="Q260" s="453" t="s">
        <v>149</v>
      </c>
      <c r="R260" s="453">
        <v>0.25</v>
      </c>
      <c r="S260" s="453">
        <v>0.5</v>
      </c>
      <c r="T260" s="453">
        <v>1</v>
      </c>
      <c r="V260" s="453">
        <v>100</v>
      </c>
      <c r="W260" s="453">
        <v>0.05</v>
      </c>
      <c r="X260" s="453" t="s">
        <v>125</v>
      </c>
      <c r="Z260" s="453" t="s">
        <v>150</v>
      </c>
      <c r="AA260" s="453">
        <v>353</v>
      </c>
      <c r="AC260" s="453" t="s">
        <v>691</v>
      </c>
    </row>
    <row r="261" spans="1:29">
      <c r="A261" s="453">
        <v>260</v>
      </c>
      <c r="B261" s="453" t="s">
        <v>694</v>
      </c>
      <c r="C261" s="453" t="s">
        <v>695</v>
      </c>
      <c r="D261" s="550" t="s">
        <v>696</v>
      </c>
      <c r="F261" s="453">
        <v>1929</v>
      </c>
      <c r="G261" s="453">
        <v>1929</v>
      </c>
      <c r="H261" s="472">
        <v>4500</v>
      </c>
      <c r="I261" s="472">
        <v>151000</v>
      </c>
      <c r="J261" s="453">
        <v>1</v>
      </c>
      <c r="K261" s="453">
        <v>2</v>
      </c>
      <c r="L261" s="453" t="s">
        <v>147</v>
      </c>
      <c r="M261" s="453">
        <v>1</v>
      </c>
      <c r="N261" s="453" t="s">
        <v>122</v>
      </c>
      <c r="O261" s="453">
        <v>170</v>
      </c>
      <c r="P261" s="453" t="s">
        <v>123</v>
      </c>
      <c r="Q261" s="453" t="s">
        <v>124</v>
      </c>
      <c r="R261" s="453">
        <v>0</v>
      </c>
      <c r="S261" s="453">
        <v>0</v>
      </c>
      <c r="T261" s="453">
        <v>8</v>
      </c>
      <c r="V261" s="453">
        <v>100</v>
      </c>
      <c r="W261" s="453">
        <v>500</v>
      </c>
      <c r="X261" s="453" t="s">
        <v>58</v>
      </c>
      <c r="Z261" s="453" t="s">
        <v>150</v>
      </c>
      <c r="AA261" s="453">
        <v>354</v>
      </c>
      <c r="AC261" s="453" t="s">
        <v>694</v>
      </c>
    </row>
    <row r="262" spans="1:29">
      <c r="A262" s="453">
        <v>261</v>
      </c>
      <c r="B262" s="453" t="s">
        <v>697</v>
      </c>
      <c r="C262" s="453" t="s">
        <v>698</v>
      </c>
      <c r="D262" s="550">
        <v>112</v>
      </c>
      <c r="F262" s="453">
        <v>1972</v>
      </c>
      <c r="G262" s="453">
        <v>1979</v>
      </c>
      <c r="H262" s="472">
        <v>32000</v>
      </c>
      <c r="I262" s="472">
        <v>75000</v>
      </c>
      <c r="J262" s="453">
        <v>1</v>
      </c>
      <c r="K262" s="453">
        <v>3</v>
      </c>
      <c r="L262" s="453" t="s">
        <v>147</v>
      </c>
      <c r="M262" s="453">
        <v>1</v>
      </c>
      <c r="N262" s="453" t="s">
        <v>122</v>
      </c>
      <c r="O262" s="453">
        <v>200</v>
      </c>
      <c r="P262" s="453" t="s">
        <v>132</v>
      </c>
      <c r="Q262" s="453" t="s">
        <v>149</v>
      </c>
      <c r="R262" s="453">
        <v>0.5</v>
      </c>
      <c r="S262" s="453">
        <v>0</v>
      </c>
      <c r="T262" s="453">
        <v>10</v>
      </c>
      <c r="V262" s="453">
        <v>100</v>
      </c>
      <c r="W262" s="453">
        <v>500</v>
      </c>
      <c r="X262" s="453" t="s">
        <v>58</v>
      </c>
      <c r="Z262" s="453" t="s">
        <v>150</v>
      </c>
      <c r="AA262" s="453">
        <v>355</v>
      </c>
      <c r="AC262" s="453" t="s">
        <v>697</v>
      </c>
    </row>
    <row r="263" spans="1:29">
      <c r="A263" s="453">
        <v>262</v>
      </c>
      <c r="B263" s="453" t="s">
        <v>699</v>
      </c>
      <c r="C263" s="453" t="s">
        <v>698</v>
      </c>
      <c r="D263" s="550">
        <v>114</v>
      </c>
      <c r="F263" s="453">
        <v>1976</v>
      </c>
      <c r="G263" s="453">
        <v>1979</v>
      </c>
      <c r="H263" s="472">
        <v>72000</v>
      </c>
      <c r="I263" s="472">
        <v>140000</v>
      </c>
      <c r="J263" s="453">
        <v>1</v>
      </c>
      <c r="K263" s="453">
        <v>3</v>
      </c>
      <c r="L263" s="453" t="s">
        <v>147</v>
      </c>
      <c r="M263" s="453">
        <v>1</v>
      </c>
      <c r="N263" s="453" t="s">
        <v>122</v>
      </c>
      <c r="O263" s="453">
        <v>260</v>
      </c>
      <c r="P263" s="453" t="s">
        <v>132</v>
      </c>
      <c r="Q263" s="453" t="s">
        <v>124</v>
      </c>
      <c r="R263" s="453">
        <v>0.5</v>
      </c>
      <c r="S263" s="453">
        <v>0</v>
      </c>
      <c r="T263" s="453">
        <v>11</v>
      </c>
      <c r="V263" s="453">
        <v>100</v>
      </c>
      <c r="W263" s="453">
        <v>500</v>
      </c>
      <c r="X263" s="453" t="s">
        <v>58</v>
      </c>
      <c r="Z263" s="453" t="s">
        <v>150</v>
      </c>
      <c r="AA263" s="453">
        <v>357</v>
      </c>
      <c r="AC263" s="453" t="s">
        <v>699</v>
      </c>
    </row>
    <row r="264" spans="1:29">
      <c r="A264" s="453">
        <v>263</v>
      </c>
      <c r="B264" s="453" t="s">
        <v>700</v>
      </c>
      <c r="C264" s="453" t="s">
        <v>698</v>
      </c>
      <c r="D264" s="550" t="s">
        <v>701</v>
      </c>
      <c r="F264" s="453">
        <v>1976</v>
      </c>
      <c r="G264" s="453">
        <v>1979</v>
      </c>
      <c r="H264" s="472">
        <v>43000</v>
      </c>
      <c r="I264" s="472">
        <v>95000</v>
      </c>
      <c r="J264" s="453">
        <v>1</v>
      </c>
      <c r="K264" s="453">
        <v>3</v>
      </c>
      <c r="L264" s="453" t="s">
        <v>147</v>
      </c>
      <c r="M264" s="453">
        <v>1</v>
      </c>
      <c r="N264" s="453" t="s">
        <v>122</v>
      </c>
      <c r="O264" s="453">
        <v>210</v>
      </c>
      <c r="P264" s="453" t="s">
        <v>132</v>
      </c>
      <c r="Q264" s="453" t="s">
        <v>149</v>
      </c>
      <c r="R264" s="453">
        <v>0.5</v>
      </c>
      <c r="S264" s="453">
        <v>0</v>
      </c>
      <c r="T264" s="453">
        <v>10</v>
      </c>
      <c r="V264" s="453">
        <v>100</v>
      </c>
      <c r="W264" s="453">
        <v>500</v>
      </c>
      <c r="X264" s="453" t="s">
        <v>58</v>
      </c>
      <c r="Z264" s="453" t="s">
        <v>150</v>
      </c>
      <c r="AA264" s="453">
        <v>356</v>
      </c>
      <c r="AC264" s="453" t="s">
        <v>700</v>
      </c>
    </row>
    <row r="265" spans="1:29">
      <c r="A265" s="453">
        <v>264</v>
      </c>
      <c r="B265" s="453" t="s">
        <v>702</v>
      </c>
      <c r="C265" s="453" t="s">
        <v>698</v>
      </c>
      <c r="D265" s="550" t="s">
        <v>703</v>
      </c>
      <c r="F265" s="453">
        <v>1995</v>
      </c>
      <c r="G265" s="453">
        <v>2001</v>
      </c>
      <c r="H265" s="472">
        <v>137000</v>
      </c>
      <c r="I265" s="472">
        <v>310000</v>
      </c>
      <c r="J265" s="453">
        <v>1</v>
      </c>
      <c r="K265" s="453">
        <v>3</v>
      </c>
      <c r="L265" s="453" t="s">
        <v>147</v>
      </c>
      <c r="M265" s="453">
        <v>1</v>
      </c>
      <c r="N265" s="453" t="s">
        <v>122</v>
      </c>
      <c r="O265" s="453">
        <v>270</v>
      </c>
      <c r="P265" s="453" t="s">
        <v>132</v>
      </c>
      <c r="Q265" s="453" t="s">
        <v>124</v>
      </c>
      <c r="R265" s="453">
        <v>0.5</v>
      </c>
      <c r="S265" s="453">
        <v>0</v>
      </c>
      <c r="T265" s="453">
        <v>11</v>
      </c>
      <c r="V265" s="453">
        <v>100</v>
      </c>
      <c r="W265" s="453">
        <v>500</v>
      </c>
      <c r="X265" s="453" t="s">
        <v>58</v>
      </c>
      <c r="Z265" s="453" t="s">
        <v>150</v>
      </c>
      <c r="AA265" s="453">
        <v>360</v>
      </c>
      <c r="AC265" s="453" t="s">
        <v>702</v>
      </c>
    </row>
    <row r="266" spans="1:29">
      <c r="A266" s="453">
        <v>265</v>
      </c>
      <c r="B266" s="453" t="s">
        <v>704</v>
      </c>
      <c r="C266" s="453" t="s">
        <v>698</v>
      </c>
      <c r="D266" s="550" t="s">
        <v>705</v>
      </c>
      <c r="F266" s="453">
        <v>1999</v>
      </c>
      <c r="G266" s="453">
        <v>2003</v>
      </c>
      <c r="H266" s="472">
        <v>176000</v>
      </c>
      <c r="I266" s="472">
        <v>395000</v>
      </c>
      <c r="J266" s="453">
        <v>1</v>
      </c>
      <c r="K266" s="453">
        <v>3</v>
      </c>
      <c r="L266" s="453" t="s">
        <v>147</v>
      </c>
      <c r="M266" s="453">
        <v>1</v>
      </c>
      <c r="N266" s="453" t="s">
        <v>122</v>
      </c>
      <c r="O266" s="453">
        <v>270</v>
      </c>
      <c r="P266" s="453" t="s">
        <v>132</v>
      </c>
      <c r="Q266" s="453" t="s">
        <v>124</v>
      </c>
      <c r="R266" s="453">
        <v>0.5</v>
      </c>
      <c r="S266" s="453">
        <v>0</v>
      </c>
      <c r="T266" s="453">
        <v>11</v>
      </c>
      <c r="V266" s="453">
        <v>100</v>
      </c>
      <c r="W266" s="453">
        <v>500</v>
      </c>
      <c r="X266" s="453" t="s">
        <v>58</v>
      </c>
      <c r="Z266" s="453" t="s">
        <v>150</v>
      </c>
      <c r="AA266" s="453">
        <v>361</v>
      </c>
      <c r="AC266" s="453" t="s">
        <v>704</v>
      </c>
    </row>
    <row r="267" spans="1:29">
      <c r="A267" s="453">
        <v>266</v>
      </c>
      <c r="B267" s="453" t="s">
        <v>706</v>
      </c>
      <c r="C267" s="453" t="s">
        <v>707</v>
      </c>
      <c r="D267" s="550" t="s">
        <v>708</v>
      </c>
      <c r="F267" s="453">
        <v>2008</v>
      </c>
      <c r="G267" s="453">
        <v>2017</v>
      </c>
      <c r="H267" s="472">
        <v>100000</v>
      </c>
      <c r="I267" s="472">
        <v>300000</v>
      </c>
      <c r="J267" s="453">
        <v>1</v>
      </c>
      <c r="K267" s="453">
        <v>1</v>
      </c>
      <c r="L267" s="453" t="s">
        <v>154</v>
      </c>
      <c r="M267" s="453">
        <v>1</v>
      </c>
      <c r="N267" s="453" t="s">
        <v>122</v>
      </c>
      <c r="O267" s="453">
        <v>180</v>
      </c>
      <c r="P267" s="453" t="s">
        <v>123</v>
      </c>
      <c r="Q267" s="453" t="s">
        <v>149</v>
      </c>
      <c r="R267" s="453">
        <v>0.4</v>
      </c>
      <c r="S267" s="453">
        <v>0.2</v>
      </c>
      <c r="T267" s="453">
        <v>7</v>
      </c>
      <c r="V267" s="453">
        <v>100</v>
      </c>
      <c r="W267" s="453">
        <v>500</v>
      </c>
      <c r="X267" s="453" t="s">
        <v>58</v>
      </c>
      <c r="Z267" s="453" t="s">
        <v>150</v>
      </c>
      <c r="AA267" s="453">
        <v>1332</v>
      </c>
      <c r="AC267" s="453" t="s">
        <v>706</v>
      </c>
    </row>
    <row r="268" spans="1:29">
      <c r="A268" s="453">
        <v>267</v>
      </c>
      <c r="B268" s="453" t="s">
        <v>709</v>
      </c>
      <c r="C268" s="453" t="s">
        <v>707</v>
      </c>
      <c r="D268" s="550" t="s">
        <v>710</v>
      </c>
      <c r="F268" s="453">
        <v>2005</v>
      </c>
      <c r="G268" s="453">
        <v>2017</v>
      </c>
      <c r="H268" s="472">
        <v>100000</v>
      </c>
      <c r="I268" s="472">
        <v>190000</v>
      </c>
      <c r="J268" s="453">
        <v>1</v>
      </c>
      <c r="K268" s="453">
        <v>1</v>
      </c>
      <c r="L268" s="453" t="s">
        <v>147</v>
      </c>
      <c r="M268" s="453">
        <v>1</v>
      </c>
      <c r="N268" s="453" t="s">
        <v>122</v>
      </c>
      <c r="O268" s="453">
        <v>100</v>
      </c>
      <c r="P268" s="453" t="s">
        <v>123</v>
      </c>
      <c r="Q268" s="453" t="s">
        <v>149</v>
      </c>
      <c r="R268" s="453">
        <v>0.4</v>
      </c>
      <c r="S268" s="453">
        <v>0.2</v>
      </c>
      <c r="T268" s="453">
        <v>3</v>
      </c>
      <c r="V268" s="453">
        <v>100</v>
      </c>
      <c r="W268" s="453">
        <v>500</v>
      </c>
      <c r="X268" s="453" t="s">
        <v>58</v>
      </c>
      <c r="Z268" s="453" t="s">
        <v>150</v>
      </c>
      <c r="AA268" s="453">
        <v>365</v>
      </c>
      <c r="AC268" s="453" t="s">
        <v>709</v>
      </c>
    </row>
    <row r="269" spans="1:29">
      <c r="A269" s="453">
        <v>268</v>
      </c>
      <c r="B269" s="453" t="s">
        <v>711</v>
      </c>
      <c r="C269" s="453" t="s">
        <v>707</v>
      </c>
      <c r="D269" s="550" t="s">
        <v>712</v>
      </c>
      <c r="F269" s="453">
        <v>2008</v>
      </c>
      <c r="G269" s="453">
        <v>2017</v>
      </c>
      <c r="H269" s="472">
        <v>70000</v>
      </c>
      <c r="I269" s="472">
        <v>175000</v>
      </c>
      <c r="J269" s="453">
        <v>1</v>
      </c>
      <c r="K269" s="453">
        <v>1</v>
      </c>
      <c r="L269" s="453" t="s">
        <v>154</v>
      </c>
      <c r="M269" s="453">
        <v>1</v>
      </c>
      <c r="N269" s="453" t="s">
        <v>122</v>
      </c>
      <c r="O269" s="453">
        <v>100</v>
      </c>
      <c r="P269" s="453" t="s">
        <v>123</v>
      </c>
      <c r="Q269" s="453" t="s">
        <v>149</v>
      </c>
      <c r="R269" s="453">
        <v>0.4</v>
      </c>
      <c r="S269" s="453">
        <v>0.2</v>
      </c>
      <c r="T269" s="453">
        <v>3</v>
      </c>
      <c r="V269" s="453">
        <v>100</v>
      </c>
      <c r="W269" s="453">
        <v>500</v>
      </c>
      <c r="X269" s="453" t="s">
        <v>58</v>
      </c>
      <c r="Z269" s="453" t="s">
        <v>150</v>
      </c>
      <c r="AA269" s="453">
        <v>1333</v>
      </c>
      <c r="AC269" s="453" t="s">
        <v>711</v>
      </c>
    </row>
    <row r="270" spans="1:29">
      <c r="A270" s="453">
        <v>269</v>
      </c>
      <c r="B270" s="453" t="s">
        <v>713</v>
      </c>
      <c r="C270" s="453" t="s">
        <v>707</v>
      </c>
      <c r="D270" s="550" t="s">
        <v>714</v>
      </c>
      <c r="F270" s="453">
        <v>2005</v>
      </c>
      <c r="G270" s="453">
        <v>2025</v>
      </c>
      <c r="H270" s="472">
        <v>89500</v>
      </c>
      <c r="I270" s="472">
        <v>250000</v>
      </c>
      <c r="J270" s="453">
        <v>1</v>
      </c>
      <c r="K270" s="453">
        <v>1</v>
      </c>
      <c r="L270" s="453" t="s">
        <v>147</v>
      </c>
      <c r="M270" s="453">
        <v>1</v>
      </c>
      <c r="N270" s="453" t="s">
        <v>122</v>
      </c>
      <c r="O270" s="453">
        <v>125</v>
      </c>
      <c r="P270" s="453" t="s">
        <v>123</v>
      </c>
      <c r="Q270" s="453" t="s">
        <v>124</v>
      </c>
      <c r="R270" s="453">
        <v>0.25</v>
      </c>
      <c r="S270" s="453">
        <v>0</v>
      </c>
      <c r="T270" s="453">
        <v>8</v>
      </c>
      <c r="V270" s="453">
        <v>100</v>
      </c>
      <c r="W270" s="453">
        <v>500</v>
      </c>
      <c r="X270" s="453" t="s">
        <v>58</v>
      </c>
      <c r="Z270" s="453" t="s">
        <v>150</v>
      </c>
      <c r="AA270" s="453">
        <v>367</v>
      </c>
      <c r="AC270" s="453" t="s">
        <v>713</v>
      </c>
    </row>
    <row r="271" spans="1:29">
      <c r="A271" s="453">
        <v>270</v>
      </c>
      <c r="B271" s="453" t="s">
        <v>715</v>
      </c>
      <c r="C271" s="453" t="s">
        <v>707</v>
      </c>
      <c r="D271" s="550" t="s">
        <v>716</v>
      </c>
      <c r="F271" s="453">
        <v>2016</v>
      </c>
      <c r="G271" s="453">
        <v>2025</v>
      </c>
      <c r="H271" s="472">
        <v>300000</v>
      </c>
      <c r="I271" s="472">
        <v>500000</v>
      </c>
      <c r="J271" s="453">
        <v>1</v>
      </c>
      <c r="K271" s="453">
        <v>1</v>
      </c>
      <c r="L271" s="453" t="s">
        <v>147</v>
      </c>
      <c r="M271" s="453">
        <v>1</v>
      </c>
      <c r="N271" s="453" t="s">
        <v>122</v>
      </c>
      <c r="O271" s="453">
        <v>180</v>
      </c>
      <c r="P271" s="453" t="s">
        <v>123</v>
      </c>
      <c r="Q271" s="453" t="s">
        <v>149</v>
      </c>
      <c r="R271" s="453">
        <v>0.25</v>
      </c>
      <c r="S271" s="453">
        <v>0</v>
      </c>
      <c r="T271" s="453">
        <v>8</v>
      </c>
      <c r="V271" s="453">
        <v>100</v>
      </c>
      <c r="W271" s="453">
        <v>500</v>
      </c>
      <c r="X271" s="453" t="s">
        <v>58</v>
      </c>
      <c r="Z271" s="453" t="s">
        <v>150</v>
      </c>
      <c r="AC271" s="453" t="s">
        <v>715</v>
      </c>
    </row>
    <row r="272" spans="1:29">
      <c r="A272" s="453">
        <v>271</v>
      </c>
      <c r="B272" s="453" t="s">
        <v>717</v>
      </c>
      <c r="C272" s="453" t="s">
        <v>718</v>
      </c>
      <c r="D272" s="550" t="s">
        <v>719</v>
      </c>
      <c r="F272" s="453">
        <v>1938</v>
      </c>
      <c r="G272" s="453">
        <v>1946</v>
      </c>
      <c r="H272" s="472">
        <v>15000</v>
      </c>
      <c r="I272" s="472">
        <v>50000</v>
      </c>
      <c r="J272" s="453">
        <v>1</v>
      </c>
      <c r="K272" s="453">
        <v>0</v>
      </c>
      <c r="L272" s="453" t="s">
        <v>147</v>
      </c>
      <c r="M272" s="453">
        <v>1</v>
      </c>
      <c r="N272" s="453" t="s">
        <v>122</v>
      </c>
      <c r="O272" s="453">
        <v>125</v>
      </c>
      <c r="P272" s="453" t="s">
        <v>130</v>
      </c>
      <c r="Q272" s="453" t="s">
        <v>149</v>
      </c>
      <c r="R272" s="453">
        <v>0.2</v>
      </c>
      <c r="S272" s="453">
        <v>0.2</v>
      </c>
      <c r="T272" s="453">
        <v>10</v>
      </c>
      <c r="V272" s="453">
        <v>100</v>
      </c>
      <c r="W272" s="453">
        <v>500</v>
      </c>
      <c r="X272" s="453" t="s">
        <v>58</v>
      </c>
      <c r="Z272" s="453" t="s">
        <v>150</v>
      </c>
      <c r="AC272" s="453" t="s">
        <v>717</v>
      </c>
    </row>
    <row r="273" spans="1:29">
      <c r="A273" s="453">
        <v>272</v>
      </c>
      <c r="B273" s="453" t="s">
        <v>720</v>
      </c>
      <c r="C273" s="453" t="s">
        <v>718</v>
      </c>
      <c r="D273" s="550" t="s">
        <v>721</v>
      </c>
      <c r="F273" s="453">
        <v>1940</v>
      </c>
      <c r="G273" s="453">
        <v>1942</v>
      </c>
      <c r="H273" s="472">
        <v>9500</v>
      </c>
      <c r="I273" s="472">
        <v>51000</v>
      </c>
      <c r="J273" s="453">
        <v>1</v>
      </c>
      <c r="K273" s="453">
        <v>1</v>
      </c>
      <c r="L273" s="453" t="s">
        <v>147</v>
      </c>
      <c r="M273" s="453">
        <v>1</v>
      </c>
      <c r="N273" s="453" t="s">
        <v>122</v>
      </c>
      <c r="O273" s="453">
        <v>125</v>
      </c>
      <c r="P273" s="453" t="s">
        <v>130</v>
      </c>
      <c r="Q273" s="453" t="s">
        <v>149</v>
      </c>
      <c r="R273" s="453">
        <v>0.2</v>
      </c>
      <c r="S273" s="453">
        <v>0.2</v>
      </c>
      <c r="T273" s="453">
        <v>12</v>
      </c>
      <c r="V273" s="453">
        <v>100</v>
      </c>
      <c r="W273" s="453">
        <v>1000</v>
      </c>
      <c r="X273" s="453" t="s">
        <v>125</v>
      </c>
      <c r="Z273" s="453" t="s">
        <v>150</v>
      </c>
      <c r="AA273" s="453">
        <v>368</v>
      </c>
      <c r="AC273" s="453" t="s">
        <v>720</v>
      </c>
    </row>
    <row r="274" spans="1:29">
      <c r="A274" s="453">
        <v>273</v>
      </c>
      <c r="B274" s="453" t="s">
        <v>722</v>
      </c>
      <c r="C274" s="453" t="s">
        <v>718</v>
      </c>
      <c r="D274" s="550" t="s">
        <v>723</v>
      </c>
      <c r="F274" s="453">
        <v>1942</v>
      </c>
      <c r="G274" s="453">
        <v>1949</v>
      </c>
      <c r="H274" s="472">
        <v>4500</v>
      </c>
      <c r="I274" s="472">
        <v>26000</v>
      </c>
      <c r="J274" s="453">
        <v>1</v>
      </c>
      <c r="K274" s="453">
        <v>1</v>
      </c>
      <c r="L274" s="453" t="s">
        <v>147</v>
      </c>
      <c r="M274" s="453">
        <v>1</v>
      </c>
      <c r="N274" s="453" t="s">
        <v>122</v>
      </c>
      <c r="O274" s="453">
        <v>85</v>
      </c>
      <c r="P274" s="453" t="s">
        <v>130</v>
      </c>
      <c r="Q274" s="453" t="s">
        <v>149</v>
      </c>
      <c r="R274" s="453">
        <v>0.2</v>
      </c>
      <c r="S274" s="453">
        <v>0.2</v>
      </c>
      <c r="T274" s="453">
        <v>12</v>
      </c>
      <c r="V274" s="453">
        <v>100</v>
      </c>
      <c r="W274" s="453">
        <v>1000</v>
      </c>
      <c r="X274" s="453" t="s">
        <v>125</v>
      </c>
      <c r="Z274" s="453" t="s">
        <v>150</v>
      </c>
      <c r="AA274" s="453">
        <v>369</v>
      </c>
      <c r="AC274" s="453" t="s">
        <v>722</v>
      </c>
    </row>
    <row r="275" spans="1:29">
      <c r="A275" s="453">
        <v>274</v>
      </c>
      <c r="B275" s="453" t="s">
        <v>724</v>
      </c>
      <c r="C275" s="453" t="s">
        <v>725</v>
      </c>
      <c r="D275" s="550" t="s">
        <v>726</v>
      </c>
      <c r="F275" s="453">
        <v>1918</v>
      </c>
      <c r="G275" s="453">
        <v>1918</v>
      </c>
      <c r="H275" s="472">
        <v>10000</v>
      </c>
      <c r="I275" s="472">
        <v>150000</v>
      </c>
      <c r="J275" s="453">
        <v>1</v>
      </c>
      <c r="K275" s="453">
        <v>1</v>
      </c>
      <c r="L275" s="453" t="s">
        <v>147</v>
      </c>
      <c r="M275" s="453">
        <v>1</v>
      </c>
      <c r="N275" s="453" t="s">
        <v>122</v>
      </c>
      <c r="O275" s="453">
        <v>90</v>
      </c>
      <c r="P275" s="453" t="s">
        <v>123</v>
      </c>
      <c r="Q275" s="453" t="s">
        <v>124</v>
      </c>
      <c r="R275" s="453">
        <v>0.6</v>
      </c>
      <c r="S275" s="453">
        <v>0.6</v>
      </c>
      <c r="T275" s="453">
        <v>1</v>
      </c>
      <c r="V275" s="453">
        <v>100</v>
      </c>
      <c r="W275" s="453">
        <v>500</v>
      </c>
      <c r="X275" s="453" t="s">
        <v>125</v>
      </c>
      <c r="Z275" s="453" t="s">
        <v>150</v>
      </c>
      <c r="AA275" s="453">
        <v>370</v>
      </c>
      <c r="AB275" s="453" t="s">
        <v>727</v>
      </c>
      <c r="AC275" s="453" t="s">
        <v>724</v>
      </c>
    </row>
    <row r="276" spans="1:29">
      <c r="A276" s="453">
        <v>275</v>
      </c>
      <c r="B276" s="453" t="s">
        <v>728</v>
      </c>
      <c r="C276" s="453" t="s">
        <v>725</v>
      </c>
      <c r="D276" s="550" t="s">
        <v>729</v>
      </c>
      <c r="F276" s="453">
        <v>1928</v>
      </c>
      <c r="G276" s="453">
        <v>1955</v>
      </c>
      <c r="H276" s="472">
        <v>24500</v>
      </c>
      <c r="I276" s="472">
        <v>51000</v>
      </c>
      <c r="J276" s="453">
        <v>1</v>
      </c>
      <c r="K276" s="453">
        <v>2</v>
      </c>
      <c r="L276" s="453" t="s">
        <v>147</v>
      </c>
      <c r="M276" s="453">
        <v>1</v>
      </c>
      <c r="N276" s="453" t="s">
        <v>122</v>
      </c>
      <c r="O276" s="453">
        <v>225</v>
      </c>
      <c r="P276" s="453" t="s">
        <v>123</v>
      </c>
      <c r="Q276" s="453" t="s">
        <v>124</v>
      </c>
      <c r="R276" s="453">
        <v>0.5</v>
      </c>
      <c r="S276" s="453">
        <v>0.5</v>
      </c>
      <c r="T276" s="453">
        <v>1</v>
      </c>
      <c r="V276" s="453">
        <v>100</v>
      </c>
      <c r="W276" s="453">
        <v>500</v>
      </c>
      <c r="X276" s="453" t="s">
        <v>125</v>
      </c>
      <c r="Z276" s="453" t="s">
        <v>150</v>
      </c>
      <c r="AA276" s="453">
        <v>371</v>
      </c>
      <c r="AC276" s="453" t="s">
        <v>728</v>
      </c>
    </row>
    <row r="277" spans="1:29">
      <c r="A277" s="453">
        <v>276</v>
      </c>
      <c r="B277" s="453" t="s">
        <v>730</v>
      </c>
      <c r="C277" s="453" t="s">
        <v>731</v>
      </c>
      <c r="D277" s="550" t="s">
        <v>732</v>
      </c>
      <c r="F277" s="453">
        <v>1925</v>
      </c>
      <c r="G277" s="453">
        <v>1950</v>
      </c>
      <c r="H277" s="472">
        <v>49500</v>
      </c>
      <c r="I277" s="472">
        <v>151000</v>
      </c>
      <c r="J277" s="453">
        <v>1</v>
      </c>
      <c r="K277" s="453">
        <v>1</v>
      </c>
      <c r="L277" s="453" t="s">
        <v>147</v>
      </c>
      <c r="M277" s="453">
        <v>1</v>
      </c>
      <c r="N277" s="453" t="s">
        <v>122</v>
      </c>
      <c r="O277" s="453">
        <v>450</v>
      </c>
      <c r="P277" s="453" t="s">
        <v>123</v>
      </c>
      <c r="Q277" s="453" t="s">
        <v>124</v>
      </c>
      <c r="R277" s="453">
        <v>0.5</v>
      </c>
      <c r="S277" s="453">
        <v>0.5</v>
      </c>
      <c r="T277" s="453">
        <v>8</v>
      </c>
      <c r="V277" s="453">
        <v>100</v>
      </c>
      <c r="W277" s="453">
        <v>500</v>
      </c>
      <c r="X277" s="453" t="s">
        <v>58</v>
      </c>
      <c r="Z277" s="453" t="s">
        <v>150</v>
      </c>
      <c r="AA277" s="453">
        <v>372</v>
      </c>
      <c r="AC277" s="453" t="s">
        <v>730</v>
      </c>
    </row>
    <row r="278" spans="1:29">
      <c r="A278" s="453">
        <v>277</v>
      </c>
      <c r="B278" s="453" t="s">
        <v>733</v>
      </c>
      <c r="C278" s="453" t="s">
        <v>734</v>
      </c>
      <c r="D278" s="550" t="s">
        <v>735</v>
      </c>
      <c r="F278" s="453">
        <v>2000</v>
      </c>
      <c r="G278" s="453">
        <v>2016</v>
      </c>
      <c r="H278" s="472">
        <v>80000</v>
      </c>
      <c r="I278" s="472">
        <v>200000</v>
      </c>
      <c r="J278" s="453">
        <v>1</v>
      </c>
      <c r="K278" s="453">
        <v>1</v>
      </c>
      <c r="L278" s="453" t="s">
        <v>154</v>
      </c>
      <c r="M278" s="453">
        <v>1</v>
      </c>
      <c r="N278" s="453" t="s">
        <v>122</v>
      </c>
      <c r="O278" s="453">
        <v>100</v>
      </c>
      <c r="P278" s="453" t="s">
        <v>150</v>
      </c>
      <c r="Q278" s="453" t="s">
        <v>149</v>
      </c>
      <c r="R278" s="453">
        <v>0.25</v>
      </c>
      <c r="S278" s="453">
        <v>0.5</v>
      </c>
      <c r="T278" s="453">
        <v>1</v>
      </c>
      <c r="V278" s="453">
        <v>100</v>
      </c>
      <c r="W278" s="453">
        <v>0.05</v>
      </c>
      <c r="X278" s="453" t="s">
        <v>125</v>
      </c>
      <c r="Z278" s="453" t="s">
        <v>150</v>
      </c>
      <c r="AA278" s="453">
        <v>376</v>
      </c>
      <c r="AC278" s="453" t="s">
        <v>733</v>
      </c>
    </row>
    <row r="279" spans="1:29">
      <c r="A279" s="453">
        <v>278</v>
      </c>
      <c r="B279" s="453" t="s">
        <v>736</v>
      </c>
      <c r="C279" s="453" t="s">
        <v>734</v>
      </c>
      <c r="D279" s="550" t="s">
        <v>737</v>
      </c>
      <c r="F279" s="453">
        <v>2000</v>
      </c>
      <c r="G279" s="453">
        <v>2016</v>
      </c>
      <c r="H279" s="472">
        <v>64500</v>
      </c>
      <c r="I279" s="472">
        <v>175000</v>
      </c>
      <c r="J279" s="453">
        <v>1</v>
      </c>
      <c r="K279" s="453">
        <v>1</v>
      </c>
      <c r="L279" s="453" t="s">
        <v>154</v>
      </c>
      <c r="M279" s="453">
        <v>1</v>
      </c>
      <c r="N279" s="453" t="s">
        <v>122</v>
      </c>
      <c r="O279" s="453">
        <v>100</v>
      </c>
      <c r="P279" s="453" t="s">
        <v>148</v>
      </c>
      <c r="Q279" s="453" t="s">
        <v>149</v>
      </c>
      <c r="R279" s="453">
        <v>0.2</v>
      </c>
      <c r="S279" s="453">
        <v>0.2</v>
      </c>
      <c r="T279" s="453">
        <v>2</v>
      </c>
      <c r="V279" s="453">
        <v>50</v>
      </c>
      <c r="W279" s="453">
        <v>250</v>
      </c>
      <c r="X279" s="453" t="s">
        <v>58</v>
      </c>
      <c r="Z279" s="453" t="s">
        <v>150</v>
      </c>
      <c r="AA279" s="453">
        <v>377</v>
      </c>
      <c r="AC279" s="453" t="s">
        <v>736</v>
      </c>
    </row>
    <row r="280" spans="1:29">
      <c r="A280" s="453">
        <v>279</v>
      </c>
      <c r="B280" s="453" t="s">
        <v>738</v>
      </c>
      <c r="C280" s="453" t="s">
        <v>734</v>
      </c>
      <c r="D280" s="550" t="s">
        <v>739</v>
      </c>
      <c r="F280" s="453">
        <v>2000</v>
      </c>
      <c r="G280" s="453">
        <v>2006</v>
      </c>
      <c r="H280" s="472">
        <v>64500</v>
      </c>
      <c r="I280" s="472">
        <v>150000</v>
      </c>
      <c r="J280" s="453">
        <v>1</v>
      </c>
      <c r="K280" s="453">
        <v>1</v>
      </c>
      <c r="L280" s="453" t="s">
        <v>154</v>
      </c>
      <c r="M280" s="453">
        <v>1</v>
      </c>
      <c r="N280" s="453" t="s">
        <v>122</v>
      </c>
      <c r="O280" s="453">
        <v>100</v>
      </c>
      <c r="P280" s="453" t="s">
        <v>148</v>
      </c>
      <c r="Q280" s="453" t="s">
        <v>149</v>
      </c>
      <c r="R280" s="453">
        <v>0.2</v>
      </c>
      <c r="S280" s="453">
        <v>0.2</v>
      </c>
      <c r="T280" s="453">
        <v>2</v>
      </c>
      <c r="V280" s="453">
        <v>50</v>
      </c>
      <c r="W280" s="453">
        <v>250</v>
      </c>
      <c r="X280" s="453" t="s">
        <v>58</v>
      </c>
      <c r="Z280" s="453" t="s">
        <v>150</v>
      </c>
      <c r="AA280" s="453">
        <v>379</v>
      </c>
      <c r="AC280" s="453" t="s">
        <v>738</v>
      </c>
    </row>
    <row r="281" spans="1:29">
      <c r="A281" s="453">
        <v>280</v>
      </c>
      <c r="B281" s="453" t="s">
        <v>740</v>
      </c>
      <c r="C281" s="453" t="s">
        <v>741</v>
      </c>
      <c r="D281" s="550" t="s">
        <v>742</v>
      </c>
      <c r="F281" s="453">
        <v>1975</v>
      </c>
      <c r="G281" s="453">
        <v>1980</v>
      </c>
      <c r="H281" s="472">
        <v>500000</v>
      </c>
      <c r="I281" s="472">
        <v>750000</v>
      </c>
      <c r="J281" s="453">
        <v>2</v>
      </c>
      <c r="K281" s="453">
        <v>7</v>
      </c>
      <c r="L281" s="453" t="s">
        <v>147</v>
      </c>
      <c r="M281" s="453">
        <v>5</v>
      </c>
      <c r="N281" s="453" t="s">
        <v>130</v>
      </c>
      <c r="O281" s="453">
        <v>3230</v>
      </c>
      <c r="P281" s="453" t="s">
        <v>132</v>
      </c>
      <c r="Q281" s="453" t="s">
        <v>133</v>
      </c>
      <c r="R281" s="453">
        <v>-0.15</v>
      </c>
      <c r="S281" s="453">
        <v>-0.15</v>
      </c>
      <c r="T281" s="453">
        <v>21</v>
      </c>
      <c r="U281" s="453" t="s">
        <v>123</v>
      </c>
      <c r="V281" s="453">
        <v>1000</v>
      </c>
      <c r="W281" s="453">
        <v>5000</v>
      </c>
      <c r="X281" s="453" t="s">
        <v>125</v>
      </c>
      <c r="Z281" s="453" t="s">
        <v>150</v>
      </c>
      <c r="AA281" s="453">
        <v>382</v>
      </c>
      <c r="AC281" s="453" t="s">
        <v>740</v>
      </c>
    </row>
    <row r="282" spans="1:29">
      <c r="A282" s="453">
        <v>281</v>
      </c>
      <c r="B282" s="453" t="s">
        <v>743</v>
      </c>
      <c r="C282" s="453" t="s">
        <v>741</v>
      </c>
      <c r="D282" s="550" t="s">
        <v>744</v>
      </c>
      <c r="F282" s="453">
        <v>1975</v>
      </c>
      <c r="G282" s="453">
        <v>1990</v>
      </c>
      <c r="H282" s="472">
        <v>2400000</v>
      </c>
      <c r="I282" s="472">
        <v>3000000</v>
      </c>
      <c r="J282" s="453">
        <v>2</v>
      </c>
      <c r="K282" s="453">
        <v>8</v>
      </c>
      <c r="L282" s="453" t="s">
        <v>147</v>
      </c>
      <c r="M282" s="453">
        <v>5</v>
      </c>
      <c r="N282" s="453" t="s">
        <v>130</v>
      </c>
      <c r="O282" s="453">
        <v>4750</v>
      </c>
      <c r="P282" s="453" t="s">
        <v>132</v>
      </c>
      <c r="Q282" s="453" t="s">
        <v>133</v>
      </c>
      <c r="R282" s="453">
        <v>-0.15</v>
      </c>
      <c r="S282" s="453">
        <v>-0.15</v>
      </c>
      <c r="T282" s="453">
        <v>21</v>
      </c>
      <c r="U282" s="453" t="s">
        <v>123</v>
      </c>
      <c r="V282" s="453">
        <v>1000</v>
      </c>
      <c r="W282" s="453">
        <v>5000</v>
      </c>
      <c r="X282" s="453" t="s">
        <v>125</v>
      </c>
      <c r="Z282" s="453" t="s">
        <v>150</v>
      </c>
      <c r="AA282" s="453">
        <v>384</v>
      </c>
      <c r="AC282" s="453" t="s">
        <v>743</v>
      </c>
    </row>
    <row r="283" spans="1:29">
      <c r="A283" s="453">
        <v>282</v>
      </c>
      <c r="B283" s="654" t="s">
        <v>3977</v>
      </c>
      <c r="C283" s="453" t="s">
        <v>741</v>
      </c>
      <c r="D283" s="655" t="s">
        <v>3979</v>
      </c>
      <c r="F283" s="453">
        <v>1976</v>
      </c>
      <c r="G283" s="453">
        <v>2008</v>
      </c>
      <c r="H283" s="472">
        <v>2400000</v>
      </c>
      <c r="I283" s="472">
        <v>3000000</v>
      </c>
      <c r="J283" s="453">
        <v>2</v>
      </c>
      <c r="K283" s="453">
        <v>9</v>
      </c>
      <c r="L283" s="453" t="s">
        <v>147</v>
      </c>
      <c r="M283" s="453">
        <v>5</v>
      </c>
      <c r="N283" s="453" t="s">
        <v>130</v>
      </c>
      <c r="O283" s="453">
        <v>4750</v>
      </c>
      <c r="P283" s="453" t="s">
        <v>132</v>
      </c>
      <c r="Q283" s="453" t="s">
        <v>133</v>
      </c>
      <c r="R283" s="453">
        <v>-0.15</v>
      </c>
      <c r="S283" s="453">
        <v>-0.15</v>
      </c>
      <c r="T283" s="453">
        <v>21</v>
      </c>
      <c r="U283" s="453" t="s">
        <v>123</v>
      </c>
      <c r="V283" s="453">
        <v>1000</v>
      </c>
      <c r="W283" s="453">
        <v>5000</v>
      </c>
      <c r="X283" s="453" t="s">
        <v>125</v>
      </c>
      <c r="Z283" s="453" t="s">
        <v>150</v>
      </c>
      <c r="AA283" s="453">
        <v>384</v>
      </c>
      <c r="AC283" s="654" t="s">
        <v>3977</v>
      </c>
    </row>
    <row r="284" spans="1:29">
      <c r="A284" s="453">
        <v>283</v>
      </c>
      <c r="B284" s="654" t="s">
        <v>3978</v>
      </c>
      <c r="C284" s="453" t="s">
        <v>741</v>
      </c>
      <c r="D284" s="655" t="s">
        <v>3980</v>
      </c>
      <c r="F284" s="453">
        <v>1994</v>
      </c>
      <c r="G284" s="453">
        <v>2025</v>
      </c>
      <c r="H284" s="472">
        <v>5000000</v>
      </c>
      <c r="I284" s="472">
        <v>25000000</v>
      </c>
      <c r="J284" s="453">
        <v>2</v>
      </c>
      <c r="K284" s="453">
        <v>19</v>
      </c>
      <c r="L284" s="453" t="s">
        <v>147</v>
      </c>
      <c r="M284" s="453">
        <v>5</v>
      </c>
      <c r="N284" s="453" t="s">
        <v>130</v>
      </c>
      <c r="O284" s="453">
        <v>4750</v>
      </c>
      <c r="P284" s="453" t="s">
        <v>132</v>
      </c>
      <c r="Q284" s="453" t="s">
        <v>133</v>
      </c>
      <c r="R284" s="453">
        <v>-0.15</v>
      </c>
      <c r="S284" s="453">
        <v>-0.15</v>
      </c>
      <c r="T284" s="453">
        <v>21</v>
      </c>
      <c r="U284" s="453" t="s">
        <v>123</v>
      </c>
      <c r="V284" s="453">
        <v>1000</v>
      </c>
      <c r="W284" s="453">
        <v>5000</v>
      </c>
      <c r="X284" s="453" t="s">
        <v>125</v>
      </c>
      <c r="Z284" s="453" t="s">
        <v>150</v>
      </c>
      <c r="AA284" s="453">
        <v>384</v>
      </c>
      <c r="AC284" s="654" t="s">
        <v>3978</v>
      </c>
    </row>
    <row r="285" spans="1:29">
      <c r="A285" s="453">
        <v>284</v>
      </c>
      <c r="B285" s="654" t="s">
        <v>3981</v>
      </c>
      <c r="C285" s="453" t="s">
        <v>741</v>
      </c>
      <c r="D285" s="655" t="s">
        <v>3982</v>
      </c>
      <c r="F285" s="453">
        <v>1995</v>
      </c>
      <c r="G285" s="453">
        <v>2025</v>
      </c>
      <c r="H285" s="472">
        <v>5000000</v>
      </c>
      <c r="I285" s="472">
        <v>25000000</v>
      </c>
      <c r="J285" s="453">
        <v>2</v>
      </c>
      <c r="K285" s="453">
        <v>10</v>
      </c>
      <c r="L285" s="453" t="s">
        <v>147</v>
      </c>
      <c r="M285" s="453">
        <v>5</v>
      </c>
      <c r="N285" s="453" t="s">
        <v>130</v>
      </c>
      <c r="O285" s="453">
        <v>4750</v>
      </c>
      <c r="P285" s="453" t="s">
        <v>132</v>
      </c>
      <c r="Q285" s="453" t="s">
        <v>133</v>
      </c>
      <c r="R285" s="453">
        <v>-0.15</v>
      </c>
      <c r="S285" s="453">
        <v>-0.15</v>
      </c>
      <c r="T285" s="453">
        <v>21</v>
      </c>
      <c r="U285" s="453" t="s">
        <v>123</v>
      </c>
      <c r="V285" s="453">
        <v>1000</v>
      </c>
      <c r="W285" s="453">
        <v>5000</v>
      </c>
      <c r="X285" s="453" t="s">
        <v>125</v>
      </c>
      <c r="Z285" s="453" t="s">
        <v>150</v>
      </c>
      <c r="AA285" s="453">
        <v>384</v>
      </c>
      <c r="AC285" s="654" t="s">
        <v>3981</v>
      </c>
    </row>
    <row r="286" spans="1:29">
      <c r="A286" s="453">
        <v>285</v>
      </c>
      <c r="B286" s="453" t="s">
        <v>745</v>
      </c>
      <c r="C286" s="453" t="s">
        <v>746</v>
      </c>
      <c r="D286" s="550" t="s">
        <v>747</v>
      </c>
      <c r="F286" s="453">
        <v>1929</v>
      </c>
      <c r="G286" s="453">
        <v>1935</v>
      </c>
      <c r="H286" s="472">
        <v>49500</v>
      </c>
      <c r="I286" s="472">
        <v>101000</v>
      </c>
      <c r="J286" s="453">
        <v>1</v>
      </c>
      <c r="K286" s="453">
        <v>1</v>
      </c>
      <c r="L286" s="453" t="s">
        <v>147</v>
      </c>
      <c r="M286" s="453">
        <v>1</v>
      </c>
      <c r="N286" s="453" t="s">
        <v>122</v>
      </c>
      <c r="O286" s="453">
        <v>125</v>
      </c>
      <c r="P286" s="453" t="s">
        <v>123</v>
      </c>
      <c r="Q286" s="453" t="s">
        <v>124</v>
      </c>
      <c r="R286" s="453">
        <v>0</v>
      </c>
      <c r="S286" s="453">
        <v>0</v>
      </c>
      <c r="T286" s="453">
        <v>8</v>
      </c>
      <c r="V286" s="453">
        <v>100</v>
      </c>
      <c r="W286" s="453">
        <v>500</v>
      </c>
      <c r="X286" s="453" t="s">
        <v>58</v>
      </c>
      <c r="Z286" s="453" t="s">
        <v>150</v>
      </c>
      <c r="AA286" s="453">
        <v>385</v>
      </c>
      <c r="AC286" s="453" t="s">
        <v>745</v>
      </c>
    </row>
    <row r="287" spans="1:29">
      <c r="A287" s="453">
        <v>286</v>
      </c>
      <c r="B287" s="453" t="s">
        <v>748</v>
      </c>
      <c r="C287" s="453" t="s">
        <v>749</v>
      </c>
      <c r="D287" s="550" t="s">
        <v>750</v>
      </c>
      <c r="F287" s="453">
        <v>1950</v>
      </c>
      <c r="G287" s="453">
        <v>1989</v>
      </c>
      <c r="H287" s="472">
        <v>600000</v>
      </c>
      <c r="I287" s="472">
        <v>1000000</v>
      </c>
      <c r="J287" s="453">
        <v>1</v>
      </c>
      <c r="K287" s="453">
        <v>5</v>
      </c>
      <c r="L287" s="453" t="s">
        <v>147</v>
      </c>
      <c r="M287" s="453">
        <v>3</v>
      </c>
      <c r="N287" s="453" t="s">
        <v>130</v>
      </c>
      <c r="O287" s="453">
        <v>680</v>
      </c>
      <c r="P287" s="453" t="s">
        <v>123</v>
      </c>
      <c r="Q287" s="453" t="s">
        <v>133</v>
      </c>
      <c r="R287" s="453">
        <v>0</v>
      </c>
      <c r="S287" s="453">
        <v>0</v>
      </c>
      <c r="T287" s="453">
        <v>1</v>
      </c>
      <c r="U287" s="453" t="s">
        <v>123</v>
      </c>
      <c r="V287" s="453">
        <v>1000</v>
      </c>
      <c r="W287" s="453">
        <v>5000</v>
      </c>
      <c r="X287" s="453" t="s">
        <v>125</v>
      </c>
      <c r="Z287" s="453" t="s">
        <v>150</v>
      </c>
      <c r="AC287" s="453" t="s">
        <v>748</v>
      </c>
    </row>
    <row r="288" spans="1:29">
      <c r="A288" s="453">
        <v>287</v>
      </c>
      <c r="B288" s="453" t="s">
        <v>751</v>
      </c>
      <c r="C288" s="453" t="s">
        <v>749</v>
      </c>
      <c r="D288" s="550" t="s">
        <v>752</v>
      </c>
      <c r="F288" s="453">
        <v>1920</v>
      </c>
      <c r="G288" s="453">
        <v>2001</v>
      </c>
      <c r="H288" s="472">
        <v>24500</v>
      </c>
      <c r="I288" s="472">
        <v>76000</v>
      </c>
      <c r="J288" s="453">
        <v>1</v>
      </c>
      <c r="K288" s="453">
        <v>1</v>
      </c>
      <c r="L288" s="453" t="s">
        <v>147</v>
      </c>
      <c r="M288" s="453">
        <v>1</v>
      </c>
      <c r="N288" s="453" t="s">
        <v>753</v>
      </c>
      <c r="O288" s="453">
        <v>0</v>
      </c>
      <c r="P288" s="453" t="s">
        <v>123</v>
      </c>
      <c r="Q288" s="453" t="s">
        <v>149</v>
      </c>
      <c r="R288" s="453">
        <v>0</v>
      </c>
      <c r="S288" s="453">
        <v>0</v>
      </c>
      <c r="T288" s="453">
        <v>7</v>
      </c>
      <c r="V288" s="453">
        <v>100</v>
      </c>
      <c r="W288" s="453">
        <v>500</v>
      </c>
      <c r="X288" s="453" t="s">
        <v>125</v>
      </c>
      <c r="Z288" s="453" t="s">
        <v>150</v>
      </c>
      <c r="AA288" s="453">
        <v>386</v>
      </c>
      <c r="AC288" s="453" t="s">
        <v>751</v>
      </c>
    </row>
    <row r="289" spans="1:29">
      <c r="A289" s="453">
        <v>288</v>
      </c>
      <c r="B289" s="453" t="s">
        <v>754</v>
      </c>
      <c r="C289" s="453" t="s">
        <v>749</v>
      </c>
      <c r="D289" s="550" t="s">
        <v>755</v>
      </c>
      <c r="F289" s="453">
        <v>1946</v>
      </c>
      <c r="G289" s="453">
        <v>1995</v>
      </c>
      <c r="H289" s="472">
        <v>34500</v>
      </c>
      <c r="I289" s="472">
        <v>61000</v>
      </c>
      <c r="J289" s="453">
        <v>1</v>
      </c>
      <c r="K289" s="453">
        <v>1</v>
      </c>
      <c r="L289" s="453" t="s">
        <v>147</v>
      </c>
      <c r="M289" s="453">
        <v>1</v>
      </c>
      <c r="N289" s="453" t="s">
        <v>122</v>
      </c>
      <c r="O289" s="453">
        <v>145</v>
      </c>
      <c r="P289" s="453" t="s">
        <v>123</v>
      </c>
      <c r="Q289" s="453" t="s">
        <v>149</v>
      </c>
      <c r="R289" s="453">
        <v>0</v>
      </c>
      <c r="S289" s="453">
        <v>0</v>
      </c>
      <c r="T289" s="453">
        <v>7</v>
      </c>
      <c r="V289" s="453">
        <v>100</v>
      </c>
      <c r="W289" s="453">
        <v>500</v>
      </c>
      <c r="X289" s="453" t="s">
        <v>125</v>
      </c>
      <c r="Z289" s="453" t="s">
        <v>150</v>
      </c>
      <c r="AA289" s="453">
        <v>387</v>
      </c>
      <c r="AC289" s="453" t="s">
        <v>754</v>
      </c>
    </row>
    <row r="290" spans="1:29">
      <c r="A290" s="453">
        <v>289</v>
      </c>
      <c r="B290" s="453" t="s">
        <v>756</v>
      </c>
      <c r="C290" s="453" t="s">
        <v>749</v>
      </c>
      <c r="D290" s="550" t="s">
        <v>757</v>
      </c>
      <c r="F290" s="453">
        <v>1947</v>
      </c>
      <c r="G290" s="453">
        <v>1989</v>
      </c>
      <c r="H290" s="472">
        <v>149500</v>
      </c>
      <c r="I290" s="472">
        <v>500000</v>
      </c>
      <c r="J290" s="453">
        <v>1</v>
      </c>
      <c r="K290" s="453">
        <v>5</v>
      </c>
      <c r="L290" s="453" t="s">
        <v>147</v>
      </c>
      <c r="M290" s="453">
        <v>1</v>
      </c>
      <c r="N290" s="453" t="s">
        <v>122</v>
      </c>
      <c r="O290" s="453">
        <v>450</v>
      </c>
      <c r="P290" s="453" t="s">
        <v>123</v>
      </c>
      <c r="Q290" s="453" t="s">
        <v>124</v>
      </c>
      <c r="R290" s="453">
        <v>1</v>
      </c>
      <c r="S290" s="453">
        <v>0.75</v>
      </c>
      <c r="T290" s="453">
        <v>8</v>
      </c>
      <c r="V290" s="453">
        <v>100</v>
      </c>
      <c r="W290" s="453">
        <v>500</v>
      </c>
      <c r="X290" s="453" t="s">
        <v>125</v>
      </c>
      <c r="Z290" s="453" t="s">
        <v>150</v>
      </c>
      <c r="AA290" s="453">
        <v>388</v>
      </c>
      <c r="AC290" s="453" t="s">
        <v>756</v>
      </c>
    </row>
    <row r="291" spans="1:29">
      <c r="A291" s="453">
        <v>290</v>
      </c>
      <c r="B291" s="453" t="s">
        <v>758</v>
      </c>
      <c r="C291" s="453" t="s">
        <v>759</v>
      </c>
      <c r="D291" s="550" t="s">
        <v>760</v>
      </c>
      <c r="F291" s="453">
        <v>1995</v>
      </c>
      <c r="G291" s="453">
        <v>1999</v>
      </c>
      <c r="H291" s="472">
        <v>22000</v>
      </c>
      <c r="I291" s="472">
        <v>75000</v>
      </c>
      <c r="J291" s="453">
        <v>1</v>
      </c>
      <c r="K291" s="453">
        <v>1</v>
      </c>
      <c r="L291" s="453" t="s">
        <v>147</v>
      </c>
      <c r="M291" s="453">
        <v>1</v>
      </c>
      <c r="N291" s="453" t="s">
        <v>122</v>
      </c>
      <c r="O291" s="453">
        <v>80</v>
      </c>
      <c r="P291" s="453" t="s">
        <v>148</v>
      </c>
      <c r="Q291" s="453" t="s">
        <v>149</v>
      </c>
      <c r="R291" s="453">
        <v>0</v>
      </c>
      <c r="S291" s="453">
        <v>0</v>
      </c>
      <c r="T291" s="453">
        <v>4</v>
      </c>
      <c r="V291" s="453">
        <v>50</v>
      </c>
      <c r="W291" s="453">
        <v>250</v>
      </c>
      <c r="X291" s="453" t="s">
        <v>58</v>
      </c>
      <c r="Z291" s="453" t="s">
        <v>150</v>
      </c>
      <c r="AA291" s="453">
        <v>412</v>
      </c>
      <c r="AC291" s="453" t="s">
        <v>758</v>
      </c>
    </row>
    <row r="292" spans="1:29">
      <c r="A292" s="453">
        <v>291</v>
      </c>
      <c r="B292" s="453" t="s">
        <v>761</v>
      </c>
      <c r="C292" s="453" t="s">
        <v>759</v>
      </c>
      <c r="D292" s="550" t="s">
        <v>762</v>
      </c>
      <c r="F292" s="453">
        <v>2000</v>
      </c>
      <c r="G292" s="453">
        <v>2004</v>
      </c>
      <c r="H292" s="472">
        <v>82000</v>
      </c>
      <c r="I292" s="472">
        <v>100000</v>
      </c>
      <c r="J292" s="453">
        <v>1</v>
      </c>
      <c r="K292" s="453">
        <v>3</v>
      </c>
      <c r="L292" s="453" t="s">
        <v>147</v>
      </c>
      <c r="M292" s="453">
        <v>1</v>
      </c>
      <c r="N292" s="453" t="s">
        <v>122</v>
      </c>
      <c r="O292" s="453">
        <v>180</v>
      </c>
      <c r="P292" s="453" t="s">
        <v>148</v>
      </c>
      <c r="Q292" s="453" t="s">
        <v>149</v>
      </c>
      <c r="R292" s="453">
        <v>0</v>
      </c>
      <c r="S292" s="453">
        <v>0</v>
      </c>
      <c r="T292" s="453">
        <v>4</v>
      </c>
      <c r="V292" s="453">
        <v>50</v>
      </c>
      <c r="W292" s="453">
        <v>250</v>
      </c>
      <c r="X292" s="453" t="s">
        <v>58</v>
      </c>
      <c r="Z292" s="453" t="s">
        <v>150</v>
      </c>
      <c r="AA292" s="453">
        <v>416</v>
      </c>
      <c r="AC292" s="453" t="s">
        <v>761</v>
      </c>
    </row>
    <row r="293" spans="1:29">
      <c r="A293" s="453">
        <v>292</v>
      </c>
      <c r="B293" s="453" t="s">
        <v>763</v>
      </c>
      <c r="C293" s="453" t="s">
        <v>759</v>
      </c>
      <c r="D293" s="550" t="s">
        <v>764</v>
      </c>
      <c r="F293" s="453">
        <v>2004</v>
      </c>
      <c r="G293" s="453">
        <v>2009</v>
      </c>
      <c r="H293" s="472">
        <v>247000</v>
      </c>
      <c r="I293" s="472">
        <v>540000</v>
      </c>
      <c r="J293" s="453">
        <v>1</v>
      </c>
      <c r="K293" s="453">
        <v>3</v>
      </c>
      <c r="L293" s="453" t="s">
        <v>147</v>
      </c>
      <c r="M293" s="453">
        <v>2</v>
      </c>
      <c r="N293" s="453" t="s">
        <v>122</v>
      </c>
      <c r="O293" s="453">
        <v>135</v>
      </c>
      <c r="P293" s="453" t="s">
        <v>132</v>
      </c>
      <c r="Q293" s="453" t="s">
        <v>149</v>
      </c>
      <c r="R293" s="453">
        <v>0.5</v>
      </c>
      <c r="S293" s="453">
        <v>0</v>
      </c>
      <c r="T293" s="453">
        <v>14</v>
      </c>
      <c r="U293" s="453" t="s">
        <v>229</v>
      </c>
      <c r="V293" s="453">
        <v>100</v>
      </c>
      <c r="W293" s="453">
        <v>500</v>
      </c>
      <c r="X293" s="453" t="s">
        <v>125</v>
      </c>
      <c r="Z293" s="453" t="s">
        <v>150</v>
      </c>
      <c r="AA293" s="453">
        <v>419</v>
      </c>
      <c r="AC293" s="453" t="s">
        <v>763</v>
      </c>
    </row>
    <row r="294" spans="1:29">
      <c r="A294" s="453">
        <v>293</v>
      </c>
      <c r="B294" s="611" t="s">
        <v>765</v>
      </c>
      <c r="C294" s="611" t="s">
        <v>759</v>
      </c>
      <c r="D294" s="612" t="s">
        <v>766</v>
      </c>
      <c r="F294" s="453">
        <v>2007</v>
      </c>
      <c r="G294" s="453">
        <v>2025</v>
      </c>
      <c r="H294" s="472">
        <v>900000</v>
      </c>
      <c r="I294" s="472">
        <v>1500000</v>
      </c>
      <c r="J294" s="453">
        <v>1</v>
      </c>
      <c r="K294" s="453">
        <v>4</v>
      </c>
      <c r="L294" s="611" t="s">
        <v>147</v>
      </c>
      <c r="M294" s="453">
        <v>1</v>
      </c>
      <c r="N294" s="611" t="s">
        <v>122</v>
      </c>
      <c r="O294" s="453">
        <v>300</v>
      </c>
      <c r="P294" s="611" t="s">
        <v>132</v>
      </c>
      <c r="Q294" s="611" t="s">
        <v>124</v>
      </c>
      <c r="R294" s="453">
        <v>0.25</v>
      </c>
      <c r="S294" s="453">
        <v>0.75</v>
      </c>
      <c r="T294" s="453">
        <v>11</v>
      </c>
      <c r="V294" s="453">
        <v>500</v>
      </c>
      <c r="W294" s="453">
        <v>10000</v>
      </c>
      <c r="X294" s="611" t="s">
        <v>58</v>
      </c>
      <c r="Z294" s="611" t="s">
        <v>150</v>
      </c>
      <c r="AC294" s="611" t="s">
        <v>765</v>
      </c>
    </row>
    <row r="295" spans="1:29">
      <c r="A295" s="453">
        <v>294</v>
      </c>
      <c r="B295" s="453" t="s">
        <v>767</v>
      </c>
      <c r="C295" s="453" t="s">
        <v>759</v>
      </c>
      <c r="D295" s="550" t="s">
        <v>768</v>
      </c>
      <c r="F295" s="453">
        <v>2012</v>
      </c>
      <c r="G295" s="453">
        <v>2020</v>
      </c>
      <c r="H295" s="472">
        <v>950000</v>
      </c>
      <c r="I295" s="472">
        <v>1500000</v>
      </c>
      <c r="J295" s="453">
        <v>1</v>
      </c>
      <c r="K295" s="453">
        <v>6</v>
      </c>
      <c r="L295" s="453" t="s">
        <v>147</v>
      </c>
      <c r="M295" s="453">
        <v>2</v>
      </c>
      <c r="N295" s="453" t="s">
        <v>122</v>
      </c>
      <c r="O295" s="453">
        <v>180</v>
      </c>
      <c r="P295" s="453" t="s">
        <v>132</v>
      </c>
      <c r="Q295" s="453" t="s">
        <v>124</v>
      </c>
      <c r="R295" s="453">
        <v>0.25</v>
      </c>
      <c r="S295" s="453">
        <v>0</v>
      </c>
      <c r="T295" s="453">
        <v>15</v>
      </c>
      <c r="U295" s="453" t="s">
        <v>229</v>
      </c>
      <c r="V295" s="453">
        <v>250</v>
      </c>
      <c r="W295" s="453">
        <v>2500</v>
      </c>
      <c r="X295" s="453" t="s">
        <v>125</v>
      </c>
      <c r="Z295" s="453" t="s">
        <v>150</v>
      </c>
      <c r="AB295" s="453" t="s">
        <v>769</v>
      </c>
      <c r="AC295" s="453" t="s">
        <v>767</v>
      </c>
    </row>
    <row r="296" spans="1:29">
      <c r="A296" s="453">
        <v>295</v>
      </c>
      <c r="B296" s="453" t="s">
        <v>770</v>
      </c>
      <c r="C296" s="453" t="s">
        <v>771</v>
      </c>
      <c r="D296" s="550" t="s">
        <v>772</v>
      </c>
      <c r="F296" s="453">
        <v>1955</v>
      </c>
      <c r="G296" s="453">
        <v>1965</v>
      </c>
      <c r="H296" s="472">
        <v>39500</v>
      </c>
      <c r="I296" s="472">
        <v>76000</v>
      </c>
      <c r="J296" s="453">
        <v>1</v>
      </c>
      <c r="K296" s="453">
        <v>5</v>
      </c>
      <c r="L296" s="453" t="s">
        <v>147</v>
      </c>
      <c r="M296" s="453">
        <v>1</v>
      </c>
      <c r="N296" s="453" t="s">
        <v>122</v>
      </c>
      <c r="O296" s="453">
        <v>270</v>
      </c>
      <c r="P296" s="453" t="s">
        <v>123</v>
      </c>
      <c r="Q296" s="453" t="s">
        <v>124</v>
      </c>
      <c r="R296" s="453">
        <v>0</v>
      </c>
      <c r="S296" s="453">
        <v>0</v>
      </c>
      <c r="T296" s="453">
        <v>8</v>
      </c>
      <c r="V296" s="453">
        <v>100</v>
      </c>
      <c r="W296" s="453">
        <v>500</v>
      </c>
      <c r="X296" s="453" t="s">
        <v>58</v>
      </c>
      <c r="Z296" s="453" t="s">
        <v>150</v>
      </c>
      <c r="AA296" s="453">
        <v>424</v>
      </c>
      <c r="AC296" s="453" t="s">
        <v>770</v>
      </c>
    </row>
    <row r="297" spans="1:29">
      <c r="A297" s="453">
        <v>296</v>
      </c>
      <c r="B297" s="453" t="s">
        <v>773</v>
      </c>
      <c r="C297" s="453" t="s">
        <v>774</v>
      </c>
      <c r="D297" s="550" t="s">
        <v>775</v>
      </c>
      <c r="F297" s="453">
        <v>1944</v>
      </c>
      <c r="G297" s="453">
        <v>1954</v>
      </c>
      <c r="H297" s="472">
        <v>250000</v>
      </c>
      <c r="I297" s="472">
        <v>1000000</v>
      </c>
      <c r="J297" s="453">
        <v>1</v>
      </c>
      <c r="K297" s="453">
        <v>5</v>
      </c>
      <c r="L297" s="453" t="s">
        <v>121</v>
      </c>
      <c r="M297" s="453">
        <v>2</v>
      </c>
      <c r="N297" s="453" t="s">
        <v>122</v>
      </c>
      <c r="O297" s="453">
        <v>2000</v>
      </c>
      <c r="P297" s="453" t="s">
        <v>132</v>
      </c>
      <c r="Q297" s="453" t="s">
        <v>133</v>
      </c>
      <c r="R297" s="453">
        <v>1.5</v>
      </c>
      <c r="S297" s="453">
        <v>2.5</v>
      </c>
      <c r="T297" s="453">
        <v>1</v>
      </c>
      <c r="V297" s="453">
        <v>2500</v>
      </c>
      <c r="W297" s="453">
        <v>0.1</v>
      </c>
      <c r="X297" s="453" t="s">
        <v>125</v>
      </c>
      <c r="AC297" s="453" t="s">
        <v>773</v>
      </c>
    </row>
    <row r="298" spans="1:29">
      <c r="A298" s="453">
        <v>297</v>
      </c>
      <c r="B298" s="453" t="s">
        <v>776</v>
      </c>
      <c r="C298" s="453" t="s">
        <v>777</v>
      </c>
      <c r="D298" s="550" t="s">
        <v>778</v>
      </c>
      <c r="F298" s="453">
        <v>2000</v>
      </c>
      <c r="G298" s="453">
        <v>2016</v>
      </c>
      <c r="H298" s="472">
        <v>80000</v>
      </c>
      <c r="I298" s="472">
        <v>150000</v>
      </c>
      <c r="J298" s="453">
        <v>1</v>
      </c>
      <c r="K298" s="453">
        <v>1</v>
      </c>
      <c r="L298" s="453" t="s">
        <v>154</v>
      </c>
      <c r="M298" s="453">
        <v>1</v>
      </c>
      <c r="N298" s="453" t="s">
        <v>122</v>
      </c>
      <c r="O298" s="453">
        <v>100</v>
      </c>
      <c r="P298" s="453" t="s">
        <v>148</v>
      </c>
      <c r="Q298" s="453" t="s">
        <v>149</v>
      </c>
      <c r="R298" s="453">
        <v>0</v>
      </c>
      <c r="S298" s="453">
        <v>0</v>
      </c>
      <c r="T298" s="453">
        <v>2</v>
      </c>
      <c r="V298" s="453">
        <v>50</v>
      </c>
      <c r="W298" s="453">
        <v>250</v>
      </c>
      <c r="X298" s="453" t="s">
        <v>58</v>
      </c>
      <c r="Z298" s="453" t="s">
        <v>150</v>
      </c>
      <c r="AA298" s="453">
        <v>425</v>
      </c>
      <c r="AC298" s="453" t="s">
        <v>776</v>
      </c>
    </row>
    <row r="299" spans="1:29">
      <c r="A299" s="453">
        <v>298</v>
      </c>
      <c r="B299" s="453" t="s">
        <v>779</v>
      </c>
      <c r="C299" s="453" t="s">
        <v>780</v>
      </c>
      <c r="D299" s="550" t="s">
        <v>781</v>
      </c>
      <c r="F299" s="453">
        <v>1997</v>
      </c>
      <c r="G299" s="453">
        <v>2020</v>
      </c>
      <c r="H299" s="472">
        <v>40000</v>
      </c>
      <c r="I299" s="472">
        <v>70000</v>
      </c>
      <c r="J299" s="453">
        <v>1</v>
      </c>
      <c r="K299" s="453">
        <v>1</v>
      </c>
      <c r="L299" s="453" t="s">
        <v>147</v>
      </c>
      <c r="M299" s="453">
        <v>1</v>
      </c>
      <c r="N299" s="453" t="s">
        <v>163</v>
      </c>
      <c r="O299" s="453">
        <v>125</v>
      </c>
      <c r="P299" s="453" t="s">
        <v>148</v>
      </c>
      <c r="Q299" s="453" t="s">
        <v>149</v>
      </c>
      <c r="R299" s="453">
        <v>0</v>
      </c>
      <c r="S299" s="453">
        <v>0</v>
      </c>
      <c r="T299" s="453">
        <v>4</v>
      </c>
      <c r="V299" s="453">
        <v>50</v>
      </c>
      <c r="W299" s="453">
        <v>250</v>
      </c>
      <c r="X299" s="453" t="s">
        <v>58</v>
      </c>
      <c r="Z299" s="453" t="s">
        <v>150</v>
      </c>
      <c r="AC299" s="453" t="s">
        <v>779</v>
      </c>
    </row>
    <row r="300" spans="1:29">
      <c r="A300" s="453">
        <v>299</v>
      </c>
      <c r="B300" s="453" t="s">
        <v>782</v>
      </c>
      <c r="C300" s="453" t="s">
        <v>783</v>
      </c>
      <c r="D300" s="550" t="s">
        <v>784</v>
      </c>
      <c r="F300" s="453">
        <v>2000</v>
      </c>
      <c r="G300" s="453">
        <v>2025</v>
      </c>
      <c r="H300" s="472">
        <v>80000</v>
      </c>
      <c r="I300" s="472">
        <v>150000</v>
      </c>
      <c r="J300" s="453">
        <v>1</v>
      </c>
      <c r="K300" s="453">
        <v>1</v>
      </c>
      <c r="L300" s="453" t="s">
        <v>154</v>
      </c>
      <c r="M300" s="453">
        <v>1</v>
      </c>
      <c r="N300" s="453" t="s">
        <v>122</v>
      </c>
      <c r="O300" s="453">
        <v>100</v>
      </c>
      <c r="P300" s="453" t="s">
        <v>148</v>
      </c>
      <c r="Q300" s="453" t="s">
        <v>149</v>
      </c>
      <c r="R300" s="453">
        <v>0</v>
      </c>
      <c r="S300" s="453">
        <v>0</v>
      </c>
      <c r="T300" s="453">
        <v>2</v>
      </c>
      <c r="V300" s="453">
        <v>50</v>
      </c>
      <c r="W300" s="453">
        <v>250</v>
      </c>
      <c r="X300" s="453" t="s">
        <v>58</v>
      </c>
      <c r="Z300" s="453" t="s">
        <v>150</v>
      </c>
      <c r="AA300" s="453">
        <v>431</v>
      </c>
      <c r="AC300" s="453" t="s">
        <v>782</v>
      </c>
    </row>
    <row r="301" spans="1:29">
      <c r="A301" s="453">
        <v>300</v>
      </c>
      <c r="B301" s="453" t="s">
        <v>785</v>
      </c>
      <c r="C301" s="453" t="s">
        <v>786</v>
      </c>
      <c r="D301" s="550">
        <v>500</v>
      </c>
      <c r="F301" s="453">
        <v>2006</v>
      </c>
      <c r="G301" s="453">
        <v>2006</v>
      </c>
      <c r="H301" s="472">
        <v>800000</v>
      </c>
      <c r="I301" s="472">
        <v>900000</v>
      </c>
      <c r="J301" s="453">
        <v>1</v>
      </c>
      <c r="K301" s="453">
        <v>5</v>
      </c>
      <c r="L301" s="453" t="s">
        <v>147</v>
      </c>
      <c r="M301" s="453">
        <v>5</v>
      </c>
      <c r="N301" s="453" t="s">
        <v>130</v>
      </c>
      <c r="O301" s="453">
        <v>900</v>
      </c>
      <c r="P301" s="453" t="s">
        <v>132</v>
      </c>
      <c r="Q301" s="453" t="s">
        <v>149</v>
      </c>
      <c r="R301" s="453">
        <v>0.6</v>
      </c>
      <c r="S301" s="453">
        <v>0.6</v>
      </c>
      <c r="T301" s="453">
        <v>21</v>
      </c>
      <c r="U301" s="453" t="s">
        <v>123</v>
      </c>
      <c r="V301" s="453">
        <v>1000</v>
      </c>
      <c r="W301" s="453">
        <v>0.1</v>
      </c>
      <c r="X301" s="453" t="s">
        <v>125</v>
      </c>
      <c r="Z301" s="453" t="s">
        <v>150</v>
      </c>
      <c r="AA301" s="453">
        <v>433</v>
      </c>
      <c r="AC301" s="453" t="s">
        <v>785</v>
      </c>
    </row>
    <row r="302" spans="1:29">
      <c r="A302" s="453">
        <v>301</v>
      </c>
      <c r="B302" s="453" t="s">
        <v>787</v>
      </c>
      <c r="C302" s="453" t="s">
        <v>788</v>
      </c>
      <c r="D302" s="550" t="s">
        <v>789</v>
      </c>
      <c r="F302" s="453">
        <v>1981</v>
      </c>
      <c r="G302" s="453">
        <v>1995</v>
      </c>
      <c r="H302" s="472">
        <v>450000</v>
      </c>
      <c r="I302" s="472">
        <v>1000000</v>
      </c>
      <c r="J302" s="453">
        <v>1</v>
      </c>
      <c r="K302" s="453">
        <v>1</v>
      </c>
      <c r="L302" s="453" t="s">
        <v>121</v>
      </c>
      <c r="M302" s="453">
        <v>3</v>
      </c>
      <c r="N302" s="453" t="s">
        <v>130</v>
      </c>
      <c r="O302" s="453">
        <v>750</v>
      </c>
      <c r="P302" s="453" t="s">
        <v>132</v>
      </c>
      <c r="Q302" s="453" t="s">
        <v>133</v>
      </c>
      <c r="R302" s="453">
        <v>0</v>
      </c>
      <c r="S302" s="453">
        <v>1</v>
      </c>
      <c r="T302" s="453">
        <v>1</v>
      </c>
      <c r="U302" s="453" t="s">
        <v>229</v>
      </c>
      <c r="V302" s="453">
        <v>5000</v>
      </c>
      <c r="W302" s="453">
        <v>0.1</v>
      </c>
      <c r="X302" s="453" t="s">
        <v>125</v>
      </c>
      <c r="Z302" s="453" t="s">
        <v>150</v>
      </c>
      <c r="AB302" s="453" t="s">
        <v>790</v>
      </c>
      <c r="AC302" s="453" t="s">
        <v>787</v>
      </c>
    </row>
    <row r="303" spans="1:29">
      <c r="A303" s="453">
        <v>302</v>
      </c>
      <c r="B303" s="453" t="s">
        <v>791</v>
      </c>
      <c r="C303" s="453" t="s">
        <v>788</v>
      </c>
      <c r="D303" s="550" t="s">
        <v>792</v>
      </c>
      <c r="F303" s="453">
        <v>2009</v>
      </c>
      <c r="G303" s="453">
        <v>2010</v>
      </c>
      <c r="H303" s="472">
        <v>3000000</v>
      </c>
      <c r="I303" s="472">
        <v>3500000</v>
      </c>
      <c r="J303" s="453">
        <v>1</v>
      </c>
      <c r="K303" s="453">
        <v>5</v>
      </c>
      <c r="L303" s="453" t="s">
        <v>147</v>
      </c>
      <c r="M303" s="453">
        <v>5</v>
      </c>
      <c r="N303" s="453" t="s">
        <v>130</v>
      </c>
      <c r="O303" s="453">
        <v>1615</v>
      </c>
      <c r="P303" s="453" t="s">
        <v>132</v>
      </c>
      <c r="Q303" s="453" t="s">
        <v>149</v>
      </c>
      <c r="R303" s="453">
        <v>-0.33</v>
      </c>
      <c r="S303" s="453">
        <v>-0.23</v>
      </c>
      <c r="T303" s="453">
        <v>21</v>
      </c>
      <c r="U303" s="453" t="s">
        <v>123</v>
      </c>
      <c r="V303" s="453">
        <v>1000</v>
      </c>
      <c r="W303" s="453">
        <v>5000</v>
      </c>
      <c r="X303" s="453" t="s">
        <v>125</v>
      </c>
      <c r="Z303" s="453" t="s">
        <v>150</v>
      </c>
      <c r="AA303" s="453">
        <v>441</v>
      </c>
      <c r="AC303" s="453" t="s">
        <v>791</v>
      </c>
    </row>
    <row r="304" spans="1:29">
      <c r="A304" s="453">
        <v>303</v>
      </c>
      <c r="B304" s="611" t="s">
        <v>793</v>
      </c>
      <c r="C304" s="453" t="s">
        <v>788</v>
      </c>
      <c r="D304" s="612" t="s">
        <v>794</v>
      </c>
      <c r="F304" s="453">
        <v>2009</v>
      </c>
      <c r="G304" s="453">
        <v>2020</v>
      </c>
      <c r="H304" s="472">
        <v>3750000</v>
      </c>
      <c r="I304" s="472">
        <v>11375000</v>
      </c>
      <c r="J304" s="453">
        <v>1</v>
      </c>
      <c r="K304" s="453">
        <v>7</v>
      </c>
      <c r="L304" s="453" t="s">
        <v>147</v>
      </c>
      <c r="M304" s="453">
        <v>5</v>
      </c>
      <c r="N304" s="453" t="s">
        <v>130</v>
      </c>
      <c r="O304" s="453">
        <v>3200</v>
      </c>
      <c r="P304" s="453" t="s">
        <v>132</v>
      </c>
      <c r="Q304" s="611" t="s">
        <v>133</v>
      </c>
      <c r="R304" s="453">
        <v>-0.33</v>
      </c>
      <c r="S304" s="453">
        <v>-0.23</v>
      </c>
      <c r="T304" s="453">
        <v>21</v>
      </c>
      <c r="U304" s="453" t="s">
        <v>123</v>
      </c>
      <c r="V304" s="453">
        <v>1000</v>
      </c>
      <c r="W304" s="453">
        <v>5000</v>
      </c>
      <c r="X304" s="453" t="s">
        <v>125</v>
      </c>
      <c r="Z304" s="453" t="s">
        <v>150</v>
      </c>
      <c r="AA304" s="453">
        <v>441</v>
      </c>
      <c r="AC304" s="611" t="s">
        <v>793</v>
      </c>
    </row>
    <row r="305" spans="1:29">
      <c r="A305" s="453">
        <v>304</v>
      </c>
      <c r="B305" s="663" t="s">
        <v>4013</v>
      </c>
      <c r="C305" s="453" t="s">
        <v>788</v>
      </c>
      <c r="D305" s="664" t="s">
        <v>4014</v>
      </c>
      <c r="F305" s="453">
        <v>2015</v>
      </c>
      <c r="G305" s="453">
        <v>2025</v>
      </c>
      <c r="H305" s="472">
        <v>14000000</v>
      </c>
      <c r="I305" s="472">
        <v>20595000</v>
      </c>
      <c r="J305" s="453">
        <v>2</v>
      </c>
      <c r="K305" s="453">
        <v>9</v>
      </c>
      <c r="L305" s="453" t="s">
        <v>147</v>
      </c>
      <c r="M305" s="453">
        <v>5</v>
      </c>
      <c r="N305" s="453" t="s">
        <v>130</v>
      </c>
      <c r="O305" s="453">
        <v>6540</v>
      </c>
      <c r="P305" s="453" t="s">
        <v>132</v>
      </c>
      <c r="Q305" s="611" t="s">
        <v>133</v>
      </c>
      <c r="R305" s="453">
        <v>-0.33</v>
      </c>
      <c r="S305" s="453">
        <v>-0.23</v>
      </c>
      <c r="T305" s="453">
        <v>21</v>
      </c>
      <c r="U305" s="453" t="s">
        <v>123</v>
      </c>
      <c r="V305" s="453">
        <v>1000</v>
      </c>
      <c r="W305" s="453">
        <v>5000</v>
      </c>
      <c r="X305" s="453" t="s">
        <v>125</v>
      </c>
      <c r="Z305" s="453" t="s">
        <v>150</v>
      </c>
      <c r="AA305" s="453">
        <v>441</v>
      </c>
      <c r="AC305" s="663" t="s">
        <v>4013</v>
      </c>
    </row>
    <row r="306" spans="1:29">
      <c r="A306" s="453">
        <v>305</v>
      </c>
      <c r="B306" s="663" t="s">
        <v>4011</v>
      </c>
      <c r="C306" s="453" t="s">
        <v>788</v>
      </c>
      <c r="D306" s="664" t="s">
        <v>4012</v>
      </c>
      <c r="F306" s="453">
        <v>2019</v>
      </c>
      <c r="G306" s="453">
        <v>2025</v>
      </c>
      <c r="H306" s="472">
        <v>19500000</v>
      </c>
      <c r="I306" s="472">
        <v>23995000</v>
      </c>
      <c r="J306" s="453">
        <v>2</v>
      </c>
      <c r="K306" s="453">
        <v>12</v>
      </c>
      <c r="L306" s="453" t="s">
        <v>147</v>
      </c>
      <c r="M306" s="453">
        <v>5</v>
      </c>
      <c r="N306" s="453" t="s">
        <v>130</v>
      </c>
      <c r="O306" s="453">
        <v>7528</v>
      </c>
      <c r="P306" s="453" t="s">
        <v>132</v>
      </c>
      <c r="Q306" s="611" t="s">
        <v>133</v>
      </c>
      <c r="R306" s="453">
        <v>-0.33</v>
      </c>
      <c r="S306" s="453">
        <v>-0.23</v>
      </c>
      <c r="T306" s="453">
        <v>21</v>
      </c>
      <c r="U306" s="453" t="s">
        <v>123</v>
      </c>
      <c r="V306" s="453">
        <v>1000</v>
      </c>
      <c r="W306" s="453">
        <v>5000</v>
      </c>
      <c r="X306" s="453" t="s">
        <v>125</v>
      </c>
      <c r="Z306" s="453" t="s">
        <v>150</v>
      </c>
      <c r="AA306" s="453">
        <v>441</v>
      </c>
      <c r="AC306" s="663" t="s">
        <v>4011</v>
      </c>
    </row>
    <row r="307" spans="1:29">
      <c r="A307" s="453">
        <v>306</v>
      </c>
      <c r="B307" s="453" t="s">
        <v>795</v>
      </c>
      <c r="C307" s="453" t="s">
        <v>796</v>
      </c>
      <c r="D307" s="550">
        <v>480</v>
      </c>
      <c r="F307" s="453">
        <v>1994</v>
      </c>
      <c r="G307" s="453">
        <v>2008</v>
      </c>
      <c r="H307" s="472">
        <v>400000</v>
      </c>
      <c r="I307" s="472">
        <v>800000</v>
      </c>
      <c r="J307" s="453">
        <v>1</v>
      </c>
      <c r="K307" s="453">
        <v>4</v>
      </c>
      <c r="L307" s="453" t="s">
        <v>147</v>
      </c>
      <c r="M307" s="453">
        <v>7</v>
      </c>
      <c r="N307" s="453" t="s">
        <v>130</v>
      </c>
      <c r="O307" s="453">
        <v>420</v>
      </c>
      <c r="P307" s="453" t="s">
        <v>148</v>
      </c>
      <c r="Q307" s="453" t="s">
        <v>149</v>
      </c>
      <c r="R307" s="453">
        <v>0</v>
      </c>
      <c r="S307" s="453">
        <v>0</v>
      </c>
      <c r="T307" s="453">
        <v>22</v>
      </c>
      <c r="U307" s="453" t="s">
        <v>123</v>
      </c>
      <c r="V307" s="453">
        <v>1000</v>
      </c>
      <c r="W307" s="453">
        <v>2.5000000000000001E-2</v>
      </c>
      <c r="X307" s="453" t="s">
        <v>125</v>
      </c>
      <c r="Z307" s="453" t="s">
        <v>150</v>
      </c>
      <c r="AA307" s="453">
        <v>443</v>
      </c>
      <c r="AC307" s="453" t="s">
        <v>795</v>
      </c>
    </row>
    <row r="308" spans="1:29">
      <c r="A308" s="453">
        <v>307</v>
      </c>
      <c r="B308" s="453" t="s">
        <v>797</v>
      </c>
      <c r="C308" s="453" t="s">
        <v>796</v>
      </c>
      <c r="D308" s="550" t="s">
        <v>798</v>
      </c>
      <c r="F308" s="453">
        <v>1966</v>
      </c>
      <c r="G308" s="453">
        <v>1979</v>
      </c>
      <c r="H308" s="472">
        <v>39500</v>
      </c>
      <c r="I308" s="472">
        <v>121000</v>
      </c>
      <c r="J308" s="453">
        <v>1</v>
      </c>
      <c r="K308" s="453">
        <v>2</v>
      </c>
      <c r="L308" s="453" t="s">
        <v>147</v>
      </c>
      <c r="M308" s="453">
        <v>6</v>
      </c>
      <c r="N308" s="453" t="s">
        <v>122</v>
      </c>
      <c r="O308" s="453">
        <v>205</v>
      </c>
      <c r="P308" s="453" t="s">
        <v>148</v>
      </c>
      <c r="Q308" s="453" t="s">
        <v>149</v>
      </c>
      <c r="R308" s="453">
        <v>0</v>
      </c>
      <c r="S308" s="453">
        <v>0</v>
      </c>
      <c r="T308" s="453">
        <v>17</v>
      </c>
      <c r="V308" s="453">
        <v>1000</v>
      </c>
      <c r="W308" s="453">
        <v>0.05</v>
      </c>
      <c r="X308" s="453" t="s">
        <v>125</v>
      </c>
      <c r="Z308" s="453" t="s">
        <v>150</v>
      </c>
      <c r="AA308" s="453">
        <v>444</v>
      </c>
      <c r="AC308" s="453" t="s">
        <v>797</v>
      </c>
    </row>
    <row r="309" spans="1:29">
      <c r="A309" s="453">
        <v>308</v>
      </c>
      <c r="B309" s="453" t="s">
        <v>799</v>
      </c>
      <c r="C309" s="453" t="s">
        <v>800</v>
      </c>
      <c r="D309" s="550" t="s">
        <v>801</v>
      </c>
      <c r="F309" s="453">
        <v>2018</v>
      </c>
      <c r="G309" s="453">
        <v>2020</v>
      </c>
      <c r="H309" s="472">
        <v>1500000</v>
      </c>
      <c r="I309" s="472">
        <v>3500000</v>
      </c>
      <c r="J309" s="453">
        <v>1</v>
      </c>
      <c r="K309" s="453">
        <v>5</v>
      </c>
      <c r="L309" s="453" t="s">
        <v>147</v>
      </c>
      <c r="M309" s="453">
        <v>3</v>
      </c>
      <c r="N309" s="453" t="s">
        <v>130</v>
      </c>
      <c r="O309" s="453">
        <v>1200</v>
      </c>
      <c r="P309" s="453" t="s">
        <v>132</v>
      </c>
      <c r="Q309" s="453" t="s">
        <v>133</v>
      </c>
      <c r="R309" s="453">
        <v>0</v>
      </c>
      <c r="S309" s="453">
        <v>0</v>
      </c>
      <c r="T309" s="453">
        <v>19</v>
      </c>
      <c r="U309" s="453" t="s">
        <v>123</v>
      </c>
      <c r="V309" s="453">
        <v>1000</v>
      </c>
      <c r="W309" s="453">
        <v>10000</v>
      </c>
      <c r="X309" s="453" t="s">
        <v>125</v>
      </c>
      <c r="Z309" s="453" t="s">
        <v>150</v>
      </c>
      <c r="AB309" s="453" t="s">
        <v>802</v>
      </c>
      <c r="AC309" s="453" t="s">
        <v>799</v>
      </c>
    </row>
    <row r="310" spans="1:29">
      <c r="A310" s="453">
        <v>309</v>
      </c>
      <c r="B310" s="611" t="s">
        <v>803</v>
      </c>
      <c r="C310" s="611" t="s">
        <v>800</v>
      </c>
      <c r="D310" s="612" t="s">
        <v>804</v>
      </c>
      <c r="F310" s="453">
        <v>2010</v>
      </c>
      <c r="G310" s="453">
        <v>2022</v>
      </c>
      <c r="H310" s="472">
        <v>1000000</v>
      </c>
      <c r="I310" s="472">
        <v>3000000</v>
      </c>
      <c r="J310" s="453">
        <v>1</v>
      </c>
      <c r="K310" s="453">
        <v>5</v>
      </c>
      <c r="L310" s="611" t="s">
        <v>805</v>
      </c>
      <c r="M310" s="453">
        <v>3</v>
      </c>
      <c r="N310" s="611" t="s">
        <v>130</v>
      </c>
      <c r="O310" s="453">
        <v>1200</v>
      </c>
      <c r="P310" s="611" t="s">
        <v>132</v>
      </c>
      <c r="Q310" s="611" t="s">
        <v>133</v>
      </c>
      <c r="R310" s="453">
        <v>0.25</v>
      </c>
      <c r="S310" s="453">
        <v>1</v>
      </c>
      <c r="T310" s="453">
        <v>19</v>
      </c>
      <c r="U310" s="611" t="s">
        <v>123</v>
      </c>
      <c r="V310" s="453">
        <v>1000</v>
      </c>
      <c r="W310" s="453">
        <v>10000</v>
      </c>
      <c r="X310" s="611" t="s">
        <v>125</v>
      </c>
      <c r="Z310" s="611" t="s">
        <v>150</v>
      </c>
      <c r="AC310" s="611" t="s">
        <v>803</v>
      </c>
    </row>
    <row r="311" spans="1:29">
      <c r="A311" s="453">
        <v>310</v>
      </c>
      <c r="B311" s="453" t="s">
        <v>806</v>
      </c>
      <c r="C311" s="453" t="s">
        <v>807</v>
      </c>
      <c r="D311" s="550">
        <v>415</v>
      </c>
      <c r="F311" s="453">
        <v>1937</v>
      </c>
      <c r="G311" s="453">
        <v>1967</v>
      </c>
      <c r="H311" s="472">
        <v>10000</v>
      </c>
      <c r="I311" s="472">
        <v>30000</v>
      </c>
      <c r="J311" s="453">
        <v>1</v>
      </c>
      <c r="K311" s="453">
        <v>1</v>
      </c>
      <c r="L311" s="453" t="s">
        <v>147</v>
      </c>
      <c r="M311" s="453">
        <v>1</v>
      </c>
      <c r="N311" s="453" t="s">
        <v>122</v>
      </c>
      <c r="O311" s="453">
        <v>90</v>
      </c>
      <c r="P311" s="453" t="s">
        <v>148</v>
      </c>
      <c r="Q311" s="453" t="s">
        <v>149</v>
      </c>
      <c r="R311" s="453">
        <v>0</v>
      </c>
      <c r="S311" s="453">
        <v>0</v>
      </c>
      <c r="T311" s="453">
        <v>4</v>
      </c>
      <c r="V311" s="453">
        <v>50</v>
      </c>
      <c r="W311" s="453">
        <v>250</v>
      </c>
      <c r="X311" s="453" t="s">
        <v>58</v>
      </c>
      <c r="Z311" s="453" t="s">
        <v>150</v>
      </c>
      <c r="AA311" s="453">
        <v>447</v>
      </c>
      <c r="AC311" s="453" t="s">
        <v>806</v>
      </c>
    </row>
    <row r="312" spans="1:29">
      <c r="A312" s="453">
        <v>311</v>
      </c>
      <c r="B312" s="453" t="s">
        <v>808</v>
      </c>
      <c r="C312" s="453" t="s">
        <v>809</v>
      </c>
      <c r="D312" s="550" t="s">
        <v>810</v>
      </c>
      <c r="F312" s="453">
        <v>1981</v>
      </c>
      <c r="G312" s="453">
        <v>1998</v>
      </c>
      <c r="H312" s="472">
        <v>575000</v>
      </c>
      <c r="I312" s="472">
        <v>1500000</v>
      </c>
      <c r="J312" s="453">
        <v>1</v>
      </c>
      <c r="K312" s="453">
        <v>5</v>
      </c>
      <c r="L312" s="453" t="s">
        <v>147</v>
      </c>
      <c r="M312" s="453">
        <v>7</v>
      </c>
      <c r="N312" s="453" t="s">
        <v>130</v>
      </c>
      <c r="O312" s="453">
        <v>420</v>
      </c>
      <c r="P312" s="453" t="s">
        <v>148</v>
      </c>
      <c r="Q312" s="453" t="s">
        <v>124</v>
      </c>
      <c r="R312" s="453">
        <v>0</v>
      </c>
      <c r="S312" s="453">
        <v>0</v>
      </c>
      <c r="T312" s="453">
        <v>23</v>
      </c>
      <c r="U312" s="453" t="s">
        <v>123</v>
      </c>
      <c r="V312" s="453">
        <v>1000</v>
      </c>
      <c r="W312" s="453">
        <v>2.5000000000000001E-2</v>
      </c>
      <c r="X312" s="453" t="s">
        <v>125</v>
      </c>
      <c r="Z312" s="453" t="s">
        <v>150</v>
      </c>
      <c r="AA312" s="453">
        <v>449</v>
      </c>
      <c r="AC312" s="453" t="s">
        <v>808</v>
      </c>
    </row>
    <row r="313" spans="1:29">
      <c r="A313" s="453">
        <v>312</v>
      </c>
      <c r="B313" s="453" t="s">
        <v>811</v>
      </c>
      <c r="C313" s="453" t="s">
        <v>809</v>
      </c>
      <c r="D313" s="550" t="s">
        <v>812</v>
      </c>
      <c r="F313" s="453">
        <v>1993</v>
      </c>
      <c r="G313" s="453">
        <v>2008</v>
      </c>
      <c r="H313" s="472">
        <v>1500000</v>
      </c>
      <c r="I313" s="472">
        <v>3000000</v>
      </c>
      <c r="J313" s="453">
        <v>1</v>
      </c>
      <c r="K313" s="453">
        <v>5</v>
      </c>
      <c r="L313" s="453" t="s">
        <v>147</v>
      </c>
      <c r="M313" s="453">
        <v>7</v>
      </c>
      <c r="N313" s="453" t="s">
        <v>130</v>
      </c>
      <c r="O313" s="453">
        <v>479</v>
      </c>
      <c r="P313" s="453" t="s">
        <v>148</v>
      </c>
      <c r="Q313" s="453" t="s">
        <v>124</v>
      </c>
      <c r="R313" s="453">
        <v>0</v>
      </c>
      <c r="S313" s="453">
        <v>0</v>
      </c>
      <c r="T313" s="453">
        <v>23</v>
      </c>
      <c r="U313" s="453" t="s">
        <v>123</v>
      </c>
      <c r="V313" s="453">
        <v>1000</v>
      </c>
      <c r="W313" s="453">
        <v>2.5000000000000001E-2</v>
      </c>
      <c r="X313" s="453" t="s">
        <v>125</v>
      </c>
      <c r="Z313" s="453" t="s">
        <v>150</v>
      </c>
      <c r="AA313" s="453">
        <v>450</v>
      </c>
      <c r="AC313" s="453" t="s">
        <v>811</v>
      </c>
    </row>
    <row r="314" spans="1:29">
      <c r="A314" s="453">
        <v>313</v>
      </c>
      <c r="B314" s="453" t="s">
        <v>813</v>
      </c>
      <c r="C314" s="453" t="s">
        <v>809</v>
      </c>
      <c r="D314" s="550" t="s">
        <v>814</v>
      </c>
      <c r="F314" s="453">
        <v>1979</v>
      </c>
      <c r="G314" s="453">
        <v>1992</v>
      </c>
      <c r="H314" s="472">
        <v>600000</v>
      </c>
      <c r="I314" s="472">
        <v>1200000</v>
      </c>
      <c r="J314" s="453">
        <v>1</v>
      </c>
      <c r="K314" s="453">
        <v>5</v>
      </c>
      <c r="L314" s="453" t="s">
        <v>147</v>
      </c>
      <c r="M314" s="453">
        <v>7</v>
      </c>
      <c r="N314" s="453" t="s">
        <v>130</v>
      </c>
      <c r="O314" s="453">
        <v>732</v>
      </c>
      <c r="P314" s="453" t="s">
        <v>148</v>
      </c>
      <c r="Q314" s="453" t="s">
        <v>124</v>
      </c>
      <c r="R314" s="453">
        <v>0</v>
      </c>
      <c r="S314" s="453">
        <v>0</v>
      </c>
      <c r="T314" s="453">
        <v>23</v>
      </c>
      <c r="U314" s="453" t="s">
        <v>123</v>
      </c>
      <c r="V314" s="453">
        <v>1000</v>
      </c>
      <c r="W314" s="453">
        <v>2.5000000000000001E-2</v>
      </c>
      <c r="X314" s="453" t="s">
        <v>125</v>
      </c>
      <c r="Z314" s="453" t="s">
        <v>150</v>
      </c>
      <c r="AA314" s="453">
        <v>451</v>
      </c>
      <c r="AC314" s="453" t="s">
        <v>813</v>
      </c>
    </row>
    <row r="315" spans="1:29">
      <c r="A315" s="453">
        <v>314</v>
      </c>
      <c r="B315" s="453" t="s">
        <v>815</v>
      </c>
      <c r="C315" s="453" t="s">
        <v>809</v>
      </c>
      <c r="D315" s="550" t="s">
        <v>816</v>
      </c>
      <c r="F315" s="453">
        <v>1978</v>
      </c>
      <c r="G315" s="453">
        <v>1989</v>
      </c>
      <c r="H315" s="472">
        <v>400000</v>
      </c>
      <c r="I315" s="472">
        <v>510000</v>
      </c>
      <c r="J315" s="453">
        <v>1</v>
      </c>
      <c r="K315" s="453">
        <v>5</v>
      </c>
      <c r="L315" s="453" t="s">
        <v>147</v>
      </c>
      <c r="M315" s="453">
        <v>7</v>
      </c>
      <c r="N315" s="453" t="s">
        <v>130</v>
      </c>
      <c r="O315" s="453">
        <v>531</v>
      </c>
      <c r="P315" s="453" t="s">
        <v>148</v>
      </c>
      <c r="Q315" s="453" t="s">
        <v>124</v>
      </c>
      <c r="R315" s="453">
        <v>0</v>
      </c>
      <c r="S315" s="453">
        <v>0</v>
      </c>
      <c r="T315" s="453">
        <v>23</v>
      </c>
      <c r="U315" s="453" t="s">
        <v>123</v>
      </c>
      <c r="V315" s="453">
        <v>1000</v>
      </c>
      <c r="W315" s="453">
        <v>2.5000000000000001E-2</v>
      </c>
      <c r="X315" s="453" t="s">
        <v>125</v>
      </c>
      <c r="Z315" s="453" t="s">
        <v>150</v>
      </c>
      <c r="AA315" s="453">
        <v>454</v>
      </c>
      <c r="AC315" s="453" t="s">
        <v>815</v>
      </c>
    </row>
    <row r="316" spans="1:29">
      <c r="A316" s="453">
        <v>315</v>
      </c>
      <c r="B316" s="453" t="s">
        <v>817</v>
      </c>
      <c r="C316" s="453" t="s">
        <v>809</v>
      </c>
      <c r="D316" s="550" t="s">
        <v>818</v>
      </c>
      <c r="F316" s="453">
        <v>1997</v>
      </c>
      <c r="G316" s="453">
        <v>2008</v>
      </c>
      <c r="H316" s="472">
        <v>780000</v>
      </c>
      <c r="I316" s="472">
        <v>1400000</v>
      </c>
      <c r="J316" s="453">
        <v>1</v>
      </c>
      <c r="K316" s="453">
        <v>4</v>
      </c>
      <c r="L316" s="453" t="s">
        <v>147</v>
      </c>
      <c r="M316" s="453">
        <v>7</v>
      </c>
      <c r="N316" s="453" t="s">
        <v>130</v>
      </c>
      <c r="O316" s="453">
        <v>504</v>
      </c>
      <c r="P316" s="453" t="s">
        <v>148</v>
      </c>
      <c r="Q316" s="453" t="s">
        <v>124</v>
      </c>
      <c r="R316" s="453">
        <v>0</v>
      </c>
      <c r="S316" s="453">
        <v>0</v>
      </c>
      <c r="T316" s="453">
        <v>23</v>
      </c>
      <c r="U316" s="453" t="s">
        <v>123</v>
      </c>
      <c r="V316" s="453">
        <v>1000</v>
      </c>
      <c r="W316" s="453">
        <v>2.5000000000000001E-2</v>
      </c>
      <c r="X316" s="453" t="s">
        <v>125</v>
      </c>
      <c r="Z316" s="453" t="s">
        <v>150</v>
      </c>
      <c r="AA316" s="453">
        <v>455</v>
      </c>
      <c r="AC316" s="453" t="s">
        <v>817</v>
      </c>
    </row>
    <row r="317" spans="1:29">
      <c r="A317" s="453">
        <v>316</v>
      </c>
      <c r="B317" s="611" t="s">
        <v>819</v>
      </c>
      <c r="C317" s="453" t="s">
        <v>809</v>
      </c>
      <c r="D317" s="612" t="s">
        <v>820</v>
      </c>
      <c r="F317" s="453">
        <v>2013</v>
      </c>
      <c r="G317" s="453">
        <v>2025</v>
      </c>
      <c r="H317" s="472">
        <v>780000</v>
      </c>
      <c r="I317" s="472">
        <v>3000000</v>
      </c>
      <c r="J317" s="453">
        <v>1</v>
      </c>
      <c r="K317" s="453">
        <v>7</v>
      </c>
      <c r="L317" s="453" t="s">
        <v>147</v>
      </c>
      <c r="M317" s="453">
        <v>7</v>
      </c>
      <c r="N317" s="453" t="s">
        <v>130</v>
      </c>
      <c r="O317" s="453">
        <v>504</v>
      </c>
      <c r="P317" s="453" t="s">
        <v>148</v>
      </c>
      <c r="Q317" s="453" t="s">
        <v>124</v>
      </c>
      <c r="R317" s="453">
        <v>0</v>
      </c>
      <c r="S317" s="453">
        <v>0</v>
      </c>
      <c r="T317" s="453">
        <v>23</v>
      </c>
      <c r="U317" s="453" t="s">
        <v>123</v>
      </c>
      <c r="V317" s="453">
        <v>1000</v>
      </c>
      <c r="W317" s="453">
        <v>2.5000000000000001E-2</v>
      </c>
      <c r="X317" s="453" t="s">
        <v>125</v>
      </c>
      <c r="Z317" s="453" t="s">
        <v>150</v>
      </c>
      <c r="AA317" s="453">
        <v>455</v>
      </c>
      <c r="AC317" s="611" t="s">
        <v>819</v>
      </c>
    </row>
    <row r="318" spans="1:29">
      <c r="A318" s="453">
        <v>317</v>
      </c>
      <c r="B318" s="453" t="s">
        <v>821</v>
      </c>
      <c r="C318" s="453" t="s">
        <v>822</v>
      </c>
      <c r="D318" s="550" t="s">
        <v>823</v>
      </c>
      <c r="F318" s="453">
        <v>2000</v>
      </c>
      <c r="G318" s="453">
        <v>2016</v>
      </c>
      <c r="H318" s="472">
        <v>50000</v>
      </c>
      <c r="I318" s="472">
        <v>150000</v>
      </c>
      <c r="J318" s="453">
        <v>1</v>
      </c>
      <c r="K318" s="453">
        <v>1</v>
      </c>
      <c r="L318" s="453" t="s">
        <v>154</v>
      </c>
      <c r="M318" s="453">
        <v>1</v>
      </c>
      <c r="N318" s="453" t="s">
        <v>122</v>
      </c>
      <c r="O318" s="453">
        <v>100</v>
      </c>
      <c r="P318" s="453" t="s">
        <v>148</v>
      </c>
      <c r="Q318" s="453" t="s">
        <v>149</v>
      </c>
      <c r="R318" s="453">
        <v>0</v>
      </c>
      <c r="S318" s="453">
        <v>0</v>
      </c>
      <c r="T318" s="453">
        <v>2</v>
      </c>
      <c r="V318" s="453">
        <v>50</v>
      </c>
      <c r="W318" s="453">
        <v>250</v>
      </c>
      <c r="X318" s="453" t="s">
        <v>58</v>
      </c>
      <c r="Z318" s="453" t="s">
        <v>150</v>
      </c>
      <c r="AA318" s="453">
        <v>460</v>
      </c>
      <c r="AC318" s="453" t="s">
        <v>821</v>
      </c>
    </row>
    <row r="319" spans="1:29">
      <c r="A319" s="453">
        <v>318</v>
      </c>
      <c r="B319" s="453" t="s">
        <v>824</v>
      </c>
      <c r="C319" s="453" t="s">
        <v>825</v>
      </c>
      <c r="D319" s="550" t="s">
        <v>826</v>
      </c>
      <c r="F319" s="453">
        <v>1960</v>
      </c>
      <c r="G319" s="453">
        <v>2025</v>
      </c>
      <c r="H319" s="472">
        <v>99500</v>
      </c>
      <c r="I319" s="472">
        <v>350000</v>
      </c>
      <c r="J319" s="453">
        <v>1</v>
      </c>
      <c r="K319" s="453">
        <v>1</v>
      </c>
      <c r="L319" s="453" t="s">
        <v>147</v>
      </c>
      <c r="M319" s="453">
        <v>1</v>
      </c>
      <c r="N319" s="453" t="s">
        <v>122</v>
      </c>
      <c r="O319" s="453">
        <v>300</v>
      </c>
      <c r="P319" s="453" t="s">
        <v>123</v>
      </c>
      <c r="Q319" s="453" t="s">
        <v>133</v>
      </c>
      <c r="R319" s="453">
        <v>0.5</v>
      </c>
      <c r="S319" s="453">
        <v>0.5</v>
      </c>
      <c r="T319" s="453">
        <v>1</v>
      </c>
      <c r="V319" s="453">
        <v>250</v>
      </c>
      <c r="W319" s="453">
        <v>2500</v>
      </c>
      <c r="X319" s="453" t="s">
        <v>125</v>
      </c>
      <c r="Z319" s="453" t="s">
        <v>150</v>
      </c>
      <c r="AB319" s="453" t="s">
        <v>827</v>
      </c>
      <c r="AC319" s="453" t="s">
        <v>824</v>
      </c>
    </row>
    <row r="320" spans="1:29">
      <c r="A320" s="453">
        <v>319</v>
      </c>
      <c r="B320" s="453" t="s">
        <v>828</v>
      </c>
      <c r="C320" s="453" t="s">
        <v>829</v>
      </c>
      <c r="D320" s="550">
        <v>22</v>
      </c>
      <c r="F320" s="453">
        <v>1930</v>
      </c>
      <c r="G320" s="453">
        <v>1940</v>
      </c>
      <c r="H320" s="472">
        <v>24500</v>
      </c>
      <c r="I320" s="472">
        <v>76000</v>
      </c>
      <c r="J320" s="453">
        <v>1</v>
      </c>
      <c r="K320" s="453">
        <v>1</v>
      </c>
      <c r="L320" s="453" t="s">
        <v>147</v>
      </c>
      <c r="M320" s="453">
        <v>1</v>
      </c>
      <c r="N320" s="453" t="s">
        <v>122</v>
      </c>
      <c r="O320" s="453">
        <v>125</v>
      </c>
      <c r="P320" s="453" t="s">
        <v>123</v>
      </c>
      <c r="Q320" s="453" t="s">
        <v>149</v>
      </c>
      <c r="R320" s="453">
        <v>0.3</v>
      </c>
      <c r="S320" s="453">
        <v>0.3</v>
      </c>
      <c r="T320" s="453">
        <v>7</v>
      </c>
      <c r="V320" s="453">
        <v>100</v>
      </c>
      <c r="W320" s="453">
        <v>500</v>
      </c>
      <c r="X320" s="453" t="s">
        <v>58</v>
      </c>
      <c r="Z320" s="453" t="s">
        <v>150</v>
      </c>
      <c r="AA320" s="453">
        <v>463</v>
      </c>
      <c r="AC320" s="453" t="s">
        <v>828</v>
      </c>
    </row>
    <row r="321" spans="1:29">
      <c r="A321" s="453">
        <v>320</v>
      </c>
      <c r="B321" s="453" t="s">
        <v>830</v>
      </c>
      <c r="C321" s="453" t="s">
        <v>829</v>
      </c>
      <c r="D321" s="550">
        <v>24</v>
      </c>
      <c r="F321" s="453">
        <v>1936</v>
      </c>
      <c r="G321" s="453">
        <v>1947</v>
      </c>
      <c r="H321" s="472">
        <v>9500</v>
      </c>
      <c r="I321" s="472">
        <v>101000</v>
      </c>
      <c r="J321" s="453">
        <v>1</v>
      </c>
      <c r="K321" s="453">
        <v>3</v>
      </c>
      <c r="L321" s="453" t="s">
        <v>147</v>
      </c>
      <c r="M321" s="453">
        <v>1</v>
      </c>
      <c r="N321" s="453" t="s">
        <v>122</v>
      </c>
      <c r="O321" s="453">
        <v>200</v>
      </c>
      <c r="P321" s="453" t="s">
        <v>123</v>
      </c>
      <c r="Q321" s="453" t="s">
        <v>149</v>
      </c>
      <c r="R321" s="453">
        <v>0.3</v>
      </c>
      <c r="S321" s="453">
        <v>0.3</v>
      </c>
      <c r="T321" s="453">
        <v>7</v>
      </c>
      <c r="V321" s="453">
        <v>100</v>
      </c>
      <c r="W321" s="453">
        <v>500</v>
      </c>
      <c r="X321" s="453" t="s">
        <v>58</v>
      </c>
      <c r="Z321" s="453" t="s">
        <v>150</v>
      </c>
      <c r="AA321" s="453">
        <v>464</v>
      </c>
      <c r="AC321" s="453" t="s">
        <v>830</v>
      </c>
    </row>
    <row r="322" spans="1:29">
      <c r="A322" s="453">
        <v>321</v>
      </c>
      <c r="B322" s="453" t="s">
        <v>831</v>
      </c>
      <c r="C322" s="453" t="s">
        <v>829</v>
      </c>
      <c r="D322" s="550">
        <v>71</v>
      </c>
      <c r="F322" s="453">
        <v>1928</v>
      </c>
      <c r="G322" s="453">
        <v>1930</v>
      </c>
      <c r="H322" s="472">
        <v>75000</v>
      </c>
      <c r="I322" s="472">
        <v>250000</v>
      </c>
      <c r="J322" s="453">
        <v>1</v>
      </c>
      <c r="K322" s="453">
        <v>8</v>
      </c>
      <c r="L322" s="453" t="s">
        <v>147</v>
      </c>
      <c r="M322" s="453">
        <v>1</v>
      </c>
      <c r="N322" s="453" t="s">
        <v>122</v>
      </c>
      <c r="O322" s="453">
        <v>420</v>
      </c>
      <c r="P322" s="453" t="s">
        <v>123</v>
      </c>
      <c r="Q322" s="453" t="s">
        <v>133</v>
      </c>
      <c r="R322" s="453">
        <v>0.5</v>
      </c>
      <c r="S322" s="453">
        <v>0.5</v>
      </c>
      <c r="T322" s="453">
        <v>1</v>
      </c>
      <c r="V322" s="453">
        <v>500</v>
      </c>
      <c r="W322" s="453">
        <v>2500</v>
      </c>
      <c r="X322" s="453" t="s">
        <v>125</v>
      </c>
      <c r="Z322" s="453" t="s">
        <v>150</v>
      </c>
      <c r="AC322" s="453" t="s">
        <v>831</v>
      </c>
    </row>
    <row r="323" spans="1:29">
      <c r="A323" s="453">
        <v>322</v>
      </c>
      <c r="B323" s="453" t="s">
        <v>832</v>
      </c>
      <c r="C323" s="453" t="s">
        <v>829</v>
      </c>
      <c r="D323" s="550" t="s">
        <v>833</v>
      </c>
      <c r="F323" s="453">
        <v>1950</v>
      </c>
      <c r="G323" s="453">
        <v>1965</v>
      </c>
      <c r="H323" s="472">
        <v>19500</v>
      </c>
      <c r="I323" s="472">
        <v>31000</v>
      </c>
      <c r="J323" s="453">
        <v>1</v>
      </c>
      <c r="K323" s="453">
        <v>1</v>
      </c>
      <c r="L323" s="453" t="s">
        <v>147</v>
      </c>
      <c r="M323" s="453">
        <v>1</v>
      </c>
      <c r="N323" s="453" t="s">
        <v>122</v>
      </c>
      <c r="O323" s="453">
        <v>125</v>
      </c>
      <c r="P323" s="453" t="s">
        <v>123</v>
      </c>
      <c r="Q323" s="453" t="s">
        <v>149</v>
      </c>
      <c r="R323" s="453">
        <v>0</v>
      </c>
      <c r="S323" s="453">
        <v>0</v>
      </c>
      <c r="T323" s="453">
        <v>7</v>
      </c>
      <c r="V323" s="453">
        <v>100</v>
      </c>
      <c r="W323" s="453">
        <v>500</v>
      </c>
      <c r="X323" s="453" t="s">
        <v>58</v>
      </c>
      <c r="Z323" s="453" t="s">
        <v>150</v>
      </c>
      <c r="AA323" s="453">
        <v>465</v>
      </c>
      <c r="AC323" s="453" t="s">
        <v>832</v>
      </c>
    </row>
    <row r="324" spans="1:29">
      <c r="A324" s="453">
        <v>323</v>
      </c>
      <c r="B324" s="453" t="s">
        <v>834</v>
      </c>
      <c r="C324" s="453" t="s">
        <v>829</v>
      </c>
      <c r="D324" s="550" t="s">
        <v>835</v>
      </c>
      <c r="F324" s="453">
        <v>1929</v>
      </c>
      <c r="G324" s="453">
        <v>1940</v>
      </c>
      <c r="H324" s="472">
        <v>39500</v>
      </c>
      <c r="I324" s="472">
        <v>81000</v>
      </c>
      <c r="J324" s="453">
        <v>1</v>
      </c>
      <c r="K324" s="453">
        <v>1</v>
      </c>
      <c r="L324" s="453" t="s">
        <v>147</v>
      </c>
      <c r="M324" s="453">
        <v>1</v>
      </c>
      <c r="N324" s="453" t="s">
        <v>122</v>
      </c>
      <c r="O324" s="453">
        <v>160</v>
      </c>
      <c r="P324" s="453" t="s">
        <v>123</v>
      </c>
      <c r="Q324" s="453" t="s">
        <v>124</v>
      </c>
      <c r="R324" s="453">
        <v>0</v>
      </c>
      <c r="S324" s="453">
        <v>0</v>
      </c>
      <c r="T324" s="453">
        <v>8</v>
      </c>
      <c r="V324" s="453">
        <v>100</v>
      </c>
      <c r="W324" s="453">
        <v>500</v>
      </c>
      <c r="X324" s="453" t="s">
        <v>58</v>
      </c>
      <c r="Z324" s="453" t="s">
        <v>150</v>
      </c>
      <c r="AA324" s="453">
        <v>466</v>
      </c>
      <c r="AC324" s="453" t="s">
        <v>834</v>
      </c>
    </row>
    <row r="325" spans="1:29">
      <c r="A325" s="453">
        <v>324</v>
      </c>
      <c r="B325" s="453" t="s">
        <v>836</v>
      </c>
      <c r="C325" s="453" t="s">
        <v>829</v>
      </c>
      <c r="D325" s="550" t="s">
        <v>837</v>
      </c>
      <c r="F325" s="453">
        <v>1930</v>
      </c>
      <c r="G325" s="453">
        <v>1944</v>
      </c>
      <c r="H325" s="472">
        <v>24500</v>
      </c>
      <c r="I325" s="472">
        <v>76000</v>
      </c>
      <c r="J325" s="453">
        <v>1</v>
      </c>
      <c r="K325" s="453">
        <v>1</v>
      </c>
      <c r="L325" s="453" t="s">
        <v>147</v>
      </c>
      <c r="M325" s="453">
        <v>1</v>
      </c>
      <c r="N325" s="453" t="s">
        <v>122</v>
      </c>
      <c r="O325" s="453">
        <v>200</v>
      </c>
      <c r="P325" s="453" t="s">
        <v>123</v>
      </c>
      <c r="Q325" s="453" t="s">
        <v>124</v>
      </c>
      <c r="R325" s="453">
        <v>0.25</v>
      </c>
      <c r="S325" s="453">
        <v>0.25</v>
      </c>
      <c r="T325" s="453">
        <v>1</v>
      </c>
      <c r="V325" s="453">
        <v>100</v>
      </c>
      <c r="W325" s="453">
        <v>500</v>
      </c>
      <c r="X325" s="453" t="s">
        <v>125</v>
      </c>
      <c r="Z325" s="453" t="s">
        <v>150</v>
      </c>
      <c r="AA325" s="453">
        <v>467</v>
      </c>
      <c r="AC325" s="453" t="s">
        <v>836</v>
      </c>
    </row>
    <row r="326" spans="1:29">
      <c r="A326" s="453">
        <v>325</v>
      </c>
      <c r="B326" s="453" t="s">
        <v>838</v>
      </c>
      <c r="C326" s="453" t="s">
        <v>839</v>
      </c>
      <c r="D326" s="550" t="s">
        <v>840</v>
      </c>
      <c r="F326" s="453">
        <v>2000</v>
      </c>
      <c r="G326" s="453">
        <v>2012</v>
      </c>
      <c r="H326" s="472">
        <v>50000</v>
      </c>
      <c r="I326" s="472">
        <v>150000</v>
      </c>
      <c r="J326" s="453">
        <v>1</v>
      </c>
      <c r="K326" s="453">
        <v>1</v>
      </c>
      <c r="L326" s="453" t="s">
        <v>154</v>
      </c>
      <c r="M326" s="453">
        <v>1</v>
      </c>
      <c r="N326" s="453" t="s">
        <v>122</v>
      </c>
      <c r="O326" s="453">
        <v>100</v>
      </c>
      <c r="P326" s="453" t="s">
        <v>148</v>
      </c>
      <c r="Q326" s="453" t="s">
        <v>149</v>
      </c>
      <c r="R326" s="453">
        <v>0</v>
      </c>
      <c r="S326" s="453">
        <v>0</v>
      </c>
      <c r="T326" s="453">
        <v>2</v>
      </c>
      <c r="V326" s="453">
        <v>50</v>
      </c>
      <c r="W326" s="453">
        <v>250</v>
      </c>
      <c r="X326" s="453" t="s">
        <v>58</v>
      </c>
      <c r="Z326" s="453" t="s">
        <v>150</v>
      </c>
      <c r="AA326" s="453">
        <v>468</v>
      </c>
      <c r="AC326" s="453" t="s">
        <v>838</v>
      </c>
    </row>
    <row r="327" spans="1:29">
      <c r="A327" s="453">
        <v>326</v>
      </c>
      <c r="B327" s="453" t="s">
        <v>841</v>
      </c>
      <c r="C327" s="453" t="s">
        <v>842</v>
      </c>
      <c r="D327" s="550" t="s">
        <v>843</v>
      </c>
      <c r="F327" s="453">
        <v>1946</v>
      </c>
      <c r="G327" s="453">
        <v>1950</v>
      </c>
      <c r="H327" s="472">
        <v>49500</v>
      </c>
      <c r="I327" s="472">
        <v>151000</v>
      </c>
      <c r="J327" s="453">
        <v>1</v>
      </c>
      <c r="K327" s="453">
        <v>1</v>
      </c>
      <c r="L327" s="453" t="s">
        <v>147</v>
      </c>
      <c r="M327" s="453">
        <v>1</v>
      </c>
      <c r="N327" s="453" t="s">
        <v>122</v>
      </c>
      <c r="O327" s="453">
        <v>215</v>
      </c>
      <c r="P327" s="453" t="s">
        <v>130</v>
      </c>
      <c r="Q327" s="453" t="s">
        <v>124</v>
      </c>
      <c r="R327" s="453">
        <v>0.45</v>
      </c>
      <c r="S327" s="453">
        <v>0.45</v>
      </c>
      <c r="T327" s="453">
        <v>12</v>
      </c>
      <c r="V327" s="453">
        <v>100</v>
      </c>
      <c r="W327" s="453">
        <v>1000</v>
      </c>
      <c r="X327" s="453" t="s">
        <v>125</v>
      </c>
      <c r="Z327" s="453" t="s">
        <v>150</v>
      </c>
      <c r="AA327" s="453">
        <v>469</v>
      </c>
      <c r="AC327" s="453" t="s">
        <v>841</v>
      </c>
    </row>
    <row r="328" spans="1:29">
      <c r="A328" s="453">
        <v>327</v>
      </c>
      <c r="B328" s="453" t="s">
        <v>844</v>
      </c>
      <c r="C328" s="453" t="s">
        <v>845</v>
      </c>
      <c r="D328" s="550" t="s">
        <v>846</v>
      </c>
      <c r="F328" s="453">
        <v>2010</v>
      </c>
      <c r="G328" s="453">
        <v>2016</v>
      </c>
      <c r="H328" s="472">
        <v>80000</v>
      </c>
      <c r="I328" s="472">
        <v>150000</v>
      </c>
      <c r="J328" s="453">
        <v>1</v>
      </c>
      <c r="K328" s="453">
        <v>1</v>
      </c>
      <c r="L328" s="453" t="s">
        <v>154</v>
      </c>
      <c r="M328" s="453">
        <v>1</v>
      </c>
      <c r="N328" s="453" t="s">
        <v>122</v>
      </c>
      <c r="O328" s="453">
        <v>115</v>
      </c>
      <c r="P328" s="453" t="s">
        <v>123</v>
      </c>
      <c r="Q328" s="453" t="s">
        <v>149</v>
      </c>
      <c r="R328" s="453">
        <v>0.6</v>
      </c>
      <c r="S328" s="453">
        <v>0.6</v>
      </c>
      <c r="T328" s="453">
        <v>1</v>
      </c>
      <c r="V328" s="453">
        <v>100</v>
      </c>
      <c r="W328" s="453">
        <v>500</v>
      </c>
      <c r="X328" s="453" t="s">
        <v>125</v>
      </c>
      <c r="Z328" s="453" t="s">
        <v>150</v>
      </c>
      <c r="AA328" s="453">
        <v>1355</v>
      </c>
      <c r="AC328" s="453" t="s">
        <v>844</v>
      </c>
    </row>
    <row r="329" spans="1:29">
      <c r="A329" s="453">
        <v>328</v>
      </c>
      <c r="B329" s="453" t="s">
        <v>847</v>
      </c>
      <c r="C329" s="453" t="s">
        <v>845</v>
      </c>
      <c r="D329" s="550" t="s">
        <v>848</v>
      </c>
      <c r="F329" s="453">
        <v>2009</v>
      </c>
      <c r="G329" s="453">
        <v>2016</v>
      </c>
      <c r="H329" s="472">
        <v>80000</v>
      </c>
      <c r="I329" s="472">
        <v>150000</v>
      </c>
      <c r="J329" s="453">
        <v>1</v>
      </c>
      <c r="K329" s="453">
        <v>1</v>
      </c>
      <c r="L329" s="453" t="s">
        <v>154</v>
      </c>
      <c r="M329" s="453">
        <v>1</v>
      </c>
      <c r="N329" s="453" t="s">
        <v>122</v>
      </c>
      <c r="O329" s="453">
        <v>100</v>
      </c>
      <c r="P329" s="453" t="s">
        <v>148</v>
      </c>
      <c r="Q329" s="453" t="s">
        <v>149</v>
      </c>
      <c r="R329" s="453">
        <v>0</v>
      </c>
      <c r="S329" s="453">
        <v>0</v>
      </c>
      <c r="T329" s="453">
        <v>2</v>
      </c>
      <c r="V329" s="453">
        <v>50</v>
      </c>
      <c r="W329" s="453">
        <v>250</v>
      </c>
      <c r="X329" s="453" t="s">
        <v>58</v>
      </c>
      <c r="Z329" s="453" t="s">
        <v>150</v>
      </c>
      <c r="AA329" s="453">
        <v>1354</v>
      </c>
      <c r="AC329" s="453" t="s">
        <v>847</v>
      </c>
    </row>
    <row r="330" spans="1:29">
      <c r="A330" s="453">
        <v>329</v>
      </c>
      <c r="B330" s="453" t="s">
        <v>849</v>
      </c>
      <c r="C330" s="453" t="s">
        <v>845</v>
      </c>
      <c r="D330" s="550" t="s">
        <v>359</v>
      </c>
      <c r="F330" s="453">
        <v>1990</v>
      </c>
      <c r="G330" s="453">
        <v>2016</v>
      </c>
      <c r="H330" s="472">
        <v>75000</v>
      </c>
      <c r="I330" s="472">
        <v>150000</v>
      </c>
      <c r="J330" s="453">
        <v>1</v>
      </c>
      <c r="K330" s="453">
        <v>1</v>
      </c>
      <c r="L330" s="453" t="s">
        <v>154</v>
      </c>
      <c r="M330" s="453">
        <v>1</v>
      </c>
      <c r="N330" s="453" t="s">
        <v>122</v>
      </c>
      <c r="O330" s="453">
        <v>100</v>
      </c>
      <c r="P330" s="453" t="s">
        <v>148</v>
      </c>
      <c r="Q330" s="453" t="s">
        <v>149</v>
      </c>
      <c r="R330" s="453">
        <v>0</v>
      </c>
      <c r="S330" s="453">
        <v>0</v>
      </c>
      <c r="T330" s="453">
        <v>2</v>
      </c>
      <c r="V330" s="453">
        <v>50</v>
      </c>
      <c r="W330" s="453">
        <v>250</v>
      </c>
      <c r="X330" s="453" t="s">
        <v>58</v>
      </c>
      <c r="Z330" s="453" t="s">
        <v>150</v>
      </c>
      <c r="AA330" s="453">
        <v>1353</v>
      </c>
      <c r="AC330" s="453" t="s">
        <v>849</v>
      </c>
    </row>
    <row r="331" spans="1:29">
      <c r="A331" s="453">
        <v>330</v>
      </c>
      <c r="B331" s="453" t="s">
        <v>850</v>
      </c>
      <c r="C331" s="453" t="s">
        <v>851</v>
      </c>
      <c r="D331" s="550" t="s">
        <v>852</v>
      </c>
      <c r="F331" s="453">
        <v>1929</v>
      </c>
      <c r="G331" s="453">
        <v>1941</v>
      </c>
      <c r="H331" s="472">
        <v>4500</v>
      </c>
      <c r="I331" s="472">
        <v>51000</v>
      </c>
      <c r="J331" s="453">
        <v>1</v>
      </c>
      <c r="K331" s="453">
        <v>1</v>
      </c>
      <c r="L331" s="453" t="s">
        <v>147</v>
      </c>
      <c r="M331" s="453">
        <v>1</v>
      </c>
      <c r="N331" s="453" t="s">
        <v>122</v>
      </c>
      <c r="O331" s="453">
        <v>125</v>
      </c>
      <c r="P331" s="453" t="s">
        <v>123</v>
      </c>
      <c r="Q331" s="453" t="s">
        <v>124</v>
      </c>
      <c r="R331" s="453">
        <v>0.35</v>
      </c>
      <c r="S331" s="453">
        <v>0.35</v>
      </c>
      <c r="T331" s="453">
        <v>8</v>
      </c>
      <c r="V331" s="453">
        <v>100</v>
      </c>
      <c r="W331" s="453">
        <v>500</v>
      </c>
      <c r="X331" s="453" t="s">
        <v>58</v>
      </c>
      <c r="Z331" s="453" t="s">
        <v>150</v>
      </c>
      <c r="AA331" s="453">
        <v>479</v>
      </c>
      <c r="AC331" s="453" t="s">
        <v>850</v>
      </c>
    </row>
    <row r="332" spans="1:29">
      <c r="A332" s="453">
        <v>331</v>
      </c>
      <c r="B332" s="453" t="s">
        <v>853</v>
      </c>
      <c r="C332" s="453" t="s">
        <v>854</v>
      </c>
      <c r="D332" s="550" t="s">
        <v>855</v>
      </c>
      <c r="F332" s="453">
        <v>2000</v>
      </c>
      <c r="G332" s="453">
        <v>2016</v>
      </c>
      <c r="H332" s="472">
        <v>40000</v>
      </c>
      <c r="I332" s="472">
        <v>150000</v>
      </c>
      <c r="J332" s="453">
        <v>1</v>
      </c>
      <c r="K332" s="453">
        <v>1</v>
      </c>
      <c r="L332" s="453" t="s">
        <v>154</v>
      </c>
      <c r="M332" s="453">
        <v>1</v>
      </c>
      <c r="N332" s="453" t="s">
        <v>122</v>
      </c>
      <c r="O332" s="453">
        <v>100</v>
      </c>
      <c r="P332" s="453" t="s">
        <v>148</v>
      </c>
      <c r="Q332" s="453" t="s">
        <v>149</v>
      </c>
      <c r="R332" s="453">
        <v>0.45</v>
      </c>
      <c r="S332" s="453">
        <v>0</v>
      </c>
      <c r="T332" s="453">
        <v>2</v>
      </c>
      <c r="V332" s="453">
        <v>50</v>
      </c>
      <c r="W332" s="453">
        <v>250</v>
      </c>
      <c r="X332" s="453" t="s">
        <v>58</v>
      </c>
      <c r="Z332" s="453" t="s">
        <v>150</v>
      </c>
      <c r="AA332" s="453">
        <v>480</v>
      </c>
      <c r="AC332" s="453" t="s">
        <v>853</v>
      </c>
    </row>
    <row r="333" spans="1:29">
      <c r="A333" s="453">
        <v>332</v>
      </c>
      <c r="B333" s="453" t="s">
        <v>856</v>
      </c>
      <c r="C333" s="453" t="s">
        <v>857</v>
      </c>
      <c r="D333" s="550" t="s">
        <v>858</v>
      </c>
      <c r="F333" s="453">
        <v>2010</v>
      </c>
      <c r="G333" s="453">
        <v>2025</v>
      </c>
      <c r="H333" s="472">
        <v>75000</v>
      </c>
      <c r="I333" s="472">
        <v>150000</v>
      </c>
      <c r="J333" s="453">
        <v>1</v>
      </c>
      <c r="K333" s="453">
        <v>1</v>
      </c>
      <c r="L333" s="453" t="s">
        <v>154</v>
      </c>
      <c r="M333" s="453">
        <v>1</v>
      </c>
      <c r="N333" s="453" t="s">
        <v>122</v>
      </c>
      <c r="O333" s="453">
        <v>115</v>
      </c>
      <c r="P333" s="453" t="s">
        <v>148</v>
      </c>
      <c r="Q333" s="453" t="s">
        <v>149</v>
      </c>
      <c r="R333" s="453">
        <v>0.15</v>
      </c>
      <c r="S333" s="453">
        <v>0.15</v>
      </c>
      <c r="T333" s="453">
        <v>1</v>
      </c>
      <c r="V333" s="453">
        <v>100</v>
      </c>
      <c r="W333" s="453">
        <v>500</v>
      </c>
      <c r="X333" s="453" t="s">
        <v>125</v>
      </c>
      <c r="Z333" s="453" t="s">
        <v>150</v>
      </c>
      <c r="AC333" s="453" t="s">
        <v>856</v>
      </c>
    </row>
    <row r="334" spans="1:29">
      <c r="A334" s="453">
        <v>333</v>
      </c>
      <c r="B334" s="453" t="s">
        <v>859</v>
      </c>
      <c r="C334" s="453" t="s">
        <v>860</v>
      </c>
      <c r="D334" s="550" t="s">
        <v>861</v>
      </c>
      <c r="F334" s="453">
        <v>1950</v>
      </c>
      <c r="G334" s="453">
        <v>1965</v>
      </c>
      <c r="H334" s="472">
        <v>49500</v>
      </c>
      <c r="I334" s="472">
        <v>101000</v>
      </c>
      <c r="J334" s="453">
        <v>1</v>
      </c>
      <c r="K334" s="453">
        <v>3</v>
      </c>
      <c r="L334" s="453" t="s">
        <v>147</v>
      </c>
      <c r="M334" s="453">
        <v>1</v>
      </c>
      <c r="N334" s="453" t="s">
        <v>122</v>
      </c>
      <c r="O334" s="453">
        <v>260</v>
      </c>
      <c r="P334" s="453" t="s">
        <v>132</v>
      </c>
      <c r="Q334" s="453" t="s">
        <v>124</v>
      </c>
      <c r="R334" s="453">
        <v>0.85</v>
      </c>
      <c r="S334" s="453">
        <v>0.35</v>
      </c>
      <c r="T334" s="453">
        <v>11</v>
      </c>
      <c r="V334" s="453">
        <v>100</v>
      </c>
      <c r="W334" s="453">
        <v>500</v>
      </c>
      <c r="X334" s="453" t="s">
        <v>125</v>
      </c>
      <c r="Z334" s="453" t="s">
        <v>150</v>
      </c>
      <c r="AA334" s="453">
        <v>483</v>
      </c>
      <c r="AC334" s="453" t="s">
        <v>859</v>
      </c>
    </row>
    <row r="335" spans="1:29">
      <c r="A335" s="453">
        <v>334</v>
      </c>
      <c r="B335" s="453" t="s">
        <v>862</v>
      </c>
      <c r="C335" s="453" t="s">
        <v>863</v>
      </c>
      <c r="D335" s="550" t="s">
        <v>864</v>
      </c>
      <c r="F335" s="453">
        <v>2000</v>
      </c>
      <c r="G335" s="453">
        <v>2007</v>
      </c>
      <c r="H335" s="472">
        <v>324500</v>
      </c>
      <c r="I335" s="472">
        <v>376000</v>
      </c>
      <c r="J335" s="453">
        <v>1</v>
      </c>
      <c r="K335" s="453">
        <v>4</v>
      </c>
      <c r="L335" s="453" t="s">
        <v>147</v>
      </c>
      <c r="M335" s="453">
        <v>1</v>
      </c>
      <c r="N335" s="453" t="s">
        <v>122</v>
      </c>
      <c r="O335" s="453">
        <v>300</v>
      </c>
      <c r="P335" s="453" t="s">
        <v>123</v>
      </c>
      <c r="Q335" s="453" t="s">
        <v>124</v>
      </c>
      <c r="R335" s="453">
        <v>1.1000000000000001</v>
      </c>
      <c r="S335" s="453">
        <v>0.75</v>
      </c>
      <c r="T335" s="453">
        <v>8</v>
      </c>
      <c r="V335" s="453">
        <v>100</v>
      </c>
      <c r="W335" s="453">
        <v>500</v>
      </c>
      <c r="X335" s="453" t="s">
        <v>58</v>
      </c>
      <c r="Z335" s="453" t="s">
        <v>150</v>
      </c>
      <c r="AA335" s="453">
        <v>486</v>
      </c>
      <c r="AC335" s="453" t="s">
        <v>862</v>
      </c>
    </row>
    <row r="336" spans="1:29">
      <c r="A336" s="453">
        <v>335</v>
      </c>
      <c r="B336" s="453" t="s">
        <v>865</v>
      </c>
      <c r="C336" s="453" t="s">
        <v>866</v>
      </c>
      <c r="D336" s="550" t="s">
        <v>867</v>
      </c>
      <c r="F336" s="453">
        <v>2000</v>
      </c>
      <c r="G336" s="453">
        <v>2012</v>
      </c>
      <c r="H336" s="472">
        <v>80000</v>
      </c>
      <c r="I336" s="472">
        <v>150000</v>
      </c>
      <c r="J336" s="453">
        <v>1</v>
      </c>
      <c r="K336" s="453">
        <v>1</v>
      </c>
      <c r="L336" s="453" t="s">
        <v>154</v>
      </c>
      <c r="M336" s="453">
        <v>1</v>
      </c>
      <c r="N336" s="453" t="s">
        <v>122</v>
      </c>
      <c r="O336" s="453">
        <v>100</v>
      </c>
      <c r="P336" s="453" t="s">
        <v>148</v>
      </c>
      <c r="Q336" s="453" t="s">
        <v>149</v>
      </c>
      <c r="R336" s="453">
        <v>0</v>
      </c>
      <c r="S336" s="453">
        <v>0</v>
      </c>
      <c r="T336" s="453">
        <v>2</v>
      </c>
      <c r="V336" s="453">
        <v>50</v>
      </c>
      <c r="W336" s="453">
        <v>250</v>
      </c>
      <c r="X336" s="453" t="s">
        <v>58</v>
      </c>
      <c r="Z336" s="453" t="s">
        <v>150</v>
      </c>
      <c r="AA336" s="453">
        <v>489</v>
      </c>
      <c r="AC336" s="453" t="s">
        <v>865</v>
      </c>
    </row>
    <row r="337" spans="1:29">
      <c r="A337" s="453">
        <v>336</v>
      </c>
      <c r="B337" s="453" t="s">
        <v>868</v>
      </c>
      <c r="C337" s="453" t="s">
        <v>869</v>
      </c>
      <c r="D337" s="550" t="s">
        <v>870</v>
      </c>
      <c r="F337" s="453">
        <v>1939</v>
      </c>
      <c r="G337" s="453">
        <v>1948</v>
      </c>
      <c r="H337" s="472">
        <v>14500</v>
      </c>
      <c r="I337" s="472">
        <v>51000</v>
      </c>
      <c r="J337" s="453">
        <v>1</v>
      </c>
      <c r="K337" s="453">
        <v>1</v>
      </c>
      <c r="L337" s="453" t="s">
        <v>147</v>
      </c>
      <c r="M337" s="453">
        <v>1</v>
      </c>
      <c r="N337" s="453" t="s">
        <v>122</v>
      </c>
      <c r="O337" s="453">
        <v>85</v>
      </c>
      <c r="P337" s="453" t="s">
        <v>123</v>
      </c>
      <c r="Q337" s="453" t="s">
        <v>149</v>
      </c>
      <c r="R337" s="453">
        <v>0</v>
      </c>
      <c r="S337" s="453">
        <v>0</v>
      </c>
      <c r="T337" s="453">
        <v>7</v>
      </c>
      <c r="V337" s="453">
        <v>100</v>
      </c>
      <c r="W337" s="453">
        <v>500</v>
      </c>
      <c r="X337" s="453" t="s">
        <v>58</v>
      </c>
      <c r="Z337" s="453" t="s">
        <v>150</v>
      </c>
      <c r="AA337" s="453">
        <v>494</v>
      </c>
      <c r="AC337" s="453" t="s">
        <v>868</v>
      </c>
    </row>
    <row r="338" spans="1:29">
      <c r="A338" s="453">
        <v>337</v>
      </c>
      <c r="B338" s="453" t="s">
        <v>871</v>
      </c>
      <c r="C338" s="453" t="s">
        <v>872</v>
      </c>
      <c r="D338" s="550" t="s">
        <v>873</v>
      </c>
      <c r="F338" s="453">
        <v>2004</v>
      </c>
      <c r="G338" s="453">
        <v>2009</v>
      </c>
      <c r="H338" s="472">
        <v>400000</v>
      </c>
      <c r="I338" s="472">
        <v>650000</v>
      </c>
      <c r="J338" s="453">
        <v>1</v>
      </c>
      <c r="K338" s="453">
        <v>7</v>
      </c>
      <c r="L338" s="453" t="s">
        <v>147</v>
      </c>
      <c r="M338" s="453">
        <v>1</v>
      </c>
      <c r="N338" s="453" t="s">
        <v>122</v>
      </c>
      <c r="O338" s="453">
        <v>300</v>
      </c>
      <c r="P338" s="453" t="s">
        <v>148</v>
      </c>
      <c r="Q338" s="453" t="s">
        <v>133</v>
      </c>
      <c r="R338" s="453">
        <v>0</v>
      </c>
      <c r="S338" s="453">
        <v>0</v>
      </c>
      <c r="T338" s="453">
        <v>6</v>
      </c>
      <c r="V338" s="453">
        <v>50</v>
      </c>
      <c r="W338" s="453">
        <v>250</v>
      </c>
      <c r="X338" s="453" t="s">
        <v>58</v>
      </c>
      <c r="Z338" s="453" t="s">
        <v>150</v>
      </c>
      <c r="AA338" s="453">
        <v>497</v>
      </c>
      <c r="AC338" s="453" t="s">
        <v>871</v>
      </c>
    </row>
    <row r="339" spans="1:29">
      <c r="A339" s="453">
        <v>338</v>
      </c>
      <c r="B339" s="453" t="s">
        <v>874</v>
      </c>
      <c r="C339" s="453" t="s">
        <v>875</v>
      </c>
      <c r="D339" s="550" t="s">
        <v>876</v>
      </c>
      <c r="F339" s="453">
        <v>2015</v>
      </c>
      <c r="G339" s="453">
        <v>2025</v>
      </c>
      <c r="H339" s="472">
        <v>125000</v>
      </c>
      <c r="I339" s="472">
        <v>200000</v>
      </c>
      <c r="J339" s="453">
        <v>1</v>
      </c>
      <c r="K339" s="453">
        <v>1</v>
      </c>
      <c r="L339" s="453" t="s">
        <v>154</v>
      </c>
      <c r="M339" s="453">
        <v>1</v>
      </c>
      <c r="N339" s="453" t="s">
        <v>122</v>
      </c>
      <c r="O339" s="453">
        <v>100</v>
      </c>
      <c r="P339" s="453" t="s">
        <v>148</v>
      </c>
      <c r="Q339" s="453" t="s">
        <v>149</v>
      </c>
      <c r="R339" s="453">
        <v>0.25</v>
      </c>
      <c r="S339" s="453">
        <v>0.25</v>
      </c>
      <c r="T339" s="453">
        <v>2</v>
      </c>
      <c r="V339" s="453">
        <v>50</v>
      </c>
      <c r="W339" s="453">
        <v>250</v>
      </c>
      <c r="X339" s="453" t="s">
        <v>58</v>
      </c>
      <c r="Z339" s="453" t="s">
        <v>150</v>
      </c>
      <c r="AC339" s="453" t="s">
        <v>874</v>
      </c>
    </row>
    <row r="340" spans="1:29">
      <c r="A340" s="453">
        <v>339</v>
      </c>
      <c r="B340" s="453" t="s">
        <v>877</v>
      </c>
      <c r="C340" s="453" t="s">
        <v>878</v>
      </c>
      <c r="D340" s="550" t="s">
        <v>879</v>
      </c>
      <c r="F340" s="453">
        <v>2008</v>
      </c>
      <c r="G340" s="453">
        <v>2012</v>
      </c>
      <c r="H340" s="472">
        <v>80000</v>
      </c>
      <c r="I340" s="472">
        <v>165000</v>
      </c>
      <c r="J340" s="453">
        <v>1</v>
      </c>
      <c r="K340" s="453">
        <v>1</v>
      </c>
      <c r="L340" s="453" t="s">
        <v>154</v>
      </c>
      <c r="M340" s="453">
        <v>1</v>
      </c>
      <c r="N340" s="453" t="s">
        <v>122</v>
      </c>
      <c r="O340" s="453">
        <v>100</v>
      </c>
      <c r="P340" s="453" t="s">
        <v>148</v>
      </c>
      <c r="Q340" s="453" t="s">
        <v>149</v>
      </c>
      <c r="R340" s="453">
        <v>0</v>
      </c>
      <c r="S340" s="453">
        <v>0</v>
      </c>
      <c r="T340" s="453">
        <v>2</v>
      </c>
      <c r="V340" s="453">
        <v>50</v>
      </c>
      <c r="W340" s="453">
        <v>250</v>
      </c>
      <c r="X340" s="453" t="s">
        <v>58</v>
      </c>
      <c r="Z340" s="453" t="s">
        <v>150</v>
      </c>
      <c r="AA340" s="453">
        <v>513</v>
      </c>
      <c r="AC340" s="453" t="s">
        <v>877</v>
      </c>
    </row>
    <row r="341" spans="1:29">
      <c r="A341" s="453">
        <v>340</v>
      </c>
      <c r="B341" s="453" t="s">
        <v>880</v>
      </c>
      <c r="C341" s="453" t="s">
        <v>878</v>
      </c>
      <c r="D341" s="550" t="s">
        <v>881</v>
      </c>
      <c r="F341" s="453">
        <v>2000</v>
      </c>
      <c r="G341" s="453">
        <v>2012</v>
      </c>
      <c r="H341" s="472">
        <v>80000</v>
      </c>
      <c r="I341" s="472">
        <v>150000</v>
      </c>
      <c r="J341" s="453">
        <v>1</v>
      </c>
      <c r="K341" s="453">
        <v>1</v>
      </c>
      <c r="L341" s="453" t="s">
        <v>154</v>
      </c>
      <c r="M341" s="453">
        <v>1</v>
      </c>
      <c r="N341" s="453" t="s">
        <v>122</v>
      </c>
      <c r="O341" s="453">
        <v>100</v>
      </c>
      <c r="P341" s="453" t="s">
        <v>148</v>
      </c>
      <c r="Q341" s="453" t="s">
        <v>149</v>
      </c>
      <c r="R341" s="453">
        <v>0</v>
      </c>
      <c r="S341" s="453">
        <v>0</v>
      </c>
      <c r="T341" s="453">
        <v>2</v>
      </c>
      <c r="V341" s="453">
        <v>50</v>
      </c>
      <c r="W341" s="453">
        <v>250</v>
      </c>
      <c r="X341" s="453" t="s">
        <v>58</v>
      </c>
      <c r="Z341" s="453" t="s">
        <v>150</v>
      </c>
      <c r="AA341" s="453">
        <v>513</v>
      </c>
      <c r="AC341" s="453" t="s">
        <v>880</v>
      </c>
    </row>
    <row r="342" spans="1:29">
      <c r="A342" s="453">
        <v>341</v>
      </c>
      <c r="B342" s="453" t="s">
        <v>882</v>
      </c>
      <c r="C342" s="453" t="s">
        <v>883</v>
      </c>
      <c r="D342" s="550" t="s">
        <v>884</v>
      </c>
      <c r="F342" s="453">
        <v>1929</v>
      </c>
      <c r="G342" s="453">
        <v>1939</v>
      </c>
      <c r="H342" s="472">
        <v>24500</v>
      </c>
      <c r="I342" s="472">
        <v>76000</v>
      </c>
      <c r="J342" s="453">
        <v>1</v>
      </c>
      <c r="K342" s="453">
        <v>1</v>
      </c>
      <c r="L342" s="453" t="s">
        <v>147</v>
      </c>
      <c r="M342" s="453">
        <v>1</v>
      </c>
      <c r="N342" s="453" t="s">
        <v>122</v>
      </c>
      <c r="O342" s="453">
        <v>150</v>
      </c>
      <c r="P342" s="453" t="s">
        <v>123</v>
      </c>
      <c r="Q342" s="453" t="s">
        <v>149</v>
      </c>
      <c r="R342" s="453">
        <v>0</v>
      </c>
      <c r="S342" s="453">
        <v>0</v>
      </c>
      <c r="T342" s="453">
        <v>7</v>
      </c>
      <c r="V342" s="453">
        <v>100</v>
      </c>
      <c r="W342" s="453">
        <v>500</v>
      </c>
      <c r="X342" s="453" t="s">
        <v>58</v>
      </c>
      <c r="Z342" s="453" t="s">
        <v>150</v>
      </c>
      <c r="AA342" s="453">
        <v>514</v>
      </c>
      <c r="AC342" s="453" t="s">
        <v>882</v>
      </c>
    </row>
    <row r="343" spans="1:29">
      <c r="A343" s="453">
        <v>342</v>
      </c>
      <c r="B343" s="453" t="s">
        <v>885</v>
      </c>
      <c r="C343" s="453" t="s">
        <v>886</v>
      </c>
      <c r="D343" s="550" t="s">
        <v>887</v>
      </c>
      <c r="F343" s="453">
        <v>1929</v>
      </c>
      <c r="G343" s="453">
        <v>1985</v>
      </c>
      <c r="H343" s="472">
        <v>29500</v>
      </c>
      <c r="I343" s="472">
        <v>101000</v>
      </c>
      <c r="J343" s="453">
        <v>1</v>
      </c>
      <c r="K343" s="453">
        <v>1</v>
      </c>
      <c r="L343" s="453" t="s">
        <v>147</v>
      </c>
      <c r="M343" s="453">
        <v>1</v>
      </c>
      <c r="N343" s="453" t="s">
        <v>122</v>
      </c>
      <c r="O343" s="453">
        <v>95</v>
      </c>
      <c r="P343" s="453" t="s">
        <v>123</v>
      </c>
      <c r="Q343" s="453" t="s">
        <v>124</v>
      </c>
      <c r="R343" s="453">
        <v>0</v>
      </c>
      <c r="S343" s="453">
        <v>0</v>
      </c>
      <c r="T343" s="453">
        <v>8</v>
      </c>
      <c r="V343" s="453">
        <v>100</v>
      </c>
      <c r="W343" s="453">
        <v>500</v>
      </c>
      <c r="X343" s="453" t="s">
        <v>58</v>
      </c>
      <c r="Z343" s="453" t="s">
        <v>150</v>
      </c>
      <c r="AA343" s="453">
        <v>515</v>
      </c>
      <c r="AC343" s="453" t="s">
        <v>885</v>
      </c>
    </row>
    <row r="344" spans="1:29">
      <c r="A344" s="453">
        <v>343</v>
      </c>
      <c r="B344" s="453" t="s">
        <v>888</v>
      </c>
      <c r="C344" s="453" t="s">
        <v>886</v>
      </c>
      <c r="D344" s="550" t="s">
        <v>889</v>
      </c>
      <c r="F344" s="453">
        <v>1973</v>
      </c>
      <c r="G344" s="453">
        <v>1980</v>
      </c>
      <c r="H344" s="472">
        <v>29500</v>
      </c>
      <c r="I344" s="472">
        <v>101000</v>
      </c>
      <c r="J344" s="453">
        <v>1</v>
      </c>
      <c r="K344" s="453">
        <v>1</v>
      </c>
      <c r="L344" s="453" t="s">
        <v>147</v>
      </c>
      <c r="M344" s="453">
        <v>1</v>
      </c>
      <c r="N344" s="453" t="s">
        <v>122</v>
      </c>
      <c r="O344" s="453">
        <v>180</v>
      </c>
      <c r="P344" s="453" t="s">
        <v>123</v>
      </c>
      <c r="Q344" s="453" t="s">
        <v>124</v>
      </c>
      <c r="R344" s="453">
        <v>0</v>
      </c>
      <c r="S344" s="453">
        <v>0</v>
      </c>
      <c r="T344" s="453">
        <v>8</v>
      </c>
      <c r="V344" s="453">
        <v>100</v>
      </c>
      <c r="W344" s="453">
        <v>500</v>
      </c>
      <c r="X344" s="453" t="s">
        <v>58</v>
      </c>
      <c r="Z344" s="453" t="s">
        <v>150</v>
      </c>
      <c r="AA344" s="453">
        <v>518</v>
      </c>
      <c r="AC344" s="453" t="s">
        <v>888</v>
      </c>
    </row>
    <row r="345" spans="1:29">
      <c r="A345" s="453">
        <v>344</v>
      </c>
      <c r="B345" s="453" t="s">
        <v>890</v>
      </c>
      <c r="C345" s="453" t="s">
        <v>886</v>
      </c>
      <c r="D345" s="550" t="s">
        <v>891</v>
      </c>
      <c r="F345" s="453">
        <v>1989</v>
      </c>
      <c r="G345" s="453">
        <v>2020</v>
      </c>
      <c r="H345" s="472">
        <v>75000</v>
      </c>
      <c r="I345" s="472">
        <v>350000</v>
      </c>
      <c r="J345" s="453">
        <v>1</v>
      </c>
      <c r="K345" s="453">
        <v>1</v>
      </c>
      <c r="L345" s="453" t="s">
        <v>147</v>
      </c>
      <c r="M345" s="453">
        <v>1</v>
      </c>
      <c r="N345" s="453" t="s">
        <v>122</v>
      </c>
      <c r="O345" s="453">
        <v>180</v>
      </c>
      <c r="P345" s="453" t="s">
        <v>123</v>
      </c>
      <c r="Q345" s="453" t="s">
        <v>149</v>
      </c>
      <c r="R345" s="453">
        <v>0</v>
      </c>
      <c r="S345" s="453">
        <v>0</v>
      </c>
      <c r="T345" s="453">
        <v>8</v>
      </c>
      <c r="V345" s="453">
        <v>100</v>
      </c>
      <c r="W345" s="453">
        <v>500</v>
      </c>
      <c r="X345" s="453" t="s">
        <v>58</v>
      </c>
      <c r="Z345" s="453" t="s">
        <v>150</v>
      </c>
      <c r="AC345" s="453" t="s">
        <v>890</v>
      </c>
    </row>
    <row r="346" spans="1:29">
      <c r="A346" s="453">
        <v>345</v>
      </c>
      <c r="B346" s="453" t="s">
        <v>892</v>
      </c>
      <c r="C346" s="453" t="s">
        <v>893</v>
      </c>
      <c r="D346" s="550" t="s">
        <v>894</v>
      </c>
      <c r="F346" s="453">
        <v>1985</v>
      </c>
      <c r="G346" s="453">
        <v>2000</v>
      </c>
      <c r="H346" s="472">
        <v>79500</v>
      </c>
      <c r="I346" s="472">
        <v>141000</v>
      </c>
      <c r="J346" s="453">
        <v>1</v>
      </c>
      <c r="K346" s="453">
        <v>1</v>
      </c>
      <c r="L346" s="453" t="s">
        <v>147</v>
      </c>
      <c r="M346" s="453">
        <v>1</v>
      </c>
      <c r="N346" s="453" t="s">
        <v>122</v>
      </c>
      <c r="O346" s="453">
        <v>115</v>
      </c>
      <c r="P346" s="453" t="s">
        <v>148</v>
      </c>
      <c r="Q346" s="453" t="s">
        <v>149</v>
      </c>
      <c r="R346" s="453">
        <v>0</v>
      </c>
      <c r="S346" s="453">
        <v>0</v>
      </c>
      <c r="T346" s="453">
        <v>4</v>
      </c>
      <c r="V346" s="453">
        <v>50</v>
      </c>
      <c r="W346" s="453">
        <v>250</v>
      </c>
      <c r="X346" s="453" t="s">
        <v>58</v>
      </c>
      <c r="Z346" s="453" t="s">
        <v>150</v>
      </c>
      <c r="AA346" s="453">
        <v>522</v>
      </c>
      <c r="AC346" s="453" t="s">
        <v>892</v>
      </c>
    </row>
    <row r="347" spans="1:29">
      <c r="A347" s="453">
        <v>346</v>
      </c>
      <c r="B347" s="453" t="s">
        <v>895</v>
      </c>
      <c r="C347" s="453" t="s">
        <v>896</v>
      </c>
      <c r="D347" s="550" t="s">
        <v>897</v>
      </c>
      <c r="F347" s="453">
        <v>1950</v>
      </c>
      <c r="G347" s="453">
        <v>1955</v>
      </c>
      <c r="H347" s="472">
        <v>500000</v>
      </c>
      <c r="I347" s="472">
        <v>2000000</v>
      </c>
      <c r="J347" s="453">
        <v>1</v>
      </c>
      <c r="K347" s="453">
        <v>1</v>
      </c>
      <c r="L347" s="453" t="s">
        <v>121</v>
      </c>
      <c r="M347" s="453">
        <v>1</v>
      </c>
      <c r="N347" s="453" t="s">
        <v>122</v>
      </c>
      <c r="O347" s="453">
        <v>2400</v>
      </c>
      <c r="P347" s="453" t="s">
        <v>130</v>
      </c>
      <c r="Q347" s="453" t="s">
        <v>133</v>
      </c>
      <c r="R347" s="453">
        <v>0.5</v>
      </c>
      <c r="S347" s="453">
        <v>1</v>
      </c>
      <c r="T347" s="453">
        <v>1</v>
      </c>
      <c r="V347" s="453">
        <v>1000</v>
      </c>
      <c r="W347" s="453">
        <v>0.1</v>
      </c>
      <c r="X347" s="453" t="s">
        <v>125</v>
      </c>
      <c r="AB347" s="453" t="s">
        <v>898</v>
      </c>
      <c r="AC347" s="453" t="s">
        <v>895</v>
      </c>
    </row>
    <row r="348" spans="1:29">
      <c r="A348" s="453">
        <v>347</v>
      </c>
      <c r="B348" s="453" t="s">
        <v>899</v>
      </c>
      <c r="C348" s="453" t="s">
        <v>896</v>
      </c>
      <c r="D348" s="550" t="s">
        <v>900</v>
      </c>
      <c r="F348" s="453">
        <v>1937</v>
      </c>
      <c r="G348" s="453">
        <v>1947</v>
      </c>
      <c r="H348" s="472">
        <v>75000</v>
      </c>
      <c r="I348" s="472">
        <v>200000</v>
      </c>
      <c r="J348" s="453">
        <v>1</v>
      </c>
      <c r="K348" s="453">
        <v>7</v>
      </c>
      <c r="L348" s="453" t="s">
        <v>147</v>
      </c>
      <c r="M348" s="453">
        <v>2</v>
      </c>
      <c r="N348" s="453" t="s">
        <v>122</v>
      </c>
      <c r="O348" s="453">
        <v>450</v>
      </c>
      <c r="P348" s="453" t="s">
        <v>150</v>
      </c>
      <c r="Q348" s="453" t="s">
        <v>133</v>
      </c>
      <c r="R348" s="453">
        <v>0.25</v>
      </c>
      <c r="S348" s="453">
        <v>0</v>
      </c>
      <c r="T348" s="453">
        <v>1</v>
      </c>
      <c r="U348" s="453" t="s">
        <v>229</v>
      </c>
      <c r="V348" s="453">
        <v>1000</v>
      </c>
      <c r="W348" s="453">
        <v>0.05</v>
      </c>
      <c r="X348" s="453" t="s">
        <v>125</v>
      </c>
      <c r="Z348" s="453" t="s">
        <v>150</v>
      </c>
      <c r="AA348" s="453">
        <v>536</v>
      </c>
      <c r="AC348" s="453" t="s">
        <v>899</v>
      </c>
    </row>
    <row r="349" spans="1:29">
      <c r="A349" s="453">
        <v>348</v>
      </c>
      <c r="B349" s="453" t="s">
        <v>901</v>
      </c>
      <c r="C349" s="453" t="s">
        <v>896</v>
      </c>
      <c r="D349" s="550" t="s">
        <v>902</v>
      </c>
      <c r="F349" s="453">
        <v>1960</v>
      </c>
      <c r="G349" s="453">
        <v>1980</v>
      </c>
      <c r="H349" s="472">
        <v>200000</v>
      </c>
      <c r="I349" s="472">
        <v>450000</v>
      </c>
      <c r="J349" s="453">
        <v>1</v>
      </c>
      <c r="K349" s="453">
        <v>7</v>
      </c>
      <c r="L349" s="453" t="s">
        <v>147</v>
      </c>
      <c r="M349" s="453">
        <v>4</v>
      </c>
      <c r="N349" s="453" t="s">
        <v>130</v>
      </c>
      <c r="O349" s="453">
        <v>650</v>
      </c>
      <c r="P349" s="453" t="s">
        <v>150</v>
      </c>
      <c r="Q349" s="453" t="s">
        <v>133</v>
      </c>
      <c r="R349" s="453">
        <v>0.25</v>
      </c>
      <c r="S349" s="453">
        <v>0</v>
      </c>
      <c r="T349" s="453">
        <v>1</v>
      </c>
      <c r="U349" s="453" t="s">
        <v>123</v>
      </c>
      <c r="V349" s="453">
        <v>1000</v>
      </c>
      <c r="W349" s="453">
        <v>0.1</v>
      </c>
      <c r="X349" s="453" t="s">
        <v>125</v>
      </c>
      <c r="Z349" s="453" t="s">
        <v>150</v>
      </c>
      <c r="AA349" s="453">
        <v>537</v>
      </c>
      <c r="AC349" s="453" t="s">
        <v>901</v>
      </c>
    </row>
    <row r="350" spans="1:29">
      <c r="A350" s="453">
        <v>349</v>
      </c>
      <c r="B350" s="453" t="s">
        <v>903</v>
      </c>
      <c r="C350" s="453" t="s">
        <v>896</v>
      </c>
      <c r="D350" s="550" t="s">
        <v>904</v>
      </c>
      <c r="F350" s="453">
        <v>1941</v>
      </c>
      <c r="G350" s="453">
        <v>1949</v>
      </c>
      <c r="H350" s="472">
        <v>50000</v>
      </c>
      <c r="I350" s="472">
        <v>150000</v>
      </c>
      <c r="J350" s="453">
        <v>1</v>
      </c>
      <c r="K350" s="453">
        <v>4</v>
      </c>
      <c r="L350" s="453" t="s">
        <v>147</v>
      </c>
      <c r="M350" s="453">
        <v>2</v>
      </c>
      <c r="N350" s="453" t="s">
        <v>122</v>
      </c>
      <c r="O350" s="453">
        <v>200</v>
      </c>
      <c r="P350" s="453" t="s">
        <v>150</v>
      </c>
      <c r="Q350" s="453" t="s">
        <v>124</v>
      </c>
      <c r="R350" s="453">
        <v>0</v>
      </c>
      <c r="S350" s="453">
        <v>0</v>
      </c>
      <c r="T350" s="453">
        <v>1</v>
      </c>
      <c r="U350" s="453" t="s">
        <v>229</v>
      </c>
      <c r="V350" s="453">
        <v>1000</v>
      </c>
      <c r="W350" s="453">
        <v>0.05</v>
      </c>
      <c r="X350" s="453" t="s">
        <v>125</v>
      </c>
      <c r="Z350" s="453" t="s">
        <v>150</v>
      </c>
      <c r="AA350" s="453">
        <v>538</v>
      </c>
      <c r="AC350" s="453" t="s">
        <v>903</v>
      </c>
    </row>
    <row r="351" spans="1:29">
      <c r="A351" s="453">
        <v>350</v>
      </c>
      <c r="B351" s="453" t="s">
        <v>905</v>
      </c>
      <c r="C351" s="453" t="s">
        <v>896</v>
      </c>
      <c r="D351" s="550" t="s">
        <v>906</v>
      </c>
      <c r="F351" s="453">
        <v>1947</v>
      </c>
      <c r="G351" s="453">
        <v>1962</v>
      </c>
      <c r="H351" s="472">
        <v>300000</v>
      </c>
      <c r="I351" s="472">
        <v>2000000</v>
      </c>
      <c r="J351" s="453">
        <v>2</v>
      </c>
      <c r="K351" s="453">
        <v>8</v>
      </c>
      <c r="L351" s="453" t="s">
        <v>121</v>
      </c>
      <c r="M351" s="453">
        <v>2</v>
      </c>
      <c r="N351" s="453" t="s">
        <v>122</v>
      </c>
      <c r="O351" s="453">
        <v>1425</v>
      </c>
      <c r="P351" s="453" t="s">
        <v>150</v>
      </c>
      <c r="Q351" s="453" t="s">
        <v>133</v>
      </c>
      <c r="R351" s="453">
        <v>0</v>
      </c>
      <c r="S351" s="453">
        <v>0</v>
      </c>
      <c r="T351" s="453">
        <v>1</v>
      </c>
      <c r="V351" s="453">
        <v>1000</v>
      </c>
      <c r="W351" s="453">
        <v>0.1</v>
      </c>
      <c r="X351" s="453" t="s">
        <v>125</v>
      </c>
      <c r="AB351" s="453" t="s">
        <v>907</v>
      </c>
      <c r="AC351" s="453" t="s">
        <v>905</v>
      </c>
    </row>
    <row r="352" spans="1:29">
      <c r="A352" s="453">
        <v>351</v>
      </c>
      <c r="B352" s="453" t="s">
        <v>908</v>
      </c>
      <c r="C352" s="453" t="s">
        <v>896</v>
      </c>
      <c r="D352" s="550" t="s">
        <v>909</v>
      </c>
      <c r="E352" s="453" t="s">
        <v>910</v>
      </c>
      <c r="F352" s="453">
        <v>1942</v>
      </c>
      <c r="G352" s="453">
        <v>1946</v>
      </c>
      <c r="H352" s="472">
        <v>250000</v>
      </c>
      <c r="I352" s="472">
        <v>2000000</v>
      </c>
      <c r="J352" s="453">
        <v>1</v>
      </c>
      <c r="K352" s="453">
        <v>2</v>
      </c>
      <c r="L352" s="453" t="s">
        <v>121</v>
      </c>
      <c r="M352" s="453">
        <v>1</v>
      </c>
      <c r="N352" s="453" t="s">
        <v>122</v>
      </c>
      <c r="O352" s="453">
        <v>2000</v>
      </c>
      <c r="P352" s="453" t="s">
        <v>130</v>
      </c>
      <c r="Q352" s="453" t="s">
        <v>133</v>
      </c>
      <c r="R352" s="453">
        <v>0.25</v>
      </c>
      <c r="S352" s="453">
        <v>2</v>
      </c>
      <c r="T352" s="453">
        <v>1</v>
      </c>
      <c r="V352" s="453">
        <v>1000</v>
      </c>
      <c r="W352" s="453">
        <v>0.1</v>
      </c>
      <c r="X352" s="453" t="s">
        <v>125</v>
      </c>
      <c r="AB352" s="453" t="s">
        <v>911</v>
      </c>
      <c r="AC352" s="453" t="s">
        <v>908</v>
      </c>
    </row>
    <row r="353" spans="1:29">
      <c r="A353" s="453">
        <v>352</v>
      </c>
      <c r="B353" s="453" t="s">
        <v>912</v>
      </c>
      <c r="C353" s="453" t="s">
        <v>913</v>
      </c>
      <c r="D353" s="550" t="s">
        <v>914</v>
      </c>
      <c r="F353" s="453">
        <v>2000</v>
      </c>
      <c r="G353" s="453">
        <v>2016</v>
      </c>
      <c r="H353" s="472">
        <v>50000</v>
      </c>
      <c r="I353" s="472">
        <v>150000</v>
      </c>
      <c r="J353" s="453">
        <v>1</v>
      </c>
      <c r="K353" s="453">
        <v>1</v>
      </c>
      <c r="L353" s="453" t="s">
        <v>154</v>
      </c>
      <c r="M353" s="453">
        <v>1</v>
      </c>
      <c r="N353" s="453" t="s">
        <v>122</v>
      </c>
      <c r="O353" s="453">
        <v>100</v>
      </c>
      <c r="P353" s="453" t="s">
        <v>148</v>
      </c>
      <c r="Q353" s="453" t="s">
        <v>149</v>
      </c>
      <c r="R353" s="453">
        <v>0</v>
      </c>
      <c r="S353" s="453">
        <v>0</v>
      </c>
      <c r="T353" s="453">
        <v>2</v>
      </c>
      <c r="V353" s="453">
        <v>50</v>
      </c>
      <c r="W353" s="453">
        <v>250</v>
      </c>
      <c r="X353" s="453" t="s">
        <v>58</v>
      </c>
      <c r="Z353" s="453" t="s">
        <v>150</v>
      </c>
      <c r="AC353" s="453" t="s">
        <v>912</v>
      </c>
    </row>
    <row r="354" spans="1:29">
      <c r="A354" s="453">
        <v>353</v>
      </c>
      <c r="B354" s="611" t="s">
        <v>915</v>
      </c>
      <c r="C354" s="611" t="s">
        <v>916</v>
      </c>
      <c r="D354" s="612" t="s">
        <v>917</v>
      </c>
      <c r="E354" s="611" t="s">
        <v>918</v>
      </c>
      <c r="F354" s="453">
        <v>1993</v>
      </c>
      <c r="G354" s="453">
        <v>1999</v>
      </c>
      <c r="H354" s="472">
        <v>675000</v>
      </c>
      <c r="I354" s="472">
        <v>1750000</v>
      </c>
      <c r="J354" s="453">
        <v>2</v>
      </c>
      <c r="K354" s="453">
        <v>9</v>
      </c>
      <c r="L354" s="611" t="s">
        <v>147</v>
      </c>
      <c r="M354" s="453">
        <v>5</v>
      </c>
      <c r="N354" s="611" t="s">
        <v>130</v>
      </c>
      <c r="O354" s="453">
        <v>3045</v>
      </c>
      <c r="P354" s="611" t="s">
        <v>132</v>
      </c>
      <c r="Q354" s="611" t="s">
        <v>133</v>
      </c>
      <c r="R354" s="453">
        <v>-0.33</v>
      </c>
      <c r="S354" s="453">
        <v>-0.23</v>
      </c>
      <c r="T354" s="453">
        <v>21</v>
      </c>
      <c r="U354" s="611" t="s">
        <v>123</v>
      </c>
      <c r="V354" s="453">
        <v>10000</v>
      </c>
      <c r="W354" s="453">
        <v>25000</v>
      </c>
      <c r="X354" s="611" t="s">
        <v>125</v>
      </c>
      <c r="Z354" s="611" t="s">
        <v>150</v>
      </c>
      <c r="AC354" s="611" t="s">
        <v>919</v>
      </c>
    </row>
    <row r="355" spans="1:29">
      <c r="A355" s="453">
        <v>354</v>
      </c>
      <c r="B355" s="665" t="s">
        <v>4016</v>
      </c>
      <c r="C355" s="611" t="s">
        <v>916</v>
      </c>
      <c r="D355" s="666" t="s">
        <v>4017</v>
      </c>
      <c r="E355" s="665" t="s">
        <v>4018</v>
      </c>
      <c r="F355" s="453">
        <v>1997</v>
      </c>
      <c r="G355" s="453">
        <v>2011</v>
      </c>
      <c r="H355" s="472">
        <v>2100000</v>
      </c>
      <c r="I355" s="472">
        <v>7875000</v>
      </c>
      <c r="J355" s="453">
        <v>2</v>
      </c>
      <c r="K355" s="453">
        <v>10</v>
      </c>
      <c r="L355" s="611" t="s">
        <v>147</v>
      </c>
      <c r="M355" s="453">
        <v>5</v>
      </c>
      <c r="N355" s="611" t="s">
        <v>130</v>
      </c>
      <c r="O355" s="453">
        <v>6040</v>
      </c>
      <c r="P355" s="611" t="s">
        <v>132</v>
      </c>
      <c r="Q355" s="611" t="s">
        <v>133</v>
      </c>
      <c r="R355" s="453">
        <v>-0.33</v>
      </c>
      <c r="S355" s="453">
        <v>-0.23</v>
      </c>
      <c r="T355" s="453">
        <v>21</v>
      </c>
      <c r="U355" s="611" t="s">
        <v>123</v>
      </c>
      <c r="V355" s="453">
        <v>10000</v>
      </c>
      <c r="W355" s="453">
        <v>25000</v>
      </c>
      <c r="X355" s="611" t="s">
        <v>125</v>
      </c>
      <c r="Z355" s="611" t="s">
        <v>150</v>
      </c>
      <c r="AC355" s="665" t="s">
        <v>4019</v>
      </c>
    </row>
    <row r="356" spans="1:29">
      <c r="A356" s="453">
        <v>355</v>
      </c>
      <c r="B356" s="453" t="s">
        <v>920</v>
      </c>
      <c r="C356" s="453" t="s">
        <v>921</v>
      </c>
      <c r="D356" s="550" t="s">
        <v>922</v>
      </c>
      <c r="F356" s="453">
        <v>1960</v>
      </c>
      <c r="G356" s="453">
        <v>2010</v>
      </c>
      <c r="H356" s="472">
        <v>9500</v>
      </c>
      <c r="I356" s="472">
        <v>36000</v>
      </c>
      <c r="J356" s="453">
        <v>1</v>
      </c>
      <c r="K356" s="453">
        <v>0</v>
      </c>
      <c r="L356" s="453" t="s">
        <v>147</v>
      </c>
      <c r="M356" s="453">
        <v>8</v>
      </c>
      <c r="N356" s="453" t="s">
        <v>122</v>
      </c>
      <c r="O356" s="453">
        <v>130</v>
      </c>
      <c r="P356" s="453" t="s">
        <v>148</v>
      </c>
      <c r="Q356" s="453" t="s">
        <v>149</v>
      </c>
      <c r="R356" s="453">
        <v>0</v>
      </c>
      <c r="S356" s="453">
        <v>1</v>
      </c>
      <c r="T356" s="453">
        <v>1</v>
      </c>
      <c r="V356" s="453">
        <v>1000</v>
      </c>
      <c r="W356" s="453">
        <v>4000</v>
      </c>
      <c r="X356" s="453" t="s">
        <v>125</v>
      </c>
      <c r="Z356" s="453" t="s">
        <v>150</v>
      </c>
      <c r="AA356" s="453">
        <v>540</v>
      </c>
      <c r="AC356" s="453" t="s">
        <v>920</v>
      </c>
    </row>
    <row r="357" spans="1:29">
      <c r="A357" s="453">
        <v>356</v>
      </c>
      <c r="B357" s="453" t="s">
        <v>923</v>
      </c>
      <c r="C357" s="453" t="s">
        <v>924</v>
      </c>
      <c r="D357" s="550" t="s">
        <v>925</v>
      </c>
      <c r="F357" s="453">
        <v>1935</v>
      </c>
      <c r="G357" s="453">
        <v>1940</v>
      </c>
      <c r="H357" s="472">
        <v>24500</v>
      </c>
      <c r="I357" s="472">
        <v>76000</v>
      </c>
      <c r="J357" s="453">
        <v>1</v>
      </c>
      <c r="K357" s="453">
        <v>3</v>
      </c>
      <c r="L357" s="453" t="s">
        <v>147</v>
      </c>
      <c r="M357" s="453">
        <v>1</v>
      </c>
      <c r="N357" s="453" t="s">
        <v>122</v>
      </c>
      <c r="O357" s="453">
        <v>145</v>
      </c>
      <c r="P357" s="453" t="s">
        <v>130</v>
      </c>
      <c r="Q357" s="453" t="s">
        <v>124</v>
      </c>
      <c r="R357" s="453">
        <v>0</v>
      </c>
      <c r="S357" s="453">
        <v>0</v>
      </c>
      <c r="T357" s="453">
        <v>12</v>
      </c>
      <c r="V357" s="453">
        <v>100</v>
      </c>
      <c r="W357" s="453">
        <v>1000</v>
      </c>
      <c r="X357" s="453" t="s">
        <v>125</v>
      </c>
      <c r="Z357" s="453" t="s">
        <v>150</v>
      </c>
      <c r="AA357" s="453">
        <v>541</v>
      </c>
      <c r="AC357" s="453" t="s">
        <v>923</v>
      </c>
    </row>
    <row r="358" spans="1:29">
      <c r="A358" s="453">
        <v>357</v>
      </c>
      <c r="B358" s="453" t="s">
        <v>926</v>
      </c>
      <c r="C358" s="453" t="s">
        <v>927</v>
      </c>
      <c r="D358" s="550" t="s">
        <v>928</v>
      </c>
      <c r="F358" s="453">
        <v>1945</v>
      </c>
      <c r="G358" s="453">
        <v>1955</v>
      </c>
      <c r="H358" s="472">
        <v>800000</v>
      </c>
      <c r="I358" s="472">
        <v>1500000</v>
      </c>
      <c r="J358" s="453">
        <v>1</v>
      </c>
      <c r="K358" s="453">
        <v>1</v>
      </c>
      <c r="L358" s="453" t="s">
        <v>121</v>
      </c>
      <c r="M358" s="453">
        <v>1</v>
      </c>
      <c r="N358" s="453" t="s">
        <v>122</v>
      </c>
      <c r="O358" s="453">
        <v>2400</v>
      </c>
      <c r="P358" s="453" t="s">
        <v>130</v>
      </c>
      <c r="Q358" s="453" t="s">
        <v>133</v>
      </c>
      <c r="R358" s="453">
        <v>0.5</v>
      </c>
      <c r="S358" s="453">
        <v>3</v>
      </c>
      <c r="T358" s="453">
        <v>1</v>
      </c>
      <c r="V358" s="453">
        <v>1000</v>
      </c>
      <c r="W358" s="453">
        <v>0.1</v>
      </c>
      <c r="X358" s="453" t="s">
        <v>125</v>
      </c>
      <c r="Z358" s="453" t="s">
        <v>150</v>
      </c>
      <c r="AB358" s="453" t="s">
        <v>929</v>
      </c>
      <c r="AC358" s="453" t="s">
        <v>926</v>
      </c>
    </row>
    <row r="359" spans="1:29">
      <c r="A359" s="453">
        <v>358</v>
      </c>
      <c r="B359" s="453" t="s">
        <v>930</v>
      </c>
      <c r="C359" s="453" t="s">
        <v>927</v>
      </c>
      <c r="D359" s="550" t="s">
        <v>931</v>
      </c>
      <c r="F359" s="453">
        <v>1945</v>
      </c>
      <c r="G359" s="453">
        <v>1955</v>
      </c>
      <c r="H359" s="472">
        <v>800000</v>
      </c>
      <c r="I359" s="472">
        <v>1500000</v>
      </c>
      <c r="J359" s="453">
        <v>1</v>
      </c>
      <c r="K359" s="453">
        <v>1</v>
      </c>
      <c r="L359" s="453" t="s">
        <v>121</v>
      </c>
      <c r="M359" s="453">
        <v>1</v>
      </c>
      <c r="N359" s="453" t="s">
        <v>122</v>
      </c>
      <c r="O359" s="453">
        <v>2400</v>
      </c>
      <c r="P359" s="453" t="s">
        <v>130</v>
      </c>
      <c r="Q359" s="453" t="s">
        <v>133</v>
      </c>
      <c r="R359" s="453">
        <v>0.5</v>
      </c>
      <c r="S359" s="453">
        <v>3</v>
      </c>
      <c r="T359" s="453">
        <v>1</v>
      </c>
      <c r="V359" s="453">
        <v>1000</v>
      </c>
      <c r="W359" s="453">
        <v>0.1</v>
      </c>
      <c r="X359" s="453" t="s">
        <v>125</v>
      </c>
      <c r="Z359" s="453" t="s">
        <v>150</v>
      </c>
      <c r="AB359" s="453" t="s">
        <v>932</v>
      </c>
      <c r="AC359" s="453" t="s">
        <v>930</v>
      </c>
    </row>
    <row r="360" spans="1:29">
      <c r="A360" s="453">
        <v>359</v>
      </c>
      <c r="B360" s="453" t="s">
        <v>933</v>
      </c>
      <c r="C360" s="453" t="s">
        <v>934</v>
      </c>
      <c r="D360" s="550" t="s">
        <v>935</v>
      </c>
      <c r="F360" s="453">
        <v>2008</v>
      </c>
      <c r="G360" s="453">
        <v>2020</v>
      </c>
      <c r="H360" s="472">
        <v>200000</v>
      </c>
      <c r="I360" s="472">
        <v>400000</v>
      </c>
      <c r="J360" s="453">
        <v>1</v>
      </c>
      <c r="K360" s="453">
        <v>1</v>
      </c>
      <c r="L360" s="453" t="s">
        <v>147</v>
      </c>
      <c r="M360" s="453">
        <v>6</v>
      </c>
      <c r="N360" s="453" t="s">
        <v>122</v>
      </c>
      <c r="O360" s="453">
        <v>145</v>
      </c>
      <c r="P360" s="453" t="s">
        <v>148</v>
      </c>
      <c r="Q360" s="453" t="s">
        <v>149</v>
      </c>
      <c r="R360" s="453">
        <v>3</v>
      </c>
      <c r="S360" s="453">
        <v>3</v>
      </c>
      <c r="T360" s="453">
        <v>1</v>
      </c>
      <c r="V360" s="453">
        <v>1000</v>
      </c>
      <c r="W360" s="453">
        <v>0.1</v>
      </c>
      <c r="X360" s="453" t="s">
        <v>125</v>
      </c>
      <c r="Y360" s="453" t="s">
        <v>58</v>
      </c>
      <c r="AB360" s="453" t="s">
        <v>936</v>
      </c>
      <c r="AC360" s="453" t="s">
        <v>933</v>
      </c>
    </row>
    <row r="361" spans="1:29">
      <c r="A361" s="453">
        <v>360</v>
      </c>
      <c r="B361" s="453" t="s">
        <v>937</v>
      </c>
      <c r="C361" s="453" t="s">
        <v>938</v>
      </c>
      <c r="D361" s="550" t="s">
        <v>939</v>
      </c>
      <c r="F361" s="453">
        <v>1954</v>
      </c>
      <c r="G361" s="453">
        <v>2000</v>
      </c>
      <c r="H361" s="472">
        <v>14500</v>
      </c>
      <c r="I361" s="472">
        <v>151000</v>
      </c>
      <c r="J361" s="453">
        <v>1</v>
      </c>
      <c r="K361" s="453">
        <v>5</v>
      </c>
      <c r="L361" s="453" t="s">
        <v>147</v>
      </c>
      <c r="M361" s="453">
        <v>1</v>
      </c>
      <c r="N361" s="453" t="s">
        <v>122</v>
      </c>
      <c r="O361" s="453">
        <v>300</v>
      </c>
      <c r="P361" s="453" t="s">
        <v>123</v>
      </c>
      <c r="Q361" s="453" t="s">
        <v>124</v>
      </c>
      <c r="R361" s="453">
        <v>0.35</v>
      </c>
      <c r="S361" s="453">
        <v>0.35</v>
      </c>
      <c r="T361" s="453">
        <v>8</v>
      </c>
      <c r="V361" s="453">
        <v>100</v>
      </c>
      <c r="W361" s="453">
        <v>500</v>
      </c>
      <c r="X361" s="453" t="s">
        <v>125</v>
      </c>
      <c r="Z361" s="453" t="s">
        <v>150</v>
      </c>
      <c r="AA361" s="453">
        <v>544</v>
      </c>
      <c r="AC361" s="453" t="s">
        <v>937</v>
      </c>
    </row>
    <row r="362" spans="1:29">
      <c r="A362" s="453">
        <v>361</v>
      </c>
      <c r="B362" s="453" t="s">
        <v>940</v>
      </c>
      <c r="C362" s="453" t="s">
        <v>938</v>
      </c>
      <c r="D362" s="550" t="s">
        <v>941</v>
      </c>
      <c r="F362" s="453">
        <v>1955</v>
      </c>
      <c r="G362" s="453">
        <v>2000</v>
      </c>
      <c r="H362" s="472">
        <v>99500</v>
      </c>
      <c r="I362" s="472">
        <v>176000</v>
      </c>
      <c r="J362" s="453">
        <v>1</v>
      </c>
      <c r="K362" s="453">
        <v>5</v>
      </c>
      <c r="L362" s="453" t="s">
        <v>147</v>
      </c>
      <c r="M362" s="453">
        <v>1</v>
      </c>
      <c r="N362" s="453" t="s">
        <v>122</v>
      </c>
      <c r="O362" s="453">
        <v>295</v>
      </c>
      <c r="P362" s="453" t="s">
        <v>148</v>
      </c>
      <c r="Q362" s="453" t="s">
        <v>124</v>
      </c>
      <c r="R362" s="453">
        <v>0.35</v>
      </c>
      <c r="S362" s="453">
        <v>0.35</v>
      </c>
      <c r="T362" s="453">
        <v>5</v>
      </c>
      <c r="V362" s="453">
        <v>50</v>
      </c>
      <c r="W362" s="453">
        <v>250</v>
      </c>
      <c r="X362" s="453" t="s">
        <v>125</v>
      </c>
      <c r="Z362" s="453" t="s">
        <v>150</v>
      </c>
      <c r="AA362" s="453">
        <v>545</v>
      </c>
      <c r="AC362" s="453" t="s">
        <v>940</v>
      </c>
    </row>
    <row r="363" spans="1:29">
      <c r="A363" s="453">
        <v>362</v>
      </c>
      <c r="B363" s="453" t="s">
        <v>942</v>
      </c>
      <c r="C363" s="453" t="s">
        <v>943</v>
      </c>
      <c r="D363" s="550" t="s">
        <v>944</v>
      </c>
      <c r="F363" s="453">
        <v>1998</v>
      </c>
      <c r="G363" s="453">
        <v>2002</v>
      </c>
      <c r="H363" s="472">
        <v>89500</v>
      </c>
      <c r="I363" s="472">
        <v>131000</v>
      </c>
      <c r="J363" s="453">
        <v>1</v>
      </c>
      <c r="K363" s="453">
        <v>1</v>
      </c>
      <c r="L363" s="453" t="s">
        <v>147</v>
      </c>
      <c r="M363" s="453">
        <v>1</v>
      </c>
      <c r="N363" s="453" t="s">
        <v>122</v>
      </c>
      <c r="O363" s="453">
        <v>125</v>
      </c>
      <c r="P363" s="453" t="s">
        <v>148</v>
      </c>
      <c r="Q363" s="453" t="s">
        <v>149</v>
      </c>
      <c r="R363" s="453">
        <v>0.6</v>
      </c>
      <c r="S363" s="453">
        <v>0.6</v>
      </c>
      <c r="T363" s="453">
        <v>4</v>
      </c>
      <c r="V363" s="453">
        <v>50</v>
      </c>
      <c r="W363" s="453">
        <v>250</v>
      </c>
      <c r="X363" s="453" t="s">
        <v>125</v>
      </c>
      <c r="Z363" s="453" t="s">
        <v>150</v>
      </c>
      <c r="AA363" s="453">
        <v>546</v>
      </c>
      <c r="AC363" s="453" t="s">
        <v>942</v>
      </c>
    </row>
    <row r="364" spans="1:29">
      <c r="A364" s="453">
        <v>363</v>
      </c>
      <c r="B364" s="453" t="s">
        <v>945</v>
      </c>
      <c r="C364" s="453" t="s">
        <v>946</v>
      </c>
      <c r="D364" s="550" t="s">
        <v>947</v>
      </c>
      <c r="F364" s="453">
        <v>2000</v>
      </c>
      <c r="G364" s="453">
        <v>2016</v>
      </c>
      <c r="H364" s="472">
        <v>55000</v>
      </c>
      <c r="I364" s="472">
        <v>150000</v>
      </c>
      <c r="J364" s="453">
        <v>1</v>
      </c>
      <c r="K364" s="453">
        <v>1</v>
      </c>
      <c r="L364" s="453" t="s">
        <v>154</v>
      </c>
      <c r="M364" s="453">
        <v>1</v>
      </c>
      <c r="N364" s="453" t="s">
        <v>122</v>
      </c>
      <c r="O364" s="453">
        <v>100</v>
      </c>
      <c r="P364" s="453" t="s">
        <v>148</v>
      </c>
      <c r="Q364" s="453" t="s">
        <v>149</v>
      </c>
      <c r="R364" s="453">
        <v>0.25</v>
      </c>
      <c r="S364" s="453">
        <v>0.25</v>
      </c>
      <c r="T364" s="453">
        <v>2</v>
      </c>
      <c r="V364" s="453">
        <v>50</v>
      </c>
      <c r="W364" s="453">
        <v>250</v>
      </c>
      <c r="X364" s="453" t="s">
        <v>58</v>
      </c>
      <c r="Z364" s="453" t="s">
        <v>150</v>
      </c>
      <c r="AA364" s="453">
        <v>547</v>
      </c>
      <c r="AC364" s="453" t="s">
        <v>945</v>
      </c>
    </row>
    <row r="365" spans="1:29">
      <c r="A365" s="453">
        <v>364</v>
      </c>
      <c r="B365" s="453" t="s">
        <v>948</v>
      </c>
      <c r="C365" s="453" t="s">
        <v>949</v>
      </c>
      <c r="D365" s="550">
        <v>12</v>
      </c>
      <c r="F365" s="453">
        <v>1952</v>
      </c>
      <c r="G365" s="453">
        <v>1966</v>
      </c>
      <c r="H365" s="472">
        <v>39500</v>
      </c>
      <c r="I365" s="472">
        <v>81000</v>
      </c>
      <c r="J365" s="453">
        <v>1</v>
      </c>
      <c r="K365" s="453">
        <v>2</v>
      </c>
      <c r="L365" s="453" t="s">
        <v>147</v>
      </c>
      <c r="M365" s="453">
        <v>6</v>
      </c>
      <c r="N365" s="453" t="s">
        <v>122</v>
      </c>
      <c r="O365" s="453">
        <v>305</v>
      </c>
      <c r="P365" s="453" t="s">
        <v>148</v>
      </c>
      <c r="Q365" s="453" t="s">
        <v>149</v>
      </c>
      <c r="R365" s="453">
        <v>0</v>
      </c>
      <c r="S365" s="453">
        <v>0</v>
      </c>
      <c r="T365" s="453">
        <v>17</v>
      </c>
      <c r="V365" s="453">
        <v>1000</v>
      </c>
      <c r="W365" s="453">
        <v>0.05</v>
      </c>
      <c r="X365" s="453" t="s">
        <v>125</v>
      </c>
      <c r="Z365" s="453" t="s">
        <v>150</v>
      </c>
      <c r="AA365" s="453">
        <v>548</v>
      </c>
      <c r="AC365" s="453" t="s">
        <v>948</v>
      </c>
    </row>
    <row r="366" spans="1:29">
      <c r="A366" s="453">
        <v>365</v>
      </c>
      <c r="B366" s="453" t="s">
        <v>950</v>
      </c>
      <c r="C366" s="453" t="s">
        <v>949</v>
      </c>
      <c r="D366" s="550" t="s">
        <v>951</v>
      </c>
      <c r="F366" s="453">
        <v>1966</v>
      </c>
      <c r="G366" s="453">
        <v>1992</v>
      </c>
      <c r="H366" s="472">
        <v>75000</v>
      </c>
      <c r="I366" s="472">
        <v>200000</v>
      </c>
      <c r="J366" s="453">
        <v>1</v>
      </c>
      <c r="K366" s="453">
        <v>4</v>
      </c>
      <c r="L366" s="453" t="s">
        <v>147</v>
      </c>
      <c r="M366" s="453">
        <v>7</v>
      </c>
      <c r="N366" s="453" t="s">
        <v>130</v>
      </c>
      <c r="O366" s="453">
        <v>274</v>
      </c>
      <c r="P366" s="453" t="s">
        <v>148</v>
      </c>
      <c r="Q366" s="453" t="s">
        <v>149</v>
      </c>
      <c r="R366" s="453">
        <v>0</v>
      </c>
      <c r="S366" s="453">
        <v>0</v>
      </c>
      <c r="T366" s="453">
        <v>22</v>
      </c>
      <c r="V366" s="453">
        <v>1000</v>
      </c>
      <c r="W366" s="453">
        <v>2.5000000000000001E-2</v>
      </c>
      <c r="X366" s="453" t="s">
        <v>125</v>
      </c>
      <c r="Z366" s="453" t="s">
        <v>150</v>
      </c>
      <c r="AA366" s="453">
        <v>551</v>
      </c>
      <c r="AC366" s="453" t="s">
        <v>950</v>
      </c>
    </row>
    <row r="367" spans="1:29">
      <c r="A367" s="453">
        <v>366</v>
      </c>
      <c r="B367" s="611" t="s">
        <v>952</v>
      </c>
      <c r="C367" s="611" t="s">
        <v>953</v>
      </c>
      <c r="D367" s="612" t="s">
        <v>954</v>
      </c>
      <c r="F367" s="453">
        <v>2015</v>
      </c>
      <c r="G367" s="453">
        <v>2025</v>
      </c>
      <c r="H367" s="472">
        <v>2250000</v>
      </c>
      <c r="I367" s="472">
        <v>6000000</v>
      </c>
      <c r="J367" s="453">
        <v>1</v>
      </c>
      <c r="K367" s="453">
        <v>4</v>
      </c>
      <c r="L367" s="611" t="s">
        <v>147</v>
      </c>
      <c r="M367" s="453">
        <v>5</v>
      </c>
      <c r="N367" s="611" t="s">
        <v>130</v>
      </c>
      <c r="O367" s="453">
        <v>4100</v>
      </c>
      <c r="P367" s="611" t="s">
        <v>132</v>
      </c>
      <c r="Q367" s="611" t="s">
        <v>133</v>
      </c>
      <c r="R367" s="453">
        <v>0.75</v>
      </c>
      <c r="S367" s="453">
        <v>0.25</v>
      </c>
      <c r="T367" s="453">
        <v>21</v>
      </c>
      <c r="U367" s="611" t="s">
        <v>123</v>
      </c>
      <c r="V367" s="453">
        <v>10000</v>
      </c>
      <c r="W367" s="453">
        <v>0.03</v>
      </c>
      <c r="X367" s="611" t="s">
        <v>125</v>
      </c>
      <c r="Z367" s="611" t="s">
        <v>150</v>
      </c>
      <c r="AC367" s="611" t="s">
        <v>952</v>
      </c>
    </row>
    <row r="368" spans="1:29">
      <c r="A368" s="453">
        <v>367</v>
      </c>
      <c r="B368" s="453" t="s">
        <v>955</v>
      </c>
      <c r="C368" s="453" t="s">
        <v>956</v>
      </c>
      <c r="D368" s="550" t="s">
        <v>957</v>
      </c>
      <c r="F368" s="453">
        <v>1935</v>
      </c>
      <c r="G368" s="453">
        <v>1950</v>
      </c>
      <c r="H368" s="472">
        <v>49500</v>
      </c>
      <c r="I368" s="472">
        <v>151000</v>
      </c>
      <c r="J368" s="453">
        <v>1</v>
      </c>
      <c r="K368" s="453">
        <v>4</v>
      </c>
      <c r="L368" s="453" t="s">
        <v>147</v>
      </c>
      <c r="M368" s="453">
        <v>1</v>
      </c>
      <c r="N368" s="453" t="s">
        <v>122</v>
      </c>
      <c r="O368" s="453">
        <v>300</v>
      </c>
      <c r="P368" s="453" t="s">
        <v>123</v>
      </c>
      <c r="Q368" s="453" t="s">
        <v>133</v>
      </c>
      <c r="R368" s="453">
        <v>0.55000000000000004</v>
      </c>
      <c r="S368" s="453">
        <v>0</v>
      </c>
      <c r="T368" s="453">
        <v>9</v>
      </c>
      <c r="V368" s="453">
        <v>100</v>
      </c>
      <c r="W368" s="453">
        <v>500</v>
      </c>
      <c r="X368" s="453" t="s">
        <v>58</v>
      </c>
      <c r="Z368" s="453" t="s">
        <v>150</v>
      </c>
      <c r="AA368" s="453">
        <v>554</v>
      </c>
      <c r="AC368" s="453" t="s">
        <v>955</v>
      </c>
    </row>
    <row r="369" spans="1:31">
      <c r="A369" s="453">
        <v>368</v>
      </c>
      <c r="B369" s="453" t="s">
        <v>958</v>
      </c>
      <c r="C369" s="453" t="s">
        <v>959</v>
      </c>
      <c r="D369" s="550" t="s">
        <v>960</v>
      </c>
      <c r="F369" s="453">
        <v>2000</v>
      </c>
      <c r="G369" s="453">
        <v>2016</v>
      </c>
      <c r="H369" s="472">
        <v>80000</v>
      </c>
      <c r="I369" s="472">
        <v>150000</v>
      </c>
      <c r="J369" s="453">
        <v>1</v>
      </c>
      <c r="K369" s="453">
        <v>1</v>
      </c>
      <c r="L369" s="453" t="s">
        <v>154</v>
      </c>
      <c r="M369" s="453">
        <v>1</v>
      </c>
      <c r="N369" s="453" t="s">
        <v>122</v>
      </c>
      <c r="O369" s="453">
        <v>100</v>
      </c>
      <c r="P369" s="453" t="s">
        <v>148</v>
      </c>
      <c r="Q369" s="453" t="s">
        <v>149</v>
      </c>
      <c r="R369" s="453">
        <v>0</v>
      </c>
      <c r="T369" s="453">
        <v>2</v>
      </c>
      <c r="V369" s="453">
        <v>50</v>
      </c>
      <c r="W369" s="453">
        <v>250</v>
      </c>
      <c r="X369" s="453" t="s">
        <v>58</v>
      </c>
      <c r="Z369" s="453" t="s">
        <v>150</v>
      </c>
      <c r="AA369" s="453">
        <v>560</v>
      </c>
      <c r="AC369" s="453" t="s">
        <v>958</v>
      </c>
    </row>
    <row r="370" spans="1:31">
      <c r="A370" s="453">
        <v>369</v>
      </c>
      <c r="B370" s="453" t="s">
        <v>961</v>
      </c>
      <c r="C370" s="453" t="s">
        <v>962</v>
      </c>
      <c r="D370" s="550" t="s">
        <v>963</v>
      </c>
      <c r="F370" s="453">
        <v>2000</v>
      </c>
      <c r="G370" s="453">
        <v>2016</v>
      </c>
      <c r="H370" s="472">
        <v>50000</v>
      </c>
      <c r="I370" s="472">
        <v>150000</v>
      </c>
      <c r="J370" s="453">
        <v>1</v>
      </c>
      <c r="K370" s="453">
        <v>1</v>
      </c>
      <c r="L370" s="453" t="s">
        <v>154</v>
      </c>
      <c r="M370" s="453">
        <v>1</v>
      </c>
      <c r="N370" s="453" t="s">
        <v>122</v>
      </c>
      <c r="O370" s="453">
        <v>100</v>
      </c>
      <c r="P370" s="453" t="s">
        <v>148</v>
      </c>
      <c r="Q370" s="453" t="s">
        <v>149</v>
      </c>
      <c r="R370" s="453">
        <v>0</v>
      </c>
      <c r="T370" s="453">
        <v>2</v>
      </c>
      <c r="V370" s="453">
        <v>50</v>
      </c>
      <c r="W370" s="453">
        <v>250</v>
      </c>
      <c r="X370" s="453" t="s">
        <v>58</v>
      </c>
      <c r="Z370" s="453" t="s">
        <v>150</v>
      </c>
      <c r="AA370" s="453">
        <v>561</v>
      </c>
      <c r="AC370" s="453" t="s">
        <v>961</v>
      </c>
    </row>
    <row r="371" spans="1:31">
      <c r="A371" s="453">
        <v>370</v>
      </c>
      <c r="B371" s="453" t="s">
        <v>964</v>
      </c>
      <c r="C371" s="453" t="s">
        <v>965</v>
      </c>
      <c r="D371" s="550" t="s">
        <v>966</v>
      </c>
      <c r="F371" s="453">
        <v>1990</v>
      </c>
      <c r="G371" s="453">
        <v>2016</v>
      </c>
      <c r="H371" s="472">
        <v>50000</v>
      </c>
      <c r="I371" s="472">
        <v>150000</v>
      </c>
      <c r="J371" s="453">
        <v>1</v>
      </c>
      <c r="K371" s="453">
        <v>1</v>
      </c>
      <c r="L371" s="453" t="s">
        <v>154</v>
      </c>
      <c r="M371" s="453">
        <v>1</v>
      </c>
      <c r="N371" s="453" t="s">
        <v>122</v>
      </c>
      <c r="O371" s="453">
        <v>100</v>
      </c>
      <c r="P371" s="453" t="s">
        <v>148</v>
      </c>
      <c r="Q371" s="453" t="s">
        <v>149</v>
      </c>
      <c r="R371" s="453">
        <v>0</v>
      </c>
      <c r="T371" s="453">
        <v>2</v>
      </c>
      <c r="V371" s="453">
        <v>50</v>
      </c>
      <c r="W371" s="453">
        <v>250</v>
      </c>
      <c r="X371" s="453" t="s">
        <v>58</v>
      </c>
      <c r="Z371" s="453" t="s">
        <v>150</v>
      </c>
      <c r="AA371" s="453">
        <v>562</v>
      </c>
      <c r="AC371" s="453" t="s">
        <v>964</v>
      </c>
    </row>
    <row r="372" spans="1:31">
      <c r="A372" s="453">
        <v>371</v>
      </c>
      <c r="B372" s="453" t="s">
        <v>967</v>
      </c>
      <c r="C372" s="453" t="s">
        <v>965</v>
      </c>
      <c r="D372" s="550" t="s">
        <v>968</v>
      </c>
      <c r="F372" s="453">
        <v>1985</v>
      </c>
      <c r="G372" s="453">
        <v>2016</v>
      </c>
      <c r="H372" s="472">
        <v>50000</v>
      </c>
      <c r="I372" s="472">
        <v>150000</v>
      </c>
      <c r="J372" s="453">
        <v>1</v>
      </c>
      <c r="K372" s="453">
        <v>1</v>
      </c>
      <c r="L372" s="453" t="s">
        <v>154</v>
      </c>
      <c r="M372" s="453">
        <v>1</v>
      </c>
      <c r="N372" s="453" t="s">
        <v>122</v>
      </c>
      <c r="O372" s="453">
        <v>100</v>
      </c>
      <c r="P372" s="453" t="s">
        <v>148</v>
      </c>
      <c r="Q372" s="453" t="s">
        <v>149</v>
      </c>
      <c r="R372" s="453">
        <v>0</v>
      </c>
      <c r="T372" s="453">
        <v>2</v>
      </c>
      <c r="V372" s="453">
        <v>50</v>
      </c>
      <c r="W372" s="453">
        <v>250</v>
      </c>
      <c r="X372" s="453" t="s">
        <v>58</v>
      </c>
      <c r="Z372" s="453" t="s">
        <v>150</v>
      </c>
      <c r="AA372" s="453">
        <v>563</v>
      </c>
      <c r="AC372" s="453" t="s">
        <v>967</v>
      </c>
    </row>
    <row r="373" spans="1:31">
      <c r="A373" s="453">
        <v>372</v>
      </c>
      <c r="B373" s="453" t="s">
        <v>969</v>
      </c>
      <c r="C373" s="453" t="s">
        <v>970</v>
      </c>
      <c r="D373" s="550" t="s">
        <v>971</v>
      </c>
      <c r="F373" s="453">
        <v>1937</v>
      </c>
      <c r="G373" s="453">
        <v>1946</v>
      </c>
      <c r="H373" s="472">
        <v>4500</v>
      </c>
      <c r="I373" s="472">
        <v>36000</v>
      </c>
      <c r="J373" s="453">
        <v>1</v>
      </c>
      <c r="K373" s="453">
        <v>1</v>
      </c>
      <c r="L373" s="453" t="s">
        <v>147</v>
      </c>
      <c r="M373" s="453">
        <v>1</v>
      </c>
      <c r="N373" s="453" t="s">
        <v>122</v>
      </c>
      <c r="O373" s="453">
        <v>65</v>
      </c>
      <c r="P373" s="453" t="s">
        <v>123</v>
      </c>
      <c r="Q373" s="453" t="s">
        <v>149</v>
      </c>
      <c r="R373" s="453">
        <v>0</v>
      </c>
      <c r="T373" s="453">
        <v>7</v>
      </c>
      <c r="V373" s="453">
        <v>100</v>
      </c>
      <c r="W373" s="453">
        <v>500</v>
      </c>
      <c r="X373" s="453" t="s">
        <v>58</v>
      </c>
      <c r="Z373" s="453" t="s">
        <v>150</v>
      </c>
      <c r="AA373" s="453">
        <v>564</v>
      </c>
      <c r="AC373" s="453" t="s">
        <v>969</v>
      </c>
    </row>
    <row r="374" spans="1:31">
      <c r="A374" s="453">
        <v>373</v>
      </c>
      <c r="B374" s="453" t="s">
        <v>972</v>
      </c>
      <c r="C374" s="453" t="s">
        <v>970</v>
      </c>
      <c r="D374" s="550" t="s">
        <v>973</v>
      </c>
      <c r="F374" s="453">
        <v>1980</v>
      </c>
      <c r="G374" s="453">
        <v>2003</v>
      </c>
      <c r="H374" s="472">
        <v>24500</v>
      </c>
      <c r="I374" s="472">
        <v>76000</v>
      </c>
      <c r="J374" s="453">
        <v>1</v>
      </c>
      <c r="K374" s="453">
        <v>1</v>
      </c>
      <c r="L374" s="453" t="s">
        <v>147</v>
      </c>
      <c r="M374" s="453">
        <v>1</v>
      </c>
      <c r="N374" s="453" t="s">
        <v>122</v>
      </c>
      <c r="O374" s="453">
        <v>150</v>
      </c>
      <c r="P374" s="453" t="s">
        <v>123</v>
      </c>
      <c r="Q374" s="453" t="s">
        <v>124</v>
      </c>
      <c r="R374" s="453">
        <v>0</v>
      </c>
      <c r="T374" s="453">
        <v>8</v>
      </c>
      <c r="V374" s="453">
        <v>100</v>
      </c>
      <c r="W374" s="453">
        <v>500</v>
      </c>
      <c r="X374" s="453" t="s">
        <v>58</v>
      </c>
      <c r="Z374" s="453" t="s">
        <v>150</v>
      </c>
      <c r="AA374" s="453">
        <v>565</v>
      </c>
      <c r="AC374" s="453" t="s">
        <v>972</v>
      </c>
    </row>
    <row r="375" spans="1:31">
      <c r="A375" s="453">
        <v>374</v>
      </c>
      <c r="B375" s="453" t="s">
        <v>974</v>
      </c>
      <c r="C375" s="453" t="s">
        <v>975</v>
      </c>
      <c r="D375" s="550" t="s">
        <v>976</v>
      </c>
      <c r="F375" s="453">
        <v>1990</v>
      </c>
      <c r="G375" s="453">
        <v>2016</v>
      </c>
      <c r="H375" s="472">
        <v>70000</v>
      </c>
      <c r="I375" s="472">
        <v>175000</v>
      </c>
      <c r="J375" s="453">
        <v>1</v>
      </c>
      <c r="K375" s="453">
        <v>1</v>
      </c>
      <c r="L375" s="453" t="s">
        <v>154</v>
      </c>
      <c r="M375" s="453">
        <v>1</v>
      </c>
      <c r="N375" s="453" t="s">
        <v>122</v>
      </c>
      <c r="O375" s="453">
        <v>100</v>
      </c>
      <c r="P375" s="453" t="s">
        <v>148</v>
      </c>
      <c r="Q375" s="453" t="s">
        <v>149</v>
      </c>
      <c r="R375" s="453">
        <v>0</v>
      </c>
      <c r="T375" s="453">
        <v>2</v>
      </c>
      <c r="V375" s="453">
        <v>50</v>
      </c>
      <c r="W375" s="453">
        <v>250</v>
      </c>
      <c r="X375" s="453" t="s">
        <v>58</v>
      </c>
      <c r="Z375" s="453" t="s">
        <v>150</v>
      </c>
      <c r="AA375" s="453">
        <v>567</v>
      </c>
      <c r="AC375" s="453" t="s">
        <v>974</v>
      </c>
    </row>
    <row r="376" spans="1:31">
      <c r="A376" s="453">
        <v>375</v>
      </c>
      <c r="B376" s="453" t="s">
        <v>977</v>
      </c>
      <c r="C376" s="453" t="s">
        <v>975</v>
      </c>
      <c r="D376" s="550" t="s">
        <v>978</v>
      </c>
      <c r="F376" s="453">
        <v>1990</v>
      </c>
      <c r="G376" s="453">
        <v>2016</v>
      </c>
      <c r="H376" s="472">
        <v>85000</v>
      </c>
      <c r="I376" s="472">
        <v>175000</v>
      </c>
      <c r="J376" s="453">
        <v>1</v>
      </c>
      <c r="K376" s="453">
        <v>1</v>
      </c>
      <c r="L376" s="453" t="s">
        <v>154</v>
      </c>
      <c r="M376" s="453">
        <v>1</v>
      </c>
      <c r="N376" s="453" t="s">
        <v>122</v>
      </c>
      <c r="O376" s="453">
        <v>80</v>
      </c>
      <c r="P376" s="453" t="s">
        <v>148</v>
      </c>
      <c r="Q376" s="453" t="s">
        <v>149</v>
      </c>
      <c r="R376" s="453">
        <v>0</v>
      </c>
      <c r="T376" s="453">
        <v>2</v>
      </c>
      <c r="V376" s="453">
        <v>50</v>
      </c>
      <c r="W376" s="453">
        <v>250</v>
      </c>
      <c r="X376" s="453" t="s">
        <v>58</v>
      </c>
      <c r="Z376" s="453" t="s">
        <v>150</v>
      </c>
      <c r="AA376" s="453">
        <v>568</v>
      </c>
      <c r="AC376" s="453" t="s">
        <v>977</v>
      </c>
    </row>
    <row r="377" spans="1:31">
      <c r="A377" s="453">
        <v>376</v>
      </c>
      <c r="B377" s="453" t="s">
        <v>979</v>
      </c>
      <c r="C377" s="453" t="s">
        <v>975</v>
      </c>
      <c r="D377" s="550" t="s">
        <v>980</v>
      </c>
      <c r="F377" s="453">
        <v>1990</v>
      </c>
      <c r="G377" s="453">
        <v>2016</v>
      </c>
      <c r="H377" s="472">
        <v>90000</v>
      </c>
      <c r="I377" s="472">
        <v>175000</v>
      </c>
      <c r="J377" s="453">
        <v>1</v>
      </c>
      <c r="K377" s="453">
        <v>1</v>
      </c>
      <c r="L377" s="453" t="s">
        <v>154</v>
      </c>
      <c r="M377" s="453">
        <v>1</v>
      </c>
      <c r="N377" s="453" t="s">
        <v>122</v>
      </c>
      <c r="O377" s="453">
        <v>120</v>
      </c>
      <c r="P377" s="453" t="s">
        <v>148</v>
      </c>
      <c r="Q377" s="453" t="s">
        <v>149</v>
      </c>
      <c r="R377" s="453">
        <v>0</v>
      </c>
      <c r="T377" s="453">
        <v>2</v>
      </c>
      <c r="V377" s="453">
        <v>50</v>
      </c>
      <c r="W377" s="453">
        <v>250</v>
      </c>
      <c r="X377" s="453" t="s">
        <v>58</v>
      </c>
      <c r="Z377" s="453" t="s">
        <v>150</v>
      </c>
      <c r="AA377" s="453">
        <v>569</v>
      </c>
      <c r="AC377" s="453" t="s">
        <v>979</v>
      </c>
    </row>
    <row r="378" spans="1:31">
      <c r="A378" s="453">
        <v>377</v>
      </c>
      <c r="B378" s="453" t="s">
        <v>981</v>
      </c>
      <c r="C378" s="453" t="s">
        <v>975</v>
      </c>
      <c r="D378" s="550" t="s">
        <v>982</v>
      </c>
      <c r="F378" s="453">
        <v>1990</v>
      </c>
      <c r="G378" s="453">
        <v>2016</v>
      </c>
      <c r="H378" s="472">
        <v>60000</v>
      </c>
      <c r="I378" s="472">
        <v>175000</v>
      </c>
      <c r="J378" s="453">
        <v>1</v>
      </c>
      <c r="K378" s="453">
        <v>1</v>
      </c>
      <c r="L378" s="453" t="s">
        <v>154</v>
      </c>
      <c r="M378" s="453">
        <v>1</v>
      </c>
      <c r="N378" s="453" t="s">
        <v>122</v>
      </c>
      <c r="O378" s="453">
        <v>80</v>
      </c>
      <c r="P378" s="453" t="s">
        <v>148</v>
      </c>
      <c r="Q378" s="453" t="s">
        <v>149</v>
      </c>
      <c r="R378" s="453">
        <v>0</v>
      </c>
      <c r="T378" s="453">
        <v>2</v>
      </c>
      <c r="V378" s="453">
        <v>50</v>
      </c>
      <c r="W378" s="453">
        <v>250</v>
      </c>
      <c r="X378" s="453" t="s">
        <v>58</v>
      </c>
      <c r="Z378" s="453" t="s">
        <v>150</v>
      </c>
      <c r="AA378" s="453">
        <v>571</v>
      </c>
      <c r="AC378" s="453" t="s">
        <v>981</v>
      </c>
    </row>
    <row r="379" spans="1:31">
      <c r="A379" s="453">
        <v>378</v>
      </c>
      <c r="B379" s="453" t="s">
        <v>983</v>
      </c>
      <c r="C379" s="453" t="s">
        <v>984</v>
      </c>
      <c r="D379" s="550" t="s">
        <v>985</v>
      </c>
      <c r="F379" s="453">
        <v>2000</v>
      </c>
      <c r="G379" s="453">
        <v>2016</v>
      </c>
      <c r="H379" s="472">
        <v>64500</v>
      </c>
      <c r="I379" s="472">
        <v>150000</v>
      </c>
      <c r="J379" s="453">
        <v>1</v>
      </c>
      <c r="K379" s="453">
        <v>1</v>
      </c>
      <c r="L379" s="453" t="s">
        <v>154</v>
      </c>
      <c r="M379" s="453">
        <v>1</v>
      </c>
      <c r="N379" s="453" t="s">
        <v>122</v>
      </c>
      <c r="O379" s="453">
        <v>100</v>
      </c>
      <c r="P379" s="453" t="s">
        <v>148</v>
      </c>
      <c r="Q379" s="453" t="s">
        <v>149</v>
      </c>
      <c r="R379" s="453">
        <v>0</v>
      </c>
      <c r="T379" s="453">
        <v>2</v>
      </c>
      <c r="V379" s="453">
        <v>50</v>
      </c>
      <c r="W379" s="453">
        <v>250</v>
      </c>
      <c r="X379" s="453" t="s">
        <v>58</v>
      </c>
      <c r="Z379" s="453" t="s">
        <v>150</v>
      </c>
      <c r="AA379" s="453">
        <v>578</v>
      </c>
      <c r="AC379" s="453" t="s">
        <v>983</v>
      </c>
      <c r="AE379" s="612"/>
    </row>
    <row r="380" spans="1:31">
      <c r="A380" s="453">
        <v>379</v>
      </c>
      <c r="B380" s="611" t="s">
        <v>986</v>
      </c>
      <c r="C380" s="611" t="s">
        <v>987</v>
      </c>
      <c r="D380" s="612" t="s">
        <v>988</v>
      </c>
      <c r="F380" s="453">
        <v>2020</v>
      </c>
      <c r="G380" s="453">
        <v>2024</v>
      </c>
      <c r="H380" s="472">
        <v>175000</v>
      </c>
      <c r="I380" s="472">
        <v>300000</v>
      </c>
      <c r="J380" s="453">
        <v>1</v>
      </c>
      <c r="K380" s="453">
        <v>1</v>
      </c>
      <c r="L380" s="611" t="s">
        <v>154</v>
      </c>
      <c r="M380" s="453">
        <v>1</v>
      </c>
      <c r="N380" s="453" t="s">
        <v>122</v>
      </c>
      <c r="O380" s="453">
        <v>101</v>
      </c>
      <c r="P380" s="611" t="s">
        <v>148</v>
      </c>
      <c r="Q380" s="453" t="s">
        <v>149</v>
      </c>
      <c r="R380" s="453">
        <v>0.25</v>
      </c>
      <c r="S380" s="453">
        <v>0.25</v>
      </c>
      <c r="T380" s="453">
        <v>2</v>
      </c>
      <c r="V380" s="453">
        <v>5000</v>
      </c>
      <c r="W380" s="453">
        <v>5000</v>
      </c>
      <c r="X380" s="611" t="s">
        <v>125</v>
      </c>
      <c r="Z380" s="453" t="s">
        <v>150</v>
      </c>
      <c r="AA380" s="453">
        <v>379</v>
      </c>
      <c r="AC380" s="611" t="s">
        <v>986</v>
      </c>
      <c r="AD380" s="611" t="s">
        <v>987</v>
      </c>
      <c r="AE380" s="612"/>
    </row>
    <row r="381" spans="1:31">
      <c r="A381" s="453">
        <v>380</v>
      </c>
      <c r="B381" s="611" t="s">
        <v>989</v>
      </c>
      <c r="C381" s="611" t="s">
        <v>987</v>
      </c>
      <c r="D381" s="612" t="s">
        <v>990</v>
      </c>
      <c r="F381" s="453">
        <v>2020</v>
      </c>
      <c r="G381" s="453">
        <v>2024</v>
      </c>
      <c r="H381" s="472">
        <v>175000</v>
      </c>
      <c r="I381" s="472">
        <v>300000</v>
      </c>
      <c r="J381" s="453">
        <v>1</v>
      </c>
      <c r="K381" s="453">
        <v>1</v>
      </c>
      <c r="L381" s="611" t="s">
        <v>147</v>
      </c>
      <c r="M381" s="453">
        <v>1</v>
      </c>
      <c r="N381" s="453" t="s">
        <v>122</v>
      </c>
      <c r="O381" s="453">
        <v>101</v>
      </c>
      <c r="P381" s="611" t="s">
        <v>132</v>
      </c>
      <c r="Q381" s="453" t="s">
        <v>149</v>
      </c>
      <c r="R381" s="453">
        <v>0.25</v>
      </c>
      <c r="S381" s="453">
        <v>0.25</v>
      </c>
      <c r="T381" s="453">
        <v>11</v>
      </c>
      <c r="V381" s="453">
        <v>5000</v>
      </c>
      <c r="W381" s="453">
        <v>5000</v>
      </c>
      <c r="X381" s="611" t="s">
        <v>125</v>
      </c>
      <c r="Z381" s="453" t="s">
        <v>150</v>
      </c>
      <c r="AA381" s="453">
        <v>379</v>
      </c>
      <c r="AC381" s="611" t="s">
        <v>989</v>
      </c>
      <c r="AD381" s="611" t="s">
        <v>987</v>
      </c>
    </row>
    <row r="382" spans="1:31">
      <c r="A382" s="453">
        <v>381</v>
      </c>
      <c r="B382" s="453" t="s">
        <v>991</v>
      </c>
      <c r="C382" s="453" t="s">
        <v>992</v>
      </c>
      <c r="D382" s="550" t="s">
        <v>993</v>
      </c>
      <c r="F382" s="453">
        <v>1946</v>
      </c>
      <c r="G382" s="453">
        <v>1946</v>
      </c>
      <c r="H382" s="472">
        <v>30000</v>
      </c>
      <c r="I382" s="472">
        <v>151000</v>
      </c>
      <c r="J382" s="453">
        <v>1</v>
      </c>
      <c r="K382" s="453">
        <v>1</v>
      </c>
      <c r="L382" s="453" t="s">
        <v>147</v>
      </c>
      <c r="M382" s="453">
        <v>1</v>
      </c>
      <c r="N382" s="453" t="s">
        <v>122</v>
      </c>
      <c r="O382" s="453">
        <v>185</v>
      </c>
      <c r="P382" s="453" t="s">
        <v>132</v>
      </c>
      <c r="Q382" s="453" t="s">
        <v>149</v>
      </c>
      <c r="R382" s="453">
        <v>0.5</v>
      </c>
      <c r="T382" s="453">
        <v>1</v>
      </c>
      <c r="V382" s="453">
        <v>100</v>
      </c>
      <c r="W382" s="453">
        <v>500</v>
      </c>
      <c r="X382" s="453" t="s">
        <v>125</v>
      </c>
      <c r="Z382" s="453" t="s">
        <v>150</v>
      </c>
      <c r="AA382" s="453">
        <v>580</v>
      </c>
      <c r="AC382" s="453" t="s">
        <v>991</v>
      </c>
    </row>
    <row r="383" spans="1:31">
      <c r="A383" s="453">
        <v>382</v>
      </c>
      <c r="B383" s="453" t="s">
        <v>994</v>
      </c>
      <c r="C383" s="453" t="s">
        <v>992</v>
      </c>
      <c r="D383" s="550" t="s">
        <v>995</v>
      </c>
      <c r="F383" s="453">
        <v>1946</v>
      </c>
      <c r="G383" s="453">
        <v>1946</v>
      </c>
      <c r="H383" s="472">
        <v>30000</v>
      </c>
      <c r="I383" s="472">
        <v>151000</v>
      </c>
      <c r="J383" s="453">
        <v>1</v>
      </c>
      <c r="K383" s="453">
        <v>1</v>
      </c>
      <c r="L383" s="453" t="s">
        <v>147</v>
      </c>
      <c r="M383" s="453">
        <v>1</v>
      </c>
      <c r="N383" s="453" t="s">
        <v>122</v>
      </c>
      <c r="O383" s="453">
        <v>185</v>
      </c>
      <c r="P383" s="453" t="s">
        <v>130</v>
      </c>
      <c r="Q383" s="453" t="s">
        <v>149</v>
      </c>
      <c r="R383" s="453">
        <v>0</v>
      </c>
      <c r="T383" s="453">
        <v>1</v>
      </c>
      <c r="V383" s="453">
        <v>100</v>
      </c>
      <c r="W383" s="453">
        <v>500</v>
      </c>
      <c r="X383" s="453" t="s">
        <v>125</v>
      </c>
      <c r="Z383" s="453" t="s">
        <v>150</v>
      </c>
      <c r="AB383" s="453" t="s">
        <v>996</v>
      </c>
      <c r="AC383" s="453" t="s">
        <v>994</v>
      </c>
    </row>
    <row r="384" spans="1:31">
      <c r="A384" s="453">
        <v>383</v>
      </c>
      <c r="B384" s="453" t="s">
        <v>997</v>
      </c>
      <c r="C384" s="453" t="s">
        <v>992</v>
      </c>
      <c r="D384" s="550" t="s">
        <v>998</v>
      </c>
      <c r="F384" s="453">
        <v>1942</v>
      </c>
      <c r="G384" s="453">
        <v>1942</v>
      </c>
      <c r="H384" s="472">
        <v>24500</v>
      </c>
      <c r="I384" s="472">
        <v>76000</v>
      </c>
      <c r="J384" s="453">
        <v>1</v>
      </c>
      <c r="K384" s="453">
        <v>1</v>
      </c>
      <c r="L384" s="453" t="s">
        <v>147</v>
      </c>
      <c r="M384" s="453">
        <v>1</v>
      </c>
      <c r="N384" s="453" t="s">
        <v>122</v>
      </c>
      <c r="O384" s="453">
        <v>150</v>
      </c>
      <c r="P384" s="453" t="s">
        <v>132</v>
      </c>
      <c r="Q384" s="453" t="s">
        <v>124</v>
      </c>
      <c r="R384" s="453">
        <v>0.5</v>
      </c>
      <c r="T384" s="453">
        <v>11</v>
      </c>
      <c r="V384" s="453">
        <v>100</v>
      </c>
      <c r="W384" s="453">
        <v>500</v>
      </c>
      <c r="X384" s="453" t="s">
        <v>58</v>
      </c>
      <c r="Z384" s="453" t="s">
        <v>150</v>
      </c>
      <c r="AA384" s="453">
        <v>581</v>
      </c>
      <c r="AC384" s="453" t="s">
        <v>997</v>
      </c>
    </row>
    <row r="385" spans="1:29">
      <c r="A385" s="453">
        <v>384</v>
      </c>
      <c r="B385" s="453" t="s">
        <v>999</v>
      </c>
      <c r="C385" s="453" t="s">
        <v>1000</v>
      </c>
      <c r="D385" s="550" t="s">
        <v>1001</v>
      </c>
      <c r="F385" s="453">
        <v>2000</v>
      </c>
      <c r="G385" s="453">
        <v>2025</v>
      </c>
      <c r="H385" s="472">
        <v>50000</v>
      </c>
      <c r="I385" s="472">
        <v>150000</v>
      </c>
      <c r="J385" s="453">
        <v>1</v>
      </c>
      <c r="K385" s="453">
        <v>1</v>
      </c>
      <c r="L385" s="453" t="s">
        <v>154</v>
      </c>
      <c r="M385" s="453">
        <v>1</v>
      </c>
      <c r="N385" s="453" t="s">
        <v>122</v>
      </c>
      <c r="O385" s="453">
        <v>100</v>
      </c>
      <c r="P385" s="453" t="s">
        <v>148</v>
      </c>
      <c r="Q385" s="453" t="s">
        <v>149</v>
      </c>
      <c r="R385" s="453">
        <v>0.5</v>
      </c>
      <c r="S385" s="453">
        <v>0.5</v>
      </c>
      <c r="T385" s="453">
        <v>2</v>
      </c>
      <c r="V385" s="453">
        <v>50</v>
      </c>
      <c r="W385" s="453">
        <v>250</v>
      </c>
      <c r="X385" s="453" t="s">
        <v>58</v>
      </c>
      <c r="Z385" s="453" t="s">
        <v>150</v>
      </c>
      <c r="AC385" s="453" t="s">
        <v>999</v>
      </c>
    </row>
    <row r="386" spans="1:29">
      <c r="A386" s="453">
        <v>385</v>
      </c>
      <c r="B386" s="453" t="s">
        <v>1002</v>
      </c>
      <c r="C386" s="453" t="s">
        <v>1000</v>
      </c>
      <c r="D386" s="550" t="s">
        <v>1003</v>
      </c>
      <c r="F386" s="453">
        <v>2000</v>
      </c>
      <c r="G386" s="453">
        <v>2025</v>
      </c>
      <c r="H386" s="472">
        <v>50000</v>
      </c>
      <c r="I386" s="472">
        <v>150000</v>
      </c>
      <c r="J386" s="453">
        <v>1</v>
      </c>
      <c r="K386" s="453">
        <v>1</v>
      </c>
      <c r="L386" s="453" t="s">
        <v>154</v>
      </c>
      <c r="M386" s="453">
        <v>1</v>
      </c>
      <c r="N386" s="453" t="s">
        <v>122</v>
      </c>
      <c r="O386" s="453">
        <v>100</v>
      </c>
      <c r="P386" s="453" t="s">
        <v>123</v>
      </c>
      <c r="Q386" s="453" t="s">
        <v>149</v>
      </c>
      <c r="R386" s="453">
        <v>0.5</v>
      </c>
      <c r="S386" s="453">
        <v>0.5</v>
      </c>
      <c r="T386" s="453">
        <v>3</v>
      </c>
      <c r="V386" s="453">
        <v>100</v>
      </c>
      <c r="W386" s="453">
        <v>500</v>
      </c>
      <c r="X386" s="453" t="s">
        <v>58</v>
      </c>
      <c r="Z386" s="453" t="s">
        <v>150</v>
      </c>
      <c r="AC386" s="453" t="s">
        <v>1002</v>
      </c>
    </row>
    <row r="387" spans="1:29">
      <c r="A387" s="453">
        <v>386</v>
      </c>
      <c r="B387" s="453" t="s">
        <v>1004</v>
      </c>
      <c r="C387" s="453" t="s">
        <v>1000</v>
      </c>
      <c r="D387" s="550" t="s">
        <v>1005</v>
      </c>
      <c r="F387" s="453">
        <v>2000</v>
      </c>
      <c r="G387" s="453">
        <v>2025</v>
      </c>
      <c r="H387" s="472">
        <v>25000</v>
      </c>
      <c r="I387" s="472">
        <v>150000</v>
      </c>
      <c r="J387" s="453">
        <v>1</v>
      </c>
      <c r="K387" s="453">
        <v>1</v>
      </c>
      <c r="L387" s="453" t="s">
        <v>154</v>
      </c>
      <c r="M387" s="453">
        <v>1</v>
      </c>
      <c r="N387" s="453" t="s">
        <v>122</v>
      </c>
      <c r="O387" s="453">
        <v>100</v>
      </c>
      <c r="P387" s="453" t="s">
        <v>123</v>
      </c>
      <c r="Q387" s="453" t="s">
        <v>149</v>
      </c>
      <c r="R387" s="453">
        <v>1</v>
      </c>
      <c r="S387" s="453">
        <v>0.75</v>
      </c>
      <c r="T387" s="453">
        <v>3</v>
      </c>
      <c r="V387" s="453">
        <v>100</v>
      </c>
      <c r="W387" s="453">
        <v>1000</v>
      </c>
      <c r="X387" s="453" t="s">
        <v>58</v>
      </c>
      <c r="Z387" s="453" t="s">
        <v>150</v>
      </c>
      <c r="AA387" s="453">
        <v>584</v>
      </c>
      <c r="AC387" s="453" t="s">
        <v>1004</v>
      </c>
    </row>
    <row r="388" spans="1:29">
      <c r="A388" s="453">
        <v>387</v>
      </c>
      <c r="B388" s="453" t="s">
        <v>1006</v>
      </c>
      <c r="C388" s="453" t="s">
        <v>1007</v>
      </c>
      <c r="D388" s="550" t="s">
        <v>1008</v>
      </c>
      <c r="F388" s="453">
        <v>2000</v>
      </c>
      <c r="G388" s="453">
        <v>2009</v>
      </c>
      <c r="H388" s="472">
        <v>64500</v>
      </c>
      <c r="I388" s="472">
        <v>101000</v>
      </c>
      <c r="J388" s="453">
        <v>1</v>
      </c>
      <c r="K388" s="453">
        <v>1</v>
      </c>
      <c r="L388" s="453" t="s">
        <v>147</v>
      </c>
      <c r="M388" s="453">
        <v>1</v>
      </c>
      <c r="N388" s="453" t="s">
        <v>122</v>
      </c>
      <c r="O388" s="453">
        <v>100</v>
      </c>
      <c r="P388" s="453" t="s">
        <v>148</v>
      </c>
      <c r="Q388" s="453" t="s">
        <v>149</v>
      </c>
      <c r="R388" s="453">
        <v>0</v>
      </c>
      <c r="T388" s="453">
        <v>2</v>
      </c>
      <c r="V388" s="453">
        <v>50</v>
      </c>
      <c r="W388" s="453">
        <v>250</v>
      </c>
      <c r="X388" s="453" t="s">
        <v>58</v>
      </c>
      <c r="Z388" s="453" t="s">
        <v>150</v>
      </c>
      <c r="AA388" s="453">
        <v>586</v>
      </c>
      <c r="AC388" s="453" t="s">
        <v>1006</v>
      </c>
    </row>
    <row r="389" spans="1:29">
      <c r="A389" s="453">
        <v>388</v>
      </c>
      <c r="B389" s="453" t="s">
        <v>1009</v>
      </c>
      <c r="C389" s="453" t="s">
        <v>1010</v>
      </c>
      <c r="D389" s="550" t="s">
        <v>1011</v>
      </c>
      <c r="F389" s="453">
        <v>1928</v>
      </c>
      <c r="G389" s="453">
        <v>1940</v>
      </c>
      <c r="H389" s="472">
        <v>14500</v>
      </c>
      <c r="I389" s="472">
        <v>66000</v>
      </c>
      <c r="J389" s="453">
        <v>1</v>
      </c>
      <c r="K389" s="453">
        <v>0</v>
      </c>
      <c r="L389" s="453" t="s">
        <v>147</v>
      </c>
      <c r="M389" s="453">
        <v>1</v>
      </c>
      <c r="N389" s="453" t="s">
        <v>122</v>
      </c>
      <c r="O389" s="453">
        <v>175</v>
      </c>
      <c r="P389" s="453" t="s">
        <v>123</v>
      </c>
      <c r="Q389" s="453" t="s">
        <v>124</v>
      </c>
      <c r="R389" s="453">
        <v>0.35</v>
      </c>
      <c r="T389" s="453">
        <v>8</v>
      </c>
      <c r="V389" s="453">
        <v>100</v>
      </c>
      <c r="W389" s="453">
        <v>500</v>
      </c>
      <c r="X389" s="453" t="s">
        <v>125</v>
      </c>
      <c r="Z389" s="453" t="s">
        <v>150</v>
      </c>
      <c r="AA389" s="453">
        <v>588</v>
      </c>
      <c r="AC389" s="453" t="s">
        <v>1009</v>
      </c>
    </row>
    <row r="390" spans="1:29">
      <c r="A390" s="453">
        <v>389</v>
      </c>
      <c r="B390" s="453" t="s">
        <v>1012</v>
      </c>
      <c r="C390" s="453" t="s">
        <v>1013</v>
      </c>
      <c r="D390" s="550" t="s">
        <v>1014</v>
      </c>
      <c r="F390" s="453">
        <v>2009</v>
      </c>
      <c r="G390" s="453">
        <v>2016</v>
      </c>
      <c r="H390" s="472">
        <v>80000</v>
      </c>
      <c r="I390" s="472">
        <v>150000</v>
      </c>
      <c r="J390" s="453">
        <v>1</v>
      </c>
      <c r="K390" s="453">
        <v>1</v>
      </c>
      <c r="L390" s="453" t="s">
        <v>154</v>
      </c>
      <c r="M390" s="453">
        <v>1</v>
      </c>
      <c r="N390" s="453" t="s">
        <v>122</v>
      </c>
      <c r="O390" s="453">
        <v>100</v>
      </c>
      <c r="P390" s="453" t="s">
        <v>148</v>
      </c>
      <c r="Q390" s="453" t="s">
        <v>149</v>
      </c>
      <c r="R390" s="453">
        <v>0</v>
      </c>
      <c r="T390" s="453">
        <v>2</v>
      </c>
      <c r="V390" s="453">
        <v>50</v>
      </c>
      <c r="W390" s="453">
        <v>250</v>
      </c>
      <c r="X390" s="453" t="s">
        <v>58</v>
      </c>
      <c r="Z390" s="453" t="s">
        <v>150</v>
      </c>
      <c r="AA390" s="453">
        <v>589</v>
      </c>
      <c r="AC390" s="453" t="s">
        <v>1012</v>
      </c>
    </row>
    <row r="391" spans="1:29">
      <c r="A391" s="453">
        <v>390</v>
      </c>
      <c r="B391" s="453" t="s">
        <v>1015</v>
      </c>
      <c r="C391" s="453" t="s">
        <v>1016</v>
      </c>
      <c r="D391" s="550" t="s">
        <v>1017</v>
      </c>
      <c r="F391" s="453">
        <v>2000</v>
      </c>
      <c r="G391" s="453">
        <v>2016</v>
      </c>
      <c r="H391" s="472">
        <v>100000</v>
      </c>
      <c r="I391" s="472">
        <v>150000</v>
      </c>
      <c r="J391" s="453">
        <v>1</v>
      </c>
      <c r="K391" s="453">
        <v>1</v>
      </c>
      <c r="L391" s="453" t="s">
        <v>154</v>
      </c>
      <c r="M391" s="453">
        <v>1</v>
      </c>
      <c r="N391" s="453" t="s">
        <v>122</v>
      </c>
      <c r="O391" s="453">
        <v>100</v>
      </c>
      <c r="P391" s="453" t="s">
        <v>148</v>
      </c>
      <c r="Q391" s="453" t="s">
        <v>149</v>
      </c>
      <c r="R391" s="453">
        <v>0</v>
      </c>
      <c r="T391" s="453">
        <v>2</v>
      </c>
      <c r="V391" s="453">
        <v>50</v>
      </c>
      <c r="W391" s="453">
        <v>250</v>
      </c>
      <c r="X391" s="453" t="s">
        <v>58</v>
      </c>
      <c r="Z391" s="453" t="s">
        <v>150</v>
      </c>
      <c r="AA391" s="453">
        <v>590</v>
      </c>
      <c r="AC391" s="453" t="s">
        <v>1015</v>
      </c>
    </row>
    <row r="392" spans="1:29">
      <c r="A392" s="453">
        <v>391</v>
      </c>
      <c r="B392" s="453" t="s">
        <v>1018</v>
      </c>
      <c r="C392" s="453" t="s">
        <v>1019</v>
      </c>
      <c r="D392" s="550" t="s">
        <v>1020</v>
      </c>
      <c r="F392" s="453">
        <v>1957</v>
      </c>
      <c r="G392" s="453">
        <v>1959</v>
      </c>
      <c r="H392" s="472">
        <v>14500</v>
      </c>
      <c r="I392" s="472">
        <v>36000</v>
      </c>
      <c r="J392" s="453">
        <v>1</v>
      </c>
      <c r="K392" s="453">
        <v>3</v>
      </c>
      <c r="L392" s="453" t="s">
        <v>147</v>
      </c>
      <c r="M392" s="453">
        <v>1</v>
      </c>
      <c r="N392" s="453" t="s">
        <v>122</v>
      </c>
      <c r="O392" s="453">
        <v>180</v>
      </c>
      <c r="P392" s="453" t="s">
        <v>150</v>
      </c>
      <c r="Q392" s="453" t="s">
        <v>133</v>
      </c>
      <c r="R392" s="453">
        <v>0.25</v>
      </c>
      <c r="S392" s="453">
        <v>0.25</v>
      </c>
      <c r="T392" s="453">
        <v>1</v>
      </c>
      <c r="V392" s="453">
        <v>100</v>
      </c>
      <c r="W392" s="453">
        <v>0.1</v>
      </c>
      <c r="X392" s="453" t="s">
        <v>125</v>
      </c>
      <c r="Z392" s="453" t="s">
        <v>150</v>
      </c>
      <c r="AA392" s="453">
        <v>597</v>
      </c>
      <c r="AC392" s="453" t="s">
        <v>1018</v>
      </c>
    </row>
    <row r="393" spans="1:29">
      <c r="A393" s="453">
        <v>392</v>
      </c>
      <c r="B393" s="453" t="s">
        <v>1021</v>
      </c>
      <c r="C393" s="453" t="s">
        <v>1019</v>
      </c>
      <c r="D393" s="550" t="s">
        <v>1022</v>
      </c>
      <c r="E393" s="453" t="s">
        <v>1023</v>
      </c>
      <c r="F393" s="453">
        <v>1984</v>
      </c>
      <c r="G393" s="453">
        <v>1989</v>
      </c>
      <c r="H393" s="472">
        <v>104500</v>
      </c>
      <c r="I393" s="472">
        <v>251000</v>
      </c>
      <c r="J393" s="453">
        <v>1</v>
      </c>
      <c r="K393" s="453">
        <v>5</v>
      </c>
      <c r="L393" s="453" t="s">
        <v>147</v>
      </c>
      <c r="M393" s="453">
        <v>1</v>
      </c>
      <c r="N393" s="453" t="s">
        <v>122</v>
      </c>
      <c r="O393" s="453">
        <v>250</v>
      </c>
      <c r="P393" s="453" t="s">
        <v>150</v>
      </c>
      <c r="Q393" s="453" t="s">
        <v>133</v>
      </c>
      <c r="R393" s="453">
        <v>0.25</v>
      </c>
      <c r="S393" s="453">
        <v>0</v>
      </c>
      <c r="T393" s="453">
        <v>1</v>
      </c>
      <c r="V393" s="453">
        <v>100</v>
      </c>
      <c r="W393" s="453">
        <v>0.1</v>
      </c>
      <c r="X393" s="453" t="s">
        <v>125</v>
      </c>
      <c r="Z393" s="453" t="s">
        <v>150</v>
      </c>
      <c r="AA393" s="453">
        <v>601</v>
      </c>
      <c r="AC393" s="453" t="s">
        <v>1021</v>
      </c>
    </row>
    <row r="394" spans="1:29">
      <c r="A394" s="453">
        <v>393</v>
      </c>
      <c r="B394" s="453" t="s">
        <v>1024</v>
      </c>
      <c r="C394" s="453" t="s">
        <v>1019</v>
      </c>
      <c r="D394" s="550" t="s">
        <v>1025</v>
      </c>
      <c r="E394" s="453" t="s">
        <v>1026</v>
      </c>
      <c r="F394" s="453">
        <v>1989</v>
      </c>
      <c r="G394" s="453">
        <v>1994</v>
      </c>
      <c r="H394" s="472">
        <v>174500</v>
      </c>
      <c r="I394" s="472">
        <v>341000</v>
      </c>
      <c r="J394" s="453">
        <v>1</v>
      </c>
      <c r="K394" s="453">
        <v>3</v>
      </c>
      <c r="L394" s="453" t="s">
        <v>147</v>
      </c>
      <c r="M394" s="453">
        <v>1</v>
      </c>
      <c r="N394" s="453" t="s">
        <v>122</v>
      </c>
      <c r="O394" s="453">
        <v>270</v>
      </c>
      <c r="P394" s="453" t="s">
        <v>150</v>
      </c>
      <c r="Q394" s="453" t="s">
        <v>133</v>
      </c>
      <c r="R394" s="453">
        <v>0.25</v>
      </c>
      <c r="S394" s="453">
        <v>0</v>
      </c>
      <c r="T394" s="453">
        <v>1</v>
      </c>
      <c r="V394" s="453">
        <v>100</v>
      </c>
      <c r="W394" s="453">
        <v>0.1</v>
      </c>
      <c r="X394" s="453" t="s">
        <v>125</v>
      </c>
      <c r="Z394" s="453" t="s">
        <v>150</v>
      </c>
      <c r="AA394" s="453">
        <v>604</v>
      </c>
      <c r="AC394" s="453" t="s">
        <v>1024</v>
      </c>
    </row>
    <row r="395" spans="1:29">
      <c r="A395" s="453">
        <v>394</v>
      </c>
      <c r="B395" s="453" t="s">
        <v>1027</v>
      </c>
      <c r="C395" s="453" t="s">
        <v>1019</v>
      </c>
      <c r="D395" s="550" t="s">
        <v>1028</v>
      </c>
      <c r="F395" s="453">
        <v>1960</v>
      </c>
      <c r="G395" s="453">
        <v>1969</v>
      </c>
      <c r="H395" s="472">
        <v>25000</v>
      </c>
      <c r="I395" s="472">
        <v>54000</v>
      </c>
      <c r="J395" s="453">
        <v>1</v>
      </c>
      <c r="K395" s="453">
        <v>3</v>
      </c>
      <c r="L395" s="453" t="s">
        <v>147</v>
      </c>
      <c r="M395" s="453">
        <v>1</v>
      </c>
      <c r="N395" s="453" t="s">
        <v>122</v>
      </c>
      <c r="O395" s="453">
        <v>180</v>
      </c>
      <c r="P395" s="453" t="s">
        <v>150</v>
      </c>
      <c r="Q395" s="453" t="s">
        <v>133</v>
      </c>
      <c r="R395" s="453">
        <v>0.25</v>
      </c>
      <c r="S395" s="453">
        <v>0</v>
      </c>
      <c r="T395" s="453">
        <v>1</v>
      </c>
      <c r="V395" s="453">
        <v>100</v>
      </c>
      <c r="W395" s="453">
        <v>0.1</v>
      </c>
      <c r="X395" s="453" t="s">
        <v>125</v>
      </c>
      <c r="Z395" s="453" t="s">
        <v>150</v>
      </c>
      <c r="AA395" s="453">
        <v>598</v>
      </c>
      <c r="AC395" s="453" t="s">
        <v>1027</v>
      </c>
    </row>
    <row r="396" spans="1:29">
      <c r="A396" s="453">
        <v>395</v>
      </c>
      <c r="B396" s="453" t="s">
        <v>1029</v>
      </c>
      <c r="C396" s="453" t="s">
        <v>1019</v>
      </c>
      <c r="D396" s="550" t="s">
        <v>1030</v>
      </c>
      <c r="F396" s="453">
        <v>1970</v>
      </c>
      <c r="G396" s="453">
        <v>1979</v>
      </c>
      <c r="H396" s="472">
        <v>39500</v>
      </c>
      <c r="I396" s="472">
        <v>91000</v>
      </c>
      <c r="J396" s="453">
        <v>1</v>
      </c>
      <c r="K396" s="453">
        <v>3</v>
      </c>
      <c r="L396" s="453" t="s">
        <v>147</v>
      </c>
      <c r="M396" s="453">
        <v>1</v>
      </c>
      <c r="N396" s="453" t="s">
        <v>122</v>
      </c>
      <c r="O396" s="453">
        <v>200</v>
      </c>
      <c r="P396" s="453" t="s">
        <v>150</v>
      </c>
      <c r="Q396" s="453" t="s">
        <v>133</v>
      </c>
      <c r="R396" s="453">
        <v>0.25</v>
      </c>
      <c r="S396" s="453">
        <v>0</v>
      </c>
      <c r="T396" s="453">
        <v>1</v>
      </c>
      <c r="V396" s="453">
        <v>100</v>
      </c>
      <c r="W396" s="453">
        <v>0.1</v>
      </c>
      <c r="X396" s="453" t="s">
        <v>125</v>
      </c>
      <c r="Z396" s="453" t="s">
        <v>150</v>
      </c>
      <c r="AA396" s="453">
        <v>599</v>
      </c>
      <c r="AC396" s="453" t="s">
        <v>1029</v>
      </c>
    </row>
    <row r="397" spans="1:29">
      <c r="A397" s="453">
        <v>396</v>
      </c>
      <c r="B397" s="453" t="s">
        <v>1031</v>
      </c>
      <c r="C397" s="453" t="s">
        <v>1032</v>
      </c>
      <c r="D397" s="550">
        <v>24</v>
      </c>
      <c r="F397" s="453">
        <v>1975</v>
      </c>
      <c r="G397" s="453">
        <v>1979</v>
      </c>
      <c r="H397" s="472">
        <v>210000</v>
      </c>
      <c r="I397" s="472">
        <v>290000</v>
      </c>
      <c r="J397" s="453">
        <v>2</v>
      </c>
      <c r="K397" s="453">
        <v>6</v>
      </c>
      <c r="L397" s="453" t="s">
        <v>147</v>
      </c>
      <c r="M397" s="453">
        <v>5</v>
      </c>
      <c r="N397" s="453" t="s">
        <v>130</v>
      </c>
      <c r="O397" s="453">
        <v>2950</v>
      </c>
      <c r="P397" s="453" t="s">
        <v>132</v>
      </c>
      <c r="Q397" s="453" t="s">
        <v>124</v>
      </c>
      <c r="R397" s="453">
        <v>0.85</v>
      </c>
      <c r="T397" s="453">
        <v>21</v>
      </c>
      <c r="U397" s="453" t="s">
        <v>123</v>
      </c>
      <c r="V397" s="453">
        <v>1000</v>
      </c>
      <c r="W397" s="453">
        <v>5000</v>
      </c>
      <c r="X397" s="453" t="s">
        <v>125</v>
      </c>
      <c r="Z397" s="453" t="s">
        <v>150</v>
      </c>
      <c r="AA397" s="453">
        <v>614</v>
      </c>
      <c r="AC397" s="453" t="s">
        <v>1031</v>
      </c>
    </row>
    <row r="398" spans="1:29">
      <c r="A398" s="453">
        <v>397</v>
      </c>
      <c r="B398" s="453" t="s">
        <v>1033</v>
      </c>
      <c r="C398" s="453" t="s">
        <v>1032</v>
      </c>
      <c r="D398" s="550">
        <v>25</v>
      </c>
      <c r="F398" s="453">
        <v>1975</v>
      </c>
      <c r="G398" s="453">
        <v>1984</v>
      </c>
      <c r="H398" s="472">
        <v>340000</v>
      </c>
      <c r="I398" s="472">
        <v>70000</v>
      </c>
      <c r="J398" s="453">
        <v>2</v>
      </c>
      <c r="K398" s="453">
        <v>8</v>
      </c>
      <c r="L398" s="453" t="s">
        <v>147</v>
      </c>
      <c r="M398" s="453">
        <v>5</v>
      </c>
      <c r="N398" s="453" t="s">
        <v>130</v>
      </c>
      <c r="O398" s="453">
        <v>2950</v>
      </c>
      <c r="P398" s="453" t="s">
        <v>132</v>
      </c>
      <c r="Q398" s="453" t="s">
        <v>133</v>
      </c>
      <c r="R398" s="453">
        <v>0.85</v>
      </c>
      <c r="T398" s="453">
        <v>21</v>
      </c>
      <c r="U398" s="453" t="s">
        <v>123</v>
      </c>
      <c r="V398" s="453">
        <v>1000</v>
      </c>
      <c r="W398" s="453">
        <v>5000</v>
      </c>
      <c r="X398" s="453" t="s">
        <v>125</v>
      </c>
      <c r="Z398" s="453" t="s">
        <v>150</v>
      </c>
      <c r="AA398" s="453">
        <v>615</v>
      </c>
      <c r="AC398" s="453" t="s">
        <v>1033</v>
      </c>
    </row>
    <row r="399" spans="1:29">
      <c r="A399" s="453">
        <v>398</v>
      </c>
      <c r="B399" s="453" t="s">
        <v>1034</v>
      </c>
      <c r="C399" s="453" t="s">
        <v>1032</v>
      </c>
      <c r="D399" s="550">
        <v>29</v>
      </c>
      <c r="F399" s="453">
        <v>1979</v>
      </c>
      <c r="G399" s="453">
        <v>1983</v>
      </c>
      <c r="H399" s="472">
        <v>400000</v>
      </c>
      <c r="I399" s="472">
        <v>550000</v>
      </c>
      <c r="J399" s="453">
        <v>2</v>
      </c>
      <c r="K399" s="453">
        <v>8</v>
      </c>
      <c r="L399" s="453" t="s">
        <v>147</v>
      </c>
      <c r="M399" s="453">
        <v>5</v>
      </c>
      <c r="N399" s="453" t="s">
        <v>130</v>
      </c>
      <c r="O399" s="453">
        <v>2950</v>
      </c>
      <c r="P399" s="453" t="s">
        <v>132</v>
      </c>
      <c r="Q399" s="453" t="s">
        <v>133</v>
      </c>
      <c r="R399" s="453">
        <v>-0.1</v>
      </c>
      <c r="T399" s="453">
        <v>21</v>
      </c>
      <c r="U399" s="453" t="s">
        <v>123</v>
      </c>
      <c r="V399" s="453">
        <v>1000</v>
      </c>
      <c r="W399" s="453">
        <v>5000</v>
      </c>
      <c r="X399" s="453" t="s">
        <v>125</v>
      </c>
      <c r="Z399" s="453" t="s">
        <v>150</v>
      </c>
      <c r="AA399" s="453">
        <v>616</v>
      </c>
      <c r="AC399" s="453" t="s">
        <v>1034</v>
      </c>
    </row>
    <row r="400" spans="1:29">
      <c r="A400" s="453">
        <v>399</v>
      </c>
      <c r="B400" s="453" t="s">
        <v>1035</v>
      </c>
      <c r="C400" s="453" t="s">
        <v>1032</v>
      </c>
      <c r="D400" s="550">
        <v>31</v>
      </c>
      <c r="F400" s="453">
        <v>1988</v>
      </c>
      <c r="G400" s="453">
        <v>1994</v>
      </c>
      <c r="H400" s="472">
        <v>1100000</v>
      </c>
      <c r="I400" s="472">
        <v>1550000</v>
      </c>
      <c r="J400" s="453">
        <v>2</v>
      </c>
      <c r="K400" s="453">
        <v>8</v>
      </c>
      <c r="L400" s="453" t="s">
        <v>147</v>
      </c>
      <c r="M400" s="453">
        <v>5</v>
      </c>
      <c r="N400" s="453" t="s">
        <v>130</v>
      </c>
      <c r="O400" s="453">
        <v>3500</v>
      </c>
      <c r="P400" s="453" t="s">
        <v>132</v>
      </c>
      <c r="Q400" s="453" t="s">
        <v>133</v>
      </c>
      <c r="R400" s="453">
        <v>-0.1</v>
      </c>
      <c r="T400" s="453">
        <v>21</v>
      </c>
      <c r="U400" s="453" t="s">
        <v>123</v>
      </c>
      <c r="V400" s="453">
        <v>1000</v>
      </c>
      <c r="W400" s="453">
        <v>5000</v>
      </c>
      <c r="X400" s="453" t="s">
        <v>125</v>
      </c>
      <c r="Z400" s="453" t="s">
        <v>150</v>
      </c>
      <c r="AA400" s="453">
        <v>617</v>
      </c>
      <c r="AC400" s="453" t="s">
        <v>1035</v>
      </c>
    </row>
    <row r="401" spans="1:29">
      <c r="A401" s="453">
        <v>400</v>
      </c>
      <c r="B401" s="453" t="s">
        <v>1036</v>
      </c>
      <c r="C401" s="453" t="s">
        <v>1032</v>
      </c>
      <c r="D401" s="550" t="s">
        <v>1037</v>
      </c>
      <c r="F401" s="453">
        <v>1975</v>
      </c>
      <c r="G401" s="453">
        <v>1993</v>
      </c>
      <c r="H401" s="472">
        <v>550000</v>
      </c>
      <c r="I401" s="472">
        <v>2000000</v>
      </c>
      <c r="J401" s="453">
        <v>2</v>
      </c>
      <c r="K401" s="453">
        <v>8</v>
      </c>
      <c r="L401" s="453" t="s">
        <v>147</v>
      </c>
      <c r="M401" s="453">
        <v>5</v>
      </c>
      <c r="N401" s="453" t="s">
        <v>130</v>
      </c>
      <c r="O401" s="453">
        <v>3500</v>
      </c>
      <c r="P401" s="453" t="s">
        <v>132</v>
      </c>
      <c r="Q401" s="453" t="s">
        <v>133</v>
      </c>
      <c r="R401" s="453">
        <v>0</v>
      </c>
      <c r="T401" s="453">
        <v>21</v>
      </c>
      <c r="U401" s="453" t="s">
        <v>123</v>
      </c>
      <c r="V401" s="453">
        <v>1000</v>
      </c>
      <c r="W401" s="453">
        <v>5000</v>
      </c>
      <c r="X401" s="453" t="s">
        <v>125</v>
      </c>
      <c r="Z401" s="453" t="s">
        <v>150</v>
      </c>
      <c r="AA401" s="453">
        <v>619</v>
      </c>
      <c r="AC401" s="453" t="s">
        <v>1036</v>
      </c>
    </row>
    <row r="402" spans="1:29">
      <c r="A402" s="453">
        <v>401</v>
      </c>
      <c r="B402" s="653" t="s">
        <v>3974</v>
      </c>
      <c r="C402" s="642" t="s">
        <v>1032</v>
      </c>
      <c r="D402" s="612">
        <v>45</v>
      </c>
      <c r="F402" s="453">
        <v>1998</v>
      </c>
      <c r="G402" s="453">
        <v>2012</v>
      </c>
      <c r="H402" s="472">
        <v>1181250</v>
      </c>
      <c r="I402" s="643">
        <v>5700000</v>
      </c>
      <c r="J402" s="453">
        <v>2</v>
      </c>
      <c r="K402" s="453">
        <v>9</v>
      </c>
      <c r="L402" s="611" t="s">
        <v>147</v>
      </c>
      <c r="M402" s="453">
        <v>5</v>
      </c>
      <c r="N402" s="611" t="s">
        <v>130</v>
      </c>
      <c r="O402" s="453">
        <v>3650</v>
      </c>
      <c r="P402" s="611" t="s">
        <v>132</v>
      </c>
      <c r="Q402" s="611" t="s">
        <v>133</v>
      </c>
      <c r="R402" s="453">
        <v>-0.1</v>
      </c>
      <c r="S402" s="453">
        <v>0</v>
      </c>
      <c r="T402" s="453">
        <v>21</v>
      </c>
      <c r="U402" s="611" t="s">
        <v>123</v>
      </c>
      <c r="V402" s="453">
        <v>1000</v>
      </c>
      <c r="W402" s="453">
        <v>5000</v>
      </c>
      <c r="X402" s="611" t="s">
        <v>125</v>
      </c>
      <c r="Z402" s="611" t="s">
        <v>150</v>
      </c>
      <c r="AC402" s="653" t="s">
        <v>3974</v>
      </c>
    </row>
    <row r="403" spans="1:29">
      <c r="A403" s="453">
        <v>402</v>
      </c>
      <c r="B403" s="642" t="s">
        <v>3962</v>
      </c>
      <c r="C403" s="642" t="s">
        <v>1032</v>
      </c>
      <c r="D403" s="612">
        <v>60</v>
      </c>
      <c r="F403" s="453">
        <v>1993</v>
      </c>
      <c r="G403" s="453">
        <v>2013</v>
      </c>
      <c r="H403" s="472">
        <v>1350000</v>
      </c>
      <c r="I403" s="643">
        <v>4500000</v>
      </c>
      <c r="J403" s="453">
        <v>2</v>
      </c>
      <c r="K403" s="453">
        <v>8</v>
      </c>
      <c r="L403" s="611" t="s">
        <v>147</v>
      </c>
      <c r="M403" s="453">
        <v>5</v>
      </c>
      <c r="N403" s="611" t="s">
        <v>130</v>
      </c>
      <c r="O403" s="453">
        <v>3650</v>
      </c>
      <c r="P403" s="611" t="s">
        <v>132</v>
      </c>
      <c r="Q403" s="611" t="s">
        <v>133</v>
      </c>
      <c r="R403" s="453">
        <v>-0.1</v>
      </c>
      <c r="S403" s="453">
        <v>0</v>
      </c>
      <c r="T403" s="453">
        <v>21</v>
      </c>
      <c r="U403" s="611" t="s">
        <v>123</v>
      </c>
      <c r="V403" s="453">
        <v>1000</v>
      </c>
      <c r="W403" s="453">
        <v>5000</v>
      </c>
      <c r="X403" s="611" t="s">
        <v>125</v>
      </c>
      <c r="Z403" s="611" t="s">
        <v>150</v>
      </c>
      <c r="AC403" s="642" t="s">
        <v>3962</v>
      </c>
    </row>
    <row r="404" spans="1:29">
      <c r="A404" s="453">
        <v>403</v>
      </c>
      <c r="B404" s="453" t="s">
        <v>1038</v>
      </c>
      <c r="C404" s="453" t="s">
        <v>1039</v>
      </c>
      <c r="D404" s="550" t="s">
        <v>1040</v>
      </c>
      <c r="F404" s="453">
        <v>2002</v>
      </c>
      <c r="G404" s="453">
        <v>2009</v>
      </c>
      <c r="H404" s="472">
        <v>64500</v>
      </c>
      <c r="I404" s="472">
        <v>150000</v>
      </c>
      <c r="J404" s="453">
        <v>1</v>
      </c>
      <c r="K404" s="453">
        <v>1</v>
      </c>
      <c r="L404" s="453" t="s">
        <v>147</v>
      </c>
      <c r="M404" s="453">
        <v>1</v>
      </c>
      <c r="N404" s="453" t="s">
        <v>122</v>
      </c>
      <c r="O404" s="453">
        <v>100</v>
      </c>
      <c r="P404" s="453" t="s">
        <v>123</v>
      </c>
      <c r="Q404" s="453" t="s">
        <v>149</v>
      </c>
      <c r="R404" s="453">
        <v>0</v>
      </c>
      <c r="T404" s="453">
        <v>3</v>
      </c>
      <c r="V404" s="453">
        <v>100</v>
      </c>
      <c r="W404" s="453">
        <v>500</v>
      </c>
      <c r="X404" s="453" t="s">
        <v>58</v>
      </c>
      <c r="Z404" s="453" t="s">
        <v>150</v>
      </c>
      <c r="AA404" s="453">
        <v>620</v>
      </c>
      <c r="AC404" s="453" t="s">
        <v>1038</v>
      </c>
    </row>
    <row r="405" spans="1:29">
      <c r="A405" s="453">
        <v>404</v>
      </c>
      <c r="B405" s="453" t="s">
        <v>1041</v>
      </c>
      <c r="C405" s="453" t="s">
        <v>1042</v>
      </c>
      <c r="D405" s="550" t="s">
        <v>1043</v>
      </c>
      <c r="F405" s="453">
        <v>2005</v>
      </c>
      <c r="G405" s="453">
        <v>2009</v>
      </c>
      <c r="H405" s="472">
        <v>94000</v>
      </c>
      <c r="I405" s="472">
        <v>200000</v>
      </c>
      <c r="J405" s="453">
        <v>1</v>
      </c>
      <c r="K405" s="453">
        <v>1</v>
      </c>
      <c r="L405" s="453" t="s">
        <v>147</v>
      </c>
      <c r="M405" s="453">
        <v>1</v>
      </c>
      <c r="N405" s="453" t="s">
        <v>122</v>
      </c>
      <c r="O405" s="453">
        <v>125</v>
      </c>
      <c r="P405" s="453" t="s">
        <v>148</v>
      </c>
      <c r="Q405" s="453" t="s">
        <v>149</v>
      </c>
      <c r="R405" s="453">
        <v>0</v>
      </c>
      <c r="T405" s="453">
        <v>4</v>
      </c>
      <c r="V405" s="453">
        <v>50</v>
      </c>
      <c r="W405" s="453">
        <v>250</v>
      </c>
      <c r="X405" s="453" t="s">
        <v>58</v>
      </c>
      <c r="Z405" s="453" t="s">
        <v>150</v>
      </c>
      <c r="AA405" s="453">
        <v>625</v>
      </c>
      <c r="AC405" s="453" t="s">
        <v>1041</v>
      </c>
    </row>
    <row r="406" spans="1:29">
      <c r="A406" s="453">
        <v>405</v>
      </c>
      <c r="B406" s="453" t="s">
        <v>1044</v>
      </c>
      <c r="C406" s="453" t="s">
        <v>1045</v>
      </c>
      <c r="D406" s="550" t="s">
        <v>1046</v>
      </c>
      <c r="F406" s="453">
        <v>1926</v>
      </c>
      <c r="G406" s="453">
        <v>1935</v>
      </c>
      <c r="H406" s="472">
        <v>49500</v>
      </c>
      <c r="I406" s="472">
        <v>101000</v>
      </c>
      <c r="J406" s="453">
        <v>1</v>
      </c>
      <c r="K406" s="453">
        <v>1</v>
      </c>
      <c r="L406" s="453" t="s">
        <v>147</v>
      </c>
      <c r="M406" s="453">
        <v>1</v>
      </c>
      <c r="N406" s="453" t="s">
        <v>122</v>
      </c>
      <c r="O406" s="453">
        <v>225</v>
      </c>
      <c r="P406" s="453" t="s">
        <v>123</v>
      </c>
      <c r="Q406" s="453" t="s">
        <v>124</v>
      </c>
      <c r="R406" s="453">
        <v>0</v>
      </c>
      <c r="T406" s="453">
        <v>8</v>
      </c>
      <c r="V406" s="453">
        <v>100</v>
      </c>
      <c r="W406" s="453">
        <v>500</v>
      </c>
      <c r="X406" s="453" t="s">
        <v>58</v>
      </c>
      <c r="Z406" s="453" t="s">
        <v>150</v>
      </c>
      <c r="AA406" s="453">
        <v>627</v>
      </c>
      <c r="AC406" s="453" t="s">
        <v>1044</v>
      </c>
    </row>
    <row r="407" spans="1:29">
      <c r="A407" s="453">
        <v>406</v>
      </c>
      <c r="B407" s="453" t="s">
        <v>1047</v>
      </c>
      <c r="C407" s="453" t="s">
        <v>1048</v>
      </c>
      <c r="D407" s="550">
        <v>12</v>
      </c>
      <c r="F407" s="453">
        <v>1936</v>
      </c>
      <c r="G407" s="453">
        <v>1941</v>
      </c>
      <c r="H407" s="472">
        <v>49500</v>
      </c>
      <c r="I407" s="472">
        <v>151000</v>
      </c>
      <c r="J407" s="453">
        <v>1</v>
      </c>
      <c r="K407" s="453">
        <v>5</v>
      </c>
      <c r="L407" s="453" t="s">
        <v>147</v>
      </c>
      <c r="M407" s="453">
        <v>2</v>
      </c>
      <c r="N407" s="453" t="s">
        <v>122</v>
      </c>
      <c r="O407" s="453">
        <v>450</v>
      </c>
      <c r="P407" s="453" t="s">
        <v>130</v>
      </c>
      <c r="Q407" s="453" t="s">
        <v>133</v>
      </c>
      <c r="R407" s="453">
        <v>0</v>
      </c>
      <c r="T407" s="453">
        <v>16</v>
      </c>
      <c r="U407" s="453" t="s">
        <v>229</v>
      </c>
      <c r="V407" s="453">
        <v>1000</v>
      </c>
      <c r="W407" s="453">
        <v>0.1</v>
      </c>
      <c r="X407" s="453" t="s">
        <v>125</v>
      </c>
      <c r="Z407" s="453" t="s">
        <v>150</v>
      </c>
      <c r="AA407" s="453">
        <v>630</v>
      </c>
      <c r="AC407" s="453" t="s">
        <v>1047</v>
      </c>
    </row>
    <row r="408" spans="1:29">
      <c r="A408" s="453">
        <v>407</v>
      </c>
      <c r="B408" s="611" t="s">
        <v>1049</v>
      </c>
      <c r="C408" s="611" t="s">
        <v>1050</v>
      </c>
      <c r="D408" s="612" t="s">
        <v>1051</v>
      </c>
      <c r="F408" s="453">
        <v>1979</v>
      </c>
      <c r="G408" s="453">
        <v>2025</v>
      </c>
      <c r="H408" s="472">
        <v>50000</v>
      </c>
      <c r="I408" s="472">
        <v>150000</v>
      </c>
      <c r="J408" s="453">
        <v>1</v>
      </c>
      <c r="K408" s="453">
        <v>1</v>
      </c>
      <c r="L408" s="611" t="s">
        <v>805</v>
      </c>
      <c r="M408" s="453">
        <v>2</v>
      </c>
      <c r="N408" s="611" t="s">
        <v>122</v>
      </c>
      <c r="O408" s="453">
        <v>200</v>
      </c>
      <c r="P408" s="611" t="s">
        <v>123</v>
      </c>
      <c r="Q408" s="611" t="s">
        <v>149</v>
      </c>
      <c r="R408" s="453">
        <v>-0.2</v>
      </c>
      <c r="S408" s="453">
        <v>0</v>
      </c>
      <c r="T408" s="453">
        <v>1</v>
      </c>
      <c r="U408" s="611" t="s">
        <v>229</v>
      </c>
      <c r="V408" s="453">
        <v>100</v>
      </c>
      <c r="W408" s="453">
        <v>1000</v>
      </c>
      <c r="X408" s="611" t="s">
        <v>58</v>
      </c>
      <c r="Z408" s="611" t="s">
        <v>150</v>
      </c>
      <c r="AC408" s="611" t="s">
        <v>1049</v>
      </c>
    </row>
    <row r="409" spans="1:29">
      <c r="A409" s="453">
        <v>408</v>
      </c>
      <c r="B409" s="453" t="s">
        <v>1052</v>
      </c>
      <c r="C409" s="453" t="s">
        <v>1053</v>
      </c>
      <c r="D409" s="550">
        <v>8</v>
      </c>
      <c r="F409" s="453">
        <v>1938</v>
      </c>
      <c r="G409" s="453">
        <v>1960</v>
      </c>
      <c r="H409" s="472">
        <v>9500</v>
      </c>
      <c r="I409" s="472">
        <v>35000</v>
      </c>
      <c r="J409" s="453">
        <v>1</v>
      </c>
      <c r="K409" s="453">
        <v>1</v>
      </c>
      <c r="L409" s="453" t="s">
        <v>147</v>
      </c>
      <c r="M409" s="453">
        <v>1</v>
      </c>
      <c r="N409" s="453" t="s">
        <v>122</v>
      </c>
      <c r="O409" s="453">
        <v>90</v>
      </c>
      <c r="P409" s="453" t="s">
        <v>123</v>
      </c>
      <c r="Q409" s="453" t="s">
        <v>149</v>
      </c>
      <c r="R409" s="453">
        <v>0</v>
      </c>
      <c r="T409" s="453">
        <v>7</v>
      </c>
      <c r="U409" s="611"/>
      <c r="V409" s="453">
        <v>100</v>
      </c>
      <c r="W409" s="453">
        <v>500</v>
      </c>
      <c r="X409" s="453" t="s">
        <v>58</v>
      </c>
      <c r="Z409" s="453" t="s">
        <v>150</v>
      </c>
      <c r="AA409" s="453">
        <v>632</v>
      </c>
      <c r="AC409" s="453" t="s">
        <v>1052</v>
      </c>
    </row>
    <row r="410" spans="1:29">
      <c r="A410" s="453">
        <v>409</v>
      </c>
      <c r="B410" s="453" t="s">
        <v>1054</v>
      </c>
      <c r="C410" s="453" t="s">
        <v>1053</v>
      </c>
      <c r="D410" s="550">
        <v>11</v>
      </c>
      <c r="F410" s="453">
        <v>1937</v>
      </c>
      <c r="G410" s="453">
        <v>1950</v>
      </c>
      <c r="H410" s="472">
        <v>9500</v>
      </c>
      <c r="I410" s="472">
        <v>36000</v>
      </c>
      <c r="J410" s="453">
        <v>1</v>
      </c>
      <c r="K410" s="453">
        <v>3</v>
      </c>
      <c r="L410" s="453" t="s">
        <v>147</v>
      </c>
      <c r="M410" s="453">
        <v>1</v>
      </c>
      <c r="N410" s="453" t="s">
        <v>122</v>
      </c>
      <c r="O410" s="453">
        <v>125</v>
      </c>
      <c r="P410" s="453" t="s">
        <v>123</v>
      </c>
      <c r="Q410" s="453" t="s">
        <v>149</v>
      </c>
      <c r="R410" s="453">
        <v>0</v>
      </c>
      <c r="T410" s="453">
        <v>7</v>
      </c>
      <c r="V410" s="453">
        <v>100</v>
      </c>
      <c r="W410" s="453">
        <v>500</v>
      </c>
      <c r="X410" s="453" t="s">
        <v>58</v>
      </c>
      <c r="Z410" s="453" t="s">
        <v>150</v>
      </c>
      <c r="AA410" s="453">
        <v>631</v>
      </c>
      <c r="AC410" s="453" t="s">
        <v>1054</v>
      </c>
    </row>
    <row r="411" spans="1:29">
      <c r="A411" s="453">
        <v>410</v>
      </c>
      <c r="B411" s="453" t="s">
        <v>1055</v>
      </c>
      <c r="C411" s="453" t="s">
        <v>1056</v>
      </c>
      <c r="D411" s="550" t="s">
        <v>1057</v>
      </c>
      <c r="F411" s="453">
        <v>2008</v>
      </c>
      <c r="G411" s="453">
        <v>2011</v>
      </c>
      <c r="H411" s="472">
        <v>100000</v>
      </c>
      <c r="I411" s="472">
        <v>150000</v>
      </c>
      <c r="J411" s="453">
        <v>1</v>
      </c>
      <c r="K411" s="453">
        <v>1</v>
      </c>
      <c r="L411" s="453" t="s">
        <v>147</v>
      </c>
      <c r="M411" s="453">
        <v>1</v>
      </c>
      <c r="N411" s="453" t="s">
        <v>122</v>
      </c>
      <c r="O411" s="453">
        <v>160</v>
      </c>
      <c r="P411" s="453" t="s">
        <v>123</v>
      </c>
      <c r="Q411" s="453" t="s">
        <v>149</v>
      </c>
      <c r="R411" s="453">
        <v>0</v>
      </c>
      <c r="T411" s="453">
        <v>8</v>
      </c>
      <c r="V411" s="453">
        <v>100</v>
      </c>
      <c r="W411" s="453">
        <v>500</v>
      </c>
      <c r="X411" s="453" t="s">
        <v>58</v>
      </c>
      <c r="Z411" s="453" t="s">
        <v>150</v>
      </c>
      <c r="AA411" s="453">
        <v>1306</v>
      </c>
      <c r="AC411" s="453" t="s">
        <v>1055</v>
      </c>
    </row>
    <row r="412" spans="1:29">
      <c r="A412" s="453">
        <v>411</v>
      </c>
      <c r="B412" s="453" t="s">
        <v>1058</v>
      </c>
      <c r="C412" s="453" t="s">
        <v>1056</v>
      </c>
      <c r="D412" s="550" t="s">
        <v>1059</v>
      </c>
      <c r="F412" s="453">
        <v>2005</v>
      </c>
      <c r="G412" s="453">
        <v>2012</v>
      </c>
      <c r="H412" s="472">
        <v>70000</v>
      </c>
      <c r="I412" s="472">
        <v>150000</v>
      </c>
      <c r="J412" s="453">
        <v>1</v>
      </c>
      <c r="K412" s="453">
        <v>1</v>
      </c>
      <c r="L412" s="453" t="s">
        <v>154</v>
      </c>
      <c r="M412" s="453">
        <v>1</v>
      </c>
      <c r="N412" s="453" t="s">
        <v>122</v>
      </c>
      <c r="O412" s="453">
        <v>100</v>
      </c>
      <c r="P412" s="453" t="s">
        <v>123</v>
      </c>
      <c r="Q412" s="453" t="s">
        <v>149</v>
      </c>
      <c r="R412" s="453">
        <v>0</v>
      </c>
      <c r="T412" s="453">
        <v>3</v>
      </c>
      <c r="V412" s="453">
        <v>100</v>
      </c>
      <c r="W412" s="453">
        <v>500</v>
      </c>
      <c r="X412" s="453" t="s">
        <v>58</v>
      </c>
      <c r="Z412" s="453" t="s">
        <v>150</v>
      </c>
      <c r="AA412" s="453">
        <v>634</v>
      </c>
      <c r="AC412" s="453" t="s">
        <v>1058</v>
      </c>
    </row>
    <row r="413" spans="1:29">
      <c r="A413" s="453">
        <v>412</v>
      </c>
      <c r="B413" s="453" t="s">
        <v>1060</v>
      </c>
      <c r="C413" s="453" t="s">
        <v>1061</v>
      </c>
      <c r="D413" s="550" t="s">
        <v>1062</v>
      </c>
      <c r="F413" s="453">
        <v>2000</v>
      </c>
      <c r="G413" s="453">
        <v>2025</v>
      </c>
      <c r="H413" s="472">
        <v>35000</v>
      </c>
      <c r="I413" s="472">
        <v>150000</v>
      </c>
      <c r="J413" s="453">
        <v>1</v>
      </c>
      <c r="K413" s="453">
        <v>1</v>
      </c>
      <c r="L413" s="453" t="s">
        <v>1063</v>
      </c>
      <c r="M413" s="453">
        <v>8</v>
      </c>
      <c r="N413" s="453" t="s">
        <v>122</v>
      </c>
      <c r="O413" s="453">
        <v>100</v>
      </c>
      <c r="P413" s="453" t="s">
        <v>148</v>
      </c>
      <c r="Q413" s="453" t="s">
        <v>149</v>
      </c>
      <c r="R413" s="453">
        <v>-0.13</v>
      </c>
      <c r="S413" s="453">
        <v>0</v>
      </c>
      <c r="T413" s="453">
        <v>1</v>
      </c>
      <c r="V413" s="453">
        <v>1000</v>
      </c>
      <c r="W413" s="453">
        <v>4000</v>
      </c>
      <c r="X413" s="453" t="s">
        <v>125</v>
      </c>
      <c r="Z413" s="453" t="s">
        <v>150</v>
      </c>
      <c r="AC413" s="453" t="s">
        <v>1060</v>
      </c>
    </row>
    <row r="414" spans="1:29">
      <c r="A414" s="453">
        <v>413</v>
      </c>
      <c r="B414" s="453" t="s">
        <v>1064</v>
      </c>
      <c r="C414" s="453" t="s">
        <v>1065</v>
      </c>
      <c r="D414" s="550" t="s">
        <v>1066</v>
      </c>
      <c r="F414" s="453">
        <v>2015</v>
      </c>
      <c r="G414" s="453">
        <v>2025</v>
      </c>
      <c r="H414" s="472"/>
      <c r="J414" s="453">
        <v>1</v>
      </c>
      <c r="K414" s="453">
        <v>1</v>
      </c>
      <c r="L414" s="453" t="s">
        <v>154</v>
      </c>
      <c r="M414" s="453">
        <v>1</v>
      </c>
      <c r="N414" s="453" t="s">
        <v>122</v>
      </c>
      <c r="O414" s="453">
        <v>100</v>
      </c>
      <c r="P414" s="453" t="s">
        <v>148</v>
      </c>
      <c r="Q414" s="453" t="s">
        <v>149</v>
      </c>
      <c r="R414" s="453">
        <v>0.25</v>
      </c>
      <c r="S414" s="453">
        <v>0.25</v>
      </c>
      <c r="T414" s="453">
        <v>1</v>
      </c>
      <c r="V414" s="453">
        <v>50</v>
      </c>
      <c r="W414" s="453">
        <v>1000</v>
      </c>
      <c r="X414" s="453" t="s">
        <v>125</v>
      </c>
      <c r="Z414" s="453" t="s">
        <v>150</v>
      </c>
      <c r="AB414" s="453" t="s">
        <v>1067</v>
      </c>
      <c r="AC414" s="453" t="s">
        <v>1064</v>
      </c>
    </row>
    <row r="415" spans="1:29">
      <c r="A415" s="453">
        <v>414</v>
      </c>
      <c r="B415" s="453" t="s">
        <v>1068</v>
      </c>
      <c r="C415" s="453" t="s">
        <v>1065</v>
      </c>
      <c r="D415" s="550" t="s">
        <v>1069</v>
      </c>
      <c r="F415" s="453">
        <v>2015</v>
      </c>
      <c r="G415" s="453">
        <v>2025</v>
      </c>
      <c r="H415" s="472"/>
      <c r="J415" s="453">
        <v>1</v>
      </c>
      <c r="K415" s="453">
        <v>1</v>
      </c>
      <c r="L415" s="453" t="s">
        <v>154</v>
      </c>
      <c r="M415" s="453">
        <v>1</v>
      </c>
      <c r="N415" s="453" t="s">
        <v>122</v>
      </c>
      <c r="O415" s="453">
        <v>100</v>
      </c>
      <c r="P415" s="453" t="s">
        <v>148</v>
      </c>
      <c r="Q415" s="453" t="s">
        <v>149</v>
      </c>
      <c r="R415" s="453">
        <v>0</v>
      </c>
      <c r="S415" s="453">
        <v>0</v>
      </c>
      <c r="T415" s="453">
        <v>1</v>
      </c>
      <c r="V415" s="453">
        <v>50</v>
      </c>
      <c r="W415" s="453">
        <v>250</v>
      </c>
      <c r="X415" s="453" t="s">
        <v>125</v>
      </c>
      <c r="Z415" s="453" t="s">
        <v>150</v>
      </c>
      <c r="AC415" s="453" t="s">
        <v>1068</v>
      </c>
    </row>
    <row r="416" spans="1:29">
      <c r="A416" s="453">
        <v>415</v>
      </c>
      <c r="B416" s="611" t="s">
        <v>1070</v>
      </c>
      <c r="C416" s="611" t="s">
        <v>1071</v>
      </c>
      <c r="D416" s="612" t="s">
        <v>1072</v>
      </c>
      <c r="F416" s="453">
        <v>1953</v>
      </c>
      <c r="G416" s="453">
        <v>1986</v>
      </c>
      <c r="H416" s="472">
        <v>1000000</v>
      </c>
      <c r="I416" s="453">
        <v>3000000</v>
      </c>
      <c r="J416" s="453">
        <v>2</v>
      </c>
      <c r="K416" s="453">
        <v>0</v>
      </c>
      <c r="L416" s="611" t="s">
        <v>129</v>
      </c>
      <c r="M416" s="453">
        <v>6</v>
      </c>
      <c r="N416" s="611" t="s">
        <v>130</v>
      </c>
      <c r="O416" s="453">
        <v>7220</v>
      </c>
      <c r="P416" s="611" t="s">
        <v>132</v>
      </c>
      <c r="Q416" s="611" t="s">
        <v>133</v>
      </c>
      <c r="R416" s="453">
        <v>1.25</v>
      </c>
      <c r="S416" s="453">
        <v>1.25</v>
      </c>
      <c r="T416" s="453">
        <v>1</v>
      </c>
      <c r="U416" s="611" t="s">
        <v>123</v>
      </c>
      <c r="V416" s="453">
        <v>5000</v>
      </c>
      <c r="W416" s="453">
        <v>0.1</v>
      </c>
      <c r="X416" s="611" t="s">
        <v>125</v>
      </c>
      <c r="Z416" s="611" t="s">
        <v>58</v>
      </c>
      <c r="AC416" s="611" t="s">
        <v>1073</v>
      </c>
    </row>
    <row r="417" spans="1:29">
      <c r="A417" s="453">
        <v>416</v>
      </c>
      <c r="B417" s="453" t="s">
        <v>1074</v>
      </c>
      <c r="C417" s="453" t="s">
        <v>1075</v>
      </c>
      <c r="D417" s="550" t="s">
        <v>1076</v>
      </c>
      <c r="F417" s="453">
        <v>1962</v>
      </c>
      <c r="G417" s="453">
        <v>1975</v>
      </c>
      <c r="H417" s="472">
        <v>14500</v>
      </c>
      <c r="I417" s="453">
        <v>46000</v>
      </c>
      <c r="J417" s="453">
        <v>1</v>
      </c>
      <c r="K417" s="453">
        <v>3</v>
      </c>
      <c r="L417" s="453" t="s">
        <v>147</v>
      </c>
      <c r="M417" s="453">
        <v>1</v>
      </c>
      <c r="N417" s="453" t="s">
        <v>122</v>
      </c>
      <c r="O417" s="453">
        <v>180</v>
      </c>
      <c r="P417" s="453" t="s">
        <v>123</v>
      </c>
      <c r="Q417" s="453" t="s">
        <v>124</v>
      </c>
      <c r="R417" s="453">
        <v>0.25</v>
      </c>
      <c r="T417" s="453">
        <v>8</v>
      </c>
      <c r="V417" s="453">
        <v>100</v>
      </c>
      <c r="W417" s="453">
        <v>500</v>
      </c>
      <c r="X417" s="453" t="s">
        <v>125</v>
      </c>
      <c r="Z417" s="453" t="s">
        <v>150</v>
      </c>
      <c r="AA417" s="453">
        <v>642</v>
      </c>
      <c r="AC417" s="453" t="s">
        <v>1074</v>
      </c>
    </row>
    <row r="418" spans="1:29">
      <c r="A418" s="453">
        <v>417</v>
      </c>
      <c r="B418" s="453" t="s">
        <v>1077</v>
      </c>
      <c r="C418" s="453" t="s">
        <v>1075</v>
      </c>
      <c r="D418" s="550" t="s">
        <v>1078</v>
      </c>
      <c r="F418" s="453">
        <v>2008</v>
      </c>
      <c r="G418" s="453">
        <v>2011</v>
      </c>
      <c r="H418" s="472">
        <v>125000</v>
      </c>
      <c r="I418" s="453">
        <v>200000</v>
      </c>
      <c r="J418" s="453">
        <v>1</v>
      </c>
      <c r="K418" s="453">
        <v>3</v>
      </c>
      <c r="L418" s="453" t="s">
        <v>147</v>
      </c>
      <c r="M418" s="453">
        <v>1</v>
      </c>
      <c r="N418" s="453" t="s">
        <v>122</v>
      </c>
      <c r="O418" s="453">
        <v>180</v>
      </c>
      <c r="P418" s="453" t="s">
        <v>123</v>
      </c>
      <c r="Q418" s="453" t="s">
        <v>124</v>
      </c>
      <c r="R418" s="453">
        <v>0.25</v>
      </c>
      <c r="T418" s="453">
        <v>8</v>
      </c>
      <c r="V418" s="453">
        <v>100</v>
      </c>
      <c r="W418" s="453">
        <v>500</v>
      </c>
      <c r="X418" s="453" t="s">
        <v>125</v>
      </c>
      <c r="Z418" s="453" t="s">
        <v>150</v>
      </c>
      <c r="AA418" s="453">
        <v>1309</v>
      </c>
      <c r="AC418" s="453" t="s">
        <v>1077</v>
      </c>
    </row>
    <row r="419" spans="1:29">
      <c r="A419" s="453">
        <v>418</v>
      </c>
      <c r="B419" s="453" t="s">
        <v>1079</v>
      </c>
      <c r="C419" s="453" t="s">
        <v>1075</v>
      </c>
      <c r="D419" s="550" t="s">
        <v>1080</v>
      </c>
      <c r="F419" s="453">
        <v>1973</v>
      </c>
      <c r="G419" s="453">
        <v>1988</v>
      </c>
      <c r="H419" s="472">
        <v>24500</v>
      </c>
      <c r="I419" s="453">
        <v>66000</v>
      </c>
      <c r="J419" s="453">
        <v>1</v>
      </c>
      <c r="K419" s="453">
        <v>3</v>
      </c>
      <c r="L419" s="453" t="s">
        <v>147</v>
      </c>
      <c r="M419" s="453">
        <v>1</v>
      </c>
      <c r="N419" s="453" t="s">
        <v>122</v>
      </c>
      <c r="O419" s="453">
        <v>220</v>
      </c>
      <c r="P419" s="453" t="s">
        <v>123</v>
      </c>
      <c r="Q419" s="453" t="s">
        <v>124</v>
      </c>
      <c r="R419" s="453">
        <v>0.25</v>
      </c>
      <c r="T419" s="453">
        <v>8</v>
      </c>
      <c r="V419" s="453">
        <v>100</v>
      </c>
      <c r="W419" s="453">
        <v>500</v>
      </c>
      <c r="X419" s="453" t="s">
        <v>125</v>
      </c>
      <c r="Z419" s="453" t="s">
        <v>150</v>
      </c>
      <c r="AA419" s="453">
        <v>643</v>
      </c>
      <c r="AC419" s="453" t="s">
        <v>1079</v>
      </c>
    </row>
    <row r="420" spans="1:29">
      <c r="A420" s="453">
        <v>419</v>
      </c>
      <c r="B420" s="453" t="s">
        <v>1081</v>
      </c>
      <c r="C420" s="453" t="s">
        <v>1075</v>
      </c>
      <c r="D420" s="550" t="s">
        <v>1082</v>
      </c>
      <c r="F420" s="453">
        <v>1975</v>
      </c>
      <c r="G420" s="453">
        <v>1984</v>
      </c>
      <c r="H420" s="472">
        <v>49500</v>
      </c>
      <c r="I420" s="453">
        <v>101000</v>
      </c>
      <c r="J420" s="453">
        <v>1</v>
      </c>
      <c r="K420" s="453">
        <v>3</v>
      </c>
      <c r="L420" s="453" t="s">
        <v>147</v>
      </c>
      <c r="M420" s="453">
        <v>1</v>
      </c>
      <c r="N420" s="453" t="s">
        <v>122</v>
      </c>
      <c r="O420" s="453">
        <v>160</v>
      </c>
      <c r="P420" s="453" t="s">
        <v>123</v>
      </c>
      <c r="Q420" s="453" t="s">
        <v>124</v>
      </c>
      <c r="R420" s="453">
        <v>0.25</v>
      </c>
      <c r="T420" s="453">
        <v>8</v>
      </c>
      <c r="V420" s="453">
        <v>100</v>
      </c>
      <c r="W420" s="453">
        <v>500</v>
      </c>
      <c r="X420" s="453" t="s">
        <v>125</v>
      </c>
      <c r="Z420" s="453" t="s">
        <v>150</v>
      </c>
      <c r="AA420" s="453">
        <v>644</v>
      </c>
      <c r="AC420" s="453" t="s">
        <v>1081</v>
      </c>
    </row>
    <row r="421" spans="1:29">
      <c r="A421" s="453">
        <v>420</v>
      </c>
      <c r="B421" s="453" t="s">
        <v>1083</v>
      </c>
      <c r="C421" s="453" t="s">
        <v>1075</v>
      </c>
      <c r="D421" s="550" t="s">
        <v>1084</v>
      </c>
      <c r="F421" s="453">
        <v>1998</v>
      </c>
      <c r="G421" s="453">
        <v>2005</v>
      </c>
      <c r="H421" s="472">
        <v>200000</v>
      </c>
      <c r="I421" s="453">
        <v>250000</v>
      </c>
      <c r="J421" s="453">
        <v>1</v>
      </c>
      <c r="K421" s="453">
        <v>3</v>
      </c>
      <c r="L421" s="453" t="s">
        <v>147</v>
      </c>
      <c r="M421" s="453">
        <v>3</v>
      </c>
      <c r="N421" s="453" t="s">
        <v>130</v>
      </c>
      <c r="O421" s="453">
        <v>250</v>
      </c>
      <c r="P421" s="453" t="s">
        <v>123</v>
      </c>
      <c r="Q421" s="453" t="s">
        <v>124</v>
      </c>
      <c r="R421" s="453">
        <v>1</v>
      </c>
      <c r="S421" s="453">
        <v>0.5</v>
      </c>
      <c r="T421" s="453">
        <v>1</v>
      </c>
      <c r="U421" s="453" t="s">
        <v>123</v>
      </c>
      <c r="V421" s="453">
        <v>1000</v>
      </c>
      <c r="W421" s="453">
        <v>25000</v>
      </c>
      <c r="X421" s="453" t="s">
        <v>125</v>
      </c>
      <c r="Z421" s="453" t="s">
        <v>150</v>
      </c>
      <c r="AA421" s="453">
        <v>653</v>
      </c>
      <c r="AC421" s="453" t="s">
        <v>1083</v>
      </c>
    </row>
    <row r="422" spans="1:29">
      <c r="A422" s="453">
        <v>421</v>
      </c>
      <c r="B422" s="453" t="s">
        <v>1085</v>
      </c>
      <c r="C422" s="453" t="s">
        <v>1075</v>
      </c>
      <c r="D422" s="550" t="s">
        <v>1086</v>
      </c>
      <c r="F422" s="453">
        <v>1984</v>
      </c>
      <c r="G422" s="453">
        <v>1989</v>
      </c>
      <c r="H422" s="472">
        <v>39500</v>
      </c>
      <c r="I422" s="453">
        <v>101000</v>
      </c>
      <c r="J422" s="453">
        <v>1</v>
      </c>
      <c r="K422" s="453">
        <v>3</v>
      </c>
      <c r="L422" s="453" t="s">
        <v>147</v>
      </c>
      <c r="M422" s="453">
        <v>1</v>
      </c>
      <c r="N422" s="453" t="s">
        <v>122</v>
      </c>
      <c r="O422" s="453">
        <v>235</v>
      </c>
      <c r="P422" s="453" t="s">
        <v>123</v>
      </c>
      <c r="Q422" s="453" t="s">
        <v>124</v>
      </c>
      <c r="R422" s="453">
        <v>0.25</v>
      </c>
      <c r="T422" s="453">
        <v>8</v>
      </c>
      <c r="V422" s="453">
        <v>100</v>
      </c>
      <c r="W422" s="453">
        <v>500</v>
      </c>
      <c r="X422" s="453" t="s">
        <v>125</v>
      </c>
      <c r="Z422" s="453" t="s">
        <v>150</v>
      </c>
      <c r="AA422" s="453">
        <v>654</v>
      </c>
      <c r="AC422" s="453" t="s">
        <v>1085</v>
      </c>
    </row>
    <row r="423" spans="1:29">
      <c r="A423" s="453">
        <v>422</v>
      </c>
      <c r="B423" s="453" t="s">
        <v>1087</v>
      </c>
      <c r="C423" s="453" t="s">
        <v>1075</v>
      </c>
      <c r="D423" s="550" t="s">
        <v>1088</v>
      </c>
      <c r="F423" s="453">
        <v>1991</v>
      </c>
      <c r="G423" s="453">
        <v>1999</v>
      </c>
      <c r="H423" s="472">
        <v>49500</v>
      </c>
      <c r="I423" s="453">
        <v>101000</v>
      </c>
      <c r="J423" s="453">
        <v>1</v>
      </c>
      <c r="K423" s="453">
        <v>3</v>
      </c>
      <c r="L423" s="453" t="s">
        <v>147</v>
      </c>
      <c r="M423" s="453">
        <v>1</v>
      </c>
      <c r="N423" s="453" t="s">
        <v>122</v>
      </c>
      <c r="O423" s="453">
        <v>150</v>
      </c>
      <c r="P423" s="453" t="s">
        <v>148</v>
      </c>
      <c r="Q423" s="453" t="s">
        <v>124</v>
      </c>
      <c r="R423" s="453">
        <v>0</v>
      </c>
      <c r="T423" s="453">
        <v>5</v>
      </c>
      <c r="V423" s="453">
        <v>50</v>
      </c>
      <c r="W423" s="453">
        <v>250</v>
      </c>
      <c r="X423" s="453" t="s">
        <v>125</v>
      </c>
      <c r="Z423" s="453" t="s">
        <v>150</v>
      </c>
      <c r="AA423" s="453">
        <v>650</v>
      </c>
      <c r="AC423" s="453" t="s">
        <v>1087</v>
      </c>
    </row>
    <row r="424" spans="1:29">
      <c r="A424" s="453">
        <v>423</v>
      </c>
      <c r="B424" s="453" t="s">
        <v>1089</v>
      </c>
      <c r="C424" s="453" t="s">
        <v>1090</v>
      </c>
      <c r="D424" s="550" t="s">
        <v>1091</v>
      </c>
      <c r="F424" s="453">
        <v>1975</v>
      </c>
      <c r="G424" s="453">
        <v>1995</v>
      </c>
      <c r="H424" s="472">
        <v>200000</v>
      </c>
      <c r="I424" s="453">
        <v>950000</v>
      </c>
      <c r="J424" s="453">
        <v>1</v>
      </c>
      <c r="K424" s="453">
        <v>4</v>
      </c>
      <c r="L424" s="453" t="s">
        <v>147</v>
      </c>
      <c r="M424" s="453">
        <v>7</v>
      </c>
      <c r="N424" s="453" t="s">
        <v>130</v>
      </c>
      <c r="O424" s="453">
        <v>400</v>
      </c>
      <c r="P424" s="453" t="s">
        <v>148</v>
      </c>
      <c r="Q424" s="453" t="s">
        <v>124</v>
      </c>
      <c r="R424" s="453">
        <v>0</v>
      </c>
      <c r="S424" s="453">
        <v>0</v>
      </c>
      <c r="T424" s="453">
        <v>22</v>
      </c>
      <c r="U424" s="453" t="s">
        <v>123</v>
      </c>
      <c r="V424" s="453">
        <v>1000</v>
      </c>
      <c r="W424" s="453">
        <v>0.03</v>
      </c>
      <c r="X424" s="453" t="s">
        <v>125</v>
      </c>
      <c r="Z424" s="453" t="s">
        <v>150</v>
      </c>
      <c r="AC424" s="453" t="s">
        <v>1089</v>
      </c>
    </row>
    <row r="425" spans="1:29">
      <c r="A425" s="453">
        <v>424</v>
      </c>
      <c r="B425" s="453" t="s">
        <v>1092</v>
      </c>
      <c r="C425" s="453" t="s">
        <v>1090</v>
      </c>
      <c r="D425" s="550" t="s">
        <v>1093</v>
      </c>
      <c r="F425" s="453">
        <v>1969</v>
      </c>
      <c r="G425" s="453">
        <v>1972</v>
      </c>
      <c r="H425" s="472">
        <v>24500</v>
      </c>
      <c r="I425" s="453">
        <v>76000</v>
      </c>
      <c r="J425" s="453">
        <v>1</v>
      </c>
      <c r="K425" s="453">
        <v>1</v>
      </c>
      <c r="L425" s="453" t="s">
        <v>147</v>
      </c>
      <c r="M425" s="453">
        <v>1</v>
      </c>
      <c r="N425" s="453" t="s">
        <v>122</v>
      </c>
      <c r="O425" s="453">
        <v>151</v>
      </c>
      <c r="P425" s="453" t="s">
        <v>148</v>
      </c>
      <c r="Q425" s="453" t="s">
        <v>149</v>
      </c>
      <c r="R425" s="453">
        <v>0</v>
      </c>
      <c r="T425" s="453">
        <v>4</v>
      </c>
      <c r="V425" s="453">
        <v>50</v>
      </c>
      <c r="W425" s="453">
        <v>250</v>
      </c>
      <c r="X425" s="453" t="s">
        <v>58</v>
      </c>
      <c r="Z425" s="453" t="s">
        <v>150</v>
      </c>
      <c r="AA425" s="453">
        <v>656</v>
      </c>
      <c r="AC425" s="453" t="s">
        <v>1092</v>
      </c>
    </row>
    <row r="426" spans="1:29">
      <c r="A426" s="453">
        <v>425</v>
      </c>
      <c r="B426" s="453" t="s">
        <v>1094</v>
      </c>
      <c r="C426" s="453" t="s">
        <v>1095</v>
      </c>
      <c r="D426" s="550" t="s">
        <v>1096</v>
      </c>
      <c r="F426" s="453">
        <v>1965</v>
      </c>
      <c r="G426" s="453">
        <v>1975</v>
      </c>
      <c r="H426" s="472">
        <v>24500</v>
      </c>
      <c r="I426" s="453">
        <v>51000</v>
      </c>
      <c r="J426" s="453">
        <v>1</v>
      </c>
      <c r="K426" s="453">
        <v>1</v>
      </c>
      <c r="L426" s="453" t="s">
        <v>147</v>
      </c>
      <c r="M426" s="453">
        <v>6</v>
      </c>
      <c r="N426" s="453" t="s">
        <v>122</v>
      </c>
      <c r="O426" s="453">
        <v>180</v>
      </c>
      <c r="P426" s="453" t="s">
        <v>148</v>
      </c>
      <c r="Q426" s="453" t="s">
        <v>124</v>
      </c>
      <c r="R426" s="453">
        <v>0.35</v>
      </c>
      <c r="S426" s="453">
        <v>0</v>
      </c>
      <c r="T426" s="453">
        <v>1</v>
      </c>
      <c r="V426" s="453">
        <v>1000</v>
      </c>
      <c r="W426" s="453">
        <v>0.05</v>
      </c>
      <c r="X426" s="453" t="s">
        <v>125</v>
      </c>
      <c r="Z426" s="453" t="s">
        <v>150</v>
      </c>
      <c r="AA426" s="453">
        <v>657</v>
      </c>
      <c r="AC426" s="453" t="s">
        <v>1094</v>
      </c>
    </row>
    <row r="427" spans="1:29">
      <c r="A427" s="453">
        <v>426</v>
      </c>
      <c r="B427" s="453" t="s">
        <v>1097</v>
      </c>
      <c r="C427" s="453" t="s">
        <v>1098</v>
      </c>
      <c r="D427" s="550" t="s">
        <v>1099</v>
      </c>
      <c r="F427" s="453">
        <v>1969</v>
      </c>
      <c r="G427" s="453">
        <v>1976</v>
      </c>
      <c r="H427" s="472">
        <v>100000</v>
      </c>
      <c r="I427" s="453">
        <v>200000</v>
      </c>
      <c r="J427" s="453">
        <v>1</v>
      </c>
      <c r="K427" s="453">
        <v>4</v>
      </c>
      <c r="L427" s="453" t="s">
        <v>147</v>
      </c>
      <c r="M427" s="453">
        <v>7</v>
      </c>
      <c r="N427" s="453" t="s">
        <v>130</v>
      </c>
      <c r="O427" s="453">
        <v>278</v>
      </c>
      <c r="P427" s="453" t="s">
        <v>148</v>
      </c>
      <c r="Q427" s="453" t="s">
        <v>124</v>
      </c>
      <c r="R427" s="453">
        <v>0.35</v>
      </c>
      <c r="S427" s="453">
        <v>0</v>
      </c>
      <c r="T427" s="453">
        <v>22</v>
      </c>
      <c r="U427" s="453" t="s">
        <v>123</v>
      </c>
      <c r="V427" s="453">
        <v>1000</v>
      </c>
      <c r="W427" s="453">
        <v>0.1</v>
      </c>
      <c r="X427" s="453" t="s">
        <v>125</v>
      </c>
      <c r="Z427" s="453" t="s">
        <v>150</v>
      </c>
      <c r="AA427" s="453">
        <v>658</v>
      </c>
      <c r="AC427" s="453" t="s">
        <v>1097</v>
      </c>
    </row>
    <row r="428" spans="1:29">
      <c r="A428" s="453">
        <v>427</v>
      </c>
      <c r="B428" s="453" t="s">
        <v>1100</v>
      </c>
      <c r="C428" s="453" t="s">
        <v>1098</v>
      </c>
      <c r="D428" s="550" t="s">
        <v>1101</v>
      </c>
      <c r="F428" s="453">
        <v>1976</v>
      </c>
      <c r="G428" s="453">
        <v>1985</v>
      </c>
      <c r="H428" s="472">
        <v>270000</v>
      </c>
      <c r="I428" s="453">
        <v>450000</v>
      </c>
      <c r="J428" s="453">
        <v>1</v>
      </c>
      <c r="K428" s="453">
        <v>4</v>
      </c>
      <c r="L428" s="453" t="s">
        <v>147</v>
      </c>
      <c r="M428" s="453">
        <v>7</v>
      </c>
      <c r="N428" s="453" t="s">
        <v>130</v>
      </c>
      <c r="O428" s="453">
        <v>375</v>
      </c>
      <c r="P428" s="453" t="s">
        <v>148</v>
      </c>
      <c r="Q428" s="453" t="s">
        <v>124</v>
      </c>
      <c r="R428" s="453">
        <v>0.35</v>
      </c>
      <c r="S428" s="453">
        <v>0</v>
      </c>
      <c r="T428" s="453">
        <v>22</v>
      </c>
      <c r="U428" s="453" t="s">
        <v>123</v>
      </c>
      <c r="V428" s="453">
        <v>1000</v>
      </c>
      <c r="W428" s="453">
        <v>0.1</v>
      </c>
      <c r="X428" s="453" t="s">
        <v>125</v>
      </c>
      <c r="Z428" s="453" t="s">
        <v>150</v>
      </c>
      <c r="AA428" s="453">
        <v>659</v>
      </c>
      <c r="AC428" s="453" t="s">
        <v>1100</v>
      </c>
    </row>
    <row r="429" spans="1:29">
      <c r="A429" s="453">
        <v>428</v>
      </c>
      <c r="B429" s="453" t="s">
        <v>1102</v>
      </c>
      <c r="C429" s="453" t="s">
        <v>1098</v>
      </c>
      <c r="D429" s="550" t="s">
        <v>1103</v>
      </c>
      <c r="F429" s="453">
        <v>1986</v>
      </c>
      <c r="G429" s="453">
        <v>2017</v>
      </c>
      <c r="H429" s="472">
        <v>375000</v>
      </c>
      <c r="I429" s="453">
        <v>2000000</v>
      </c>
      <c r="J429" s="453">
        <v>1</v>
      </c>
      <c r="K429" s="453">
        <v>4</v>
      </c>
      <c r="L429" s="453" t="s">
        <v>147</v>
      </c>
      <c r="M429" s="453">
        <v>7</v>
      </c>
      <c r="N429" s="453" t="s">
        <v>130</v>
      </c>
      <c r="O429" s="453">
        <v>375</v>
      </c>
      <c r="P429" s="453" t="s">
        <v>148</v>
      </c>
      <c r="Q429" s="453" t="s">
        <v>124</v>
      </c>
      <c r="R429" s="453">
        <v>0.35</v>
      </c>
      <c r="S429" s="453">
        <v>0</v>
      </c>
      <c r="T429" s="453">
        <v>22</v>
      </c>
      <c r="U429" s="453" t="s">
        <v>123</v>
      </c>
      <c r="V429" s="453">
        <v>1000</v>
      </c>
      <c r="W429" s="453">
        <v>0.1</v>
      </c>
      <c r="X429" s="453" t="s">
        <v>125</v>
      </c>
      <c r="Z429" s="453" t="s">
        <v>150</v>
      </c>
      <c r="AC429" s="453" t="s">
        <v>1102</v>
      </c>
    </row>
    <row r="430" spans="1:29">
      <c r="A430" s="453">
        <v>429</v>
      </c>
      <c r="B430" s="453" t="s">
        <v>1104</v>
      </c>
      <c r="C430" s="453" t="s">
        <v>1098</v>
      </c>
      <c r="D430" s="550" t="s">
        <v>1105</v>
      </c>
      <c r="F430" s="453">
        <v>1986</v>
      </c>
      <c r="G430" s="453">
        <v>2017</v>
      </c>
      <c r="H430" s="472">
        <v>375000</v>
      </c>
      <c r="I430" s="453">
        <v>2000000</v>
      </c>
      <c r="J430" s="453">
        <v>1</v>
      </c>
      <c r="K430" s="453">
        <v>4</v>
      </c>
      <c r="L430" s="453" t="s">
        <v>147</v>
      </c>
      <c r="M430" s="453">
        <v>7</v>
      </c>
      <c r="N430" s="453" t="s">
        <v>130</v>
      </c>
      <c r="O430" s="453">
        <v>375</v>
      </c>
      <c r="P430" s="453" t="s">
        <v>148</v>
      </c>
      <c r="Q430" s="453" t="s">
        <v>124</v>
      </c>
      <c r="R430" s="453">
        <v>0.35</v>
      </c>
      <c r="S430" s="453">
        <v>0</v>
      </c>
      <c r="T430" s="453">
        <v>22</v>
      </c>
      <c r="U430" s="453" t="s">
        <v>123</v>
      </c>
      <c r="V430" s="453">
        <v>1000</v>
      </c>
      <c r="W430" s="453">
        <v>0.1</v>
      </c>
      <c r="X430" s="453" t="s">
        <v>125</v>
      </c>
      <c r="Z430" s="453" t="s">
        <v>150</v>
      </c>
      <c r="AC430" s="453" t="s">
        <v>1104</v>
      </c>
    </row>
    <row r="431" spans="1:29">
      <c r="A431" s="453">
        <v>430</v>
      </c>
      <c r="B431" s="453" t="s">
        <v>1106</v>
      </c>
      <c r="C431" s="453" t="s">
        <v>1098</v>
      </c>
      <c r="D431" s="550" t="s">
        <v>1107</v>
      </c>
      <c r="F431" s="453">
        <v>1992</v>
      </c>
      <c r="G431" s="453">
        <v>1996</v>
      </c>
      <c r="H431" s="472">
        <v>700000</v>
      </c>
      <c r="I431" s="453">
        <v>800000</v>
      </c>
      <c r="J431" s="453">
        <v>1</v>
      </c>
      <c r="K431" s="453">
        <v>4</v>
      </c>
      <c r="L431" s="453" t="s">
        <v>147</v>
      </c>
      <c r="M431" s="453">
        <v>7</v>
      </c>
      <c r="N431" s="453" t="s">
        <v>130</v>
      </c>
      <c r="O431" s="453">
        <v>425</v>
      </c>
      <c r="P431" s="453" t="s">
        <v>148</v>
      </c>
      <c r="Q431" s="453" t="s">
        <v>124</v>
      </c>
      <c r="R431" s="453">
        <v>0.35</v>
      </c>
      <c r="S431" s="453">
        <v>0</v>
      </c>
      <c r="T431" s="453">
        <v>22</v>
      </c>
      <c r="U431" s="453" t="s">
        <v>123</v>
      </c>
      <c r="V431" s="453">
        <v>1000</v>
      </c>
      <c r="W431" s="453">
        <v>0.1</v>
      </c>
      <c r="X431" s="453" t="s">
        <v>125</v>
      </c>
      <c r="Z431" s="453" t="s">
        <v>150</v>
      </c>
      <c r="AA431" s="453">
        <v>660</v>
      </c>
      <c r="AC431" s="453" t="s">
        <v>1106</v>
      </c>
    </row>
    <row r="432" spans="1:29">
      <c r="A432" s="453">
        <v>431</v>
      </c>
      <c r="B432" s="453" t="s">
        <v>1108</v>
      </c>
      <c r="C432" s="453" t="s">
        <v>1098</v>
      </c>
      <c r="D432" s="550" t="s">
        <v>1109</v>
      </c>
      <c r="F432" s="453">
        <v>1984</v>
      </c>
      <c r="G432" s="453">
        <v>2000</v>
      </c>
      <c r="H432" s="472">
        <v>600000</v>
      </c>
      <c r="I432" s="453">
        <v>950000</v>
      </c>
      <c r="J432" s="453">
        <v>1</v>
      </c>
      <c r="K432" s="453">
        <v>5</v>
      </c>
      <c r="L432" s="453" t="s">
        <v>147</v>
      </c>
      <c r="M432" s="453">
        <v>7</v>
      </c>
      <c r="N432" s="453" t="s">
        <v>130</v>
      </c>
      <c r="O432" s="453">
        <v>425</v>
      </c>
      <c r="P432" s="453" t="s">
        <v>148</v>
      </c>
      <c r="Q432" s="453" t="s">
        <v>124</v>
      </c>
      <c r="R432" s="453">
        <v>0.35</v>
      </c>
      <c r="S432" s="453">
        <v>0</v>
      </c>
      <c r="T432" s="453">
        <v>23</v>
      </c>
      <c r="U432" s="453" t="s">
        <v>123</v>
      </c>
      <c r="V432" s="453">
        <v>1000</v>
      </c>
      <c r="W432" s="453">
        <v>0.1</v>
      </c>
      <c r="X432" s="453" t="s">
        <v>125</v>
      </c>
      <c r="Z432" s="453" t="s">
        <v>150</v>
      </c>
      <c r="AA432" s="453">
        <v>661</v>
      </c>
      <c r="AC432" s="453" t="s">
        <v>1108</v>
      </c>
    </row>
    <row r="433" spans="1:29">
      <c r="A433" s="453">
        <v>432</v>
      </c>
      <c r="B433" s="611" t="s">
        <v>1110</v>
      </c>
      <c r="C433" s="611" t="s">
        <v>1098</v>
      </c>
      <c r="D433" s="612" t="s">
        <v>1111</v>
      </c>
      <c r="F433" s="453">
        <v>1995</v>
      </c>
      <c r="G433" s="453">
        <v>2022</v>
      </c>
      <c r="H433" s="472">
        <v>800000</v>
      </c>
      <c r="I433" s="453">
        <v>2500000</v>
      </c>
      <c r="J433" s="453">
        <v>1</v>
      </c>
      <c r="K433" s="453">
        <v>7</v>
      </c>
      <c r="L433" s="611" t="s">
        <v>147</v>
      </c>
      <c r="M433" s="453">
        <v>7</v>
      </c>
      <c r="N433" s="611" t="s">
        <v>130</v>
      </c>
      <c r="O433" s="453">
        <v>600</v>
      </c>
      <c r="P433" s="611" t="s">
        <v>148</v>
      </c>
      <c r="Q433" s="611" t="s">
        <v>149</v>
      </c>
      <c r="R433" s="453">
        <v>0.35</v>
      </c>
      <c r="S433" s="453">
        <v>0</v>
      </c>
      <c r="T433" s="453">
        <v>23</v>
      </c>
      <c r="U433" s="611" t="s">
        <v>123</v>
      </c>
      <c r="V433" s="453">
        <v>1000</v>
      </c>
      <c r="W433" s="453">
        <v>0.1</v>
      </c>
      <c r="X433" s="611" t="s">
        <v>125</v>
      </c>
      <c r="Z433" s="611"/>
      <c r="AC433" s="611" t="s">
        <v>1110</v>
      </c>
    </row>
    <row r="434" spans="1:29">
      <c r="A434" s="453">
        <v>433</v>
      </c>
      <c r="B434" s="453" t="s">
        <v>914</v>
      </c>
      <c r="C434" s="453" t="s">
        <v>1112</v>
      </c>
      <c r="D434" s="550" t="s">
        <v>1113</v>
      </c>
      <c r="F434" s="453">
        <v>2000</v>
      </c>
      <c r="G434" s="453">
        <v>2016</v>
      </c>
      <c r="H434" s="472">
        <v>80000</v>
      </c>
      <c r="I434" s="453">
        <v>150000</v>
      </c>
      <c r="J434" s="453">
        <v>1</v>
      </c>
      <c r="K434" s="453">
        <v>1</v>
      </c>
      <c r="L434" s="453" t="s">
        <v>154</v>
      </c>
      <c r="M434" s="453">
        <v>1</v>
      </c>
      <c r="N434" s="453" t="s">
        <v>122</v>
      </c>
      <c r="O434" s="453">
        <v>100</v>
      </c>
      <c r="P434" s="453" t="s">
        <v>148</v>
      </c>
      <c r="Q434" s="453" t="s">
        <v>149</v>
      </c>
      <c r="R434" s="453">
        <v>0</v>
      </c>
      <c r="T434" s="453">
        <v>2</v>
      </c>
      <c r="V434" s="453">
        <v>50</v>
      </c>
      <c r="W434" s="453">
        <v>250</v>
      </c>
      <c r="X434" s="453" t="s">
        <v>58</v>
      </c>
      <c r="Z434" s="453" t="s">
        <v>150</v>
      </c>
      <c r="AA434" s="453">
        <v>662</v>
      </c>
      <c r="AC434" s="453" t="s">
        <v>914</v>
      </c>
    </row>
    <row r="435" spans="1:29">
      <c r="A435" s="453">
        <v>434</v>
      </c>
      <c r="B435" s="453" t="s">
        <v>1114</v>
      </c>
      <c r="C435" s="453" t="s">
        <v>1115</v>
      </c>
      <c r="D435" s="550" t="s">
        <v>1116</v>
      </c>
      <c r="F435" s="453">
        <v>1936</v>
      </c>
      <c r="G435" s="453">
        <v>1954</v>
      </c>
      <c r="H435" s="472">
        <v>24500</v>
      </c>
      <c r="I435" s="453">
        <v>76000</v>
      </c>
      <c r="J435" s="453">
        <v>1</v>
      </c>
      <c r="K435" s="453">
        <v>1</v>
      </c>
      <c r="L435" s="453" t="s">
        <v>147</v>
      </c>
      <c r="M435" s="453">
        <v>1</v>
      </c>
      <c r="N435" s="453" t="s">
        <v>122</v>
      </c>
      <c r="O435" s="453">
        <v>145</v>
      </c>
      <c r="P435" s="453" t="s">
        <v>123</v>
      </c>
      <c r="Q435" s="453" t="s">
        <v>124</v>
      </c>
      <c r="R435" s="453">
        <v>0</v>
      </c>
      <c r="T435" s="453">
        <v>8</v>
      </c>
      <c r="V435" s="453">
        <v>100</v>
      </c>
      <c r="W435" s="453">
        <v>500</v>
      </c>
      <c r="X435" s="453" t="s">
        <v>58</v>
      </c>
      <c r="Z435" s="453" t="s">
        <v>150</v>
      </c>
      <c r="AA435" s="453">
        <v>665</v>
      </c>
      <c r="AC435" s="453" t="s">
        <v>1114</v>
      </c>
    </row>
    <row r="436" spans="1:29">
      <c r="A436" s="453">
        <v>435</v>
      </c>
      <c r="B436" s="453" t="s">
        <v>1117</v>
      </c>
      <c r="C436" s="453" t="s">
        <v>1115</v>
      </c>
      <c r="D436" s="550" t="s">
        <v>1118</v>
      </c>
      <c r="F436" s="453">
        <v>1959</v>
      </c>
      <c r="G436" s="453">
        <v>1967</v>
      </c>
      <c r="H436" s="472">
        <v>4500</v>
      </c>
      <c r="I436" s="453">
        <v>151000</v>
      </c>
      <c r="J436" s="453">
        <v>1</v>
      </c>
      <c r="K436" s="453">
        <v>3</v>
      </c>
      <c r="L436" s="453" t="s">
        <v>147</v>
      </c>
      <c r="M436" s="453">
        <v>1</v>
      </c>
      <c r="N436" s="453" t="s">
        <v>122</v>
      </c>
      <c r="O436" s="453">
        <v>200</v>
      </c>
      <c r="P436" s="453" t="s">
        <v>132</v>
      </c>
      <c r="Q436" s="453" t="s">
        <v>124</v>
      </c>
      <c r="R436" s="453">
        <v>0.85</v>
      </c>
      <c r="T436" s="453">
        <v>11</v>
      </c>
      <c r="V436" s="453">
        <v>100</v>
      </c>
      <c r="W436" s="453">
        <v>500</v>
      </c>
      <c r="X436" s="453" t="s">
        <v>125</v>
      </c>
      <c r="Z436" s="453" t="s">
        <v>150</v>
      </c>
      <c r="AA436" s="453">
        <v>666</v>
      </c>
      <c r="AC436" s="453" t="s">
        <v>1117</v>
      </c>
    </row>
    <row r="437" spans="1:29">
      <c r="A437" s="453">
        <v>436</v>
      </c>
      <c r="B437" s="453" t="s">
        <v>1119</v>
      </c>
      <c r="C437" s="453" t="s">
        <v>1115</v>
      </c>
      <c r="D437" s="550" t="s">
        <v>1120</v>
      </c>
      <c r="F437" s="453">
        <v>1953</v>
      </c>
      <c r="G437" s="453">
        <v>1960</v>
      </c>
      <c r="H437" s="472">
        <v>39500</v>
      </c>
      <c r="I437" s="453">
        <v>76000</v>
      </c>
      <c r="J437" s="453">
        <v>1</v>
      </c>
      <c r="K437" s="453">
        <v>1</v>
      </c>
      <c r="L437" s="453" t="s">
        <v>147</v>
      </c>
      <c r="M437" s="453">
        <v>1</v>
      </c>
      <c r="N437" s="453" t="s">
        <v>122</v>
      </c>
      <c r="O437" s="453">
        <v>200</v>
      </c>
      <c r="P437" s="453" t="s">
        <v>132</v>
      </c>
      <c r="Q437" s="453" t="s">
        <v>124</v>
      </c>
      <c r="R437" s="453">
        <v>0.85</v>
      </c>
      <c r="T437" s="453">
        <v>11</v>
      </c>
      <c r="V437" s="453">
        <v>100</v>
      </c>
      <c r="W437" s="453">
        <v>500</v>
      </c>
      <c r="X437" s="453" t="s">
        <v>125</v>
      </c>
      <c r="Z437" s="453" t="s">
        <v>150</v>
      </c>
      <c r="AA437" s="453">
        <v>668</v>
      </c>
      <c r="AC437" s="453" t="s">
        <v>1119</v>
      </c>
    </row>
    <row r="438" spans="1:29">
      <c r="A438" s="453">
        <v>437</v>
      </c>
      <c r="B438" s="453" t="s">
        <v>1121</v>
      </c>
      <c r="C438" s="453" t="s">
        <v>1122</v>
      </c>
      <c r="D438" s="550" t="s">
        <v>1123</v>
      </c>
      <c r="F438" s="453">
        <v>2000</v>
      </c>
      <c r="G438" s="453">
        <v>2002</v>
      </c>
      <c r="H438" s="472">
        <v>149500</v>
      </c>
      <c r="I438" s="453">
        <v>201000</v>
      </c>
      <c r="J438" s="453">
        <v>1</v>
      </c>
      <c r="K438" s="453">
        <v>1</v>
      </c>
      <c r="L438" s="453" t="s">
        <v>147</v>
      </c>
      <c r="M438" s="453">
        <v>1</v>
      </c>
      <c r="N438" s="453" t="s">
        <v>122</v>
      </c>
      <c r="O438" s="453">
        <v>200</v>
      </c>
      <c r="P438" s="453" t="s">
        <v>130</v>
      </c>
      <c r="Q438" s="453" t="s">
        <v>124</v>
      </c>
      <c r="R438" s="453">
        <v>3</v>
      </c>
      <c r="S438" s="453">
        <v>3</v>
      </c>
      <c r="T438" s="453">
        <v>1</v>
      </c>
      <c r="V438" s="453">
        <v>100</v>
      </c>
      <c r="W438" s="453">
        <v>1000</v>
      </c>
      <c r="X438" s="453" t="s">
        <v>125</v>
      </c>
      <c r="Y438" s="453" t="s">
        <v>58</v>
      </c>
      <c r="Z438" s="453" t="s">
        <v>150</v>
      </c>
      <c r="AA438" s="453">
        <v>669</v>
      </c>
      <c r="AC438" s="453" t="s">
        <v>1121</v>
      </c>
    </row>
    <row r="439" spans="1:29">
      <c r="A439" s="453">
        <v>438</v>
      </c>
      <c r="B439" s="453" t="s">
        <v>1124</v>
      </c>
      <c r="C439" s="453" t="s">
        <v>1122</v>
      </c>
      <c r="D439" s="550" t="s">
        <v>1125</v>
      </c>
      <c r="F439" s="453">
        <v>2000</v>
      </c>
      <c r="G439" s="453">
        <v>2003</v>
      </c>
      <c r="H439" s="472">
        <v>149500</v>
      </c>
      <c r="I439" s="453">
        <v>226000</v>
      </c>
      <c r="J439" s="453">
        <v>1</v>
      </c>
      <c r="K439" s="453">
        <v>1</v>
      </c>
      <c r="L439" s="453" t="s">
        <v>147</v>
      </c>
      <c r="M439" s="453">
        <v>1</v>
      </c>
      <c r="N439" s="453" t="s">
        <v>122</v>
      </c>
      <c r="O439" s="453">
        <v>260</v>
      </c>
      <c r="P439" s="453" t="s">
        <v>130</v>
      </c>
      <c r="Q439" s="453" t="s">
        <v>124</v>
      </c>
      <c r="R439" s="453">
        <v>3</v>
      </c>
      <c r="S439" s="453">
        <v>3</v>
      </c>
      <c r="T439" s="453">
        <v>1</v>
      </c>
      <c r="V439" s="453">
        <v>100</v>
      </c>
      <c r="W439" s="453">
        <v>1000</v>
      </c>
      <c r="X439" s="453" t="s">
        <v>125</v>
      </c>
      <c r="Y439" s="453" t="s">
        <v>58</v>
      </c>
      <c r="AA439" s="453">
        <v>670</v>
      </c>
      <c r="AB439" s="453" t="s">
        <v>1126</v>
      </c>
      <c r="AC439" s="453" t="s">
        <v>1124</v>
      </c>
    </row>
    <row r="440" spans="1:29">
      <c r="A440" s="453">
        <v>439</v>
      </c>
      <c r="B440" s="453" t="s">
        <v>1127</v>
      </c>
      <c r="C440" s="453" t="s">
        <v>1128</v>
      </c>
      <c r="D440" s="550" t="s">
        <v>1128</v>
      </c>
      <c r="F440" s="453">
        <v>1930</v>
      </c>
      <c r="G440" s="453">
        <v>1950</v>
      </c>
      <c r="H440" s="472">
        <v>4500</v>
      </c>
      <c r="I440" s="453">
        <v>41000</v>
      </c>
      <c r="J440" s="453">
        <v>1</v>
      </c>
      <c r="K440" s="453">
        <v>1</v>
      </c>
      <c r="L440" s="453" t="s">
        <v>147</v>
      </c>
      <c r="M440" s="453">
        <v>1</v>
      </c>
      <c r="N440" s="453" t="s">
        <v>122</v>
      </c>
      <c r="O440" s="453">
        <v>90</v>
      </c>
      <c r="P440" s="453" t="s">
        <v>123</v>
      </c>
      <c r="Q440" s="453" t="s">
        <v>124</v>
      </c>
      <c r="R440" s="453">
        <v>0</v>
      </c>
      <c r="T440" s="453">
        <v>8</v>
      </c>
      <c r="V440" s="453">
        <v>100</v>
      </c>
      <c r="W440" s="453">
        <v>500</v>
      </c>
      <c r="X440" s="453" t="s">
        <v>125</v>
      </c>
      <c r="Z440" s="453" t="s">
        <v>150</v>
      </c>
      <c r="AA440" s="453">
        <v>676</v>
      </c>
      <c r="AC440" s="453" t="s">
        <v>1127</v>
      </c>
    </row>
    <row r="441" spans="1:29">
      <c r="A441" s="453">
        <v>440</v>
      </c>
      <c r="B441" s="453" t="s">
        <v>1129</v>
      </c>
      <c r="C441" s="453" t="s">
        <v>1130</v>
      </c>
      <c r="D441" s="550">
        <v>18</v>
      </c>
      <c r="F441" s="453">
        <v>1949</v>
      </c>
      <c r="G441" s="453">
        <v>1950</v>
      </c>
      <c r="H441" s="472">
        <v>10000</v>
      </c>
      <c r="I441" s="453">
        <v>16000</v>
      </c>
      <c r="J441" s="453">
        <v>1</v>
      </c>
      <c r="K441" s="453">
        <v>0</v>
      </c>
      <c r="L441" s="453" t="s">
        <v>147</v>
      </c>
      <c r="M441" s="453">
        <v>1</v>
      </c>
      <c r="N441" s="453" t="s">
        <v>122</v>
      </c>
      <c r="O441" s="453">
        <v>65</v>
      </c>
      <c r="P441" s="453" t="s">
        <v>132</v>
      </c>
      <c r="Q441" s="453" t="s">
        <v>149</v>
      </c>
      <c r="R441" s="453">
        <v>0.85</v>
      </c>
      <c r="T441" s="453">
        <v>1</v>
      </c>
      <c r="V441" s="453">
        <v>50</v>
      </c>
      <c r="W441" s="453">
        <v>500</v>
      </c>
      <c r="X441" s="453" t="s">
        <v>125</v>
      </c>
      <c r="Z441" s="453" t="s">
        <v>150</v>
      </c>
      <c r="AA441" s="453">
        <v>677</v>
      </c>
      <c r="AC441" s="453" t="s">
        <v>1129</v>
      </c>
    </row>
    <row r="442" spans="1:29">
      <c r="A442" s="453">
        <v>441</v>
      </c>
      <c r="B442" s="453" t="s">
        <v>1131</v>
      </c>
      <c r="C442" s="453" t="s">
        <v>1130</v>
      </c>
      <c r="D442" s="550">
        <v>20</v>
      </c>
      <c r="F442" s="453">
        <v>1955</v>
      </c>
      <c r="G442" s="453">
        <v>1960</v>
      </c>
      <c r="H442" s="472">
        <v>15000</v>
      </c>
      <c r="I442" s="453">
        <v>30000</v>
      </c>
      <c r="J442" s="453">
        <v>1</v>
      </c>
      <c r="K442" s="453">
        <v>3</v>
      </c>
      <c r="L442" s="453" t="s">
        <v>147</v>
      </c>
      <c r="M442" s="453">
        <v>1</v>
      </c>
      <c r="N442" s="453" t="s">
        <v>122</v>
      </c>
      <c r="O442" s="453">
        <v>150</v>
      </c>
      <c r="P442" s="453" t="s">
        <v>132</v>
      </c>
      <c r="Q442" s="453" t="s">
        <v>149</v>
      </c>
      <c r="R442" s="453">
        <v>0.5</v>
      </c>
      <c r="T442" s="453">
        <v>10</v>
      </c>
      <c r="V442" s="453">
        <v>100</v>
      </c>
      <c r="W442" s="453">
        <v>500</v>
      </c>
      <c r="X442" s="453" t="s">
        <v>58</v>
      </c>
      <c r="Z442" s="453" t="s">
        <v>150</v>
      </c>
      <c r="AA442" s="453">
        <v>678</v>
      </c>
      <c r="AC442" s="453" t="s">
        <v>1131</v>
      </c>
    </row>
    <row r="443" spans="1:29">
      <c r="A443" s="453">
        <v>442</v>
      </c>
      <c r="B443" s="453" t="s">
        <v>1132</v>
      </c>
      <c r="C443" s="453" t="s">
        <v>1130</v>
      </c>
      <c r="D443" s="550" t="s">
        <v>1133</v>
      </c>
      <c r="F443" s="453">
        <v>1963</v>
      </c>
      <c r="G443" s="453">
        <v>1965</v>
      </c>
      <c r="H443" s="472">
        <v>17000</v>
      </c>
      <c r="I443" s="453">
        <v>32000</v>
      </c>
      <c r="J443" s="453">
        <v>1</v>
      </c>
      <c r="K443" s="453">
        <v>3</v>
      </c>
      <c r="L443" s="453" t="s">
        <v>147</v>
      </c>
      <c r="M443" s="453">
        <v>1</v>
      </c>
      <c r="N443" s="453" t="s">
        <v>122</v>
      </c>
      <c r="O443" s="453">
        <v>180</v>
      </c>
      <c r="P443" s="453" t="s">
        <v>148</v>
      </c>
      <c r="Q443" s="453" t="s">
        <v>149</v>
      </c>
      <c r="R443" s="453">
        <v>0</v>
      </c>
      <c r="T443" s="453">
        <v>4</v>
      </c>
      <c r="V443" s="453">
        <v>50</v>
      </c>
      <c r="W443" s="453">
        <v>250</v>
      </c>
      <c r="X443" s="453" t="s">
        <v>58</v>
      </c>
      <c r="Z443" s="453" t="s">
        <v>150</v>
      </c>
      <c r="AA443" s="453">
        <v>681</v>
      </c>
      <c r="AC443" s="453" t="s">
        <v>1132</v>
      </c>
    </row>
    <row r="444" spans="1:29">
      <c r="A444" s="453">
        <v>443</v>
      </c>
      <c r="B444" s="453" t="s">
        <v>1134</v>
      </c>
      <c r="C444" s="453" t="s">
        <v>1130</v>
      </c>
      <c r="D444" s="550" t="s">
        <v>1135</v>
      </c>
      <c r="F444" s="453">
        <v>1976</v>
      </c>
      <c r="G444" s="453">
        <v>1985</v>
      </c>
      <c r="H444" s="472">
        <v>60000</v>
      </c>
      <c r="I444" s="453">
        <v>115000</v>
      </c>
      <c r="J444" s="453">
        <v>1</v>
      </c>
      <c r="K444" s="453">
        <v>3</v>
      </c>
      <c r="L444" s="453" t="s">
        <v>147</v>
      </c>
      <c r="M444" s="453">
        <v>1</v>
      </c>
      <c r="N444" s="453" t="s">
        <v>122</v>
      </c>
      <c r="O444" s="453">
        <v>200</v>
      </c>
      <c r="P444" s="453" t="s">
        <v>132</v>
      </c>
      <c r="Q444" s="453" t="s">
        <v>124</v>
      </c>
      <c r="R444" s="453">
        <v>0.5</v>
      </c>
      <c r="T444" s="453">
        <v>11</v>
      </c>
      <c r="V444" s="453">
        <v>100</v>
      </c>
      <c r="W444" s="453">
        <v>500</v>
      </c>
      <c r="X444" s="453" t="s">
        <v>58</v>
      </c>
      <c r="Z444" s="453" t="s">
        <v>150</v>
      </c>
      <c r="AA444" s="453">
        <v>682</v>
      </c>
      <c r="AC444" s="453" t="s">
        <v>1134</v>
      </c>
    </row>
    <row r="445" spans="1:29">
      <c r="A445" s="453">
        <v>444</v>
      </c>
      <c r="B445" s="453" t="s">
        <v>1136</v>
      </c>
      <c r="C445" s="453" t="s">
        <v>1130</v>
      </c>
      <c r="D445" s="550" t="s">
        <v>1137</v>
      </c>
      <c r="F445" s="453">
        <v>1979</v>
      </c>
      <c r="G445" s="453">
        <v>1985</v>
      </c>
      <c r="H445" s="472">
        <v>65000</v>
      </c>
      <c r="I445" s="453">
        <v>137000</v>
      </c>
      <c r="J445" s="453">
        <v>1</v>
      </c>
      <c r="K445" s="453">
        <v>3</v>
      </c>
      <c r="L445" s="453" t="s">
        <v>147</v>
      </c>
      <c r="M445" s="453">
        <v>1</v>
      </c>
      <c r="N445" s="453" t="s">
        <v>122</v>
      </c>
      <c r="O445" s="453">
        <v>210</v>
      </c>
      <c r="P445" s="453" t="s">
        <v>132</v>
      </c>
      <c r="Q445" s="453" t="s">
        <v>124</v>
      </c>
      <c r="R445" s="453">
        <v>0.5</v>
      </c>
      <c r="T445" s="453">
        <v>11</v>
      </c>
      <c r="V445" s="453">
        <v>100</v>
      </c>
      <c r="W445" s="453">
        <v>500</v>
      </c>
      <c r="X445" s="453" t="s">
        <v>58</v>
      </c>
      <c r="Z445" s="453" t="s">
        <v>150</v>
      </c>
      <c r="AA445" s="453">
        <v>685</v>
      </c>
      <c r="AC445" s="453" t="s">
        <v>1136</v>
      </c>
    </row>
    <row r="446" spans="1:29">
      <c r="A446" s="453">
        <v>445</v>
      </c>
      <c r="B446" s="453" t="s">
        <v>1138</v>
      </c>
      <c r="C446" s="453" t="s">
        <v>1130</v>
      </c>
      <c r="D446" s="550" t="s">
        <v>1139</v>
      </c>
      <c r="F446" s="453">
        <v>1988</v>
      </c>
      <c r="G446" s="453">
        <v>1989</v>
      </c>
      <c r="H446" s="472">
        <v>101000</v>
      </c>
      <c r="I446" s="453">
        <v>182000</v>
      </c>
      <c r="J446" s="453">
        <v>1</v>
      </c>
      <c r="K446" s="453">
        <v>3</v>
      </c>
      <c r="L446" s="453" t="s">
        <v>147</v>
      </c>
      <c r="M446" s="453">
        <v>1</v>
      </c>
      <c r="N446" s="453" t="s">
        <v>122</v>
      </c>
      <c r="O446" s="453">
        <v>217</v>
      </c>
      <c r="P446" s="453" t="s">
        <v>132</v>
      </c>
      <c r="Q446" s="453" t="s">
        <v>124</v>
      </c>
      <c r="R446" s="453">
        <v>1</v>
      </c>
      <c r="T446" s="453">
        <v>11</v>
      </c>
      <c r="V446" s="453">
        <v>100</v>
      </c>
      <c r="W446" s="453">
        <v>500</v>
      </c>
      <c r="X446" s="453" t="s">
        <v>125</v>
      </c>
      <c r="Z446" s="453" t="s">
        <v>150</v>
      </c>
      <c r="AA446" s="453">
        <v>688</v>
      </c>
      <c r="AC446" s="453" t="s">
        <v>1138</v>
      </c>
    </row>
    <row r="447" spans="1:29">
      <c r="A447" s="453">
        <v>446</v>
      </c>
      <c r="B447" s="453" t="s">
        <v>1140</v>
      </c>
      <c r="C447" s="453" t="s">
        <v>1130</v>
      </c>
      <c r="D447" s="550" t="s">
        <v>1141</v>
      </c>
      <c r="F447" s="453">
        <v>1989</v>
      </c>
      <c r="G447" s="453">
        <v>1994</v>
      </c>
      <c r="H447" s="472">
        <v>98000</v>
      </c>
      <c r="I447" s="453">
        <v>200000</v>
      </c>
      <c r="J447" s="453">
        <v>1</v>
      </c>
      <c r="K447" s="453">
        <v>3</v>
      </c>
      <c r="L447" s="453" t="s">
        <v>147</v>
      </c>
      <c r="M447" s="453">
        <v>1</v>
      </c>
      <c r="N447" s="453" t="s">
        <v>122</v>
      </c>
      <c r="O447" s="453">
        <v>270</v>
      </c>
      <c r="P447" s="453" t="s">
        <v>132</v>
      </c>
      <c r="Q447" s="453" t="s">
        <v>124</v>
      </c>
      <c r="R447" s="453">
        <v>0.5</v>
      </c>
      <c r="T447" s="453">
        <v>11</v>
      </c>
      <c r="V447" s="453">
        <v>100</v>
      </c>
      <c r="W447" s="453">
        <v>500</v>
      </c>
      <c r="X447" s="453" t="s">
        <v>58</v>
      </c>
      <c r="Z447" s="453" t="s">
        <v>150</v>
      </c>
      <c r="AA447" s="453">
        <v>689</v>
      </c>
      <c r="AC447" s="453" t="s">
        <v>1140</v>
      </c>
    </row>
    <row r="448" spans="1:29">
      <c r="A448" s="453">
        <v>447</v>
      </c>
      <c r="B448" s="453" t="s">
        <v>1142</v>
      </c>
      <c r="C448" s="453" t="s">
        <v>1130</v>
      </c>
      <c r="D448" s="550" t="s">
        <v>1143</v>
      </c>
      <c r="F448" s="453">
        <v>1994</v>
      </c>
      <c r="G448" s="453">
        <v>2002</v>
      </c>
      <c r="H448" s="472">
        <v>145000</v>
      </c>
      <c r="I448" s="453">
        <v>370000</v>
      </c>
      <c r="J448" s="453">
        <v>1</v>
      </c>
      <c r="K448" s="453">
        <v>3</v>
      </c>
      <c r="L448" s="453" t="s">
        <v>147</v>
      </c>
      <c r="M448" s="453">
        <v>1</v>
      </c>
      <c r="N448" s="453" t="s">
        <v>122</v>
      </c>
      <c r="O448" s="453">
        <v>280</v>
      </c>
      <c r="P448" s="453" t="s">
        <v>132</v>
      </c>
      <c r="Q448" s="453" t="s">
        <v>124</v>
      </c>
      <c r="R448" s="453">
        <v>0.5</v>
      </c>
      <c r="T448" s="453">
        <v>11</v>
      </c>
      <c r="V448" s="453">
        <v>100</v>
      </c>
      <c r="W448" s="453">
        <v>500</v>
      </c>
      <c r="X448" s="453" t="s">
        <v>58</v>
      </c>
      <c r="Z448" s="453" t="s">
        <v>150</v>
      </c>
      <c r="AA448" s="453">
        <v>691</v>
      </c>
      <c r="AC448" s="453" t="s">
        <v>1142</v>
      </c>
    </row>
    <row r="449" spans="1:29">
      <c r="A449" s="453">
        <v>448</v>
      </c>
      <c r="B449" s="453" t="s">
        <v>1144</v>
      </c>
      <c r="C449" s="453" t="s">
        <v>1130</v>
      </c>
      <c r="D449" s="550" t="s">
        <v>1145</v>
      </c>
      <c r="F449" s="453">
        <v>1998</v>
      </c>
      <c r="G449" s="453">
        <v>2016</v>
      </c>
      <c r="H449" s="472">
        <v>155000</v>
      </c>
      <c r="I449" s="453">
        <v>700000</v>
      </c>
      <c r="J449" s="453">
        <v>1</v>
      </c>
      <c r="K449" s="453">
        <v>3</v>
      </c>
      <c r="L449" s="453" t="s">
        <v>147</v>
      </c>
      <c r="M449" s="453">
        <v>1</v>
      </c>
      <c r="N449" s="453" t="s">
        <v>122</v>
      </c>
      <c r="O449" s="453">
        <v>244</v>
      </c>
      <c r="P449" s="453" t="s">
        <v>132</v>
      </c>
      <c r="Q449" s="453" t="s">
        <v>124</v>
      </c>
      <c r="R449" s="453">
        <v>0.5</v>
      </c>
      <c r="T449" s="453">
        <v>11</v>
      </c>
      <c r="V449" s="453">
        <v>100</v>
      </c>
      <c r="W449" s="453">
        <v>500</v>
      </c>
      <c r="X449" s="453" t="s">
        <v>58</v>
      </c>
      <c r="Z449" s="453" t="s">
        <v>150</v>
      </c>
      <c r="AA449" s="453">
        <v>693</v>
      </c>
      <c r="AC449" s="453" t="s">
        <v>1144</v>
      </c>
    </row>
    <row r="450" spans="1:29">
      <c r="A450" s="453">
        <v>449</v>
      </c>
      <c r="B450" s="453" t="s">
        <v>1146</v>
      </c>
      <c r="C450" s="453" t="s">
        <v>1130</v>
      </c>
      <c r="D450" s="550" t="s">
        <v>1147</v>
      </c>
      <c r="F450" s="453">
        <v>2006</v>
      </c>
      <c r="G450" s="453">
        <v>2008</v>
      </c>
      <c r="H450" s="472">
        <v>404000</v>
      </c>
      <c r="I450" s="453">
        <v>725000</v>
      </c>
      <c r="J450" s="453">
        <v>1</v>
      </c>
      <c r="K450" s="453">
        <v>3</v>
      </c>
      <c r="L450" s="453" t="s">
        <v>147</v>
      </c>
      <c r="M450" s="453">
        <v>1</v>
      </c>
      <c r="N450" s="453" t="s">
        <v>122</v>
      </c>
      <c r="O450" s="453">
        <v>280</v>
      </c>
      <c r="P450" s="453" t="s">
        <v>132</v>
      </c>
      <c r="Q450" s="453" t="s">
        <v>124</v>
      </c>
      <c r="R450" s="453">
        <v>0.5</v>
      </c>
      <c r="T450" s="453">
        <v>11</v>
      </c>
      <c r="V450" s="453">
        <v>100</v>
      </c>
      <c r="W450" s="453">
        <v>500</v>
      </c>
      <c r="X450" s="453" t="s">
        <v>58</v>
      </c>
      <c r="Z450" s="453" t="s">
        <v>150</v>
      </c>
      <c r="AA450" s="453">
        <v>694</v>
      </c>
      <c r="AC450" s="453" t="s">
        <v>1146</v>
      </c>
    </row>
    <row r="451" spans="1:29">
      <c r="A451" s="453">
        <v>450</v>
      </c>
      <c r="B451" s="453" t="s">
        <v>1148</v>
      </c>
      <c r="C451" s="453" t="s">
        <v>1130</v>
      </c>
      <c r="D451" s="550" t="s">
        <v>1149</v>
      </c>
      <c r="F451" s="453">
        <v>2017</v>
      </c>
      <c r="G451" s="453">
        <v>2020</v>
      </c>
      <c r="H451" s="472">
        <v>630000</v>
      </c>
      <c r="I451" s="453">
        <v>725000</v>
      </c>
      <c r="J451" s="453">
        <v>1</v>
      </c>
      <c r="K451" s="453">
        <v>3</v>
      </c>
      <c r="L451" s="453" t="s">
        <v>147</v>
      </c>
      <c r="M451" s="453">
        <v>1</v>
      </c>
      <c r="N451" s="453" t="s">
        <v>122</v>
      </c>
      <c r="O451" s="453">
        <v>280</v>
      </c>
      <c r="P451" s="453" t="s">
        <v>132</v>
      </c>
      <c r="Q451" s="453" t="s">
        <v>124</v>
      </c>
      <c r="R451" s="453">
        <v>0.5</v>
      </c>
      <c r="T451" s="453">
        <v>11</v>
      </c>
      <c r="V451" s="453">
        <v>100</v>
      </c>
      <c r="W451" s="453">
        <v>500</v>
      </c>
      <c r="X451" s="453" t="s">
        <v>58</v>
      </c>
      <c r="Z451" s="453" t="s">
        <v>150</v>
      </c>
      <c r="AA451" s="453">
        <v>694</v>
      </c>
      <c r="AC451" s="453" t="s">
        <v>1148</v>
      </c>
    </row>
    <row r="452" spans="1:29">
      <c r="A452" s="453">
        <v>451</v>
      </c>
      <c r="B452" s="453" t="s">
        <v>1150</v>
      </c>
      <c r="C452" s="453" t="s">
        <v>1130</v>
      </c>
      <c r="D452" s="550" t="s">
        <v>1151</v>
      </c>
      <c r="F452" s="453">
        <v>2017</v>
      </c>
      <c r="G452" s="453">
        <v>2020</v>
      </c>
      <c r="H452" s="472">
        <v>700000</v>
      </c>
      <c r="I452" s="453">
        <v>800000</v>
      </c>
      <c r="J452" s="453">
        <v>1</v>
      </c>
      <c r="K452" s="453">
        <v>3</v>
      </c>
      <c r="L452" s="453" t="s">
        <v>147</v>
      </c>
      <c r="M452" s="453">
        <v>1</v>
      </c>
      <c r="N452" s="453" t="s">
        <v>122</v>
      </c>
      <c r="O452" s="453">
        <v>280</v>
      </c>
      <c r="P452" s="453" t="s">
        <v>132</v>
      </c>
      <c r="Q452" s="453" t="s">
        <v>124</v>
      </c>
      <c r="R452" s="453">
        <v>0.5</v>
      </c>
      <c r="T452" s="453">
        <v>11</v>
      </c>
      <c r="V452" s="453">
        <v>100</v>
      </c>
      <c r="W452" s="453">
        <v>500</v>
      </c>
      <c r="X452" s="453" t="s">
        <v>58</v>
      </c>
      <c r="Z452" s="453" t="s">
        <v>150</v>
      </c>
      <c r="AA452" s="453">
        <v>694</v>
      </c>
      <c r="AC452" s="453" t="s">
        <v>1150</v>
      </c>
    </row>
    <row r="453" spans="1:29">
      <c r="A453" s="453">
        <v>452</v>
      </c>
      <c r="B453" s="453" t="s">
        <v>1152</v>
      </c>
      <c r="C453" s="453" t="s">
        <v>1130</v>
      </c>
      <c r="D453" s="550" t="s">
        <v>1153</v>
      </c>
      <c r="F453" s="453">
        <v>1967</v>
      </c>
      <c r="G453" s="453">
        <v>1970</v>
      </c>
      <c r="H453" s="472">
        <v>52000</v>
      </c>
      <c r="I453" s="453">
        <v>95000</v>
      </c>
      <c r="J453" s="453">
        <v>1</v>
      </c>
      <c r="K453" s="453">
        <v>3</v>
      </c>
      <c r="L453" s="453" t="s">
        <v>147</v>
      </c>
      <c r="M453" s="453">
        <v>1</v>
      </c>
      <c r="N453" s="453" t="s">
        <v>122</v>
      </c>
      <c r="O453" s="453">
        <v>310</v>
      </c>
      <c r="P453" s="453" t="s">
        <v>132</v>
      </c>
      <c r="Q453" s="453" t="s">
        <v>133</v>
      </c>
      <c r="R453" s="453">
        <v>1.5</v>
      </c>
      <c r="T453" s="453">
        <v>11</v>
      </c>
      <c r="U453" s="453" t="s">
        <v>123</v>
      </c>
      <c r="V453" s="453">
        <v>100</v>
      </c>
      <c r="W453" s="453">
        <v>500</v>
      </c>
      <c r="X453" s="453" t="s">
        <v>125</v>
      </c>
      <c r="Z453" s="453" t="s">
        <v>150</v>
      </c>
      <c r="AA453" s="453">
        <v>695</v>
      </c>
      <c r="AC453" s="453" t="s">
        <v>1152</v>
      </c>
    </row>
    <row r="454" spans="1:29">
      <c r="A454" s="453">
        <v>453</v>
      </c>
      <c r="B454" s="453" t="s">
        <v>1154</v>
      </c>
      <c r="C454" s="453" t="s">
        <v>1130</v>
      </c>
      <c r="D454" s="550" t="s">
        <v>1155</v>
      </c>
      <c r="F454" s="453">
        <v>1968</v>
      </c>
      <c r="G454" s="453">
        <v>1970</v>
      </c>
      <c r="H454" s="472">
        <v>12000</v>
      </c>
      <c r="I454" s="453">
        <v>22000</v>
      </c>
      <c r="J454" s="453">
        <v>1</v>
      </c>
      <c r="K454" s="453">
        <v>1</v>
      </c>
      <c r="L454" s="453" t="s">
        <v>147</v>
      </c>
      <c r="M454" s="453">
        <v>1</v>
      </c>
      <c r="N454" s="453" t="s">
        <v>122</v>
      </c>
      <c r="O454" s="453">
        <v>90</v>
      </c>
      <c r="P454" s="453" t="s">
        <v>148</v>
      </c>
      <c r="Q454" s="453" t="s">
        <v>149</v>
      </c>
      <c r="R454" s="453">
        <v>0</v>
      </c>
      <c r="T454" s="453">
        <v>4</v>
      </c>
      <c r="V454" s="453">
        <v>50</v>
      </c>
      <c r="W454" s="453">
        <v>250</v>
      </c>
      <c r="X454" s="453" t="s">
        <v>58</v>
      </c>
      <c r="Z454" s="453" t="s">
        <v>150</v>
      </c>
      <c r="AA454" s="453">
        <v>696</v>
      </c>
      <c r="AC454" s="453" t="s">
        <v>1154</v>
      </c>
    </row>
    <row r="455" spans="1:29">
      <c r="A455" s="453">
        <v>454</v>
      </c>
      <c r="B455" s="453" t="s">
        <v>1156</v>
      </c>
      <c r="C455" s="453" t="s">
        <v>1157</v>
      </c>
      <c r="D455" s="550" t="s">
        <v>1158</v>
      </c>
      <c r="F455" s="453">
        <v>1970</v>
      </c>
      <c r="G455" s="453">
        <v>1979</v>
      </c>
      <c r="H455" s="472">
        <v>24500</v>
      </c>
      <c r="I455" s="453">
        <v>66000</v>
      </c>
      <c r="J455" s="453">
        <v>1</v>
      </c>
      <c r="K455" s="453">
        <v>3</v>
      </c>
      <c r="L455" s="453" t="s">
        <v>147</v>
      </c>
      <c r="M455" s="453">
        <v>1</v>
      </c>
      <c r="N455" s="453" t="s">
        <v>122</v>
      </c>
      <c r="O455" s="453">
        <v>150</v>
      </c>
      <c r="P455" s="453" t="s">
        <v>148</v>
      </c>
      <c r="Q455" s="453" t="s">
        <v>149</v>
      </c>
      <c r="R455" s="453">
        <v>0</v>
      </c>
      <c r="T455" s="453">
        <v>4</v>
      </c>
      <c r="V455" s="453">
        <v>50</v>
      </c>
      <c r="W455" s="453">
        <v>250</v>
      </c>
      <c r="X455" s="453" t="s">
        <v>58</v>
      </c>
      <c r="Z455" s="453" t="s">
        <v>150</v>
      </c>
      <c r="AA455" s="453">
        <v>697</v>
      </c>
      <c r="AC455" s="453" t="s">
        <v>1156</v>
      </c>
    </row>
    <row r="456" spans="1:29">
      <c r="A456" s="453">
        <v>455</v>
      </c>
      <c r="B456" s="453" t="s">
        <v>1159</v>
      </c>
      <c r="C456" s="453" t="s">
        <v>1160</v>
      </c>
      <c r="D456" s="550" t="s">
        <v>1161</v>
      </c>
      <c r="F456" s="453">
        <v>1958</v>
      </c>
      <c r="G456" s="453">
        <v>1971</v>
      </c>
      <c r="H456" s="472">
        <v>17500</v>
      </c>
      <c r="I456" s="453">
        <v>41000</v>
      </c>
      <c r="J456" s="453">
        <v>1</v>
      </c>
      <c r="K456" s="453">
        <v>1</v>
      </c>
      <c r="L456" s="453" t="s">
        <v>147</v>
      </c>
      <c r="M456" s="453">
        <v>1</v>
      </c>
      <c r="N456" s="453" t="s">
        <v>122</v>
      </c>
      <c r="O456" s="453">
        <v>150</v>
      </c>
      <c r="P456" s="453" t="s">
        <v>148</v>
      </c>
      <c r="Q456" s="453" t="s">
        <v>149</v>
      </c>
      <c r="R456" s="453">
        <v>0</v>
      </c>
      <c r="T456" s="453">
        <v>4</v>
      </c>
      <c r="V456" s="453">
        <v>50</v>
      </c>
      <c r="W456" s="453">
        <v>250</v>
      </c>
      <c r="X456" s="453" t="s">
        <v>58</v>
      </c>
      <c r="Z456" s="453" t="s">
        <v>150</v>
      </c>
      <c r="AA456" s="453">
        <v>698</v>
      </c>
      <c r="AC456" s="453" t="s">
        <v>1159</v>
      </c>
    </row>
    <row r="457" spans="1:29">
      <c r="A457" s="453">
        <v>456</v>
      </c>
      <c r="B457" s="453" t="s">
        <v>1162</v>
      </c>
      <c r="C457" s="453" t="s">
        <v>1163</v>
      </c>
      <c r="D457" s="550" t="s">
        <v>1164</v>
      </c>
      <c r="F457" s="453">
        <v>1920</v>
      </c>
      <c r="G457" s="453">
        <v>2001</v>
      </c>
      <c r="H457" s="472">
        <v>24500</v>
      </c>
      <c r="I457" s="453">
        <v>76000</v>
      </c>
      <c r="J457" s="453">
        <v>1</v>
      </c>
      <c r="K457" s="453">
        <v>1</v>
      </c>
      <c r="L457" s="453" t="s">
        <v>147</v>
      </c>
      <c r="M457" s="453">
        <v>1</v>
      </c>
      <c r="N457" s="453" t="s">
        <v>122</v>
      </c>
      <c r="O457" s="453">
        <v>133</v>
      </c>
      <c r="P457" s="453" t="s">
        <v>123</v>
      </c>
      <c r="Q457" s="453" t="s">
        <v>149</v>
      </c>
      <c r="R457" s="453">
        <v>0</v>
      </c>
      <c r="T457" s="453">
        <v>7</v>
      </c>
      <c r="V457" s="453">
        <v>100</v>
      </c>
      <c r="W457" s="453">
        <v>500</v>
      </c>
      <c r="X457" s="453" t="s">
        <v>58</v>
      </c>
      <c r="Z457" s="453" t="s">
        <v>150</v>
      </c>
      <c r="AA457" s="453">
        <v>699</v>
      </c>
      <c r="AC457" s="453" t="s">
        <v>1162</v>
      </c>
    </row>
    <row r="458" spans="1:29">
      <c r="A458" s="453">
        <v>457</v>
      </c>
      <c r="B458" s="453" t="s">
        <v>1165</v>
      </c>
      <c r="C458" s="453" t="s">
        <v>1166</v>
      </c>
      <c r="D458" s="550" t="s">
        <v>1167</v>
      </c>
      <c r="F458" s="453">
        <v>1970</v>
      </c>
      <c r="G458" s="453">
        <v>2010</v>
      </c>
      <c r="H458" s="472">
        <v>49500</v>
      </c>
      <c r="I458" s="453">
        <v>151000</v>
      </c>
      <c r="J458" s="453">
        <v>1</v>
      </c>
      <c r="K458" s="453">
        <v>1</v>
      </c>
      <c r="L458" s="453" t="s">
        <v>147</v>
      </c>
      <c r="M458" s="453">
        <v>1</v>
      </c>
      <c r="N458" s="453" t="s">
        <v>122</v>
      </c>
      <c r="O458" s="453">
        <v>180</v>
      </c>
      <c r="P458" s="453" t="s">
        <v>123</v>
      </c>
      <c r="Q458" s="453" t="s">
        <v>133</v>
      </c>
      <c r="R458" s="453">
        <v>0</v>
      </c>
      <c r="T458" s="453">
        <v>9</v>
      </c>
      <c r="V458" s="453">
        <v>100</v>
      </c>
      <c r="W458" s="453">
        <v>500</v>
      </c>
      <c r="X458" s="453" t="s">
        <v>125</v>
      </c>
      <c r="Z458" s="453" t="s">
        <v>150</v>
      </c>
      <c r="AA458" s="453">
        <v>700</v>
      </c>
      <c r="AC458" s="453" t="s">
        <v>1165</v>
      </c>
    </row>
    <row r="459" spans="1:29">
      <c r="A459" s="453">
        <v>458</v>
      </c>
      <c r="B459" s="453" t="s">
        <v>1168</v>
      </c>
      <c r="C459" s="453" t="s">
        <v>1166</v>
      </c>
      <c r="D459" s="550" t="s">
        <v>1169</v>
      </c>
      <c r="F459" s="453">
        <v>1977</v>
      </c>
      <c r="G459" s="453">
        <v>1985</v>
      </c>
      <c r="H459" s="472">
        <v>49500</v>
      </c>
      <c r="I459" s="453">
        <v>151000</v>
      </c>
      <c r="J459" s="453">
        <v>1</v>
      </c>
      <c r="K459" s="453">
        <v>0</v>
      </c>
      <c r="L459" s="453" t="s">
        <v>147</v>
      </c>
      <c r="M459" s="453">
        <v>1</v>
      </c>
      <c r="N459" s="453" t="s">
        <v>122</v>
      </c>
      <c r="O459" s="453">
        <v>200</v>
      </c>
      <c r="P459" s="453" t="s">
        <v>123</v>
      </c>
      <c r="Q459" s="453" t="s">
        <v>133</v>
      </c>
      <c r="R459" s="453">
        <v>0</v>
      </c>
      <c r="T459" s="453">
        <v>9</v>
      </c>
      <c r="V459" s="453">
        <v>100</v>
      </c>
      <c r="W459" s="453">
        <v>500</v>
      </c>
      <c r="X459" s="453" t="s">
        <v>125</v>
      </c>
      <c r="Z459" s="453" t="s">
        <v>150</v>
      </c>
      <c r="AA459" s="453">
        <v>700</v>
      </c>
      <c r="AC459" s="453" t="s">
        <v>1168</v>
      </c>
    </row>
    <row r="460" spans="1:29">
      <c r="A460" s="453">
        <v>459</v>
      </c>
      <c r="B460" s="453" t="s">
        <v>1170</v>
      </c>
      <c r="C460" s="453" t="s">
        <v>1166</v>
      </c>
      <c r="D460" s="550" t="s">
        <v>1171</v>
      </c>
      <c r="F460" s="453">
        <v>1990</v>
      </c>
      <c r="G460" s="453">
        <v>2002</v>
      </c>
      <c r="H460" s="472">
        <v>49500</v>
      </c>
      <c r="I460" s="453">
        <v>151000</v>
      </c>
      <c r="J460" s="453">
        <v>1</v>
      </c>
      <c r="K460" s="453">
        <v>0</v>
      </c>
      <c r="L460" s="453" t="s">
        <v>147</v>
      </c>
      <c r="M460" s="453">
        <v>1</v>
      </c>
      <c r="N460" s="453" t="s">
        <v>122</v>
      </c>
      <c r="O460" s="453">
        <v>300</v>
      </c>
      <c r="P460" s="453" t="s">
        <v>123</v>
      </c>
      <c r="Q460" s="453" t="s">
        <v>133</v>
      </c>
      <c r="R460" s="453">
        <v>0</v>
      </c>
      <c r="T460" s="453">
        <v>9</v>
      </c>
      <c r="V460" s="453">
        <v>100</v>
      </c>
      <c r="W460" s="453">
        <v>500</v>
      </c>
      <c r="X460" s="453" t="s">
        <v>125</v>
      </c>
      <c r="Z460" s="453" t="s">
        <v>150</v>
      </c>
      <c r="AA460" s="453">
        <v>701</v>
      </c>
      <c r="AC460" s="453" t="s">
        <v>1170</v>
      </c>
    </row>
    <row r="461" spans="1:29">
      <c r="A461" s="453">
        <v>460</v>
      </c>
      <c r="B461" s="453" t="s">
        <v>1172</v>
      </c>
      <c r="C461" s="453" t="s">
        <v>1173</v>
      </c>
      <c r="D461" s="550" t="s">
        <v>1174</v>
      </c>
      <c r="F461" s="453">
        <v>1958</v>
      </c>
      <c r="G461" s="453">
        <v>2020</v>
      </c>
      <c r="H461" s="472">
        <v>35000</v>
      </c>
      <c r="I461" s="453">
        <v>250000</v>
      </c>
      <c r="J461" s="453">
        <v>1</v>
      </c>
      <c r="K461" s="453">
        <v>1</v>
      </c>
      <c r="L461" s="453" t="s">
        <v>121</v>
      </c>
      <c r="M461" s="453">
        <v>1</v>
      </c>
      <c r="N461" s="453" t="s">
        <v>122</v>
      </c>
      <c r="O461" s="453">
        <v>285</v>
      </c>
      <c r="P461" s="453" t="s">
        <v>132</v>
      </c>
      <c r="Q461" s="453" t="s">
        <v>124</v>
      </c>
      <c r="R461" s="453">
        <v>0.15</v>
      </c>
      <c r="S461" s="453">
        <v>0</v>
      </c>
      <c r="T461" s="453">
        <v>11</v>
      </c>
      <c r="V461" s="453">
        <v>100</v>
      </c>
      <c r="W461" s="453">
        <v>1000</v>
      </c>
      <c r="X461" s="453" t="s">
        <v>125</v>
      </c>
      <c r="Z461" s="453" t="s">
        <v>150</v>
      </c>
      <c r="AB461" s="453" t="s">
        <v>1175</v>
      </c>
      <c r="AC461" s="453" t="s">
        <v>1172</v>
      </c>
    </row>
    <row r="462" spans="1:29">
      <c r="A462" s="453">
        <v>461</v>
      </c>
      <c r="B462" s="453" t="s">
        <v>1176</v>
      </c>
      <c r="C462" s="453" t="s">
        <v>1177</v>
      </c>
      <c r="D462" s="550" t="s">
        <v>1178</v>
      </c>
      <c r="F462" s="453">
        <v>1946</v>
      </c>
      <c r="G462" s="453">
        <v>1951</v>
      </c>
      <c r="H462" s="472">
        <v>28500</v>
      </c>
      <c r="I462" s="453">
        <v>60000</v>
      </c>
      <c r="J462" s="453">
        <v>1</v>
      </c>
      <c r="K462" s="453">
        <v>3</v>
      </c>
      <c r="L462" s="453" t="s">
        <v>147</v>
      </c>
      <c r="M462" s="453">
        <v>1</v>
      </c>
      <c r="N462" s="453" t="s">
        <v>122</v>
      </c>
      <c r="O462" s="453">
        <v>185</v>
      </c>
      <c r="P462" s="453" t="s">
        <v>132</v>
      </c>
      <c r="Q462" s="453" t="s">
        <v>124</v>
      </c>
      <c r="R462" s="453">
        <v>0.85</v>
      </c>
      <c r="T462" s="453">
        <v>11</v>
      </c>
      <c r="V462" s="453">
        <v>100</v>
      </c>
      <c r="W462" s="453">
        <v>500</v>
      </c>
      <c r="X462" s="453" t="s">
        <v>125</v>
      </c>
      <c r="Z462" s="453" t="s">
        <v>150</v>
      </c>
      <c r="AA462" s="453">
        <v>712</v>
      </c>
      <c r="AC462" s="453" t="s">
        <v>1176</v>
      </c>
    </row>
    <row r="463" spans="1:29">
      <c r="A463" s="453">
        <v>462</v>
      </c>
      <c r="B463" s="453" t="s">
        <v>1179</v>
      </c>
      <c r="C463" s="453" t="s">
        <v>1177</v>
      </c>
      <c r="D463" s="550" t="s">
        <v>1180</v>
      </c>
      <c r="F463" s="453">
        <v>1951</v>
      </c>
      <c r="G463" s="453">
        <v>1964</v>
      </c>
      <c r="H463" s="472">
        <v>29500</v>
      </c>
      <c r="I463" s="453">
        <v>75000</v>
      </c>
      <c r="J463" s="453">
        <v>1</v>
      </c>
      <c r="K463" s="453">
        <v>4</v>
      </c>
      <c r="L463" s="453" t="s">
        <v>147</v>
      </c>
      <c r="M463" s="453">
        <v>1</v>
      </c>
      <c r="N463" s="453" t="s">
        <v>122</v>
      </c>
      <c r="O463" s="453">
        <v>260</v>
      </c>
      <c r="P463" s="453" t="s">
        <v>132</v>
      </c>
      <c r="Q463" s="453" t="s">
        <v>124</v>
      </c>
      <c r="R463" s="453">
        <v>0.75</v>
      </c>
      <c r="T463" s="453">
        <v>11</v>
      </c>
      <c r="V463" s="453">
        <v>100</v>
      </c>
      <c r="W463" s="453">
        <v>500</v>
      </c>
      <c r="X463" s="453" t="s">
        <v>125</v>
      </c>
      <c r="Z463" s="453" t="s">
        <v>150</v>
      </c>
      <c r="AA463" s="453">
        <v>713</v>
      </c>
      <c r="AC463" s="453" t="s">
        <v>1179</v>
      </c>
    </row>
    <row r="464" spans="1:29">
      <c r="A464" s="453">
        <v>463</v>
      </c>
      <c r="B464" s="453" t="s">
        <v>1181</v>
      </c>
      <c r="C464" s="453" t="s">
        <v>1182</v>
      </c>
      <c r="D464" s="550" t="s">
        <v>1183</v>
      </c>
      <c r="F464" s="453">
        <v>1935</v>
      </c>
      <c r="G464" s="453">
        <v>1950</v>
      </c>
      <c r="H464" s="472">
        <v>24500</v>
      </c>
      <c r="I464" s="453">
        <v>101000</v>
      </c>
      <c r="J464" s="453">
        <v>1</v>
      </c>
      <c r="K464" s="453">
        <v>1</v>
      </c>
      <c r="L464" s="453" t="s">
        <v>147</v>
      </c>
      <c r="M464" s="453">
        <v>1</v>
      </c>
      <c r="N464" s="453" t="s">
        <v>122</v>
      </c>
      <c r="O464" s="453">
        <v>235</v>
      </c>
      <c r="P464" s="453" t="s">
        <v>123</v>
      </c>
      <c r="Q464" s="453" t="s">
        <v>124</v>
      </c>
      <c r="R464" s="453">
        <v>0.35</v>
      </c>
      <c r="T464" s="453">
        <v>8</v>
      </c>
      <c r="V464" s="453">
        <v>100</v>
      </c>
      <c r="W464" s="453">
        <v>500</v>
      </c>
      <c r="X464" s="453" t="s">
        <v>125</v>
      </c>
      <c r="Z464" s="453" t="s">
        <v>150</v>
      </c>
      <c r="AA464" s="453">
        <v>715</v>
      </c>
      <c r="AC464" s="453" t="s">
        <v>1181</v>
      </c>
    </row>
    <row r="465" spans="1:29">
      <c r="A465" s="453">
        <v>464</v>
      </c>
      <c r="B465" s="453" t="s">
        <v>1184</v>
      </c>
      <c r="C465" s="453" t="s">
        <v>1185</v>
      </c>
      <c r="D465" s="550" t="s">
        <v>1186</v>
      </c>
      <c r="F465" s="453">
        <v>1946</v>
      </c>
      <c r="G465" s="453">
        <v>1960</v>
      </c>
      <c r="H465" s="472">
        <v>24500</v>
      </c>
      <c r="I465" s="453">
        <v>76000</v>
      </c>
      <c r="J465" s="453">
        <v>1</v>
      </c>
      <c r="K465" s="453">
        <v>1</v>
      </c>
      <c r="L465" s="453" t="s">
        <v>147</v>
      </c>
      <c r="M465" s="453">
        <v>1</v>
      </c>
      <c r="N465" s="453" t="s">
        <v>753</v>
      </c>
      <c r="O465" s="453">
        <v>0</v>
      </c>
      <c r="P465" s="453" t="s">
        <v>123</v>
      </c>
      <c r="Q465" s="453" t="s">
        <v>149</v>
      </c>
      <c r="R465" s="453">
        <v>0</v>
      </c>
      <c r="T465" s="453">
        <v>7</v>
      </c>
      <c r="V465" s="453">
        <v>100</v>
      </c>
      <c r="W465" s="453">
        <v>1000</v>
      </c>
      <c r="X465" s="453" t="s">
        <v>125</v>
      </c>
      <c r="Z465" s="453" t="s">
        <v>150</v>
      </c>
      <c r="AA465" s="453">
        <v>719</v>
      </c>
      <c r="AC465" s="453" t="s">
        <v>1184</v>
      </c>
    </row>
    <row r="466" spans="1:29">
      <c r="A466" s="453">
        <v>465</v>
      </c>
      <c r="B466" s="453" t="s">
        <v>1187</v>
      </c>
      <c r="C466" s="453" t="s">
        <v>1188</v>
      </c>
      <c r="D466" s="550" t="s">
        <v>1189</v>
      </c>
      <c r="F466" s="453">
        <v>1936</v>
      </c>
      <c r="G466" s="453">
        <v>1945</v>
      </c>
      <c r="H466" s="472">
        <v>50000</v>
      </c>
      <c r="I466" s="453">
        <v>200000</v>
      </c>
      <c r="J466" s="453">
        <v>1</v>
      </c>
      <c r="K466" s="453">
        <v>1</v>
      </c>
      <c r="L466" s="453" t="s">
        <v>121</v>
      </c>
      <c r="M466" s="453">
        <v>1</v>
      </c>
      <c r="N466" s="453" t="s">
        <v>122</v>
      </c>
      <c r="O466" s="453">
        <v>450</v>
      </c>
      <c r="P466" s="453" t="s">
        <v>123</v>
      </c>
      <c r="Q466" s="453" t="s">
        <v>124</v>
      </c>
      <c r="R466" s="453">
        <v>0</v>
      </c>
      <c r="S466" s="453">
        <v>0</v>
      </c>
      <c r="T466" s="453">
        <v>9</v>
      </c>
      <c r="V466" s="453">
        <v>500</v>
      </c>
      <c r="W466" s="453">
        <v>0.05</v>
      </c>
      <c r="X466" s="453" t="s">
        <v>125</v>
      </c>
      <c r="Z466" s="453" t="s">
        <v>150</v>
      </c>
      <c r="AB466" s="453" t="s">
        <v>1190</v>
      </c>
      <c r="AC466" s="453" t="s">
        <v>1187</v>
      </c>
    </row>
    <row r="467" spans="1:29">
      <c r="A467" s="453">
        <v>466</v>
      </c>
      <c r="B467" s="453" t="s">
        <v>1191</v>
      </c>
      <c r="C467" s="453" t="s">
        <v>1188</v>
      </c>
      <c r="D467" s="550" t="s">
        <v>1192</v>
      </c>
      <c r="F467" s="453">
        <v>1939</v>
      </c>
      <c r="G467" s="453">
        <v>1945</v>
      </c>
      <c r="H467" s="472">
        <v>50000</v>
      </c>
      <c r="I467" s="453">
        <v>200000</v>
      </c>
      <c r="J467" s="453">
        <v>1</v>
      </c>
      <c r="K467" s="453">
        <v>0</v>
      </c>
      <c r="L467" s="453" t="s">
        <v>121</v>
      </c>
      <c r="M467" s="453">
        <v>1</v>
      </c>
      <c r="N467" s="453" t="s">
        <v>122</v>
      </c>
      <c r="O467" s="453">
        <v>600</v>
      </c>
      <c r="P467" s="453" t="s">
        <v>130</v>
      </c>
      <c r="Q467" s="453" t="s">
        <v>124</v>
      </c>
      <c r="R467" s="453">
        <v>0</v>
      </c>
      <c r="S467" s="453">
        <v>0</v>
      </c>
      <c r="T467" s="453">
        <v>13</v>
      </c>
      <c r="V467" s="453">
        <v>500</v>
      </c>
      <c r="W467" s="453">
        <v>0.1</v>
      </c>
      <c r="X467" s="453" t="s">
        <v>125</v>
      </c>
      <c r="Z467" s="453" t="s">
        <v>150</v>
      </c>
      <c r="AB467" s="453" t="s">
        <v>1193</v>
      </c>
      <c r="AC467" s="453" t="s">
        <v>1191</v>
      </c>
    </row>
    <row r="468" spans="1:29">
      <c r="A468" s="453">
        <v>467</v>
      </c>
      <c r="B468" s="453" t="s">
        <v>1194</v>
      </c>
      <c r="C468" s="453" t="s">
        <v>1188</v>
      </c>
      <c r="D468" s="550" t="s">
        <v>1195</v>
      </c>
      <c r="F468" s="453">
        <v>1941</v>
      </c>
      <c r="G468" s="453">
        <v>1944</v>
      </c>
      <c r="H468" s="472">
        <v>500000</v>
      </c>
      <c r="I468" s="453">
        <v>2000000</v>
      </c>
      <c r="J468" s="453">
        <v>1</v>
      </c>
      <c r="K468" s="453">
        <v>1</v>
      </c>
      <c r="L468" s="453" t="s">
        <v>121</v>
      </c>
      <c r="M468" s="453">
        <v>1</v>
      </c>
      <c r="N468" s="453" t="s">
        <v>122</v>
      </c>
      <c r="O468" s="453">
        <v>1400</v>
      </c>
      <c r="P468" s="453" t="s">
        <v>130</v>
      </c>
      <c r="Q468" s="453" t="s">
        <v>124</v>
      </c>
      <c r="R468" s="453">
        <v>0.5</v>
      </c>
      <c r="S468" s="453">
        <v>3</v>
      </c>
      <c r="T468" s="453">
        <v>1</v>
      </c>
      <c r="V468" s="453">
        <v>1000</v>
      </c>
      <c r="W468" s="453">
        <v>0.1</v>
      </c>
      <c r="X468" s="453" t="s">
        <v>125</v>
      </c>
      <c r="Z468" s="453" t="s">
        <v>150</v>
      </c>
      <c r="AB468" s="453" t="s">
        <v>1196</v>
      </c>
      <c r="AC468" s="453" t="s">
        <v>1194</v>
      </c>
    </row>
    <row r="469" spans="1:29">
      <c r="A469" s="453">
        <v>468</v>
      </c>
      <c r="B469" s="453" t="s">
        <v>1197</v>
      </c>
      <c r="C469" s="453" t="s">
        <v>1188</v>
      </c>
      <c r="D469" s="550" t="s">
        <v>1198</v>
      </c>
      <c r="F469" s="453">
        <v>1967</v>
      </c>
      <c r="G469" s="453">
        <v>1980</v>
      </c>
      <c r="H469" s="472">
        <v>40000</v>
      </c>
      <c r="I469" s="453">
        <v>1000000</v>
      </c>
      <c r="J469" s="453">
        <v>1</v>
      </c>
      <c r="K469" s="453">
        <v>1</v>
      </c>
      <c r="L469" s="453" t="s">
        <v>129</v>
      </c>
      <c r="M469" s="453">
        <v>4</v>
      </c>
      <c r="N469" s="453" t="s">
        <v>130</v>
      </c>
      <c r="O469" s="453">
        <v>1040</v>
      </c>
      <c r="P469" s="453" t="s">
        <v>132</v>
      </c>
      <c r="Q469" s="453" t="s">
        <v>133</v>
      </c>
      <c r="R469" s="453">
        <v>0</v>
      </c>
      <c r="S469" s="453">
        <v>0</v>
      </c>
      <c r="T469" s="453">
        <v>1</v>
      </c>
      <c r="V469" s="453">
        <v>1000</v>
      </c>
      <c r="W469" s="453">
        <v>0.1</v>
      </c>
      <c r="X469" s="453" t="s">
        <v>125</v>
      </c>
      <c r="Z469" s="453" t="s">
        <v>150</v>
      </c>
      <c r="AB469" s="453" t="s">
        <v>1196</v>
      </c>
      <c r="AC469" s="453" t="s">
        <v>1197</v>
      </c>
    </row>
    <row r="470" spans="1:29">
      <c r="A470" s="453">
        <v>469</v>
      </c>
      <c r="B470" s="453" t="s">
        <v>1199</v>
      </c>
      <c r="C470" s="453" t="s">
        <v>1188</v>
      </c>
      <c r="D470" s="550" t="s">
        <v>1200</v>
      </c>
      <c r="F470" s="453">
        <v>1949</v>
      </c>
      <c r="G470" s="453">
        <v>1963</v>
      </c>
      <c r="H470" s="472">
        <v>150000</v>
      </c>
      <c r="I470" s="453">
        <v>350000</v>
      </c>
      <c r="J470" s="453">
        <v>1</v>
      </c>
      <c r="K470" s="453">
        <v>1</v>
      </c>
      <c r="L470" s="453" t="s">
        <v>121</v>
      </c>
      <c r="M470" s="453">
        <v>1</v>
      </c>
      <c r="N470" s="453" t="s">
        <v>122</v>
      </c>
      <c r="O470" s="453">
        <v>1425</v>
      </c>
      <c r="P470" s="453" t="s">
        <v>132</v>
      </c>
      <c r="Q470" s="453" t="s">
        <v>133</v>
      </c>
      <c r="R470" s="453">
        <v>0.4</v>
      </c>
      <c r="S470" s="453">
        <v>0.4</v>
      </c>
      <c r="T470" s="453">
        <v>1</v>
      </c>
      <c r="V470" s="453">
        <v>500</v>
      </c>
      <c r="W470" s="453">
        <v>0.1</v>
      </c>
      <c r="X470" s="453" t="s">
        <v>125</v>
      </c>
      <c r="Z470" s="453" t="s">
        <v>150</v>
      </c>
      <c r="AB470" s="453" t="s">
        <v>1196</v>
      </c>
      <c r="AC470" s="453" t="s">
        <v>1199</v>
      </c>
    </row>
    <row r="471" spans="1:29">
      <c r="A471" s="453">
        <v>470</v>
      </c>
      <c r="B471" s="453" t="s">
        <v>1201</v>
      </c>
      <c r="C471" s="453" t="s">
        <v>1188</v>
      </c>
      <c r="D471" s="550" t="s">
        <v>1202</v>
      </c>
      <c r="F471" s="453">
        <v>1949</v>
      </c>
      <c r="G471" s="453">
        <v>1963</v>
      </c>
      <c r="H471" s="472">
        <v>150000</v>
      </c>
      <c r="I471" s="453">
        <v>300000</v>
      </c>
      <c r="J471" s="453">
        <v>1</v>
      </c>
      <c r="K471" s="453">
        <v>1</v>
      </c>
      <c r="L471" s="453" t="s">
        <v>121</v>
      </c>
      <c r="M471" s="453">
        <v>1</v>
      </c>
      <c r="N471" s="453" t="s">
        <v>122</v>
      </c>
      <c r="O471" s="453">
        <v>800</v>
      </c>
      <c r="P471" s="453" t="s">
        <v>132</v>
      </c>
      <c r="Q471" s="453" t="s">
        <v>133</v>
      </c>
      <c r="R471" s="453">
        <v>0.4</v>
      </c>
      <c r="S471" s="453">
        <v>0.4</v>
      </c>
      <c r="T471" s="453">
        <v>1</v>
      </c>
      <c r="V471" s="453">
        <v>500</v>
      </c>
      <c r="W471" s="453">
        <v>0.1</v>
      </c>
      <c r="X471" s="453" t="s">
        <v>125</v>
      </c>
      <c r="Z471" s="453" t="s">
        <v>150</v>
      </c>
      <c r="AB471" s="453" t="s">
        <v>1196</v>
      </c>
      <c r="AC471" s="453" t="s">
        <v>1201</v>
      </c>
    </row>
    <row r="472" spans="1:29">
      <c r="A472" s="453">
        <v>471</v>
      </c>
      <c r="B472" s="453" t="s">
        <v>1203</v>
      </c>
      <c r="C472" s="453" t="s">
        <v>1188</v>
      </c>
      <c r="D472" s="550" t="s">
        <v>1204</v>
      </c>
      <c r="F472" s="453">
        <v>1937</v>
      </c>
      <c r="G472" s="453">
        <v>1956</v>
      </c>
      <c r="H472" s="472">
        <v>75000</v>
      </c>
      <c r="I472" s="453">
        <v>300000</v>
      </c>
      <c r="J472" s="453">
        <v>1</v>
      </c>
      <c r="K472" s="453">
        <v>1</v>
      </c>
      <c r="L472" s="453" t="s">
        <v>121</v>
      </c>
      <c r="M472" s="453">
        <v>1</v>
      </c>
      <c r="N472" s="453" t="s">
        <v>122</v>
      </c>
      <c r="O472" s="453">
        <v>600</v>
      </c>
      <c r="P472" s="453" t="s">
        <v>130</v>
      </c>
      <c r="Q472" s="453" t="s">
        <v>124</v>
      </c>
      <c r="R472" s="453">
        <v>0</v>
      </c>
      <c r="S472" s="453">
        <v>0</v>
      </c>
      <c r="T472" s="453">
        <v>13</v>
      </c>
      <c r="V472" s="453">
        <v>500</v>
      </c>
      <c r="W472" s="453">
        <v>0.1</v>
      </c>
      <c r="X472" s="453" t="s">
        <v>125</v>
      </c>
      <c r="Z472" s="453" t="s">
        <v>150</v>
      </c>
      <c r="AC472" s="453" t="s">
        <v>1203</v>
      </c>
    </row>
    <row r="473" spans="1:29">
      <c r="A473" s="453">
        <v>472</v>
      </c>
      <c r="B473" s="453" t="s">
        <v>1205</v>
      </c>
      <c r="C473" s="453" t="s">
        <v>1206</v>
      </c>
      <c r="D473" s="550" t="s">
        <v>1207</v>
      </c>
      <c r="F473" s="453">
        <v>2001</v>
      </c>
      <c r="G473" s="453">
        <v>2011</v>
      </c>
      <c r="H473" s="472">
        <v>99500</v>
      </c>
      <c r="I473" s="453">
        <v>151000</v>
      </c>
      <c r="J473" s="453">
        <v>1</v>
      </c>
      <c r="K473" s="453">
        <v>1</v>
      </c>
      <c r="L473" s="453" t="s">
        <v>147</v>
      </c>
      <c r="M473" s="453">
        <v>1</v>
      </c>
      <c r="N473" s="453" t="s">
        <v>122</v>
      </c>
      <c r="O473" s="453">
        <v>160</v>
      </c>
      <c r="P473" s="453" t="s">
        <v>148</v>
      </c>
      <c r="Q473" s="453" t="s">
        <v>149</v>
      </c>
      <c r="R473" s="453">
        <v>0</v>
      </c>
      <c r="T473" s="453">
        <v>4</v>
      </c>
      <c r="V473" s="453">
        <v>50</v>
      </c>
      <c r="W473" s="453">
        <v>250</v>
      </c>
      <c r="X473" s="453" t="s">
        <v>58</v>
      </c>
      <c r="Z473" s="453" t="s">
        <v>150</v>
      </c>
      <c r="AA473" s="453">
        <v>724</v>
      </c>
      <c r="AC473" s="453" t="s">
        <v>1205</v>
      </c>
    </row>
    <row r="474" spans="1:29">
      <c r="A474" s="453">
        <v>473</v>
      </c>
      <c r="B474" s="453" t="s">
        <v>1208</v>
      </c>
      <c r="C474" s="453" t="s">
        <v>1209</v>
      </c>
      <c r="D474" s="550" t="s">
        <v>1210</v>
      </c>
      <c r="F474" s="453">
        <v>1990</v>
      </c>
      <c r="G474" s="453">
        <v>2016</v>
      </c>
      <c r="H474" s="472">
        <v>80000</v>
      </c>
      <c r="I474" s="453">
        <v>150000</v>
      </c>
      <c r="J474" s="453">
        <v>1</v>
      </c>
      <c r="K474" s="453">
        <v>1</v>
      </c>
      <c r="L474" s="453" t="s">
        <v>154</v>
      </c>
      <c r="M474" s="453">
        <v>1</v>
      </c>
      <c r="N474" s="453" t="s">
        <v>122</v>
      </c>
      <c r="O474" s="453">
        <v>100</v>
      </c>
      <c r="P474" s="453" t="s">
        <v>148</v>
      </c>
      <c r="Q474" s="453" t="s">
        <v>149</v>
      </c>
      <c r="R474" s="453">
        <v>0</v>
      </c>
      <c r="T474" s="453">
        <v>2</v>
      </c>
      <c r="V474" s="453">
        <v>50</v>
      </c>
      <c r="W474" s="453">
        <v>250</v>
      </c>
      <c r="X474" s="453" t="s">
        <v>58</v>
      </c>
      <c r="Z474" s="453" t="s">
        <v>150</v>
      </c>
      <c r="AA474" s="453">
        <v>726</v>
      </c>
      <c r="AC474" s="453" t="s">
        <v>1208</v>
      </c>
    </row>
    <row r="475" spans="1:29">
      <c r="A475" s="453">
        <v>474</v>
      </c>
      <c r="B475" s="453" t="s">
        <v>1211</v>
      </c>
      <c r="C475" s="453" t="s">
        <v>1212</v>
      </c>
      <c r="D475" s="550" t="s">
        <v>1213</v>
      </c>
      <c r="F475" s="453">
        <v>2000</v>
      </c>
      <c r="G475" s="453">
        <v>2016</v>
      </c>
      <c r="H475" s="472">
        <v>80000</v>
      </c>
      <c r="I475" s="453">
        <v>150000</v>
      </c>
      <c r="J475" s="453">
        <v>1</v>
      </c>
      <c r="K475" s="453">
        <v>1</v>
      </c>
      <c r="L475" s="453" t="s">
        <v>154</v>
      </c>
      <c r="M475" s="453">
        <v>1</v>
      </c>
      <c r="N475" s="453" t="s">
        <v>122</v>
      </c>
      <c r="O475" s="453">
        <v>100</v>
      </c>
      <c r="P475" s="453" t="s">
        <v>148</v>
      </c>
      <c r="Q475" s="453" t="s">
        <v>149</v>
      </c>
      <c r="R475" s="453">
        <v>0</v>
      </c>
      <c r="T475" s="453">
        <v>2</v>
      </c>
      <c r="V475" s="453">
        <v>50</v>
      </c>
      <c r="W475" s="453">
        <v>250</v>
      </c>
      <c r="X475" s="453" t="s">
        <v>58</v>
      </c>
      <c r="Z475" s="453" t="s">
        <v>150</v>
      </c>
      <c r="AA475" s="453">
        <v>728</v>
      </c>
      <c r="AC475" s="453" t="s">
        <v>1211</v>
      </c>
    </row>
    <row r="476" spans="1:29">
      <c r="A476" s="453">
        <v>475</v>
      </c>
      <c r="B476" s="453" t="s">
        <v>1214</v>
      </c>
      <c r="C476" s="453" t="s">
        <v>1215</v>
      </c>
      <c r="D476" s="550" t="s">
        <v>1216</v>
      </c>
      <c r="F476" s="453">
        <v>1978</v>
      </c>
      <c r="G476" s="453">
        <v>2025</v>
      </c>
      <c r="H476" s="472">
        <v>500000</v>
      </c>
      <c r="I476" s="453">
        <v>2000000</v>
      </c>
      <c r="J476" s="453">
        <v>1</v>
      </c>
      <c r="K476" s="453">
        <v>6</v>
      </c>
      <c r="L476" s="453" t="s">
        <v>147</v>
      </c>
      <c r="M476" s="453">
        <v>4</v>
      </c>
      <c r="N476" s="453" t="s">
        <v>130</v>
      </c>
      <c r="O476" s="453">
        <v>328</v>
      </c>
      <c r="P476" s="453" t="s">
        <v>148</v>
      </c>
      <c r="Q476" s="453" t="s">
        <v>124</v>
      </c>
      <c r="R476" s="453">
        <v>0</v>
      </c>
      <c r="S476" s="453">
        <v>0</v>
      </c>
      <c r="T476" s="453">
        <v>20</v>
      </c>
      <c r="U476" s="453" t="s">
        <v>123</v>
      </c>
      <c r="V476" s="453">
        <v>1000</v>
      </c>
      <c r="W476" s="453">
        <v>5000</v>
      </c>
      <c r="X476" s="453" t="s">
        <v>125</v>
      </c>
      <c r="Z476" s="453" t="s">
        <v>150</v>
      </c>
      <c r="AC476" s="453" t="s">
        <v>1214</v>
      </c>
    </row>
    <row r="477" spans="1:29">
      <c r="A477" s="453">
        <v>476</v>
      </c>
      <c r="B477" s="453" t="s">
        <v>1217</v>
      </c>
      <c r="C477" s="453" t="s">
        <v>1215</v>
      </c>
      <c r="D477" s="550" t="s">
        <v>1218</v>
      </c>
      <c r="F477" s="453">
        <v>1980</v>
      </c>
      <c r="G477" s="453">
        <v>2025</v>
      </c>
      <c r="H477" s="472">
        <v>1000000</v>
      </c>
      <c r="I477" s="453">
        <v>3000000</v>
      </c>
      <c r="J477" s="453">
        <v>1</v>
      </c>
      <c r="K477" s="453">
        <v>6</v>
      </c>
      <c r="L477" s="453" t="s">
        <v>147</v>
      </c>
      <c r="M477" s="453">
        <v>4</v>
      </c>
      <c r="N477" s="453" t="s">
        <v>130</v>
      </c>
      <c r="O477" s="453">
        <v>328</v>
      </c>
      <c r="P477" s="453" t="s">
        <v>132</v>
      </c>
      <c r="Q477" s="453" t="s">
        <v>124</v>
      </c>
      <c r="R477" s="453">
        <v>0</v>
      </c>
      <c r="S477" s="453">
        <v>0</v>
      </c>
      <c r="T477" s="453">
        <v>20</v>
      </c>
      <c r="U477" s="453" t="s">
        <v>123</v>
      </c>
      <c r="V477" s="453">
        <v>1000</v>
      </c>
      <c r="W477" s="453">
        <v>5000</v>
      </c>
      <c r="X477" s="453" t="s">
        <v>125</v>
      </c>
      <c r="Z477" s="453" t="s">
        <v>150</v>
      </c>
      <c r="AC477" s="453" t="s">
        <v>1217</v>
      </c>
    </row>
    <row r="478" spans="1:29">
      <c r="A478" s="453">
        <v>477</v>
      </c>
      <c r="B478" s="453" t="s">
        <v>1219</v>
      </c>
      <c r="C478" s="453" t="s">
        <v>1215</v>
      </c>
      <c r="D478" s="550" t="s">
        <v>1220</v>
      </c>
      <c r="F478" s="453">
        <v>1979</v>
      </c>
      <c r="G478" s="453">
        <v>1995</v>
      </c>
      <c r="H478" s="472">
        <v>149500</v>
      </c>
      <c r="I478" s="453">
        <v>226000</v>
      </c>
      <c r="J478" s="453">
        <v>1</v>
      </c>
      <c r="K478" s="453">
        <v>6</v>
      </c>
      <c r="L478" s="453" t="s">
        <v>147</v>
      </c>
      <c r="M478" s="453">
        <v>2</v>
      </c>
      <c r="N478" s="453" t="s">
        <v>122</v>
      </c>
      <c r="O478" s="453">
        <v>200</v>
      </c>
      <c r="P478" s="453" t="s">
        <v>148</v>
      </c>
      <c r="Q478" s="453" t="s">
        <v>149</v>
      </c>
      <c r="R478" s="453">
        <v>0</v>
      </c>
      <c r="T478" s="453">
        <v>14</v>
      </c>
      <c r="V478" s="453">
        <v>100</v>
      </c>
      <c r="W478" s="453">
        <v>500</v>
      </c>
      <c r="X478" s="453" t="s">
        <v>58</v>
      </c>
      <c r="Z478" s="453" t="s">
        <v>150</v>
      </c>
      <c r="AA478" s="453">
        <v>730</v>
      </c>
      <c r="AC478" s="453" t="s">
        <v>1219</v>
      </c>
    </row>
    <row r="479" spans="1:29">
      <c r="A479" s="453">
        <v>478</v>
      </c>
      <c r="B479" s="453" t="s">
        <v>1221</v>
      </c>
      <c r="C479" s="453" t="s">
        <v>1222</v>
      </c>
      <c r="D479" s="550" t="s">
        <v>1223</v>
      </c>
      <c r="F479" s="453">
        <v>1935</v>
      </c>
      <c r="G479" s="453">
        <v>1940</v>
      </c>
      <c r="H479" s="472">
        <v>49500</v>
      </c>
      <c r="I479" s="453">
        <v>101000</v>
      </c>
      <c r="J479" s="453">
        <v>1</v>
      </c>
      <c r="K479" s="453">
        <v>1</v>
      </c>
      <c r="L479" s="453" t="s">
        <v>147</v>
      </c>
      <c r="M479" s="453">
        <v>1</v>
      </c>
      <c r="N479" s="453" t="s">
        <v>122</v>
      </c>
      <c r="O479" s="453">
        <v>165</v>
      </c>
      <c r="P479" s="453" t="s">
        <v>123</v>
      </c>
      <c r="Q479" s="453" t="s">
        <v>124</v>
      </c>
      <c r="R479" s="453">
        <v>0</v>
      </c>
      <c r="T479" s="453">
        <v>8</v>
      </c>
      <c r="V479" s="453">
        <v>100</v>
      </c>
      <c r="W479" s="453">
        <v>500</v>
      </c>
      <c r="X479" s="453" t="s">
        <v>125</v>
      </c>
      <c r="Z479" s="453" t="s">
        <v>150</v>
      </c>
      <c r="AA479" s="453">
        <v>731</v>
      </c>
      <c r="AC479" s="453" t="s">
        <v>1221</v>
      </c>
    </row>
    <row r="480" spans="1:29">
      <c r="A480" s="453">
        <v>479</v>
      </c>
      <c r="B480" s="453" t="s">
        <v>1224</v>
      </c>
      <c r="C480" s="453" t="s">
        <v>1225</v>
      </c>
      <c r="D480" s="550" t="s">
        <v>1226</v>
      </c>
      <c r="F480" s="453">
        <v>1945</v>
      </c>
      <c r="G480" s="453">
        <v>1965</v>
      </c>
      <c r="H480" s="472">
        <v>24500</v>
      </c>
      <c r="I480" s="453">
        <v>76000</v>
      </c>
      <c r="J480" s="453">
        <v>1</v>
      </c>
      <c r="K480" s="453">
        <v>1</v>
      </c>
      <c r="L480" s="453" t="s">
        <v>147</v>
      </c>
      <c r="M480" s="453">
        <v>1</v>
      </c>
      <c r="N480" s="453" t="s">
        <v>122</v>
      </c>
      <c r="O480" s="453">
        <v>450</v>
      </c>
      <c r="P480" s="453" t="s">
        <v>123</v>
      </c>
      <c r="Q480" s="453" t="s">
        <v>124</v>
      </c>
      <c r="R480" s="453">
        <v>0.6</v>
      </c>
      <c r="T480" s="453">
        <v>8</v>
      </c>
      <c r="V480" s="453">
        <v>100</v>
      </c>
      <c r="W480" s="453">
        <v>500</v>
      </c>
      <c r="X480" s="453" t="s">
        <v>125</v>
      </c>
      <c r="Z480" s="453" t="s">
        <v>150</v>
      </c>
      <c r="AA480" s="453">
        <v>733</v>
      </c>
      <c r="AC480" s="453" t="s">
        <v>1224</v>
      </c>
    </row>
    <row r="481" spans="1:29">
      <c r="A481" s="453">
        <v>480</v>
      </c>
      <c r="B481" s="453" t="s">
        <v>1227</v>
      </c>
      <c r="C481" s="453" t="s">
        <v>1228</v>
      </c>
      <c r="D481" s="550" t="s">
        <v>1229</v>
      </c>
      <c r="F481" s="453">
        <v>1995</v>
      </c>
      <c r="G481" s="453">
        <v>2025</v>
      </c>
      <c r="H481" s="472">
        <v>60000</v>
      </c>
      <c r="I481" s="453">
        <v>300000</v>
      </c>
      <c r="J481" s="453">
        <v>1</v>
      </c>
      <c r="K481" s="453">
        <v>1</v>
      </c>
      <c r="L481" s="453" t="s">
        <v>154</v>
      </c>
      <c r="M481" s="453">
        <v>1</v>
      </c>
      <c r="N481" s="453" t="s">
        <v>122</v>
      </c>
      <c r="O481" s="453">
        <v>60</v>
      </c>
      <c r="P481" s="453" t="s">
        <v>123</v>
      </c>
      <c r="Q481" s="453" t="s">
        <v>149</v>
      </c>
      <c r="R481" s="453">
        <v>0.2</v>
      </c>
      <c r="S481" s="453">
        <v>0.2</v>
      </c>
      <c r="T481" s="453">
        <v>1</v>
      </c>
      <c r="V481" s="453">
        <v>100</v>
      </c>
      <c r="W481" s="453">
        <v>500</v>
      </c>
      <c r="X481" s="453" t="s">
        <v>125</v>
      </c>
      <c r="Z481" s="453" t="s">
        <v>150</v>
      </c>
      <c r="AC481" s="453" t="s">
        <v>1227</v>
      </c>
    </row>
    <row r="482" spans="1:29">
      <c r="A482" s="453">
        <v>481</v>
      </c>
      <c r="B482" s="453" t="s">
        <v>1230</v>
      </c>
      <c r="C482" s="453" t="s">
        <v>1231</v>
      </c>
      <c r="D482" s="550" t="s">
        <v>1232</v>
      </c>
      <c r="F482" s="453">
        <v>1990</v>
      </c>
      <c r="G482" s="453">
        <v>2003</v>
      </c>
      <c r="H482" s="472">
        <v>1000000</v>
      </c>
      <c r="I482" s="453">
        <v>2000000</v>
      </c>
      <c r="J482" s="453">
        <v>1</v>
      </c>
      <c r="K482" s="453">
        <v>9</v>
      </c>
      <c r="L482" s="453" t="s">
        <v>147</v>
      </c>
      <c r="M482" s="453">
        <v>4</v>
      </c>
      <c r="N482" s="453" t="s">
        <v>130</v>
      </c>
      <c r="O482" s="453">
        <v>850</v>
      </c>
      <c r="P482" s="453" t="s">
        <v>132</v>
      </c>
      <c r="Q482" s="453" t="s">
        <v>133</v>
      </c>
      <c r="R482" s="453">
        <v>0</v>
      </c>
      <c r="S482" s="453">
        <v>0</v>
      </c>
      <c r="T482" s="453">
        <v>20</v>
      </c>
      <c r="U482" s="453" t="s">
        <v>123</v>
      </c>
      <c r="V482" s="453">
        <v>1000</v>
      </c>
      <c r="W482" s="453">
        <v>5000</v>
      </c>
      <c r="X482" s="453" t="s">
        <v>125</v>
      </c>
      <c r="Z482" s="453" t="s">
        <v>150</v>
      </c>
      <c r="AC482" s="453" t="s">
        <v>1230</v>
      </c>
    </row>
    <row r="483" spans="1:29">
      <c r="A483" s="453">
        <v>482</v>
      </c>
      <c r="B483" s="453" t="s">
        <v>1233</v>
      </c>
      <c r="C483" s="453" t="s">
        <v>1234</v>
      </c>
      <c r="D483" s="550" t="s">
        <v>1235</v>
      </c>
      <c r="F483" s="453">
        <v>1953</v>
      </c>
      <c r="G483" s="453">
        <v>1959</v>
      </c>
      <c r="H483" s="472">
        <v>49500</v>
      </c>
      <c r="I483" s="453">
        <v>151000</v>
      </c>
      <c r="J483" s="453">
        <v>1</v>
      </c>
      <c r="K483" s="453">
        <v>1</v>
      </c>
      <c r="L483" s="453" t="s">
        <v>121</v>
      </c>
      <c r="M483" s="453">
        <v>1</v>
      </c>
      <c r="N483" s="453" t="s">
        <v>122</v>
      </c>
      <c r="O483" s="453">
        <v>260</v>
      </c>
      <c r="P483" s="453" t="s">
        <v>132</v>
      </c>
      <c r="Q483" s="453" t="s">
        <v>124</v>
      </c>
      <c r="R483" s="453">
        <v>0.5</v>
      </c>
      <c r="T483" s="453">
        <v>11</v>
      </c>
      <c r="V483" s="453">
        <v>100</v>
      </c>
      <c r="W483" s="453">
        <v>500</v>
      </c>
      <c r="X483" s="453" t="s">
        <v>125</v>
      </c>
      <c r="Z483" s="453" t="s">
        <v>150</v>
      </c>
      <c r="AA483" s="453">
        <v>738</v>
      </c>
      <c r="AC483" s="453" t="s">
        <v>1233</v>
      </c>
    </row>
    <row r="484" spans="1:29">
      <c r="A484" s="453">
        <v>483</v>
      </c>
      <c r="B484" s="453" t="s">
        <v>1236</v>
      </c>
      <c r="C484" s="453" t="s">
        <v>1234</v>
      </c>
      <c r="D484" s="550" t="s">
        <v>1237</v>
      </c>
      <c r="E484" s="453" t="s">
        <v>1238</v>
      </c>
      <c r="F484" s="453">
        <v>1959</v>
      </c>
      <c r="G484" s="453">
        <v>2019</v>
      </c>
      <c r="H484" s="472">
        <v>100000</v>
      </c>
      <c r="I484" s="453">
        <v>2000000</v>
      </c>
      <c r="J484" s="453">
        <v>1</v>
      </c>
      <c r="K484" s="453">
        <v>7</v>
      </c>
      <c r="L484" s="453" t="s">
        <v>147</v>
      </c>
      <c r="M484" s="453">
        <v>3</v>
      </c>
      <c r="N484" s="453" t="s">
        <v>130</v>
      </c>
      <c r="O484" s="453">
        <v>550</v>
      </c>
      <c r="P484" s="453" t="s">
        <v>123</v>
      </c>
      <c r="Q484" s="453" t="s">
        <v>124</v>
      </c>
      <c r="R484" s="453">
        <v>0.35</v>
      </c>
      <c r="S484" s="453">
        <v>0.5</v>
      </c>
      <c r="T484" s="453">
        <v>1</v>
      </c>
      <c r="U484" s="453" t="s">
        <v>229</v>
      </c>
      <c r="V484" s="453">
        <v>1000</v>
      </c>
      <c r="W484" s="453">
        <v>0.05</v>
      </c>
      <c r="X484" s="453" t="s">
        <v>125</v>
      </c>
      <c r="Z484" s="453" t="s">
        <v>150</v>
      </c>
      <c r="AB484" s="453" t="s">
        <v>1239</v>
      </c>
      <c r="AC484" s="453" t="s">
        <v>1236</v>
      </c>
    </row>
    <row r="485" spans="1:29">
      <c r="A485" s="453">
        <v>484</v>
      </c>
      <c r="B485" s="453" t="s">
        <v>1240</v>
      </c>
      <c r="C485" s="453" t="s">
        <v>1234</v>
      </c>
      <c r="D485" s="550" t="s">
        <v>1241</v>
      </c>
      <c r="F485" s="453">
        <v>1995</v>
      </c>
      <c r="G485" s="453">
        <v>2003</v>
      </c>
      <c r="H485" s="472">
        <v>1125000</v>
      </c>
      <c r="I485" s="453">
        <v>2000000</v>
      </c>
      <c r="J485" s="453">
        <v>1</v>
      </c>
      <c r="K485" s="453">
        <v>9</v>
      </c>
      <c r="L485" s="453" t="s">
        <v>147</v>
      </c>
      <c r="M485" s="453">
        <v>3</v>
      </c>
      <c r="N485" s="453" t="s">
        <v>130</v>
      </c>
      <c r="O485" s="453">
        <v>1200</v>
      </c>
      <c r="P485" s="453" t="s">
        <v>132</v>
      </c>
      <c r="Q485" s="453" t="s">
        <v>133</v>
      </c>
      <c r="R485" s="453">
        <v>-0.33</v>
      </c>
      <c r="S485" s="453">
        <v>-0.23</v>
      </c>
      <c r="T485" s="453">
        <v>19</v>
      </c>
      <c r="U485" s="453" t="s">
        <v>123</v>
      </c>
      <c r="V485" s="453">
        <v>1000</v>
      </c>
      <c r="W485" s="453">
        <v>5000</v>
      </c>
      <c r="X485" s="453" t="s">
        <v>125</v>
      </c>
      <c r="Z485" s="453" t="s">
        <v>150</v>
      </c>
      <c r="AB485" s="453" t="s">
        <v>1242</v>
      </c>
      <c r="AC485" s="453" t="s">
        <v>1240</v>
      </c>
    </row>
    <row r="486" spans="1:29">
      <c r="A486" s="453">
        <v>485</v>
      </c>
      <c r="B486" s="648" t="s">
        <v>3968</v>
      </c>
      <c r="C486" s="648" t="s">
        <v>1234</v>
      </c>
      <c r="D486" s="649" t="s">
        <v>3969</v>
      </c>
      <c r="F486" s="453">
        <v>2015</v>
      </c>
      <c r="G486" s="453">
        <v>2025</v>
      </c>
      <c r="H486" s="472">
        <v>7125000</v>
      </c>
      <c r="I486" s="650">
        <v>16250000</v>
      </c>
      <c r="J486" s="453">
        <v>2</v>
      </c>
      <c r="K486" s="453">
        <v>10</v>
      </c>
      <c r="L486" s="611" t="s">
        <v>147</v>
      </c>
      <c r="M486" s="453">
        <v>5</v>
      </c>
      <c r="N486" s="611" t="s">
        <v>130</v>
      </c>
      <c r="O486" s="453">
        <v>3400</v>
      </c>
      <c r="P486" s="611" t="s">
        <v>132</v>
      </c>
      <c r="Q486" s="611" t="s">
        <v>133</v>
      </c>
      <c r="R486" s="453">
        <v>-0.33</v>
      </c>
      <c r="S486" s="453">
        <v>-0.23</v>
      </c>
      <c r="T486" s="453">
        <v>21</v>
      </c>
      <c r="U486" s="611" t="s">
        <v>123</v>
      </c>
      <c r="V486" s="453">
        <v>1000</v>
      </c>
      <c r="W486" s="453">
        <v>5000</v>
      </c>
      <c r="X486" s="611" t="s">
        <v>125</v>
      </c>
      <c r="Z486" s="611" t="s">
        <v>150</v>
      </c>
      <c r="AC486" s="648" t="s">
        <v>3968</v>
      </c>
    </row>
    <row r="487" spans="1:29">
      <c r="A487" s="453">
        <v>486</v>
      </c>
      <c r="B487" s="453" t="s">
        <v>1243</v>
      </c>
      <c r="C487" s="453" t="s">
        <v>1244</v>
      </c>
      <c r="D487" s="550" t="s">
        <v>1245</v>
      </c>
      <c r="F487" s="453">
        <v>1937</v>
      </c>
      <c r="G487" s="453">
        <v>1965</v>
      </c>
      <c r="H487" s="472">
        <v>10000</v>
      </c>
      <c r="I487" s="453">
        <v>50000</v>
      </c>
      <c r="J487" s="453">
        <v>1</v>
      </c>
      <c r="K487" s="453">
        <v>1</v>
      </c>
      <c r="L487" s="453" t="s">
        <v>147</v>
      </c>
      <c r="M487" s="453">
        <v>1</v>
      </c>
      <c r="N487" s="453" t="s">
        <v>122</v>
      </c>
      <c r="O487" s="453">
        <v>65</v>
      </c>
      <c r="P487" s="453" t="s">
        <v>123</v>
      </c>
      <c r="Q487" s="453" t="s">
        <v>149</v>
      </c>
      <c r="R487" s="453">
        <v>0</v>
      </c>
      <c r="T487" s="453">
        <v>7</v>
      </c>
      <c r="V487" s="453">
        <v>100</v>
      </c>
      <c r="W487" s="453">
        <v>500</v>
      </c>
      <c r="X487" s="453" t="s">
        <v>58</v>
      </c>
      <c r="Z487" s="453" t="s">
        <v>150</v>
      </c>
      <c r="AA487" s="453">
        <v>740</v>
      </c>
      <c r="AC487" s="453" t="s">
        <v>1243</v>
      </c>
    </row>
    <row r="488" spans="1:29">
      <c r="A488" s="453">
        <v>487</v>
      </c>
      <c r="B488" s="453" t="s">
        <v>1246</v>
      </c>
      <c r="C488" s="453" t="s">
        <v>1244</v>
      </c>
      <c r="D488" s="550" t="s">
        <v>1247</v>
      </c>
      <c r="F488" s="453">
        <v>1938</v>
      </c>
      <c r="G488" s="453">
        <v>1949</v>
      </c>
      <c r="H488" s="472">
        <v>10000</v>
      </c>
      <c r="I488" s="453">
        <v>50000</v>
      </c>
      <c r="J488" s="453">
        <v>1</v>
      </c>
      <c r="K488" s="453">
        <v>2</v>
      </c>
      <c r="L488" s="453" t="s">
        <v>147</v>
      </c>
      <c r="M488" s="453">
        <v>1</v>
      </c>
      <c r="N488" s="453" t="s">
        <v>122</v>
      </c>
      <c r="O488" s="453">
        <v>65</v>
      </c>
      <c r="P488" s="453" t="s">
        <v>123</v>
      </c>
      <c r="Q488" s="453" t="s">
        <v>149</v>
      </c>
      <c r="R488" s="453">
        <v>0</v>
      </c>
      <c r="T488" s="453">
        <v>7</v>
      </c>
      <c r="V488" s="453">
        <v>100</v>
      </c>
      <c r="W488" s="453">
        <v>500</v>
      </c>
      <c r="X488" s="453" t="s">
        <v>58</v>
      </c>
      <c r="Z488" s="453" t="s">
        <v>150</v>
      </c>
      <c r="AA488" s="453">
        <v>741</v>
      </c>
      <c r="AC488" s="453" t="s">
        <v>1246</v>
      </c>
    </row>
    <row r="489" spans="1:29">
      <c r="A489" s="453">
        <v>488</v>
      </c>
      <c r="B489" s="453" t="s">
        <v>1248</v>
      </c>
      <c r="C489" s="453" t="s">
        <v>1244</v>
      </c>
      <c r="D489" s="550" t="s">
        <v>1249</v>
      </c>
      <c r="F489" s="453">
        <v>2015</v>
      </c>
      <c r="G489" s="453">
        <v>2020</v>
      </c>
      <c r="H489" s="472">
        <v>900000</v>
      </c>
      <c r="I489" s="453">
        <v>1300000</v>
      </c>
      <c r="J489" s="453">
        <v>1</v>
      </c>
      <c r="K489" s="453">
        <v>5</v>
      </c>
      <c r="L489" s="453" t="s">
        <v>147</v>
      </c>
      <c r="M489" s="453">
        <v>1</v>
      </c>
      <c r="N489" s="453" t="s">
        <v>122</v>
      </c>
      <c r="O489" s="453">
        <v>350</v>
      </c>
      <c r="P489" s="453" t="s">
        <v>132</v>
      </c>
      <c r="Q489" s="453" t="s">
        <v>124</v>
      </c>
      <c r="R489" s="453">
        <v>-0.15</v>
      </c>
      <c r="S489" s="453">
        <v>-0.2</v>
      </c>
      <c r="T489" s="453">
        <v>11</v>
      </c>
      <c r="U489" s="453" t="s">
        <v>123</v>
      </c>
      <c r="V489" s="453">
        <v>100</v>
      </c>
      <c r="W489" s="453">
        <v>500</v>
      </c>
      <c r="X489" s="453" t="s">
        <v>125</v>
      </c>
      <c r="Z489" s="453" t="s">
        <v>150</v>
      </c>
      <c r="AB489" s="453" t="s">
        <v>1250</v>
      </c>
      <c r="AC489" s="453" t="s">
        <v>1248</v>
      </c>
    </row>
    <row r="490" spans="1:29">
      <c r="A490" s="453">
        <v>489</v>
      </c>
      <c r="B490" s="453" t="s">
        <v>1251</v>
      </c>
      <c r="C490" s="453" t="s">
        <v>1244</v>
      </c>
      <c r="D490" s="550" t="s">
        <v>1252</v>
      </c>
      <c r="F490" s="453">
        <v>2016</v>
      </c>
      <c r="G490" s="453">
        <v>2025</v>
      </c>
      <c r="H490" s="472">
        <v>1570000</v>
      </c>
      <c r="I490" s="453">
        <v>2000000</v>
      </c>
      <c r="J490" s="453">
        <v>1</v>
      </c>
      <c r="K490" s="453">
        <v>5</v>
      </c>
      <c r="L490" s="453" t="s">
        <v>147</v>
      </c>
      <c r="M490" s="453">
        <v>3</v>
      </c>
      <c r="N490" s="453" t="s">
        <v>130</v>
      </c>
      <c r="O490" s="453">
        <v>500</v>
      </c>
      <c r="P490" s="453" t="s">
        <v>132</v>
      </c>
      <c r="Q490" s="453" t="s">
        <v>133</v>
      </c>
      <c r="R490" s="453">
        <v>-0.15</v>
      </c>
      <c r="S490" s="453">
        <v>-0.2</v>
      </c>
      <c r="T490" s="453">
        <v>19</v>
      </c>
      <c r="U490" s="453" t="s">
        <v>123</v>
      </c>
      <c r="V490" s="453">
        <v>1000</v>
      </c>
      <c r="W490" s="453">
        <v>10000</v>
      </c>
      <c r="X490" s="453" t="s">
        <v>125</v>
      </c>
      <c r="Z490" s="453" t="s">
        <v>150</v>
      </c>
      <c r="AC490" s="453" t="s">
        <v>1251</v>
      </c>
    </row>
    <row r="491" spans="1:29">
      <c r="A491" s="453">
        <v>490</v>
      </c>
      <c r="B491" s="453" t="s">
        <v>1253</v>
      </c>
      <c r="C491" s="453" t="s">
        <v>1244</v>
      </c>
      <c r="D491" s="550" t="s">
        <v>1254</v>
      </c>
      <c r="F491" s="453">
        <v>2017</v>
      </c>
      <c r="G491" s="453">
        <v>2025</v>
      </c>
      <c r="H491" s="472">
        <v>2100000</v>
      </c>
      <c r="I491" s="453">
        <v>3000000</v>
      </c>
      <c r="J491" s="453">
        <v>1</v>
      </c>
      <c r="K491" s="453">
        <v>5</v>
      </c>
      <c r="L491" s="453" t="s">
        <v>147</v>
      </c>
      <c r="M491" s="453">
        <v>3</v>
      </c>
      <c r="N491" s="453" t="s">
        <v>130</v>
      </c>
      <c r="O491" s="453">
        <v>600</v>
      </c>
      <c r="P491" s="453" t="s">
        <v>132</v>
      </c>
      <c r="Q491" s="453" t="s">
        <v>133</v>
      </c>
      <c r="R491" s="453">
        <v>-0.15</v>
      </c>
      <c r="S491" s="453">
        <v>-0.2</v>
      </c>
      <c r="T491" s="453">
        <v>19</v>
      </c>
      <c r="U491" s="453" t="s">
        <v>123</v>
      </c>
      <c r="V491" s="453">
        <v>1000</v>
      </c>
      <c r="W491" s="453">
        <v>10000</v>
      </c>
      <c r="X491" s="453" t="s">
        <v>125</v>
      </c>
      <c r="Z491" s="453" t="s">
        <v>150</v>
      </c>
      <c r="AC491" s="453" t="s">
        <v>1253</v>
      </c>
    </row>
    <row r="492" spans="1:29">
      <c r="A492" s="453">
        <v>491</v>
      </c>
      <c r="B492" s="611" t="s">
        <v>1255</v>
      </c>
      <c r="C492" s="611" t="s">
        <v>1244</v>
      </c>
      <c r="D492" s="612" t="s">
        <v>1256</v>
      </c>
      <c r="F492" s="453">
        <v>2022</v>
      </c>
      <c r="G492" s="453">
        <v>2025</v>
      </c>
      <c r="H492" s="472">
        <v>3500000</v>
      </c>
      <c r="I492" s="453">
        <v>4500000</v>
      </c>
      <c r="J492" s="453">
        <v>1</v>
      </c>
      <c r="K492" s="453">
        <v>5</v>
      </c>
      <c r="L492" s="611" t="s">
        <v>147</v>
      </c>
      <c r="M492" s="453">
        <v>3</v>
      </c>
      <c r="N492" s="611" t="s">
        <v>130</v>
      </c>
      <c r="O492" s="453">
        <v>700</v>
      </c>
      <c r="P492" s="611" t="s">
        <v>132</v>
      </c>
      <c r="Q492" s="611" t="s">
        <v>133</v>
      </c>
      <c r="R492" s="453">
        <v>-0.15</v>
      </c>
      <c r="S492" s="453">
        <v>-0.2</v>
      </c>
      <c r="T492" s="453">
        <v>19</v>
      </c>
      <c r="U492" s="611" t="s">
        <v>123</v>
      </c>
      <c r="V492" s="453">
        <v>1000</v>
      </c>
      <c r="W492" s="453">
        <v>10000</v>
      </c>
      <c r="X492" s="611" t="s">
        <v>125</v>
      </c>
      <c r="Z492" s="611" t="s">
        <v>150</v>
      </c>
      <c r="AC492" s="611" t="s">
        <v>1255</v>
      </c>
    </row>
    <row r="493" spans="1:29">
      <c r="A493" s="453">
        <v>492</v>
      </c>
      <c r="B493" s="453" t="s">
        <v>1257</v>
      </c>
      <c r="C493" s="453" t="s">
        <v>1244</v>
      </c>
      <c r="D493" s="550" t="s">
        <v>1258</v>
      </c>
      <c r="F493" s="453">
        <v>1945</v>
      </c>
      <c r="G493" s="453">
        <v>1949</v>
      </c>
      <c r="H493" s="472">
        <v>14000</v>
      </c>
      <c r="I493" s="453">
        <v>28000</v>
      </c>
      <c r="J493" s="453">
        <v>1</v>
      </c>
      <c r="K493" s="453">
        <v>1</v>
      </c>
      <c r="L493" s="453" t="s">
        <v>147</v>
      </c>
      <c r="M493" s="453">
        <v>1</v>
      </c>
      <c r="N493" s="453" t="s">
        <v>122</v>
      </c>
      <c r="O493" s="453">
        <v>65</v>
      </c>
      <c r="P493" s="453" t="s">
        <v>123</v>
      </c>
      <c r="Q493" s="453" t="s">
        <v>149</v>
      </c>
      <c r="R493" s="453">
        <v>0</v>
      </c>
      <c r="T493" s="453">
        <v>7</v>
      </c>
      <c r="V493" s="453">
        <v>100</v>
      </c>
      <c r="W493" s="453">
        <v>500</v>
      </c>
      <c r="X493" s="453" t="s">
        <v>58</v>
      </c>
      <c r="Z493" s="453" t="s">
        <v>150</v>
      </c>
      <c r="AA493" s="453">
        <v>742</v>
      </c>
      <c r="AC493" s="453" t="s">
        <v>1257</v>
      </c>
    </row>
    <row r="494" spans="1:29">
      <c r="A494" s="453">
        <v>493</v>
      </c>
      <c r="B494" s="453" t="s">
        <v>1259</v>
      </c>
      <c r="C494" s="453" t="s">
        <v>1244</v>
      </c>
      <c r="D494" s="550" t="s">
        <v>1260</v>
      </c>
      <c r="F494" s="453">
        <v>1945</v>
      </c>
      <c r="G494" s="453">
        <v>1949</v>
      </c>
      <c r="H494" s="472">
        <v>20000</v>
      </c>
      <c r="I494" s="453">
        <v>27000</v>
      </c>
      <c r="J494" s="453">
        <v>1</v>
      </c>
      <c r="K494" s="453">
        <v>2</v>
      </c>
      <c r="L494" s="453" t="s">
        <v>147</v>
      </c>
      <c r="M494" s="453">
        <v>1</v>
      </c>
      <c r="N494" s="453" t="s">
        <v>122</v>
      </c>
      <c r="O494" s="453">
        <v>100</v>
      </c>
      <c r="P494" s="453" t="s">
        <v>123</v>
      </c>
      <c r="Q494" s="453" t="s">
        <v>149</v>
      </c>
      <c r="R494" s="453">
        <v>0</v>
      </c>
      <c r="T494" s="453">
        <v>7</v>
      </c>
      <c r="V494" s="453">
        <v>100</v>
      </c>
      <c r="W494" s="453">
        <v>500</v>
      </c>
      <c r="X494" s="453" t="s">
        <v>58</v>
      </c>
      <c r="Z494" s="453" t="s">
        <v>150</v>
      </c>
      <c r="AA494" s="453">
        <v>743</v>
      </c>
      <c r="AC494" s="453" t="s">
        <v>1259</v>
      </c>
    </row>
    <row r="495" spans="1:29">
      <c r="A495" s="453">
        <v>494</v>
      </c>
      <c r="B495" s="453" t="s">
        <v>1261</v>
      </c>
      <c r="C495" s="453" t="s">
        <v>1244</v>
      </c>
      <c r="D495" s="550" t="s">
        <v>1262</v>
      </c>
      <c r="F495" s="453">
        <v>1945</v>
      </c>
      <c r="G495" s="453">
        <v>1949</v>
      </c>
      <c r="H495" s="472">
        <v>15000</v>
      </c>
      <c r="I495" s="453">
        <v>30000</v>
      </c>
      <c r="J495" s="453">
        <v>1</v>
      </c>
      <c r="K495" s="453">
        <v>3</v>
      </c>
      <c r="L495" s="453" t="s">
        <v>147</v>
      </c>
      <c r="M495" s="453">
        <v>1</v>
      </c>
      <c r="N495" s="453" t="s">
        <v>122</v>
      </c>
      <c r="O495" s="453">
        <v>115</v>
      </c>
      <c r="P495" s="453" t="s">
        <v>123</v>
      </c>
      <c r="Q495" s="453" t="s">
        <v>149</v>
      </c>
      <c r="R495" s="453">
        <v>0</v>
      </c>
      <c r="T495" s="453">
        <v>7</v>
      </c>
      <c r="V495" s="453">
        <v>100</v>
      </c>
      <c r="W495" s="453">
        <v>500</v>
      </c>
      <c r="X495" s="453" t="s">
        <v>58</v>
      </c>
      <c r="Z495" s="453" t="s">
        <v>150</v>
      </c>
      <c r="AA495" s="453">
        <v>744</v>
      </c>
      <c r="AC495" s="453" t="s">
        <v>1261</v>
      </c>
    </row>
    <row r="496" spans="1:29">
      <c r="A496" s="453">
        <v>495</v>
      </c>
      <c r="B496" s="453" t="s">
        <v>1263</v>
      </c>
      <c r="C496" s="453" t="s">
        <v>1244</v>
      </c>
      <c r="D496" s="550" t="s">
        <v>1264</v>
      </c>
      <c r="F496" s="453">
        <v>1945</v>
      </c>
      <c r="G496" s="453">
        <v>1949</v>
      </c>
      <c r="H496" s="472">
        <v>10000</v>
      </c>
      <c r="I496" s="453">
        <v>50000</v>
      </c>
      <c r="J496" s="453">
        <v>1</v>
      </c>
      <c r="K496" s="453">
        <v>1</v>
      </c>
      <c r="L496" s="453" t="s">
        <v>147</v>
      </c>
      <c r="M496" s="453">
        <v>1</v>
      </c>
      <c r="N496" s="453" t="s">
        <v>122</v>
      </c>
      <c r="O496" s="453">
        <v>125</v>
      </c>
      <c r="P496" s="453" t="s">
        <v>123</v>
      </c>
      <c r="Q496" s="453" t="s">
        <v>149</v>
      </c>
      <c r="R496" s="453">
        <v>0</v>
      </c>
      <c r="T496" s="453">
        <v>7</v>
      </c>
      <c r="V496" s="453">
        <v>100</v>
      </c>
      <c r="W496" s="453">
        <v>500</v>
      </c>
      <c r="X496" s="453" t="s">
        <v>58</v>
      </c>
      <c r="Z496" s="453" t="s">
        <v>150</v>
      </c>
      <c r="AA496" s="453">
        <v>745</v>
      </c>
      <c r="AC496" s="453" t="s">
        <v>1263</v>
      </c>
    </row>
    <row r="497" spans="1:29">
      <c r="A497" s="453">
        <v>496</v>
      </c>
      <c r="B497" s="453" t="s">
        <v>1265</v>
      </c>
      <c r="C497" s="453" t="s">
        <v>1244</v>
      </c>
      <c r="D497" s="550" t="s">
        <v>1266</v>
      </c>
      <c r="F497" s="453">
        <v>1945</v>
      </c>
      <c r="G497" s="453">
        <v>1949</v>
      </c>
      <c r="H497" s="472">
        <v>17000</v>
      </c>
      <c r="I497" s="453">
        <v>30000</v>
      </c>
      <c r="J497" s="453">
        <v>1</v>
      </c>
      <c r="K497" s="453">
        <v>3</v>
      </c>
      <c r="L497" s="453" t="s">
        <v>147</v>
      </c>
      <c r="M497" s="453">
        <v>1</v>
      </c>
      <c r="N497" s="453" t="s">
        <v>122</v>
      </c>
      <c r="O497" s="453">
        <v>115</v>
      </c>
      <c r="P497" s="453" t="s">
        <v>123</v>
      </c>
      <c r="Q497" s="453" t="s">
        <v>149</v>
      </c>
      <c r="R497" s="453">
        <v>0</v>
      </c>
      <c r="T497" s="453">
        <v>7</v>
      </c>
      <c r="V497" s="453">
        <v>100</v>
      </c>
      <c r="W497" s="453">
        <v>500</v>
      </c>
      <c r="X497" s="453" t="s">
        <v>58</v>
      </c>
      <c r="Z497" s="453" t="s">
        <v>150</v>
      </c>
      <c r="AA497" s="453">
        <v>746</v>
      </c>
      <c r="AC497" s="453" t="s">
        <v>1265</v>
      </c>
    </row>
    <row r="498" spans="1:29">
      <c r="A498" s="453">
        <v>497</v>
      </c>
      <c r="B498" s="453" t="s">
        <v>1267</v>
      </c>
      <c r="C498" s="453" t="s">
        <v>1244</v>
      </c>
      <c r="D498" s="550" t="s">
        <v>1268</v>
      </c>
      <c r="F498" s="453">
        <v>1945</v>
      </c>
      <c r="G498" s="453">
        <v>1949</v>
      </c>
      <c r="H498" s="472">
        <v>10000</v>
      </c>
      <c r="I498" s="453">
        <v>50000</v>
      </c>
      <c r="J498" s="453">
        <v>1</v>
      </c>
      <c r="K498" s="453">
        <v>1</v>
      </c>
      <c r="L498" s="453" t="s">
        <v>147</v>
      </c>
      <c r="M498" s="453">
        <v>1</v>
      </c>
      <c r="N498" s="453" t="s">
        <v>122</v>
      </c>
      <c r="O498" s="453">
        <v>150</v>
      </c>
      <c r="P498" s="453" t="s">
        <v>123</v>
      </c>
      <c r="Q498" s="453" t="s">
        <v>149</v>
      </c>
      <c r="R498" s="453">
        <v>0</v>
      </c>
      <c r="T498" s="453">
        <v>7</v>
      </c>
      <c r="V498" s="453">
        <v>100</v>
      </c>
      <c r="W498" s="453">
        <v>500</v>
      </c>
      <c r="X498" s="453" t="s">
        <v>58</v>
      </c>
      <c r="Z498" s="453" t="s">
        <v>150</v>
      </c>
      <c r="AA498" s="453">
        <v>747</v>
      </c>
      <c r="AC498" s="453" t="s">
        <v>1267</v>
      </c>
    </row>
    <row r="499" spans="1:29">
      <c r="A499" s="453">
        <v>498</v>
      </c>
      <c r="B499" s="453" t="s">
        <v>1269</v>
      </c>
      <c r="C499" s="453" t="s">
        <v>1244</v>
      </c>
      <c r="D499" s="550" t="s">
        <v>1270</v>
      </c>
      <c r="F499" s="453">
        <v>1947</v>
      </c>
      <c r="G499" s="453">
        <v>1959</v>
      </c>
      <c r="H499" s="472">
        <v>28000</v>
      </c>
      <c r="I499" s="453">
        <v>64500</v>
      </c>
      <c r="J499" s="453">
        <v>1</v>
      </c>
      <c r="K499" s="453">
        <v>1</v>
      </c>
      <c r="L499" s="453" t="s">
        <v>147</v>
      </c>
      <c r="M499" s="453">
        <v>1</v>
      </c>
      <c r="N499" s="453" t="s">
        <v>122</v>
      </c>
      <c r="O499" s="453">
        <v>150</v>
      </c>
      <c r="P499" s="453" t="s">
        <v>123</v>
      </c>
      <c r="Q499" s="453" t="s">
        <v>149</v>
      </c>
      <c r="R499" s="453">
        <v>0</v>
      </c>
      <c r="T499" s="453">
        <v>7</v>
      </c>
      <c r="V499" s="453">
        <v>100</v>
      </c>
      <c r="W499" s="453">
        <v>500</v>
      </c>
      <c r="X499" s="453" t="s">
        <v>58</v>
      </c>
      <c r="Z499" s="453" t="s">
        <v>150</v>
      </c>
      <c r="AA499" s="453">
        <v>748</v>
      </c>
      <c r="AC499" s="453" t="s">
        <v>1269</v>
      </c>
    </row>
    <row r="500" spans="1:29">
      <c r="A500" s="453">
        <v>499</v>
      </c>
      <c r="B500" s="453" t="s">
        <v>1271</v>
      </c>
      <c r="C500" s="453" t="s">
        <v>1244</v>
      </c>
      <c r="D500" s="550" t="s">
        <v>1272</v>
      </c>
      <c r="F500" s="453">
        <v>1949</v>
      </c>
      <c r="G500" s="453">
        <v>1954</v>
      </c>
      <c r="H500" s="472">
        <v>11000</v>
      </c>
      <c r="I500" s="453">
        <v>22000</v>
      </c>
      <c r="J500" s="453">
        <v>1</v>
      </c>
      <c r="K500" s="453">
        <v>3</v>
      </c>
      <c r="L500" s="453" t="s">
        <v>147</v>
      </c>
      <c r="M500" s="453">
        <v>1</v>
      </c>
      <c r="N500" s="453" t="s">
        <v>122</v>
      </c>
      <c r="O500" s="453">
        <v>108</v>
      </c>
      <c r="P500" s="453" t="s">
        <v>123</v>
      </c>
      <c r="Q500" s="453" t="s">
        <v>149</v>
      </c>
      <c r="R500" s="453">
        <v>0</v>
      </c>
      <c r="T500" s="453">
        <v>7</v>
      </c>
      <c r="V500" s="453">
        <v>100</v>
      </c>
      <c r="W500" s="453">
        <v>500</v>
      </c>
      <c r="X500" s="453" t="s">
        <v>58</v>
      </c>
      <c r="Z500" s="453" t="s">
        <v>150</v>
      </c>
      <c r="AA500" s="453">
        <v>752</v>
      </c>
      <c r="AC500" s="453" t="s">
        <v>1271</v>
      </c>
    </row>
    <row r="501" spans="1:29">
      <c r="A501" s="453">
        <v>500</v>
      </c>
      <c r="B501" s="453" t="s">
        <v>1273</v>
      </c>
      <c r="C501" s="453" t="s">
        <v>1244</v>
      </c>
      <c r="D501" s="550" t="s">
        <v>1274</v>
      </c>
      <c r="F501" s="453">
        <v>1949</v>
      </c>
      <c r="G501" s="453">
        <v>1954</v>
      </c>
      <c r="H501" s="472">
        <v>11000</v>
      </c>
      <c r="I501" s="453">
        <v>25000</v>
      </c>
      <c r="J501" s="453">
        <v>1</v>
      </c>
      <c r="K501" s="453">
        <v>3</v>
      </c>
      <c r="L501" s="453" t="s">
        <v>147</v>
      </c>
      <c r="M501" s="453">
        <v>1</v>
      </c>
      <c r="N501" s="453" t="s">
        <v>122</v>
      </c>
      <c r="O501" s="453">
        <v>150</v>
      </c>
      <c r="P501" s="453" t="s">
        <v>123</v>
      </c>
      <c r="Q501" s="453" t="s">
        <v>149</v>
      </c>
      <c r="R501" s="453">
        <v>0</v>
      </c>
      <c r="T501" s="453">
        <v>4</v>
      </c>
      <c r="V501" s="453">
        <v>50</v>
      </c>
      <c r="W501" s="453">
        <v>250</v>
      </c>
      <c r="X501" s="453" t="s">
        <v>58</v>
      </c>
      <c r="Z501" s="453" t="s">
        <v>150</v>
      </c>
      <c r="AA501" s="453">
        <v>753</v>
      </c>
      <c r="AC501" s="453" t="s">
        <v>1273</v>
      </c>
    </row>
    <row r="502" spans="1:29">
      <c r="A502" s="453">
        <v>501</v>
      </c>
      <c r="B502" s="453" t="s">
        <v>1275</v>
      </c>
      <c r="C502" s="453" t="s">
        <v>1244</v>
      </c>
      <c r="D502" s="550" t="s">
        <v>1276</v>
      </c>
      <c r="F502" s="453">
        <v>1951</v>
      </c>
      <c r="G502" s="453">
        <v>1960</v>
      </c>
      <c r="H502" s="472">
        <v>11000</v>
      </c>
      <c r="I502" s="453">
        <v>25000</v>
      </c>
      <c r="J502" s="453">
        <v>1</v>
      </c>
      <c r="K502" s="453">
        <v>3</v>
      </c>
      <c r="L502" s="453" t="s">
        <v>147</v>
      </c>
      <c r="M502" s="453">
        <v>1</v>
      </c>
      <c r="N502" s="453" t="s">
        <v>122</v>
      </c>
      <c r="O502" s="453">
        <v>150</v>
      </c>
      <c r="P502" s="453" t="s">
        <v>148</v>
      </c>
      <c r="Q502" s="453" t="s">
        <v>149</v>
      </c>
      <c r="R502" s="453">
        <v>0</v>
      </c>
      <c r="T502" s="453">
        <v>4</v>
      </c>
      <c r="V502" s="453">
        <v>50</v>
      </c>
      <c r="W502" s="453">
        <v>250</v>
      </c>
      <c r="X502" s="453" t="s">
        <v>58</v>
      </c>
      <c r="Z502" s="453" t="s">
        <v>150</v>
      </c>
      <c r="AA502" s="453">
        <v>754</v>
      </c>
      <c r="AC502" s="453" t="s">
        <v>1275</v>
      </c>
    </row>
    <row r="503" spans="1:29">
      <c r="A503" s="453">
        <v>502</v>
      </c>
      <c r="B503" s="453" t="s">
        <v>1277</v>
      </c>
      <c r="C503" s="453" t="s">
        <v>1244</v>
      </c>
      <c r="D503" s="550" t="s">
        <v>1278</v>
      </c>
      <c r="F503" s="453">
        <v>1951</v>
      </c>
      <c r="G503" s="453">
        <v>1960</v>
      </c>
      <c r="H503" s="472">
        <v>11000</v>
      </c>
      <c r="I503" s="453">
        <v>25000</v>
      </c>
      <c r="J503" s="453">
        <v>1</v>
      </c>
      <c r="K503" s="453">
        <v>3</v>
      </c>
      <c r="L503" s="453" t="s">
        <v>147</v>
      </c>
      <c r="M503" s="453">
        <v>1</v>
      </c>
      <c r="N503" s="453" t="s">
        <v>122</v>
      </c>
      <c r="O503" s="453">
        <v>125</v>
      </c>
      <c r="P503" s="453" t="s">
        <v>123</v>
      </c>
      <c r="Q503" s="453" t="s">
        <v>149</v>
      </c>
      <c r="R503" s="453">
        <v>0</v>
      </c>
      <c r="T503" s="453">
        <v>7</v>
      </c>
      <c r="V503" s="453">
        <v>100</v>
      </c>
      <c r="W503" s="453">
        <v>500</v>
      </c>
      <c r="X503" s="453" t="s">
        <v>58</v>
      </c>
      <c r="Z503" s="453" t="s">
        <v>150</v>
      </c>
      <c r="AA503" s="453">
        <v>756</v>
      </c>
      <c r="AC503" s="453" t="s">
        <v>1277</v>
      </c>
    </row>
    <row r="504" spans="1:29">
      <c r="A504" s="453">
        <v>503</v>
      </c>
      <c r="B504" s="453" t="s">
        <v>1279</v>
      </c>
      <c r="C504" s="453" t="s">
        <v>1244</v>
      </c>
      <c r="D504" s="550" t="s">
        <v>1280</v>
      </c>
      <c r="F504" s="453">
        <v>1960</v>
      </c>
      <c r="G504" s="453">
        <v>1964</v>
      </c>
      <c r="H504" s="472">
        <v>11250</v>
      </c>
      <c r="I504" s="453">
        <v>19375</v>
      </c>
      <c r="J504" s="453">
        <v>1</v>
      </c>
      <c r="K504" s="453">
        <v>1</v>
      </c>
      <c r="L504" s="453" t="s">
        <v>147</v>
      </c>
      <c r="M504" s="453">
        <v>1</v>
      </c>
      <c r="N504" s="453" t="s">
        <v>122</v>
      </c>
      <c r="O504" s="453">
        <v>108</v>
      </c>
      <c r="P504" s="453" t="s">
        <v>148</v>
      </c>
      <c r="Q504" s="453" t="s">
        <v>149</v>
      </c>
      <c r="R504" s="453">
        <v>0</v>
      </c>
      <c r="T504" s="453">
        <v>4</v>
      </c>
      <c r="V504" s="453">
        <v>50</v>
      </c>
      <c r="W504" s="453">
        <v>250</v>
      </c>
      <c r="X504" s="453" t="s">
        <v>58</v>
      </c>
      <c r="Z504" s="453" t="s">
        <v>150</v>
      </c>
      <c r="AA504" s="453">
        <v>755</v>
      </c>
      <c r="AC504" s="453" t="s">
        <v>1279</v>
      </c>
    </row>
    <row r="505" spans="1:29">
      <c r="A505" s="453">
        <v>504</v>
      </c>
      <c r="B505" s="453" t="s">
        <v>1281</v>
      </c>
      <c r="C505" s="453" t="s">
        <v>1244</v>
      </c>
      <c r="D505" s="550" t="s">
        <v>1282</v>
      </c>
      <c r="F505" s="453">
        <v>1954</v>
      </c>
      <c r="G505" s="453">
        <v>1962</v>
      </c>
      <c r="H505" s="472">
        <v>22000</v>
      </c>
      <c r="I505" s="453">
        <v>44000</v>
      </c>
      <c r="J505" s="453">
        <v>1</v>
      </c>
      <c r="K505" s="453">
        <v>4</v>
      </c>
      <c r="L505" s="453" t="s">
        <v>147</v>
      </c>
      <c r="M505" s="453">
        <v>2</v>
      </c>
      <c r="N505" s="453" t="s">
        <v>122</v>
      </c>
      <c r="O505" s="453">
        <v>150</v>
      </c>
      <c r="P505" s="453" t="s">
        <v>132</v>
      </c>
      <c r="Q505" s="453" t="s">
        <v>149</v>
      </c>
      <c r="R505" s="453">
        <v>1</v>
      </c>
      <c r="S505" s="453">
        <v>0.75</v>
      </c>
      <c r="T505" s="453">
        <v>14</v>
      </c>
      <c r="U505" s="453" t="s">
        <v>229</v>
      </c>
      <c r="V505" s="453">
        <v>100</v>
      </c>
      <c r="W505" s="453">
        <v>500</v>
      </c>
      <c r="X505" s="453" t="s">
        <v>58</v>
      </c>
      <c r="Z505" s="453" t="s">
        <v>150</v>
      </c>
      <c r="AA505" s="453">
        <v>757</v>
      </c>
      <c r="AC505" s="453" t="s">
        <v>1281</v>
      </c>
    </row>
    <row r="506" spans="1:29">
      <c r="A506" s="453">
        <v>505</v>
      </c>
      <c r="B506" s="453" t="s">
        <v>1283</v>
      </c>
      <c r="C506" s="453" t="s">
        <v>1244</v>
      </c>
      <c r="D506" s="550" t="s">
        <v>1284</v>
      </c>
      <c r="F506" s="453">
        <v>1962</v>
      </c>
      <c r="G506" s="453">
        <v>1966</v>
      </c>
      <c r="H506" s="472">
        <v>38000</v>
      </c>
      <c r="I506" s="453">
        <v>68000</v>
      </c>
      <c r="J506" s="453">
        <v>1</v>
      </c>
      <c r="K506" s="453">
        <v>4</v>
      </c>
      <c r="L506" s="453" t="s">
        <v>147</v>
      </c>
      <c r="M506" s="453">
        <v>2</v>
      </c>
      <c r="N506" s="453" t="s">
        <v>122</v>
      </c>
      <c r="O506" s="453">
        <v>235</v>
      </c>
      <c r="P506" s="453" t="s">
        <v>132</v>
      </c>
      <c r="Q506" s="453" t="s">
        <v>149</v>
      </c>
      <c r="R506" s="453">
        <v>0.5</v>
      </c>
      <c r="S506" s="453">
        <v>0.5</v>
      </c>
      <c r="T506" s="453">
        <v>14</v>
      </c>
      <c r="U506" s="453" t="s">
        <v>229</v>
      </c>
      <c r="V506" s="453">
        <v>100</v>
      </c>
      <c r="W506" s="453">
        <v>500</v>
      </c>
      <c r="X506" s="453" t="s">
        <v>125</v>
      </c>
      <c r="Z506" s="453" t="s">
        <v>150</v>
      </c>
      <c r="AA506" s="453">
        <v>758</v>
      </c>
      <c r="AC506" s="453" t="s">
        <v>1283</v>
      </c>
    </row>
    <row r="507" spans="1:29">
      <c r="A507" s="453">
        <v>506</v>
      </c>
      <c r="B507" s="453" t="s">
        <v>1285</v>
      </c>
      <c r="C507" s="453" t="s">
        <v>1244</v>
      </c>
      <c r="D507" s="550" t="s">
        <v>1286</v>
      </c>
      <c r="F507" s="453">
        <v>1960</v>
      </c>
      <c r="G507" s="453">
        <v>1970</v>
      </c>
      <c r="H507" s="472">
        <v>24000</v>
      </c>
      <c r="I507" s="453">
        <v>85000</v>
      </c>
      <c r="J507" s="453">
        <v>1</v>
      </c>
      <c r="K507" s="453">
        <v>5</v>
      </c>
      <c r="L507" s="453" t="s">
        <v>147</v>
      </c>
      <c r="M507" s="453">
        <v>2</v>
      </c>
      <c r="N507" s="453" t="s">
        <v>122</v>
      </c>
      <c r="O507" s="453">
        <v>250</v>
      </c>
      <c r="P507" s="453" t="s">
        <v>132</v>
      </c>
      <c r="Q507" s="453" t="s">
        <v>149</v>
      </c>
      <c r="R507" s="453">
        <v>0.25</v>
      </c>
      <c r="S507" s="453">
        <v>0.25</v>
      </c>
      <c r="T507" s="453">
        <v>14</v>
      </c>
      <c r="U507" s="453" t="s">
        <v>229</v>
      </c>
      <c r="V507" s="453">
        <v>100</v>
      </c>
      <c r="W507" s="453">
        <v>500</v>
      </c>
      <c r="X507" s="453" t="s">
        <v>58</v>
      </c>
      <c r="Z507" s="453" t="s">
        <v>150</v>
      </c>
      <c r="AA507" s="453">
        <v>759</v>
      </c>
      <c r="AC507" s="453" t="s">
        <v>1285</v>
      </c>
    </row>
    <row r="508" spans="1:29">
      <c r="A508" s="453">
        <v>507</v>
      </c>
      <c r="B508" s="453" t="s">
        <v>1287</v>
      </c>
      <c r="C508" s="453" t="s">
        <v>1244</v>
      </c>
      <c r="D508" s="550" t="s">
        <v>1288</v>
      </c>
      <c r="F508" s="453">
        <v>1956</v>
      </c>
      <c r="G508" s="453">
        <v>1964</v>
      </c>
      <c r="H508" s="472">
        <v>20500</v>
      </c>
      <c r="I508" s="453">
        <v>45000</v>
      </c>
      <c r="J508" s="453">
        <v>1</v>
      </c>
      <c r="K508" s="453">
        <v>3</v>
      </c>
      <c r="L508" s="453" t="s">
        <v>147</v>
      </c>
      <c r="M508" s="453">
        <v>1</v>
      </c>
      <c r="N508" s="453" t="s">
        <v>122</v>
      </c>
      <c r="O508" s="453">
        <v>180</v>
      </c>
      <c r="P508" s="453" t="s">
        <v>132</v>
      </c>
      <c r="Q508" s="453" t="s">
        <v>149</v>
      </c>
      <c r="R508" s="453">
        <v>0.85</v>
      </c>
      <c r="T508" s="453">
        <v>10</v>
      </c>
      <c r="V508" s="453">
        <v>100</v>
      </c>
      <c r="W508" s="453">
        <v>500</v>
      </c>
      <c r="X508" s="453" t="s">
        <v>125</v>
      </c>
      <c r="Z508" s="453" t="s">
        <v>150</v>
      </c>
      <c r="AA508" s="453">
        <v>761</v>
      </c>
      <c r="AC508" s="453" t="s">
        <v>1287</v>
      </c>
    </row>
    <row r="509" spans="1:29">
      <c r="A509" s="453">
        <v>508</v>
      </c>
      <c r="B509" s="453" t="s">
        <v>1289</v>
      </c>
      <c r="C509" s="453" t="s">
        <v>1244</v>
      </c>
      <c r="D509" s="550" t="s">
        <v>1290</v>
      </c>
      <c r="F509" s="453">
        <v>1958</v>
      </c>
      <c r="G509" s="453">
        <v>1964</v>
      </c>
      <c r="H509" s="472">
        <v>29250</v>
      </c>
      <c r="I509" s="453">
        <v>63000</v>
      </c>
      <c r="J509" s="453">
        <v>1</v>
      </c>
      <c r="K509" s="453">
        <v>3</v>
      </c>
      <c r="L509" s="453" t="s">
        <v>147</v>
      </c>
      <c r="M509" s="453">
        <v>1</v>
      </c>
      <c r="N509" s="453" t="s">
        <v>122</v>
      </c>
      <c r="O509" s="453">
        <v>250</v>
      </c>
      <c r="P509" s="453" t="s">
        <v>132</v>
      </c>
      <c r="Q509" s="453" t="s">
        <v>149</v>
      </c>
      <c r="R509" s="453">
        <v>0.75</v>
      </c>
      <c r="T509" s="453">
        <v>10</v>
      </c>
      <c r="V509" s="453">
        <v>100</v>
      </c>
      <c r="W509" s="453">
        <v>500</v>
      </c>
      <c r="X509" s="453" t="s">
        <v>58</v>
      </c>
      <c r="Z509" s="453" t="s">
        <v>150</v>
      </c>
      <c r="AA509" s="453">
        <v>762</v>
      </c>
      <c r="AC509" s="453" t="s">
        <v>1289</v>
      </c>
    </row>
    <row r="510" spans="1:29">
      <c r="A510" s="453">
        <v>509</v>
      </c>
      <c r="B510" s="611" t="s">
        <v>1291</v>
      </c>
      <c r="C510" s="453" t="s">
        <v>1244</v>
      </c>
      <c r="D510" s="550" t="s">
        <v>1292</v>
      </c>
      <c r="F510" s="453">
        <v>1964</v>
      </c>
      <c r="G510" s="453">
        <v>1965</v>
      </c>
      <c r="H510" s="472">
        <v>42500</v>
      </c>
      <c r="I510" s="453">
        <v>71500</v>
      </c>
      <c r="J510" s="453">
        <v>1</v>
      </c>
      <c r="K510" s="453">
        <v>3</v>
      </c>
      <c r="L510" s="453" t="s">
        <v>147</v>
      </c>
      <c r="M510" s="453">
        <v>1</v>
      </c>
      <c r="N510" s="453" t="s">
        <v>122</v>
      </c>
      <c r="O510" s="453">
        <v>260</v>
      </c>
      <c r="P510" s="453" t="s">
        <v>132</v>
      </c>
      <c r="Q510" s="453" t="s">
        <v>149</v>
      </c>
      <c r="R510" s="453">
        <v>0.75</v>
      </c>
      <c r="T510" s="453">
        <v>10</v>
      </c>
      <c r="V510" s="453">
        <v>100</v>
      </c>
      <c r="W510" s="453">
        <v>500</v>
      </c>
      <c r="X510" s="453" t="s">
        <v>58</v>
      </c>
      <c r="Z510" s="453" t="s">
        <v>150</v>
      </c>
      <c r="AA510" s="453">
        <v>763</v>
      </c>
      <c r="AC510" s="453" t="s">
        <v>1293</v>
      </c>
    </row>
    <row r="511" spans="1:29">
      <c r="A511" s="453">
        <v>510</v>
      </c>
      <c r="B511" s="611" t="s">
        <v>1294</v>
      </c>
      <c r="C511" s="453" t="s">
        <v>1244</v>
      </c>
      <c r="D511" s="550" t="s">
        <v>1292</v>
      </c>
      <c r="F511" s="453">
        <v>1966</v>
      </c>
      <c r="G511" s="453">
        <v>1972</v>
      </c>
      <c r="H511" s="472">
        <v>44000</v>
      </c>
      <c r="I511" s="453">
        <v>101500</v>
      </c>
      <c r="J511" s="453">
        <v>1</v>
      </c>
      <c r="K511" s="453">
        <v>5</v>
      </c>
      <c r="L511" s="453" t="s">
        <v>147</v>
      </c>
      <c r="M511" s="453">
        <v>1</v>
      </c>
      <c r="N511" s="453" t="s">
        <v>122</v>
      </c>
      <c r="O511" s="453">
        <v>260</v>
      </c>
      <c r="P511" s="453" t="s">
        <v>132</v>
      </c>
      <c r="Q511" s="453" t="s">
        <v>149</v>
      </c>
      <c r="R511" s="453">
        <v>0.25</v>
      </c>
      <c r="T511" s="453">
        <v>10</v>
      </c>
      <c r="V511" s="453">
        <v>100</v>
      </c>
      <c r="W511" s="453">
        <v>500</v>
      </c>
      <c r="X511" s="453" t="s">
        <v>58</v>
      </c>
      <c r="Z511" s="453" t="s">
        <v>150</v>
      </c>
      <c r="AA511" s="453">
        <v>763</v>
      </c>
      <c r="AC511" s="453" t="s">
        <v>1293</v>
      </c>
    </row>
    <row r="512" spans="1:29">
      <c r="A512" s="453">
        <v>511</v>
      </c>
      <c r="B512" s="453" t="s">
        <v>1295</v>
      </c>
      <c r="C512" s="453" t="s">
        <v>1244</v>
      </c>
      <c r="D512" s="550" t="s">
        <v>1296</v>
      </c>
      <c r="F512" s="453">
        <v>1964</v>
      </c>
      <c r="G512" s="453">
        <v>1965</v>
      </c>
      <c r="H512" s="472">
        <v>84000</v>
      </c>
      <c r="I512" s="453">
        <v>145000</v>
      </c>
      <c r="J512" s="453">
        <v>1</v>
      </c>
      <c r="K512" s="453">
        <v>4</v>
      </c>
      <c r="L512" s="453" t="s">
        <v>147</v>
      </c>
      <c r="M512" s="453">
        <v>1</v>
      </c>
      <c r="N512" s="453" t="s">
        <v>122</v>
      </c>
      <c r="O512" s="453">
        <v>400</v>
      </c>
      <c r="P512" s="453" t="s">
        <v>132</v>
      </c>
      <c r="Q512" s="453" t="s">
        <v>124</v>
      </c>
      <c r="R512" s="453">
        <v>1.5</v>
      </c>
      <c r="T512" s="453">
        <v>11</v>
      </c>
      <c r="V512" s="453">
        <v>100</v>
      </c>
      <c r="W512" s="453">
        <v>500</v>
      </c>
      <c r="X512" s="453" t="s">
        <v>125</v>
      </c>
      <c r="Z512" s="453" t="s">
        <v>150</v>
      </c>
      <c r="AA512" s="453">
        <v>764</v>
      </c>
      <c r="AC512" s="453" t="s">
        <v>1295</v>
      </c>
    </row>
    <row r="513" spans="1:29">
      <c r="A513" s="453">
        <v>512</v>
      </c>
      <c r="B513" s="453" t="s">
        <v>1297</v>
      </c>
      <c r="C513" s="453" t="s">
        <v>1244</v>
      </c>
      <c r="D513" s="550" t="s">
        <v>1298</v>
      </c>
      <c r="F513" s="453">
        <v>1960</v>
      </c>
      <c r="G513" s="453">
        <v>1962</v>
      </c>
      <c r="H513" s="472">
        <v>20000</v>
      </c>
      <c r="I513" s="453">
        <v>43000</v>
      </c>
      <c r="J513" s="453">
        <v>1</v>
      </c>
      <c r="K513" s="453">
        <v>0</v>
      </c>
      <c r="L513" s="453" t="s">
        <v>147</v>
      </c>
      <c r="M513" s="453">
        <v>1</v>
      </c>
      <c r="N513" s="453" t="s">
        <v>122</v>
      </c>
      <c r="O513" s="453">
        <v>150</v>
      </c>
      <c r="P513" s="453" t="s">
        <v>123</v>
      </c>
      <c r="Q513" s="453" t="s">
        <v>149</v>
      </c>
      <c r="R513" s="453">
        <v>0</v>
      </c>
      <c r="T513" s="453">
        <v>1</v>
      </c>
      <c r="V513" s="453">
        <v>100</v>
      </c>
      <c r="W513" s="453">
        <v>500</v>
      </c>
      <c r="X513" s="453" t="s">
        <v>125</v>
      </c>
      <c r="AA513" s="453">
        <v>1316</v>
      </c>
      <c r="AC513" s="453" t="s">
        <v>1297</v>
      </c>
    </row>
    <row r="514" spans="1:29">
      <c r="A514" s="453">
        <v>513</v>
      </c>
      <c r="B514" s="453" t="s">
        <v>1299</v>
      </c>
      <c r="C514" s="453" t="s">
        <v>1244</v>
      </c>
      <c r="D514" s="550" t="s">
        <v>1300</v>
      </c>
      <c r="F514" s="453">
        <v>1962</v>
      </c>
      <c r="G514" s="453">
        <v>1977</v>
      </c>
      <c r="H514" s="472">
        <v>15750</v>
      </c>
      <c r="I514" s="453">
        <v>35000</v>
      </c>
      <c r="J514" s="453">
        <v>1</v>
      </c>
      <c r="K514" s="453">
        <v>3</v>
      </c>
      <c r="L514" s="453" t="s">
        <v>147</v>
      </c>
      <c r="M514" s="453">
        <v>1</v>
      </c>
      <c r="N514" s="453" t="s">
        <v>122</v>
      </c>
      <c r="O514" s="453">
        <v>150</v>
      </c>
      <c r="P514" s="453" t="s">
        <v>148</v>
      </c>
      <c r="Q514" s="453" t="s">
        <v>149</v>
      </c>
      <c r="R514" s="453">
        <v>0</v>
      </c>
      <c r="T514" s="453">
        <v>4</v>
      </c>
      <c r="V514" s="453">
        <v>50</v>
      </c>
      <c r="W514" s="453">
        <v>250</v>
      </c>
      <c r="X514" s="453" t="s">
        <v>58</v>
      </c>
      <c r="Z514" s="453" t="s">
        <v>150</v>
      </c>
      <c r="AA514" s="453">
        <v>765</v>
      </c>
      <c r="AC514" s="453" t="s">
        <v>1299</v>
      </c>
    </row>
    <row r="515" spans="1:29">
      <c r="A515" s="453">
        <v>514</v>
      </c>
      <c r="B515" s="453" t="s">
        <v>1301</v>
      </c>
      <c r="C515" s="453" t="s">
        <v>1244</v>
      </c>
      <c r="D515" s="550" t="s">
        <v>1302</v>
      </c>
      <c r="F515" s="453">
        <v>1961</v>
      </c>
      <c r="G515" s="453">
        <v>1968</v>
      </c>
      <c r="H515" s="472">
        <v>15375</v>
      </c>
      <c r="I515" s="453">
        <v>32000</v>
      </c>
      <c r="J515" s="453">
        <v>1</v>
      </c>
      <c r="K515" s="453">
        <v>3</v>
      </c>
      <c r="L515" s="453" t="s">
        <v>147</v>
      </c>
      <c r="M515" s="453">
        <v>1</v>
      </c>
      <c r="N515" s="453" t="s">
        <v>122</v>
      </c>
      <c r="O515" s="453">
        <v>150</v>
      </c>
      <c r="P515" s="453" t="s">
        <v>148</v>
      </c>
      <c r="Q515" s="453" t="s">
        <v>149</v>
      </c>
      <c r="R515" s="453">
        <v>0</v>
      </c>
      <c r="T515" s="453">
        <v>4</v>
      </c>
      <c r="V515" s="453">
        <v>50</v>
      </c>
      <c r="W515" s="453">
        <v>250</v>
      </c>
      <c r="X515" s="453" t="s">
        <v>58</v>
      </c>
      <c r="Z515" s="453" t="s">
        <v>150</v>
      </c>
      <c r="AA515" s="453">
        <v>766</v>
      </c>
      <c r="AC515" s="453" t="s">
        <v>1301</v>
      </c>
    </row>
    <row r="516" spans="1:29">
      <c r="A516" s="453">
        <v>515</v>
      </c>
      <c r="B516" s="453" t="s">
        <v>1303</v>
      </c>
      <c r="C516" s="453" t="s">
        <v>1244</v>
      </c>
      <c r="D516" s="550" t="s">
        <v>1304</v>
      </c>
      <c r="F516" s="453">
        <v>1973</v>
      </c>
      <c r="G516" s="453">
        <v>1977</v>
      </c>
      <c r="H516" s="472">
        <v>18750</v>
      </c>
      <c r="I516" s="453">
        <v>35000</v>
      </c>
      <c r="J516" s="453">
        <v>1</v>
      </c>
      <c r="K516" s="453">
        <v>3</v>
      </c>
      <c r="L516" s="453" t="s">
        <v>147</v>
      </c>
      <c r="M516" s="453">
        <v>1</v>
      </c>
      <c r="N516" s="453" t="s">
        <v>122</v>
      </c>
      <c r="O516" s="453">
        <v>150</v>
      </c>
      <c r="P516" s="453" t="s">
        <v>148</v>
      </c>
      <c r="Q516" s="453" t="s">
        <v>149</v>
      </c>
      <c r="R516" s="453">
        <v>0</v>
      </c>
      <c r="T516" s="453">
        <v>4</v>
      </c>
      <c r="V516" s="453">
        <v>50</v>
      </c>
      <c r="W516" s="453">
        <v>250</v>
      </c>
      <c r="X516" s="453" t="s">
        <v>58</v>
      </c>
      <c r="Z516" s="453" t="s">
        <v>150</v>
      </c>
      <c r="AA516" s="453">
        <v>767</v>
      </c>
      <c r="AC516" s="453" t="s">
        <v>1303</v>
      </c>
    </row>
    <row r="517" spans="1:29">
      <c r="A517" s="453">
        <v>516</v>
      </c>
      <c r="B517" s="453" t="s">
        <v>1305</v>
      </c>
      <c r="C517" s="453" t="s">
        <v>1244</v>
      </c>
      <c r="D517" s="550" t="s">
        <v>1306</v>
      </c>
      <c r="F517" s="453">
        <v>1961</v>
      </c>
      <c r="G517" s="453">
        <v>1968</v>
      </c>
      <c r="H517" s="472">
        <v>16875</v>
      </c>
      <c r="I517" s="453">
        <v>35000</v>
      </c>
      <c r="J517" s="453">
        <v>1</v>
      </c>
      <c r="K517" s="453">
        <v>3</v>
      </c>
      <c r="L517" s="453" t="s">
        <v>147</v>
      </c>
      <c r="M517" s="453">
        <v>1</v>
      </c>
      <c r="N517" s="453" t="s">
        <v>122</v>
      </c>
      <c r="O517" s="453">
        <v>160</v>
      </c>
      <c r="P517" s="453" t="s">
        <v>148</v>
      </c>
      <c r="Q517" s="453" t="s">
        <v>149</v>
      </c>
      <c r="R517" s="453">
        <v>0</v>
      </c>
      <c r="T517" s="453">
        <v>4</v>
      </c>
      <c r="V517" s="453">
        <v>50</v>
      </c>
      <c r="W517" s="453">
        <v>250</v>
      </c>
      <c r="X517" s="453" t="s">
        <v>58</v>
      </c>
      <c r="Z517" s="453" t="s">
        <v>150</v>
      </c>
      <c r="AA517" s="453">
        <v>768</v>
      </c>
      <c r="AC517" s="453" t="s">
        <v>1305</v>
      </c>
    </row>
    <row r="518" spans="1:29">
      <c r="A518" s="453">
        <v>517</v>
      </c>
      <c r="B518" s="453" t="s">
        <v>1307</v>
      </c>
      <c r="C518" s="453" t="s">
        <v>1244</v>
      </c>
      <c r="D518" s="550" t="s">
        <v>1308</v>
      </c>
      <c r="F518" s="453">
        <v>1974</v>
      </c>
      <c r="G518" s="453">
        <v>1979</v>
      </c>
      <c r="H518" s="472">
        <v>21750</v>
      </c>
      <c r="I518" s="453">
        <v>38750</v>
      </c>
      <c r="J518" s="453">
        <v>1</v>
      </c>
      <c r="K518" s="453">
        <v>3</v>
      </c>
      <c r="L518" s="453" t="s">
        <v>147</v>
      </c>
      <c r="M518" s="453">
        <v>1</v>
      </c>
      <c r="N518" s="453" t="s">
        <v>122</v>
      </c>
      <c r="O518" s="453">
        <v>160</v>
      </c>
      <c r="P518" s="453" t="s">
        <v>148</v>
      </c>
      <c r="Q518" s="453" t="s">
        <v>149</v>
      </c>
      <c r="R518" s="453">
        <v>0</v>
      </c>
      <c r="T518" s="453">
        <v>4</v>
      </c>
      <c r="V518" s="453">
        <v>50</v>
      </c>
      <c r="W518" s="453">
        <v>250</v>
      </c>
      <c r="X518" s="453" t="s">
        <v>58</v>
      </c>
      <c r="Z518" s="453" t="s">
        <v>150</v>
      </c>
      <c r="AA518" s="453">
        <v>769</v>
      </c>
      <c r="AC518" s="453" t="s">
        <v>1307</v>
      </c>
    </row>
    <row r="519" spans="1:29">
      <c r="A519" s="453">
        <v>518</v>
      </c>
      <c r="B519" s="453" t="s">
        <v>1309</v>
      </c>
      <c r="C519" s="453" t="s">
        <v>1244</v>
      </c>
      <c r="D519" s="550" t="s">
        <v>1310</v>
      </c>
      <c r="F519" s="453">
        <v>1961</v>
      </c>
      <c r="G519" s="453">
        <v>1969</v>
      </c>
      <c r="H519" s="472">
        <v>21000</v>
      </c>
      <c r="I519" s="453">
        <v>45000</v>
      </c>
      <c r="J519" s="453">
        <v>1</v>
      </c>
      <c r="K519" s="453">
        <v>3</v>
      </c>
      <c r="L519" s="453" t="s">
        <v>147</v>
      </c>
      <c r="M519" s="453">
        <v>1</v>
      </c>
      <c r="N519" s="453" t="s">
        <v>122</v>
      </c>
      <c r="O519" s="453">
        <v>180</v>
      </c>
      <c r="P519" s="453" t="s">
        <v>148</v>
      </c>
      <c r="Q519" s="453" t="s">
        <v>149</v>
      </c>
      <c r="R519" s="453">
        <v>0</v>
      </c>
      <c r="T519" s="453">
        <v>4</v>
      </c>
      <c r="V519" s="453">
        <v>50</v>
      </c>
      <c r="W519" s="453">
        <v>250</v>
      </c>
      <c r="X519" s="453" t="s">
        <v>58</v>
      </c>
      <c r="Z519" s="453" t="s">
        <v>150</v>
      </c>
      <c r="AA519" s="453">
        <v>774</v>
      </c>
      <c r="AC519" s="453" t="s">
        <v>1309</v>
      </c>
    </row>
    <row r="520" spans="1:29">
      <c r="A520" s="453">
        <v>519</v>
      </c>
      <c r="B520" s="453" t="s">
        <v>1311</v>
      </c>
      <c r="C520" s="453" t="s">
        <v>1244</v>
      </c>
      <c r="D520" s="550" t="s">
        <v>1312</v>
      </c>
      <c r="F520" s="453">
        <v>1975</v>
      </c>
      <c r="G520" s="453">
        <v>1979</v>
      </c>
      <c r="H520" s="472">
        <v>31500</v>
      </c>
      <c r="I520" s="453">
        <v>60000</v>
      </c>
      <c r="J520" s="453">
        <v>1</v>
      </c>
      <c r="K520" s="453">
        <v>3</v>
      </c>
      <c r="L520" s="453" t="s">
        <v>147</v>
      </c>
      <c r="M520" s="453">
        <v>1</v>
      </c>
      <c r="N520" s="453" t="s">
        <v>122</v>
      </c>
      <c r="O520" s="453">
        <v>180</v>
      </c>
      <c r="P520" s="453" t="s">
        <v>148</v>
      </c>
      <c r="Q520" s="453" t="s">
        <v>149</v>
      </c>
      <c r="R520" s="453">
        <v>0</v>
      </c>
      <c r="T520" s="453">
        <v>4</v>
      </c>
      <c r="V520" s="453">
        <v>50</v>
      </c>
      <c r="W520" s="453">
        <v>250</v>
      </c>
      <c r="X520" s="453" t="s">
        <v>58</v>
      </c>
      <c r="Z520" s="453" t="s">
        <v>150</v>
      </c>
      <c r="AA520" s="453">
        <v>829</v>
      </c>
      <c r="AC520" s="453" t="s">
        <v>1311</v>
      </c>
    </row>
    <row r="521" spans="1:29">
      <c r="A521" s="453">
        <v>520</v>
      </c>
      <c r="B521" s="644" t="s">
        <v>3963</v>
      </c>
      <c r="C521" s="453" t="s">
        <v>1244</v>
      </c>
      <c r="D521" s="645" t="s">
        <v>3964</v>
      </c>
      <c r="F521" s="453">
        <v>2020</v>
      </c>
      <c r="G521" s="453">
        <v>2025</v>
      </c>
      <c r="H521" s="472">
        <v>250000</v>
      </c>
      <c r="I521" s="453">
        <v>350000</v>
      </c>
      <c r="J521" s="453">
        <v>1</v>
      </c>
      <c r="K521" s="453">
        <v>2</v>
      </c>
      <c r="L521" s="453" t="s">
        <v>147</v>
      </c>
      <c r="M521" s="453">
        <v>1</v>
      </c>
      <c r="N521" s="453" t="s">
        <v>122</v>
      </c>
      <c r="O521" s="453">
        <v>180</v>
      </c>
      <c r="P521" s="453" t="s">
        <v>148</v>
      </c>
      <c r="Q521" s="453" t="s">
        <v>149</v>
      </c>
      <c r="R521" s="453">
        <v>0</v>
      </c>
      <c r="T521" s="453">
        <v>4</v>
      </c>
      <c r="V521" s="453">
        <v>50</v>
      </c>
      <c r="W521" s="453">
        <v>250</v>
      </c>
      <c r="X521" s="453" t="s">
        <v>58</v>
      </c>
      <c r="Z521" s="453" t="s">
        <v>150</v>
      </c>
      <c r="AC521" s="644" t="s">
        <v>3963</v>
      </c>
    </row>
    <row r="522" spans="1:29">
      <c r="A522" s="453">
        <v>521</v>
      </c>
      <c r="B522" s="453" t="s">
        <v>1313</v>
      </c>
      <c r="C522" s="453" t="s">
        <v>1244</v>
      </c>
      <c r="D522" s="550" t="s">
        <v>1314</v>
      </c>
      <c r="F522" s="453">
        <v>1978</v>
      </c>
      <c r="G522" s="453">
        <v>1980</v>
      </c>
      <c r="H522" s="472">
        <v>54000</v>
      </c>
      <c r="I522" s="453">
        <v>90000</v>
      </c>
      <c r="J522" s="453">
        <v>1</v>
      </c>
      <c r="K522" s="453">
        <v>3</v>
      </c>
      <c r="L522" s="453" t="s">
        <v>147</v>
      </c>
      <c r="M522" s="453">
        <v>1</v>
      </c>
      <c r="N522" s="453" t="s">
        <v>122</v>
      </c>
      <c r="O522" s="453">
        <v>200</v>
      </c>
      <c r="P522" s="453" t="s">
        <v>148</v>
      </c>
      <c r="Q522" s="453" t="s">
        <v>149</v>
      </c>
      <c r="R522" s="453">
        <v>0</v>
      </c>
      <c r="T522" s="453">
        <v>4</v>
      </c>
      <c r="V522" s="453">
        <v>50</v>
      </c>
      <c r="W522" s="453">
        <v>250</v>
      </c>
      <c r="X522" s="453" t="s">
        <v>58</v>
      </c>
      <c r="Z522" s="453" t="s">
        <v>150</v>
      </c>
      <c r="AA522" s="453">
        <v>779</v>
      </c>
      <c r="AC522" s="453" t="s">
        <v>1313</v>
      </c>
    </row>
    <row r="523" spans="1:29">
      <c r="A523" s="453">
        <v>522</v>
      </c>
      <c r="B523" s="453" t="s">
        <v>1315</v>
      </c>
      <c r="C523" s="453" t="s">
        <v>1244</v>
      </c>
      <c r="D523" s="550" t="s">
        <v>1316</v>
      </c>
      <c r="F523" s="453">
        <v>1963</v>
      </c>
      <c r="G523" s="453">
        <v>1969</v>
      </c>
      <c r="H523" s="472">
        <v>32000</v>
      </c>
      <c r="I523" s="453">
        <v>65000</v>
      </c>
      <c r="J523" s="453">
        <v>1</v>
      </c>
      <c r="K523" s="453">
        <v>3</v>
      </c>
      <c r="L523" s="453" t="s">
        <v>147</v>
      </c>
      <c r="M523" s="453">
        <v>1</v>
      </c>
      <c r="N523" s="453" t="s">
        <v>122</v>
      </c>
      <c r="O523" s="453">
        <v>235</v>
      </c>
      <c r="P523" s="453" t="s">
        <v>148</v>
      </c>
      <c r="Q523" s="453" t="s">
        <v>149</v>
      </c>
      <c r="R523" s="453">
        <v>0</v>
      </c>
      <c r="T523" s="453">
        <v>4</v>
      </c>
      <c r="V523" s="453">
        <v>50</v>
      </c>
      <c r="W523" s="453">
        <v>250</v>
      </c>
      <c r="X523" s="453" t="s">
        <v>58</v>
      </c>
      <c r="Z523" s="453" t="s">
        <v>150</v>
      </c>
      <c r="AA523" s="453">
        <v>780</v>
      </c>
      <c r="AC523" s="453" t="s">
        <v>1315</v>
      </c>
    </row>
    <row r="524" spans="1:29">
      <c r="A524" s="453">
        <v>523</v>
      </c>
      <c r="B524" s="453" t="s">
        <v>1317</v>
      </c>
      <c r="C524" s="453" t="s">
        <v>1244</v>
      </c>
      <c r="D524" s="550" t="s">
        <v>1318</v>
      </c>
      <c r="F524" s="453">
        <v>1978</v>
      </c>
      <c r="G524" s="453">
        <v>1989</v>
      </c>
      <c r="H524" s="472">
        <v>57000</v>
      </c>
      <c r="I524" s="453">
        <v>160000</v>
      </c>
      <c r="J524" s="453">
        <v>1</v>
      </c>
      <c r="K524" s="453">
        <v>3</v>
      </c>
      <c r="L524" s="453" t="s">
        <v>147</v>
      </c>
      <c r="M524" s="453">
        <v>1</v>
      </c>
      <c r="N524" s="453" t="s">
        <v>122</v>
      </c>
      <c r="O524" s="453">
        <v>235</v>
      </c>
      <c r="P524" s="453" t="s">
        <v>148</v>
      </c>
      <c r="Q524" s="453" t="s">
        <v>149</v>
      </c>
      <c r="R524" s="453">
        <v>0</v>
      </c>
      <c r="T524" s="453">
        <v>4</v>
      </c>
      <c r="V524" s="453">
        <v>50</v>
      </c>
      <c r="W524" s="453">
        <v>250</v>
      </c>
      <c r="X524" s="453" t="s">
        <v>58</v>
      </c>
      <c r="Z524" s="453" t="s">
        <v>150</v>
      </c>
      <c r="AA524" s="453">
        <v>782</v>
      </c>
      <c r="AC524" s="453" t="s">
        <v>1317</v>
      </c>
    </row>
    <row r="525" spans="1:29">
      <c r="A525" s="453">
        <v>524</v>
      </c>
      <c r="B525" s="453" t="s">
        <v>1319</v>
      </c>
      <c r="C525" s="453" t="s">
        <v>1244</v>
      </c>
      <c r="D525" s="550" t="s">
        <v>1320</v>
      </c>
      <c r="F525" s="453">
        <v>1967</v>
      </c>
      <c r="G525" s="453">
        <v>1979</v>
      </c>
      <c r="H525" s="472">
        <v>28500</v>
      </c>
      <c r="I525" s="453">
        <v>85000</v>
      </c>
      <c r="J525" s="453">
        <v>1</v>
      </c>
      <c r="K525" s="453">
        <v>3</v>
      </c>
      <c r="L525" s="453" t="s">
        <v>147</v>
      </c>
      <c r="M525" s="453">
        <v>1</v>
      </c>
      <c r="N525" s="453" t="s">
        <v>122</v>
      </c>
      <c r="O525" s="453">
        <v>180</v>
      </c>
      <c r="P525" s="453" t="s">
        <v>132</v>
      </c>
      <c r="Q525" s="453" t="s">
        <v>149</v>
      </c>
      <c r="R525" s="453">
        <v>0.5</v>
      </c>
      <c r="T525" s="453">
        <v>10</v>
      </c>
      <c r="V525" s="453">
        <v>100</v>
      </c>
      <c r="W525" s="453">
        <v>500</v>
      </c>
      <c r="X525" s="453" t="s">
        <v>58</v>
      </c>
      <c r="Z525" s="453" t="s">
        <v>150</v>
      </c>
      <c r="AA525" s="453">
        <v>784</v>
      </c>
      <c r="AC525" s="453" t="s">
        <v>1319</v>
      </c>
    </row>
    <row r="526" spans="1:29">
      <c r="A526" s="453">
        <v>525</v>
      </c>
      <c r="B526" s="453" t="s">
        <v>1321</v>
      </c>
      <c r="C526" s="453" t="s">
        <v>1244</v>
      </c>
      <c r="D526" s="550" t="s">
        <v>1322</v>
      </c>
      <c r="F526" s="453">
        <v>1963</v>
      </c>
      <c r="G526" s="453">
        <v>1969</v>
      </c>
      <c r="H526" s="472">
        <v>30000</v>
      </c>
      <c r="I526" s="453">
        <v>119000</v>
      </c>
      <c r="J526" s="453">
        <v>1</v>
      </c>
      <c r="K526" s="453">
        <v>5</v>
      </c>
      <c r="L526" s="453" t="s">
        <v>147</v>
      </c>
      <c r="M526" s="453">
        <v>2</v>
      </c>
      <c r="N526" s="453" t="s">
        <v>122</v>
      </c>
      <c r="O526" s="453">
        <v>160</v>
      </c>
      <c r="P526" s="453" t="s">
        <v>132</v>
      </c>
      <c r="Q526" s="453" t="s">
        <v>124</v>
      </c>
      <c r="R526" s="453">
        <v>0.5</v>
      </c>
      <c r="S526" s="453">
        <v>0.5</v>
      </c>
      <c r="T526" s="453">
        <v>15</v>
      </c>
      <c r="U526" s="453" t="s">
        <v>229</v>
      </c>
      <c r="V526" s="453">
        <v>100</v>
      </c>
      <c r="W526" s="453">
        <v>500</v>
      </c>
      <c r="X526" s="453" t="s">
        <v>58</v>
      </c>
      <c r="Z526" s="453" t="s">
        <v>150</v>
      </c>
      <c r="AA526" s="453">
        <v>789</v>
      </c>
      <c r="AC526" s="453" t="s">
        <v>1321</v>
      </c>
    </row>
    <row r="527" spans="1:29">
      <c r="A527" s="453">
        <v>526</v>
      </c>
      <c r="B527" s="453" t="s">
        <v>1323</v>
      </c>
      <c r="C527" s="453" t="s">
        <v>1244</v>
      </c>
      <c r="D527" s="550" t="s">
        <v>1324</v>
      </c>
      <c r="F527" s="453">
        <v>1967</v>
      </c>
      <c r="G527" s="453">
        <v>1972</v>
      </c>
      <c r="H527" s="472">
        <v>62000</v>
      </c>
      <c r="I527" s="453">
        <v>135000</v>
      </c>
      <c r="J527" s="453">
        <v>1</v>
      </c>
      <c r="K527" s="453">
        <v>6</v>
      </c>
      <c r="L527" s="453" t="s">
        <v>147</v>
      </c>
      <c r="M527" s="453">
        <v>2</v>
      </c>
      <c r="N527" s="453" t="s">
        <v>122</v>
      </c>
      <c r="O527" s="453">
        <v>310</v>
      </c>
      <c r="P527" s="453" t="s">
        <v>132</v>
      </c>
      <c r="Q527" s="453" t="s">
        <v>124</v>
      </c>
      <c r="R527" s="453">
        <v>0</v>
      </c>
      <c r="T527" s="453">
        <v>15</v>
      </c>
      <c r="U527" s="453" t="s">
        <v>123</v>
      </c>
      <c r="V527" s="453">
        <v>100</v>
      </c>
      <c r="W527" s="453">
        <v>500</v>
      </c>
      <c r="X527" s="453" t="s">
        <v>58</v>
      </c>
      <c r="Z527" s="453" t="s">
        <v>150</v>
      </c>
      <c r="AA527" s="453">
        <v>790</v>
      </c>
      <c r="AC527" s="453" t="s">
        <v>1323</v>
      </c>
    </row>
    <row r="528" spans="1:29">
      <c r="A528" s="453">
        <v>527</v>
      </c>
      <c r="B528" s="453" t="s">
        <v>1325</v>
      </c>
      <c r="C528" s="453" t="s">
        <v>1244</v>
      </c>
      <c r="D528" s="550" t="s">
        <v>1326</v>
      </c>
      <c r="F528" s="453">
        <v>1973</v>
      </c>
      <c r="G528" s="453">
        <v>1979</v>
      </c>
      <c r="H528" s="472">
        <v>99000</v>
      </c>
      <c r="I528" s="453">
        <v>230000</v>
      </c>
      <c r="J528" s="453">
        <v>1</v>
      </c>
      <c r="K528" s="453">
        <v>7</v>
      </c>
      <c r="L528" s="453" t="s">
        <v>147</v>
      </c>
      <c r="M528" s="453">
        <v>2</v>
      </c>
      <c r="N528" s="453" t="s">
        <v>122</v>
      </c>
      <c r="O528" s="453">
        <v>310</v>
      </c>
      <c r="P528" s="453" t="s">
        <v>132</v>
      </c>
      <c r="Q528" s="453" t="s">
        <v>124</v>
      </c>
      <c r="R528" s="453">
        <v>0</v>
      </c>
      <c r="T528" s="453">
        <v>15</v>
      </c>
      <c r="U528" s="453" t="s">
        <v>123</v>
      </c>
      <c r="V528" s="453">
        <v>100</v>
      </c>
      <c r="W528" s="453">
        <v>500</v>
      </c>
      <c r="X528" s="453" t="s">
        <v>58</v>
      </c>
      <c r="Z528" s="453" t="s">
        <v>150</v>
      </c>
      <c r="AA528" s="453">
        <v>791</v>
      </c>
      <c r="AC528" s="453" t="s">
        <v>1325</v>
      </c>
    </row>
    <row r="529" spans="1:29">
      <c r="A529" s="453">
        <v>528</v>
      </c>
      <c r="B529" s="453" t="s">
        <v>1327</v>
      </c>
      <c r="C529" s="453" t="s">
        <v>1244</v>
      </c>
      <c r="D529" s="550" t="s">
        <v>1328</v>
      </c>
      <c r="F529" s="453">
        <v>1973</v>
      </c>
      <c r="G529" s="453">
        <v>1979</v>
      </c>
      <c r="H529" s="472">
        <v>128250</v>
      </c>
      <c r="I529" s="453">
        <v>331250</v>
      </c>
      <c r="J529" s="453">
        <v>1</v>
      </c>
      <c r="K529" s="453">
        <v>9</v>
      </c>
      <c r="L529" s="453" t="s">
        <v>147</v>
      </c>
      <c r="M529" s="453">
        <v>2</v>
      </c>
      <c r="N529" s="453" t="s">
        <v>122</v>
      </c>
      <c r="O529" s="453">
        <v>350</v>
      </c>
      <c r="P529" s="453" t="s">
        <v>132</v>
      </c>
      <c r="Q529" s="453" t="s">
        <v>133</v>
      </c>
      <c r="R529" s="453">
        <v>0</v>
      </c>
      <c r="T529" s="453">
        <v>16</v>
      </c>
      <c r="U529" s="453" t="s">
        <v>123</v>
      </c>
      <c r="V529" s="453">
        <v>100</v>
      </c>
      <c r="W529" s="453">
        <v>500</v>
      </c>
      <c r="X529" s="453" t="s">
        <v>58</v>
      </c>
      <c r="Z529" s="453" t="s">
        <v>150</v>
      </c>
      <c r="AA529" s="453">
        <v>793</v>
      </c>
      <c r="AC529" s="453" t="s">
        <v>1327</v>
      </c>
    </row>
    <row r="530" spans="1:29">
      <c r="A530" s="453">
        <v>529</v>
      </c>
      <c r="B530" s="453" t="s">
        <v>1329</v>
      </c>
      <c r="C530" s="453" t="s">
        <v>1244</v>
      </c>
      <c r="D530" s="550" t="s">
        <v>1330</v>
      </c>
      <c r="F530" s="453">
        <v>1984</v>
      </c>
      <c r="G530" s="453">
        <v>1984</v>
      </c>
      <c r="H530" s="472">
        <v>240000</v>
      </c>
      <c r="I530" s="453">
        <v>400000</v>
      </c>
      <c r="J530" s="453">
        <v>1</v>
      </c>
      <c r="K530" s="453">
        <v>6</v>
      </c>
      <c r="L530" s="453" t="s">
        <v>147</v>
      </c>
      <c r="M530" s="453">
        <v>2</v>
      </c>
      <c r="N530" s="453" t="s">
        <v>122</v>
      </c>
      <c r="O530" s="453">
        <v>350</v>
      </c>
      <c r="P530" s="453" t="s">
        <v>132</v>
      </c>
      <c r="Q530" s="453" t="s">
        <v>133</v>
      </c>
      <c r="R530" s="453">
        <v>0</v>
      </c>
      <c r="T530" s="453">
        <v>16</v>
      </c>
      <c r="U530" s="453" t="s">
        <v>123</v>
      </c>
      <c r="V530" s="453">
        <v>100</v>
      </c>
      <c r="W530" s="453">
        <v>500</v>
      </c>
      <c r="X530" s="453" t="s">
        <v>125</v>
      </c>
      <c r="Z530" s="453" t="s">
        <v>150</v>
      </c>
      <c r="AA530" s="453">
        <v>795</v>
      </c>
      <c r="AC530" s="453" t="s">
        <v>1329</v>
      </c>
    </row>
    <row r="531" spans="1:29">
      <c r="A531" s="453">
        <v>530</v>
      </c>
      <c r="B531" s="453" t="s">
        <v>1331</v>
      </c>
      <c r="C531" s="453" t="s">
        <v>1244</v>
      </c>
      <c r="D531" s="550" t="s">
        <v>1332</v>
      </c>
      <c r="F531" s="453">
        <v>1970</v>
      </c>
      <c r="G531" s="453">
        <v>1977</v>
      </c>
      <c r="H531" s="472">
        <v>90000</v>
      </c>
      <c r="I531" s="453">
        <v>220000</v>
      </c>
      <c r="J531" s="453">
        <v>1</v>
      </c>
      <c r="K531" s="453">
        <v>7</v>
      </c>
      <c r="L531" s="453" t="s">
        <v>147</v>
      </c>
      <c r="M531" s="453">
        <v>2</v>
      </c>
      <c r="N531" s="453" t="s">
        <v>122</v>
      </c>
      <c r="O531" s="453">
        <v>425</v>
      </c>
      <c r="P531" s="453" t="s">
        <v>132</v>
      </c>
      <c r="Q531" s="453" t="s">
        <v>133</v>
      </c>
      <c r="R531" s="453">
        <v>0</v>
      </c>
      <c r="T531" s="453">
        <v>16</v>
      </c>
      <c r="U531" s="453" t="s">
        <v>123</v>
      </c>
      <c r="V531" s="453">
        <v>100</v>
      </c>
      <c r="W531" s="453">
        <v>500</v>
      </c>
      <c r="X531" s="453" t="s">
        <v>125</v>
      </c>
      <c r="Z531" s="453" t="s">
        <v>150</v>
      </c>
      <c r="AA531" s="453">
        <v>796</v>
      </c>
      <c r="AC531" s="453" t="s">
        <v>1331</v>
      </c>
    </row>
    <row r="532" spans="1:29">
      <c r="A532" s="453">
        <v>531</v>
      </c>
      <c r="B532" s="453" t="s">
        <v>1333</v>
      </c>
      <c r="C532" s="453" t="s">
        <v>1244</v>
      </c>
      <c r="D532" s="550" t="s">
        <v>1334</v>
      </c>
      <c r="F532" s="453">
        <v>1978</v>
      </c>
      <c r="G532" s="453">
        <v>1984</v>
      </c>
      <c r="H532" s="472">
        <v>270000</v>
      </c>
      <c r="I532" s="453">
        <v>625000</v>
      </c>
      <c r="J532" s="453">
        <v>1</v>
      </c>
      <c r="K532" s="453">
        <v>6</v>
      </c>
      <c r="L532" s="453" t="s">
        <v>147</v>
      </c>
      <c r="M532" s="453">
        <v>4</v>
      </c>
      <c r="N532" s="453" t="s">
        <v>130</v>
      </c>
      <c r="O532" s="453">
        <v>500</v>
      </c>
      <c r="P532" s="453" t="s">
        <v>132</v>
      </c>
      <c r="Q532" s="453" t="s">
        <v>124</v>
      </c>
      <c r="R532" s="453">
        <v>0</v>
      </c>
      <c r="T532" s="453">
        <v>20</v>
      </c>
      <c r="U532" s="453" t="s">
        <v>123</v>
      </c>
      <c r="V532" s="453">
        <v>1000</v>
      </c>
      <c r="W532" s="453">
        <v>5000</v>
      </c>
      <c r="X532" s="453" t="s">
        <v>125</v>
      </c>
      <c r="Z532" s="453" t="s">
        <v>150</v>
      </c>
      <c r="AA532" s="453">
        <v>1303</v>
      </c>
      <c r="AC532" s="453" t="s">
        <v>1333</v>
      </c>
    </row>
    <row r="533" spans="1:29">
      <c r="A533" s="453">
        <v>532</v>
      </c>
      <c r="B533" s="453" t="s">
        <v>1335</v>
      </c>
      <c r="C533" s="453" t="s">
        <v>1244</v>
      </c>
      <c r="D533" s="550" t="s">
        <v>1336</v>
      </c>
      <c r="F533" s="453">
        <v>1974</v>
      </c>
      <c r="G533" s="453">
        <v>1983</v>
      </c>
      <c r="H533" s="472">
        <v>262000</v>
      </c>
      <c r="I533" s="453">
        <v>665000</v>
      </c>
      <c r="J533" s="453">
        <v>1</v>
      </c>
      <c r="K533" s="453">
        <v>7</v>
      </c>
      <c r="L533" s="453" t="s">
        <v>147</v>
      </c>
      <c r="M533" s="453">
        <v>4</v>
      </c>
      <c r="N533" s="453" t="s">
        <v>130</v>
      </c>
      <c r="O533" s="453">
        <v>620</v>
      </c>
      <c r="P533" s="453" t="s">
        <v>132</v>
      </c>
      <c r="Q533" s="453" t="s">
        <v>133</v>
      </c>
      <c r="R533" s="453">
        <v>0</v>
      </c>
      <c r="T533" s="453">
        <v>20</v>
      </c>
      <c r="U533" s="453" t="s">
        <v>123</v>
      </c>
      <c r="V533" s="453">
        <v>1000</v>
      </c>
      <c r="W533" s="453">
        <v>5000</v>
      </c>
      <c r="X533" s="453" t="s">
        <v>125</v>
      </c>
      <c r="Z533" s="453" t="s">
        <v>150</v>
      </c>
      <c r="AA533" s="453">
        <v>1304</v>
      </c>
      <c r="AC533" s="453" t="s">
        <v>1335</v>
      </c>
    </row>
    <row r="534" spans="1:29">
      <c r="A534" s="453">
        <v>533</v>
      </c>
      <c r="B534" s="453" t="s">
        <v>1337</v>
      </c>
      <c r="C534" s="453" t="s">
        <v>1244</v>
      </c>
      <c r="D534" s="550" t="s">
        <v>1338</v>
      </c>
      <c r="F534" s="453">
        <v>1981</v>
      </c>
      <c r="G534" s="453">
        <v>1984</v>
      </c>
      <c r="H534" s="472">
        <v>435000</v>
      </c>
      <c r="I534" s="453">
        <v>875000</v>
      </c>
      <c r="J534" s="453">
        <v>1</v>
      </c>
      <c r="K534" s="453">
        <v>9</v>
      </c>
      <c r="L534" s="453" t="s">
        <v>147</v>
      </c>
      <c r="M534" s="453">
        <v>4</v>
      </c>
      <c r="N534" s="453" t="s">
        <v>130</v>
      </c>
      <c r="O534" s="453">
        <v>620</v>
      </c>
      <c r="P534" s="453" t="s">
        <v>132</v>
      </c>
      <c r="Q534" s="453" t="s">
        <v>133</v>
      </c>
      <c r="R534" s="453">
        <v>0</v>
      </c>
      <c r="T534" s="453">
        <v>20</v>
      </c>
      <c r="U534" s="453" t="s">
        <v>123</v>
      </c>
      <c r="V534" s="453">
        <v>1000</v>
      </c>
      <c r="W534" s="453">
        <v>5000</v>
      </c>
      <c r="X534" s="453" t="s">
        <v>125</v>
      </c>
      <c r="Z534" s="453" t="s">
        <v>150</v>
      </c>
      <c r="AA534" s="453">
        <v>1305</v>
      </c>
      <c r="AC534" s="453" t="s">
        <v>1337</v>
      </c>
    </row>
    <row r="535" spans="1:29">
      <c r="A535" s="453">
        <v>534</v>
      </c>
      <c r="B535" s="453" t="s">
        <v>1339</v>
      </c>
      <c r="C535" s="453" t="s">
        <v>1244</v>
      </c>
      <c r="D535" s="550" t="s">
        <v>1340</v>
      </c>
      <c r="F535" s="453">
        <v>1965</v>
      </c>
      <c r="G535" s="453">
        <v>1969</v>
      </c>
      <c r="H535" s="472">
        <v>39500</v>
      </c>
      <c r="I535" s="453">
        <v>82500</v>
      </c>
      <c r="J535" s="453">
        <v>1</v>
      </c>
      <c r="K535" s="453">
        <v>6</v>
      </c>
      <c r="L535" s="453" t="s">
        <v>147</v>
      </c>
      <c r="M535" s="453">
        <v>1</v>
      </c>
      <c r="N535" s="453" t="s">
        <v>122</v>
      </c>
      <c r="O535" s="453">
        <v>260</v>
      </c>
      <c r="P535" s="453" t="s">
        <v>148</v>
      </c>
      <c r="Q535" s="453" t="s">
        <v>133</v>
      </c>
      <c r="R535" s="453">
        <v>0</v>
      </c>
      <c r="T535" s="453">
        <v>6</v>
      </c>
      <c r="V535" s="453">
        <v>50</v>
      </c>
      <c r="W535" s="453">
        <v>250</v>
      </c>
      <c r="X535" s="453" t="s">
        <v>58</v>
      </c>
      <c r="Z535" s="453" t="s">
        <v>150</v>
      </c>
      <c r="AA535" s="453">
        <v>797</v>
      </c>
      <c r="AC535" s="453" t="s">
        <v>1339</v>
      </c>
    </row>
    <row r="536" spans="1:29">
      <c r="A536" s="453">
        <v>535</v>
      </c>
      <c r="B536" s="453" t="s">
        <v>1341</v>
      </c>
      <c r="C536" s="453" t="s">
        <v>1244</v>
      </c>
      <c r="D536" s="550" t="s">
        <v>1342</v>
      </c>
      <c r="F536" s="453">
        <v>2003</v>
      </c>
      <c r="G536" s="453">
        <v>2007</v>
      </c>
      <c r="H536" s="472">
        <v>183500</v>
      </c>
      <c r="I536" s="453">
        <v>395000</v>
      </c>
      <c r="J536" s="453">
        <v>1</v>
      </c>
      <c r="K536" s="453">
        <v>5</v>
      </c>
      <c r="L536" s="453" t="s">
        <v>147</v>
      </c>
      <c r="M536" s="453">
        <v>1</v>
      </c>
      <c r="N536" s="453" t="s">
        <v>122</v>
      </c>
      <c r="O536" s="453">
        <v>300</v>
      </c>
      <c r="P536" s="453" t="s">
        <v>148</v>
      </c>
      <c r="Q536" s="453" t="s">
        <v>133</v>
      </c>
      <c r="R536" s="453">
        <v>0</v>
      </c>
      <c r="T536" s="453">
        <v>6</v>
      </c>
      <c r="V536" s="453">
        <v>50</v>
      </c>
      <c r="W536" s="453">
        <v>250</v>
      </c>
      <c r="X536" s="453" t="s">
        <v>58</v>
      </c>
      <c r="Z536" s="453" t="s">
        <v>150</v>
      </c>
      <c r="AA536" s="453">
        <v>827</v>
      </c>
      <c r="AC536" s="453" t="s">
        <v>1341</v>
      </c>
    </row>
    <row r="537" spans="1:29">
      <c r="A537" s="453">
        <v>536</v>
      </c>
      <c r="B537" s="453" t="s">
        <v>1343</v>
      </c>
      <c r="C537" s="453" t="s">
        <v>1244</v>
      </c>
      <c r="D537" s="550" t="s">
        <v>1344</v>
      </c>
      <c r="F537" s="453">
        <v>1975</v>
      </c>
      <c r="G537" s="453">
        <v>1979</v>
      </c>
      <c r="H537" s="472">
        <v>60000</v>
      </c>
      <c r="I537" s="453">
        <v>125000</v>
      </c>
      <c r="J537" s="453">
        <v>1</v>
      </c>
      <c r="K537" s="453">
        <v>6</v>
      </c>
      <c r="L537" s="453" t="s">
        <v>147</v>
      </c>
      <c r="M537" s="453">
        <v>1</v>
      </c>
      <c r="N537" s="453" t="s">
        <v>122</v>
      </c>
      <c r="O537" s="453">
        <v>300</v>
      </c>
      <c r="P537" s="453" t="s">
        <v>132</v>
      </c>
      <c r="Q537" s="453" t="s">
        <v>124</v>
      </c>
      <c r="R537" s="453">
        <v>0.1</v>
      </c>
      <c r="T537" s="453">
        <v>11</v>
      </c>
      <c r="V537" s="453">
        <v>100</v>
      </c>
      <c r="W537" s="453">
        <v>500</v>
      </c>
      <c r="X537" s="453" t="s">
        <v>58</v>
      </c>
      <c r="Z537" s="453" t="s">
        <v>150</v>
      </c>
      <c r="AA537" s="453">
        <v>801</v>
      </c>
      <c r="AC537" s="453" t="s">
        <v>1343</v>
      </c>
    </row>
    <row r="538" spans="1:29">
      <c r="A538" s="453">
        <v>537</v>
      </c>
      <c r="B538" s="611" t="s">
        <v>1345</v>
      </c>
      <c r="C538" s="453" t="s">
        <v>1244</v>
      </c>
      <c r="D538" s="550" t="s">
        <v>1346</v>
      </c>
      <c r="F538" s="453">
        <v>1971</v>
      </c>
      <c r="G538" s="453">
        <v>1974</v>
      </c>
      <c r="H538" s="472">
        <v>35000</v>
      </c>
      <c r="I538" s="453">
        <v>65000</v>
      </c>
      <c r="J538" s="453">
        <v>1</v>
      </c>
      <c r="K538" s="453">
        <v>5</v>
      </c>
      <c r="L538" s="453" t="s">
        <v>147</v>
      </c>
      <c r="M538" s="453">
        <v>2</v>
      </c>
      <c r="N538" s="453" t="s">
        <v>122</v>
      </c>
      <c r="O538" s="453">
        <v>200</v>
      </c>
      <c r="P538" s="453" t="s">
        <v>132</v>
      </c>
      <c r="Q538" s="453" t="s">
        <v>149</v>
      </c>
      <c r="R538" s="453">
        <v>0</v>
      </c>
      <c r="T538" s="453">
        <v>14</v>
      </c>
      <c r="U538" s="453" t="s">
        <v>229</v>
      </c>
      <c r="V538" s="453">
        <v>100</v>
      </c>
      <c r="W538" s="453">
        <v>500</v>
      </c>
      <c r="X538" s="453" t="s">
        <v>58</v>
      </c>
      <c r="Z538" s="453" t="s">
        <v>150</v>
      </c>
      <c r="AA538" s="453">
        <v>807</v>
      </c>
      <c r="AC538" s="453" t="s">
        <v>1347</v>
      </c>
    </row>
    <row r="539" spans="1:29">
      <c r="A539" s="453">
        <v>538</v>
      </c>
      <c r="B539" s="611" t="s">
        <v>1348</v>
      </c>
      <c r="C539" s="453" t="s">
        <v>1244</v>
      </c>
      <c r="D539" s="550" t="s">
        <v>1346</v>
      </c>
      <c r="F539" s="453">
        <v>1975</v>
      </c>
      <c r="G539" s="453">
        <v>1979</v>
      </c>
      <c r="H539" s="472">
        <v>50000</v>
      </c>
      <c r="I539" s="453">
        <v>100000</v>
      </c>
      <c r="J539" s="453">
        <v>1</v>
      </c>
      <c r="K539" s="453">
        <v>6</v>
      </c>
      <c r="L539" s="453" t="s">
        <v>147</v>
      </c>
      <c r="M539" s="453">
        <v>2</v>
      </c>
      <c r="N539" s="453" t="s">
        <v>122</v>
      </c>
      <c r="O539" s="453">
        <v>200</v>
      </c>
      <c r="P539" s="453" t="s">
        <v>132</v>
      </c>
      <c r="Q539" s="453" t="s">
        <v>149</v>
      </c>
      <c r="R539" s="453">
        <v>0</v>
      </c>
      <c r="T539" s="453">
        <v>14</v>
      </c>
      <c r="U539" s="453" t="s">
        <v>229</v>
      </c>
      <c r="V539" s="453">
        <v>100</v>
      </c>
      <c r="W539" s="453">
        <v>500</v>
      </c>
      <c r="X539" s="453" t="s">
        <v>58</v>
      </c>
      <c r="Z539" s="453" t="s">
        <v>150</v>
      </c>
      <c r="AA539" s="453">
        <v>808</v>
      </c>
      <c r="AC539" s="453" t="s">
        <v>1347</v>
      </c>
    </row>
    <row r="540" spans="1:29">
      <c r="A540" s="453">
        <v>539</v>
      </c>
      <c r="B540" s="453" t="s">
        <v>1349</v>
      </c>
      <c r="C540" s="453" t="s">
        <v>1244</v>
      </c>
      <c r="D540" s="550" t="s">
        <v>1350</v>
      </c>
      <c r="F540" s="453">
        <v>1978</v>
      </c>
      <c r="G540" s="453">
        <v>1982</v>
      </c>
      <c r="H540" s="472">
        <v>7500</v>
      </c>
      <c r="I540" s="453">
        <v>18500</v>
      </c>
      <c r="J540" s="453">
        <v>1</v>
      </c>
      <c r="K540" s="453">
        <v>1</v>
      </c>
      <c r="L540" s="453" t="s">
        <v>147</v>
      </c>
      <c r="M540" s="453">
        <v>1</v>
      </c>
      <c r="N540" s="453" t="s">
        <v>122</v>
      </c>
      <c r="O540" s="453">
        <v>112</v>
      </c>
      <c r="P540" s="453" t="s">
        <v>148</v>
      </c>
      <c r="Q540" s="453" t="s">
        <v>149</v>
      </c>
      <c r="R540" s="453">
        <v>0</v>
      </c>
      <c r="T540" s="453">
        <v>4</v>
      </c>
      <c r="V540" s="453">
        <v>50</v>
      </c>
      <c r="W540" s="453">
        <v>250</v>
      </c>
      <c r="X540" s="453" t="s">
        <v>58</v>
      </c>
      <c r="Z540" s="453" t="s">
        <v>150</v>
      </c>
      <c r="AA540" s="453">
        <v>814</v>
      </c>
      <c r="AC540" s="453" t="s">
        <v>1349</v>
      </c>
    </row>
    <row r="541" spans="1:29">
      <c r="A541" s="453">
        <v>540</v>
      </c>
      <c r="B541" s="453" t="s">
        <v>1351</v>
      </c>
      <c r="C541" s="453" t="s">
        <v>1244</v>
      </c>
      <c r="D541" s="550" t="s">
        <v>1352</v>
      </c>
      <c r="F541" s="453">
        <v>1970</v>
      </c>
      <c r="G541" s="453">
        <v>1972</v>
      </c>
      <c r="H541" s="472">
        <v>67500</v>
      </c>
      <c r="I541" s="453">
        <v>132000</v>
      </c>
      <c r="J541" s="453">
        <v>1</v>
      </c>
      <c r="K541" s="453">
        <v>5</v>
      </c>
      <c r="L541" s="453" t="s">
        <v>147</v>
      </c>
      <c r="M541" s="453">
        <v>2</v>
      </c>
      <c r="N541" s="453" t="s">
        <v>122</v>
      </c>
      <c r="O541" s="453">
        <v>160</v>
      </c>
      <c r="P541" s="453" t="s">
        <v>132</v>
      </c>
      <c r="Q541" s="453" t="s">
        <v>149</v>
      </c>
      <c r="R541" s="453">
        <v>0.5</v>
      </c>
      <c r="S541" s="453">
        <v>0.5</v>
      </c>
      <c r="T541" s="453">
        <v>14</v>
      </c>
      <c r="U541" s="453" t="s">
        <v>229</v>
      </c>
      <c r="V541" s="453">
        <v>100</v>
      </c>
      <c r="W541" s="453">
        <v>500</v>
      </c>
      <c r="X541" s="453" t="s">
        <v>58</v>
      </c>
      <c r="Z541" s="453" t="s">
        <v>150</v>
      </c>
      <c r="AA541" s="453">
        <v>815</v>
      </c>
      <c r="AC541" s="453" t="s">
        <v>1351</v>
      </c>
    </row>
    <row r="542" spans="1:29">
      <c r="A542" s="453">
        <v>541</v>
      </c>
      <c r="B542" s="453" t="s">
        <v>1353</v>
      </c>
      <c r="C542" s="453" t="s">
        <v>1244</v>
      </c>
      <c r="D542" s="550" t="s">
        <v>1354</v>
      </c>
      <c r="F542" s="453">
        <v>1979</v>
      </c>
      <c r="G542" s="453">
        <v>1989</v>
      </c>
      <c r="H542" s="472">
        <v>52500</v>
      </c>
      <c r="I542" s="453">
        <v>150000</v>
      </c>
      <c r="J542" s="453">
        <v>1</v>
      </c>
      <c r="K542" s="453">
        <v>3</v>
      </c>
      <c r="L542" s="453" t="s">
        <v>147</v>
      </c>
      <c r="M542" s="453">
        <v>2</v>
      </c>
      <c r="N542" s="453" t="s">
        <v>122</v>
      </c>
      <c r="O542" s="453">
        <v>180</v>
      </c>
      <c r="P542" s="453" t="s">
        <v>132</v>
      </c>
      <c r="Q542" s="453" t="s">
        <v>149</v>
      </c>
      <c r="R542" s="453">
        <v>0</v>
      </c>
      <c r="T542" s="453">
        <v>14</v>
      </c>
      <c r="V542" s="453">
        <v>100</v>
      </c>
      <c r="W542" s="453">
        <v>500</v>
      </c>
      <c r="X542" s="453" t="s">
        <v>58</v>
      </c>
      <c r="Z542" s="453" t="s">
        <v>150</v>
      </c>
      <c r="AA542" s="453">
        <v>831</v>
      </c>
      <c r="AC542" s="453" t="s">
        <v>1353</v>
      </c>
    </row>
    <row r="543" spans="1:29">
      <c r="A543" s="453">
        <v>542</v>
      </c>
      <c r="B543" s="453" t="s">
        <v>1355</v>
      </c>
      <c r="C543" s="453" t="s">
        <v>1244</v>
      </c>
      <c r="D543" s="550" t="s">
        <v>1356</v>
      </c>
      <c r="F543" s="453">
        <v>1984</v>
      </c>
      <c r="G543" s="453">
        <v>2012</v>
      </c>
      <c r="H543" s="472">
        <v>300000</v>
      </c>
      <c r="I543" s="453">
        <v>1000000</v>
      </c>
      <c r="J543" s="453">
        <v>1</v>
      </c>
      <c r="K543" s="453">
        <v>5</v>
      </c>
      <c r="L543" s="453" t="s">
        <v>147</v>
      </c>
      <c r="M543" s="453">
        <v>3</v>
      </c>
      <c r="N543" s="453" t="s">
        <v>130</v>
      </c>
      <c r="O543" s="453">
        <v>500</v>
      </c>
      <c r="P543" s="453" t="s">
        <v>132</v>
      </c>
      <c r="Q543" s="453" t="s">
        <v>133</v>
      </c>
      <c r="R543" s="453">
        <v>0.25</v>
      </c>
      <c r="S543" s="453">
        <v>0.25</v>
      </c>
      <c r="T543" s="453">
        <v>19</v>
      </c>
      <c r="U543" s="453" t="s">
        <v>123</v>
      </c>
      <c r="V543" s="453">
        <v>1000</v>
      </c>
      <c r="W543" s="453">
        <v>5000</v>
      </c>
      <c r="X543" s="453" t="s">
        <v>125</v>
      </c>
      <c r="Z543" s="453" t="s">
        <v>150</v>
      </c>
      <c r="AA543" s="453">
        <v>1343</v>
      </c>
      <c r="AC543" s="453" t="s">
        <v>1355</v>
      </c>
    </row>
    <row r="544" spans="1:29">
      <c r="A544" s="453">
        <v>543</v>
      </c>
      <c r="B544" s="453" t="s">
        <v>1357</v>
      </c>
      <c r="C544" s="453" t="s">
        <v>1244</v>
      </c>
      <c r="D544" s="550" t="s">
        <v>1358</v>
      </c>
      <c r="F544" s="453">
        <v>1984</v>
      </c>
      <c r="G544" s="453">
        <v>1989</v>
      </c>
      <c r="H544" s="472">
        <v>168000</v>
      </c>
      <c r="I544" s="453">
        <v>344000</v>
      </c>
      <c r="J544" s="453">
        <v>1</v>
      </c>
      <c r="K544" s="453">
        <v>5</v>
      </c>
      <c r="L544" s="453" t="s">
        <v>147</v>
      </c>
      <c r="M544" s="453">
        <v>1</v>
      </c>
      <c r="N544" s="453" t="s">
        <v>122</v>
      </c>
      <c r="O544" s="453">
        <v>310</v>
      </c>
      <c r="P544" s="453" t="s">
        <v>132</v>
      </c>
      <c r="Q544" s="453" t="s">
        <v>133</v>
      </c>
      <c r="R544" s="453">
        <v>0.05</v>
      </c>
      <c r="S544" s="453">
        <v>0.45</v>
      </c>
      <c r="T544" s="453">
        <v>11</v>
      </c>
      <c r="U544" s="453" t="s">
        <v>123</v>
      </c>
      <c r="V544" s="453">
        <v>100</v>
      </c>
      <c r="W544" s="453">
        <v>500</v>
      </c>
      <c r="X544" s="453" t="s">
        <v>125</v>
      </c>
      <c r="Z544" s="453" t="s">
        <v>150</v>
      </c>
      <c r="AA544" s="453">
        <v>819</v>
      </c>
      <c r="AC544" s="453" t="s">
        <v>1357</v>
      </c>
    </row>
    <row r="545" spans="1:29">
      <c r="A545" s="453">
        <v>544</v>
      </c>
      <c r="B545" s="453" t="s">
        <v>1359</v>
      </c>
      <c r="C545" s="453" t="s">
        <v>1244</v>
      </c>
      <c r="D545" s="550" t="s">
        <v>1360</v>
      </c>
      <c r="F545" s="453">
        <v>2001</v>
      </c>
      <c r="G545" s="453">
        <v>2004</v>
      </c>
      <c r="H545" s="472">
        <v>525000</v>
      </c>
      <c r="I545" s="453">
        <v>1240000</v>
      </c>
      <c r="J545" s="453">
        <v>1</v>
      </c>
      <c r="K545" s="453">
        <v>5</v>
      </c>
      <c r="L545" s="453" t="s">
        <v>147</v>
      </c>
      <c r="M545" s="453">
        <v>3</v>
      </c>
      <c r="N545" s="453" t="s">
        <v>130</v>
      </c>
      <c r="O545" s="453">
        <v>500</v>
      </c>
      <c r="P545" s="453" t="s">
        <v>132</v>
      </c>
      <c r="Q545" s="453" t="s">
        <v>133</v>
      </c>
      <c r="R545" s="453">
        <v>-0.15</v>
      </c>
      <c r="S545" s="453">
        <v>-0.2</v>
      </c>
      <c r="T545" s="453">
        <v>19</v>
      </c>
      <c r="U545" s="453" t="s">
        <v>123</v>
      </c>
      <c r="V545" s="453">
        <v>1000</v>
      </c>
      <c r="W545" s="453">
        <v>5000</v>
      </c>
      <c r="X545" s="453" t="s">
        <v>125</v>
      </c>
      <c r="Z545" s="453" t="s">
        <v>150</v>
      </c>
      <c r="AA545" s="453">
        <v>824</v>
      </c>
      <c r="AC545" s="453" t="s">
        <v>1359</v>
      </c>
    </row>
    <row r="546" spans="1:29">
      <c r="A546" s="453">
        <v>545</v>
      </c>
      <c r="B546" s="453" t="s">
        <v>1361</v>
      </c>
      <c r="C546" s="453" t="s">
        <v>1244</v>
      </c>
      <c r="D546" s="550" t="s">
        <v>1362</v>
      </c>
      <c r="F546" s="453">
        <v>2008</v>
      </c>
      <c r="G546" s="453">
        <v>2012</v>
      </c>
      <c r="H546" s="472">
        <v>416000</v>
      </c>
      <c r="I546" s="453">
        <v>1130000</v>
      </c>
      <c r="J546" s="453">
        <v>1</v>
      </c>
      <c r="K546" s="453">
        <v>5</v>
      </c>
      <c r="L546" s="453" t="s">
        <v>147</v>
      </c>
      <c r="M546" s="453">
        <v>1</v>
      </c>
      <c r="N546" s="453" t="s">
        <v>122</v>
      </c>
      <c r="O546" s="453">
        <v>350</v>
      </c>
      <c r="P546" s="453" t="s">
        <v>132</v>
      </c>
      <c r="Q546" s="453" t="s">
        <v>133</v>
      </c>
      <c r="R546" s="453">
        <v>0.15</v>
      </c>
      <c r="S546" s="453">
        <v>0.45</v>
      </c>
      <c r="T546" s="453">
        <v>11</v>
      </c>
      <c r="U546" s="453" t="s">
        <v>123</v>
      </c>
      <c r="V546" s="453">
        <v>100</v>
      </c>
      <c r="W546" s="453">
        <v>500</v>
      </c>
      <c r="X546" s="453" t="s">
        <v>125</v>
      </c>
      <c r="Z546" s="453" t="s">
        <v>150</v>
      </c>
      <c r="AA546" s="453">
        <v>825</v>
      </c>
      <c r="AC546" s="453" t="s">
        <v>1361</v>
      </c>
    </row>
    <row r="547" spans="1:29">
      <c r="A547" s="453">
        <v>546</v>
      </c>
      <c r="B547" s="453" t="s">
        <v>1363</v>
      </c>
      <c r="C547" s="453" t="s">
        <v>1244</v>
      </c>
      <c r="D547" s="550" t="s">
        <v>1364</v>
      </c>
      <c r="F547" s="453">
        <v>1984</v>
      </c>
      <c r="G547" s="453">
        <v>1985</v>
      </c>
      <c r="H547" s="472">
        <v>266000</v>
      </c>
      <c r="I547" s="453">
        <v>445000</v>
      </c>
      <c r="J547" s="453">
        <v>1</v>
      </c>
      <c r="K547" s="453">
        <v>5</v>
      </c>
      <c r="L547" s="453" t="s">
        <v>147</v>
      </c>
      <c r="M547" s="453">
        <v>2</v>
      </c>
      <c r="N547" s="453" t="s">
        <v>122</v>
      </c>
      <c r="O547" s="453">
        <v>350</v>
      </c>
      <c r="P547" s="453" t="s">
        <v>132</v>
      </c>
      <c r="Q547" s="453" t="s">
        <v>133</v>
      </c>
      <c r="R547" s="453">
        <v>0.5</v>
      </c>
      <c r="S547" s="453">
        <v>0.5</v>
      </c>
      <c r="T547" s="453">
        <v>16</v>
      </c>
      <c r="U547" s="453" t="s">
        <v>123</v>
      </c>
      <c r="V547" s="453">
        <v>100</v>
      </c>
      <c r="W547" s="453">
        <v>500</v>
      </c>
      <c r="X547" s="453" t="s">
        <v>125</v>
      </c>
      <c r="Z547" s="453" t="s">
        <v>150</v>
      </c>
      <c r="AA547" s="453">
        <v>835</v>
      </c>
      <c r="AC547" s="453" t="s">
        <v>1363</v>
      </c>
    </row>
    <row r="548" spans="1:29">
      <c r="A548" s="453">
        <v>547</v>
      </c>
      <c r="B548" s="453" t="s">
        <v>1365</v>
      </c>
      <c r="C548" s="453" t="s">
        <v>1244</v>
      </c>
      <c r="D548" s="550" t="s">
        <v>1366</v>
      </c>
      <c r="F548" s="453">
        <v>1969</v>
      </c>
      <c r="G548" s="453">
        <v>1981</v>
      </c>
      <c r="H548" s="472">
        <v>65000</v>
      </c>
      <c r="I548" s="453">
        <v>150000</v>
      </c>
      <c r="J548" s="453">
        <v>1</v>
      </c>
      <c r="K548" s="453">
        <v>5</v>
      </c>
      <c r="L548" s="453" t="s">
        <v>147</v>
      </c>
      <c r="M548" s="453">
        <v>2</v>
      </c>
      <c r="N548" s="453" t="s">
        <v>122</v>
      </c>
      <c r="O548" s="453">
        <v>290</v>
      </c>
      <c r="P548" s="453" t="s">
        <v>132</v>
      </c>
      <c r="Q548" s="453" t="s">
        <v>133</v>
      </c>
      <c r="R548" s="453">
        <v>0.5</v>
      </c>
      <c r="S548" s="453">
        <v>0.5</v>
      </c>
      <c r="T548" s="453">
        <v>16</v>
      </c>
      <c r="U548" s="453" t="s">
        <v>229</v>
      </c>
      <c r="V548" s="453">
        <v>100</v>
      </c>
      <c r="W548" s="453">
        <v>500</v>
      </c>
      <c r="X548" s="453" t="s">
        <v>125</v>
      </c>
      <c r="Z548" s="453" t="s">
        <v>150</v>
      </c>
      <c r="AA548" s="453">
        <v>834</v>
      </c>
      <c r="AC548" s="453" t="s">
        <v>1365</v>
      </c>
    </row>
    <row r="549" spans="1:29">
      <c r="A549" s="453">
        <v>548</v>
      </c>
      <c r="B549" s="453" t="s">
        <v>1367</v>
      </c>
      <c r="C549" s="453" t="s">
        <v>1244</v>
      </c>
      <c r="D549" s="550" t="s">
        <v>1368</v>
      </c>
      <c r="F549" s="453">
        <v>1969</v>
      </c>
      <c r="G549" s="453">
        <v>1981</v>
      </c>
      <c r="H549" s="472">
        <v>65000</v>
      </c>
      <c r="I549" s="453">
        <v>150000</v>
      </c>
      <c r="J549" s="453">
        <v>1</v>
      </c>
      <c r="K549" s="453">
        <v>5</v>
      </c>
      <c r="L549" s="453" t="s">
        <v>147</v>
      </c>
      <c r="M549" s="453">
        <v>2</v>
      </c>
      <c r="N549" s="453" t="s">
        <v>122</v>
      </c>
      <c r="O549" s="453">
        <v>290</v>
      </c>
      <c r="P549" s="453" t="s">
        <v>132</v>
      </c>
      <c r="Q549" s="453" t="s">
        <v>133</v>
      </c>
      <c r="R549" s="453">
        <v>0.5</v>
      </c>
      <c r="S549" s="453">
        <v>0.5</v>
      </c>
      <c r="T549" s="453">
        <v>16</v>
      </c>
      <c r="U549" s="453" t="s">
        <v>229</v>
      </c>
      <c r="V549" s="453">
        <v>100</v>
      </c>
      <c r="W549" s="453">
        <v>500</v>
      </c>
      <c r="X549" s="453" t="s">
        <v>125</v>
      </c>
      <c r="Z549" s="453" t="s">
        <v>150</v>
      </c>
      <c r="AA549" s="453">
        <v>832</v>
      </c>
      <c r="AC549" s="453" t="s">
        <v>1367</v>
      </c>
    </row>
    <row r="550" spans="1:29">
      <c r="A550" s="453">
        <v>549</v>
      </c>
      <c r="B550" s="453" t="s">
        <v>1369</v>
      </c>
      <c r="C550" s="453" t="s">
        <v>1244</v>
      </c>
      <c r="D550" s="550" t="s">
        <v>1370</v>
      </c>
      <c r="F550" s="453">
        <v>1980</v>
      </c>
      <c r="G550" s="453">
        <v>1991</v>
      </c>
      <c r="H550" s="472">
        <v>500000</v>
      </c>
      <c r="I550" s="453">
        <v>1200000</v>
      </c>
      <c r="J550" s="453">
        <v>1</v>
      </c>
      <c r="K550" s="453">
        <v>9</v>
      </c>
      <c r="L550" s="453" t="s">
        <v>147</v>
      </c>
      <c r="M550" s="453">
        <v>4</v>
      </c>
      <c r="N550" s="453" t="s">
        <v>130</v>
      </c>
      <c r="O550" s="453">
        <v>720</v>
      </c>
      <c r="P550" s="453" t="s">
        <v>132</v>
      </c>
      <c r="Q550" s="453" t="s">
        <v>133</v>
      </c>
      <c r="R550" s="453">
        <v>0</v>
      </c>
      <c r="S550" s="453">
        <v>0</v>
      </c>
      <c r="T550" s="453">
        <v>20</v>
      </c>
      <c r="U550" s="453" t="s">
        <v>123</v>
      </c>
      <c r="V550" s="453">
        <v>1000</v>
      </c>
      <c r="W550" s="453">
        <v>5000</v>
      </c>
      <c r="X550" s="453" t="s">
        <v>125</v>
      </c>
      <c r="Z550" s="453" t="s">
        <v>150</v>
      </c>
      <c r="AC550" s="453" t="s">
        <v>1369</v>
      </c>
    </row>
    <row r="551" spans="1:29">
      <c r="A551" s="453">
        <v>550</v>
      </c>
      <c r="B551" s="453" t="s">
        <v>1371</v>
      </c>
      <c r="C551" s="453" t="s">
        <v>1372</v>
      </c>
      <c r="D551" s="550" t="s">
        <v>1373</v>
      </c>
      <c r="F551" s="453">
        <v>1981</v>
      </c>
      <c r="G551" s="453">
        <v>1983</v>
      </c>
      <c r="H551" s="472">
        <v>150000</v>
      </c>
      <c r="I551" s="453">
        <v>225000</v>
      </c>
      <c r="J551" s="453">
        <v>1</v>
      </c>
      <c r="K551" s="453">
        <v>5</v>
      </c>
      <c r="L551" s="453" t="s">
        <v>147</v>
      </c>
      <c r="M551" s="453">
        <v>2</v>
      </c>
      <c r="N551" s="453" t="s">
        <v>122</v>
      </c>
      <c r="O551" s="453">
        <v>290</v>
      </c>
      <c r="P551" s="453" t="s">
        <v>132</v>
      </c>
      <c r="Q551" s="453" t="s">
        <v>133</v>
      </c>
      <c r="R551" s="453">
        <v>0.5</v>
      </c>
      <c r="S551" s="453">
        <v>0.5</v>
      </c>
      <c r="T551" s="453">
        <v>16</v>
      </c>
      <c r="U551" s="453" t="s">
        <v>123</v>
      </c>
      <c r="V551" s="453">
        <v>100</v>
      </c>
      <c r="W551" s="453">
        <v>500</v>
      </c>
      <c r="X551" s="453" t="s">
        <v>125</v>
      </c>
      <c r="Z551" s="453" t="s">
        <v>150</v>
      </c>
      <c r="AA551" s="453">
        <v>833</v>
      </c>
      <c r="AC551" s="453" t="s">
        <v>1371</v>
      </c>
    </row>
    <row r="552" spans="1:29">
      <c r="A552" s="453">
        <v>551</v>
      </c>
      <c r="B552" s="453" t="s">
        <v>1374</v>
      </c>
      <c r="C552" s="453" t="s">
        <v>1375</v>
      </c>
      <c r="D552" s="550" t="s">
        <v>1376</v>
      </c>
      <c r="F552" s="453">
        <v>2016</v>
      </c>
      <c r="G552" s="453">
        <v>2018</v>
      </c>
      <c r="H552" s="472">
        <v>120000</v>
      </c>
      <c r="I552" s="453">
        <v>170000</v>
      </c>
      <c r="J552" s="453">
        <v>1</v>
      </c>
      <c r="K552" s="453">
        <v>1</v>
      </c>
      <c r="L552" s="453" t="s">
        <v>154</v>
      </c>
      <c r="M552" s="453">
        <v>1</v>
      </c>
      <c r="N552" s="453" t="s">
        <v>122</v>
      </c>
      <c r="O552" s="453">
        <v>67</v>
      </c>
      <c r="P552" s="453" t="s">
        <v>148</v>
      </c>
      <c r="Q552" s="453" t="s">
        <v>149</v>
      </c>
      <c r="R552" s="453">
        <v>0.5</v>
      </c>
      <c r="S552" s="453">
        <v>0.6</v>
      </c>
      <c r="T552" s="453">
        <v>2</v>
      </c>
      <c r="V552" s="453">
        <v>50</v>
      </c>
      <c r="W552" s="453">
        <v>250</v>
      </c>
      <c r="X552" s="453" t="s">
        <v>58</v>
      </c>
      <c r="Z552" s="453" t="s">
        <v>150</v>
      </c>
      <c r="AB552" s="453" t="s">
        <v>1377</v>
      </c>
      <c r="AC552" s="453" t="s">
        <v>1374</v>
      </c>
    </row>
    <row r="553" spans="1:29">
      <c r="A553" s="453">
        <v>552</v>
      </c>
      <c r="B553" s="453" t="s">
        <v>1378</v>
      </c>
      <c r="C553" s="453" t="s">
        <v>1375</v>
      </c>
      <c r="D553" s="550" t="s">
        <v>1379</v>
      </c>
      <c r="F553" s="453">
        <v>2012</v>
      </c>
      <c r="G553" s="453">
        <v>2018</v>
      </c>
      <c r="H553" s="472">
        <v>75000</v>
      </c>
      <c r="I553" s="453">
        <v>150000</v>
      </c>
      <c r="J553" s="453">
        <v>1</v>
      </c>
      <c r="K553" s="453">
        <v>1</v>
      </c>
      <c r="L553" s="453" t="s">
        <v>154</v>
      </c>
      <c r="M553" s="453">
        <v>1</v>
      </c>
      <c r="N553" s="453" t="s">
        <v>122</v>
      </c>
      <c r="O553" s="453">
        <v>100</v>
      </c>
      <c r="P553" s="453" t="s">
        <v>148</v>
      </c>
      <c r="Q553" s="453" t="s">
        <v>149</v>
      </c>
      <c r="R553" s="453">
        <v>0</v>
      </c>
      <c r="T553" s="453">
        <v>2</v>
      </c>
      <c r="V553" s="453">
        <v>50</v>
      </c>
      <c r="W553" s="453">
        <v>250</v>
      </c>
      <c r="X553" s="453" t="s">
        <v>58</v>
      </c>
      <c r="Z553" s="453" t="s">
        <v>150</v>
      </c>
      <c r="AC553" s="453" t="s">
        <v>1378</v>
      </c>
    </row>
    <row r="554" spans="1:29">
      <c r="A554" s="453">
        <v>553</v>
      </c>
      <c r="B554" s="651" t="s">
        <v>3971</v>
      </c>
      <c r="C554" s="453" t="s">
        <v>1375</v>
      </c>
      <c r="D554" s="652" t="s">
        <v>3972</v>
      </c>
      <c r="F554" s="453">
        <v>2003</v>
      </c>
      <c r="G554" s="453">
        <v>2025</v>
      </c>
      <c r="H554" s="472">
        <v>75000</v>
      </c>
      <c r="I554" s="453">
        <v>150000</v>
      </c>
      <c r="J554" s="453">
        <v>1</v>
      </c>
      <c r="K554" s="453">
        <v>1</v>
      </c>
      <c r="L554" s="651" t="s">
        <v>805</v>
      </c>
      <c r="M554" s="453">
        <v>1</v>
      </c>
      <c r="N554" s="453" t="s">
        <v>122</v>
      </c>
      <c r="O554" s="453">
        <v>100</v>
      </c>
      <c r="P554" s="453" t="s">
        <v>148</v>
      </c>
      <c r="Q554" s="453" t="s">
        <v>149</v>
      </c>
      <c r="R554" s="453">
        <v>0</v>
      </c>
      <c r="T554" s="453">
        <v>2</v>
      </c>
      <c r="V554" s="453">
        <v>50</v>
      </c>
      <c r="W554" s="453">
        <v>250</v>
      </c>
      <c r="X554" s="453" t="s">
        <v>58</v>
      </c>
      <c r="Z554" s="453" t="s">
        <v>150</v>
      </c>
      <c r="AC554" s="651" t="s">
        <v>3973</v>
      </c>
    </row>
    <row r="555" spans="1:29">
      <c r="A555" s="453">
        <v>554</v>
      </c>
      <c r="B555" s="453" t="s">
        <v>1380</v>
      </c>
      <c r="C555" s="453" t="s">
        <v>1381</v>
      </c>
      <c r="D555" s="550" t="s">
        <v>1382</v>
      </c>
      <c r="F555" s="453">
        <v>1935</v>
      </c>
      <c r="G555" s="453">
        <v>1946</v>
      </c>
      <c r="H555" s="472">
        <v>24500</v>
      </c>
      <c r="I555" s="453">
        <v>76000</v>
      </c>
      <c r="J555" s="453">
        <v>1</v>
      </c>
      <c r="K555" s="453">
        <v>1</v>
      </c>
      <c r="L555" s="453" t="s">
        <v>147</v>
      </c>
      <c r="M555" s="453">
        <v>1</v>
      </c>
      <c r="N555" s="453" t="s">
        <v>122</v>
      </c>
      <c r="O555" s="453">
        <v>70</v>
      </c>
      <c r="P555" s="453" t="s">
        <v>123</v>
      </c>
      <c r="Q555" s="453" t="s">
        <v>149</v>
      </c>
      <c r="R555" s="453">
        <v>0.1</v>
      </c>
      <c r="S555" s="453">
        <v>0.1</v>
      </c>
      <c r="T555" s="453">
        <v>1</v>
      </c>
      <c r="V555" s="453">
        <v>100</v>
      </c>
      <c r="W555" s="453">
        <v>500</v>
      </c>
      <c r="X555" s="453" t="s">
        <v>58</v>
      </c>
      <c r="Z555" s="453" t="s">
        <v>150</v>
      </c>
      <c r="AA555" s="453">
        <v>838</v>
      </c>
      <c r="AC555" s="453" t="s">
        <v>1380</v>
      </c>
    </row>
    <row r="556" spans="1:29">
      <c r="A556" s="453">
        <v>555</v>
      </c>
      <c r="B556" s="453" t="s">
        <v>1383</v>
      </c>
      <c r="C556" s="453" t="s">
        <v>1384</v>
      </c>
      <c r="D556" s="550" t="s">
        <v>1385</v>
      </c>
      <c r="F556" s="453">
        <v>2010</v>
      </c>
      <c r="G556" s="453">
        <v>2025</v>
      </c>
      <c r="H556" s="472">
        <v>45000</v>
      </c>
      <c r="I556" s="453">
        <v>200000</v>
      </c>
      <c r="J556" s="453">
        <v>1</v>
      </c>
      <c r="K556" s="453">
        <v>1</v>
      </c>
      <c r="L556" s="453" t="s">
        <v>154</v>
      </c>
      <c r="M556" s="453">
        <v>1</v>
      </c>
      <c r="N556" s="453" t="s">
        <v>122</v>
      </c>
      <c r="O556" s="453">
        <v>115</v>
      </c>
      <c r="P556" s="453" t="s">
        <v>150</v>
      </c>
      <c r="Q556" s="453" t="s">
        <v>149</v>
      </c>
      <c r="R556" s="453">
        <v>0.25</v>
      </c>
      <c r="S556" s="453">
        <v>0.75</v>
      </c>
      <c r="T556" s="453">
        <v>1</v>
      </c>
      <c r="V556" s="453">
        <v>100</v>
      </c>
      <c r="W556" s="453">
        <v>0.05</v>
      </c>
      <c r="X556" s="453" t="s">
        <v>125</v>
      </c>
      <c r="Z556" s="453" t="s">
        <v>150</v>
      </c>
      <c r="AC556" s="453" t="s">
        <v>1383</v>
      </c>
    </row>
    <row r="557" spans="1:29">
      <c r="A557" s="453">
        <v>556</v>
      </c>
      <c r="B557" s="453" t="s">
        <v>1386</v>
      </c>
      <c r="C557" s="453" t="s">
        <v>1384</v>
      </c>
      <c r="D557" s="550" t="s">
        <v>1387</v>
      </c>
      <c r="F557" s="453">
        <v>2010</v>
      </c>
      <c r="G557" s="453">
        <v>2025</v>
      </c>
      <c r="H557" s="472">
        <v>45000</v>
      </c>
      <c r="I557" s="453">
        <v>200000</v>
      </c>
      <c r="J557" s="453">
        <v>1</v>
      </c>
      <c r="K557" s="453">
        <v>1</v>
      </c>
      <c r="L557" s="453" t="s">
        <v>154</v>
      </c>
      <c r="M557" s="453">
        <v>1</v>
      </c>
      <c r="N557" s="453" t="s">
        <v>122</v>
      </c>
      <c r="O557" s="453">
        <v>100</v>
      </c>
      <c r="P557" s="453" t="s">
        <v>150</v>
      </c>
      <c r="Q557" s="453" t="s">
        <v>149</v>
      </c>
      <c r="R557" s="453">
        <v>0.25</v>
      </c>
      <c r="S557" s="453">
        <v>0.75</v>
      </c>
      <c r="T557" s="453">
        <v>1</v>
      </c>
      <c r="V557" s="453">
        <v>100</v>
      </c>
      <c r="W557" s="453">
        <v>0.05</v>
      </c>
      <c r="X557" s="453" t="s">
        <v>125</v>
      </c>
      <c r="Z557" s="453" t="s">
        <v>150</v>
      </c>
      <c r="AC557" s="453" t="s">
        <v>1386</v>
      </c>
    </row>
    <row r="558" spans="1:29">
      <c r="A558" s="453">
        <v>557</v>
      </c>
      <c r="B558" s="453" t="s">
        <v>1388</v>
      </c>
      <c r="C558" s="453" t="s">
        <v>1389</v>
      </c>
      <c r="D558" s="550" t="s">
        <v>1390</v>
      </c>
      <c r="F558" s="453">
        <v>1963</v>
      </c>
      <c r="G558" s="453">
        <v>2009</v>
      </c>
      <c r="H558" s="472">
        <v>24500</v>
      </c>
      <c r="I558" s="453">
        <v>101000</v>
      </c>
      <c r="J558" s="453">
        <v>1</v>
      </c>
      <c r="K558" s="453">
        <v>3</v>
      </c>
      <c r="L558" s="453" t="s">
        <v>147</v>
      </c>
      <c r="M558" s="453">
        <v>1</v>
      </c>
      <c r="N558" s="453" t="s">
        <v>122</v>
      </c>
      <c r="O558" s="453">
        <v>260</v>
      </c>
      <c r="P558" s="453" t="s">
        <v>123</v>
      </c>
      <c r="Q558" s="453" t="s">
        <v>124</v>
      </c>
      <c r="R558" s="453">
        <v>1</v>
      </c>
      <c r="S558" s="453">
        <v>0.75</v>
      </c>
      <c r="T558" s="453">
        <v>8</v>
      </c>
      <c r="V558" s="453">
        <v>100</v>
      </c>
      <c r="W558" s="453">
        <v>500</v>
      </c>
      <c r="X558" s="453" t="s">
        <v>125</v>
      </c>
      <c r="Z558" s="453" t="s">
        <v>150</v>
      </c>
      <c r="AA558" s="453">
        <v>847</v>
      </c>
      <c r="AC558" s="453" t="s">
        <v>1388</v>
      </c>
    </row>
    <row r="559" spans="1:29">
      <c r="A559" s="453">
        <v>558</v>
      </c>
      <c r="B559" s="453" t="s">
        <v>1391</v>
      </c>
      <c r="C559" s="453" t="s">
        <v>1389</v>
      </c>
      <c r="D559" s="550" t="s">
        <v>1392</v>
      </c>
      <c r="F559" s="453">
        <v>1960</v>
      </c>
      <c r="G559" s="453">
        <v>2000</v>
      </c>
      <c r="H559" s="472">
        <v>24500</v>
      </c>
      <c r="I559" s="453">
        <v>76000</v>
      </c>
      <c r="J559" s="453">
        <v>1</v>
      </c>
      <c r="K559" s="453">
        <v>3</v>
      </c>
      <c r="L559" s="453" t="s">
        <v>147</v>
      </c>
      <c r="M559" s="453">
        <v>1</v>
      </c>
      <c r="N559" s="453" t="s">
        <v>122</v>
      </c>
      <c r="O559" s="453">
        <v>150</v>
      </c>
      <c r="P559" s="453" t="s">
        <v>148</v>
      </c>
      <c r="Q559" s="453" t="s">
        <v>149</v>
      </c>
      <c r="R559" s="453">
        <v>0</v>
      </c>
      <c r="T559" s="453">
        <v>4</v>
      </c>
      <c r="V559" s="453">
        <v>50</v>
      </c>
      <c r="W559" s="453">
        <v>250</v>
      </c>
      <c r="X559" s="453" t="s">
        <v>58</v>
      </c>
      <c r="Z559" s="453" t="s">
        <v>150</v>
      </c>
      <c r="AA559" s="453">
        <v>848</v>
      </c>
      <c r="AC559" s="453" t="s">
        <v>1391</v>
      </c>
    </row>
    <row r="560" spans="1:29">
      <c r="A560" s="453">
        <v>559</v>
      </c>
      <c r="B560" s="453" t="s">
        <v>1393</v>
      </c>
      <c r="C560" s="453" t="s">
        <v>1389</v>
      </c>
      <c r="D560" s="550" t="s">
        <v>1394</v>
      </c>
      <c r="E560" s="453" t="s">
        <v>1395</v>
      </c>
      <c r="F560" s="453">
        <v>1986</v>
      </c>
      <c r="G560" s="453">
        <v>2010</v>
      </c>
      <c r="H560" s="472">
        <v>75000</v>
      </c>
      <c r="I560" s="453">
        <v>200000</v>
      </c>
      <c r="J560" s="453">
        <v>1</v>
      </c>
      <c r="K560" s="453">
        <v>1</v>
      </c>
      <c r="L560" s="453" t="s">
        <v>147</v>
      </c>
      <c r="M560" s="453">
        <v>1</v>
      </c>
      <c r="N560" s="453" t="s">
        <v>122</v>
      </c>
      <c r="O560" s="453">
        <v>300</v>
      </c>
      <c r="P560" s="453" t="s">
        <v>132</v>
      </c>
      <c r="Q560" s="453" t="s">
        <v>124</v>
      </c>
      <c r="R560" s="453">
        <v>0.25</v>
      </c>
      <c r="S560" s="453">
        <v>0.25</v>
      </c>
      <c r="T560" s="453">
        <v>6</v>
      </c>
      <c r="V560" s="453">
        <v>250</v>
      </c>
      <c r="W560" s="453">
        <v>1000</v>
      </c>
      <c r="X560" s="453" t="s">
        <v>125</v>
      </c>
      <c r="Z560" s="453" t="s">
        <v>150</v>
      </c>
      <c r="AB560" s="453" t="s">
        <v>1396</v>
      </c>
      <c r="AC560" s="453" t="s">
        <v>1393</v>
      </c>
    </row>
    <row r="561" spans="1:29">
      <c r="A561" s="453">
        <v>560</v>
      </c>
      <c r="B561" s="453" t="s">
        <v>1397</v>
      </c>
      <c r="C561" s="453" t="s">
        <v>1398</v>
      </c>
      <c r="D561" s="550" t="s">
        <v>1399</v>
      </c>
      <c r="F561" s="453">
        <v>2000</v>
      </c>
      <c r="G561" s="453">
        <v>2016</v>
      </c>
      <c r="H561" s="472">
        <v>80000</v>
      </c>
      <c r="I561" s="453">
        <v>150000</v>
      </c>
      <c r="J561" s="453">
        <v>1</v>
      </c>
      <c r="K561" s="453">
        <v>1</v>
      </c>
      <c r="L561" s="453" t="s">
        <v>154</v>
      </c>
      <c r="M561" s="453">
        <v>1</v>
      </c>
      <c r="N561" s="453" t="s">
        <v>122</v>
      </c>
      <c r="O561" s="453">
        <v>100</v>
      </c>
      <c r="P561" s="453" t="s">
        <v>148</v>
      </c>
      <c r="Q561" s="453" t="s">
        <v>149</v>
      </c>
      <c r="R561" s="453">
        <v>0</v>
      </c>
      <c r="T561" s="453">
        <v>2</v>
      </c>
      <c r="V561" s="453">
        <v>50</v>
      </c>
      <c r="W561" s="453">
        <v>250</v>
      </c>
      <c r="X561" s="453" t="s">
        <v>58</v>
      </c>
      <c r="Z561" s="453" t="s">
        <v>150</v>
      </c>
      <c r="AA561" s="453">
        <v>877</v>
      </c>
      <c r="AC561" s="453" t="s">
        <v>1397</v>
      </c>
    </row>
    <row r="562" spans="1:29">
      <c r="A562" s="453">
        <v>561</v>
      </c>
      <c r="B562" s="453" t="s">
        <v>1400</v>
      </c>
      <c r="C562" s="453" t="s">
        <v>1401</v>
      </c>
      <c r="D562" s="550" t="s">
        <v>1402</v>
      </c>
      <c r="F562" s="453">
        <v>2009</v>
      </c>
      <c r="G562" s="453">
        <v>2018</v>
      </c>
      <c r="H562" s="472">
        <v>800000</v>
      </c>
      <c r="I562" s="453">
        <v>2500000</v>
      </c>
      <c r="J562" s="453">
        <v>1</v>
      </c>
      <c r="K562" s="453">
        <v>9</v>
      </c>
      <c r="L562" s="453" t="s">
        <v>147</v>
      </c>
      <c r="M562" s="453">
        <v>3</v>
      </c>
      <c r="N562" s="453" t="s">
        <v>130</v>
      </c>
      <c r="O562" s="453">
        <v>750</v>
      </c>
      <c r="P562" s="453" t="s">
        <v>148</v>
      </c>
      <c r="Q562" s="453" t="s">
        <v>133</v>
      </c>
      <c r="R562" s="453">
        <v>0</v>
      </c>
      <c r="S562" s="453">
        <v>0</v>
      </c>
      <c r="T562" s="453">
        <v>19</v>
      </c>
      <c r="U562" s="453" t="s">
        <v>123</v>
      </c>
      <c r="V562" s="453">
        <v>1000</v>
      </c>
      <c r="W562" s="453">
        <v>5000</v>
      </c>
      <c r="X562" s="453" t="s">
        <v>125</v>
      </c>
      <c r="Z562" s="453" t="s">
        <v>150</v>
      </c>
      <c r="AC562" s="453" t="s">
        <v>1400</v>
      </c>
    </row>
    <row r="563" spans="1:29">
      <c r="A563" s="453">
        <v>562</v>
      </c>
      <c r="B563" s="453" t="s">
        <v>1403</v>
      </c>
      <c r="C563" s="453" t="s">
        <v>1404</v>
      </c>
      <c r="D563" s="550" t="s">
        <v>1405</v>
      </c>
      <c r="F563" s="453">
        <v>2004</v>
      </c>
      <c r="G563" s="453">
        <v>2018</v>
      </c>
      <c r="H563" s="472">
        <v>85000</v>
      </c>
      <c r="I563" s="453">
        <v>110000</v>
      </c>
      <c r="J563" s="453">
        <v>1</v>
      </c>
      <c r="K563" s="453">
        <v>1</v>
      </c>
      <c r="L563" s="453" t="s">
        <v>154</v>
      </c>
      <c r="M563" s="453">
        <v>1</v>
      </c>
      <c r="N563" s="453" t="s">
        <v>122</v>
      </c>
      <c r="O563" s="453">
        <v>100</v>
      </c>
      <c r="P563" s="453" t="s">
        <v>148</v>
      </c>
      <c r="Q563" s="453" t="s">
        <v>149</v>
      </c>
      <c r="R563" s="453">
        <v>0</v>
      </c>
      <c r="T563" s="453">
        <v>2</v>
      </c>
      <c r="V563" s="453">
        <v>50</v>
      </c>
      <c r="W563" s="453">
        <v>250</v>
      </c>
      <c r="X563" s="453" t="s">
        <v>58</v>
      </c>
      <c r="Z563" s="453" t="s">
        <v>150</v>
      </c>
      <c r="AA563" s="453">
        <v>883</v>
      </c>
      <c r="AC563" s="453" t="s">
        <v>1403</v>
      </c>
    </row>
    <row r="564" spans="1:29">
      <c r="A564" s="453">
        <v>563</v>
      </c>
      <c r="B564" s="453" t="s">
        <v>1406</v>
      </c>
      <c r="C564" s="453" t="s">
        <v>1404</v>
      </c>
      <c r="D564" s="550" t="s">
        <v>1407</v>
      </c>
      <c r="F564" s="453">
        <v>2010</v>
      </c>
      <c r="G564" s="453">
        <v>2025</v>
      </c>
      <c r="H564" s="472">
        <v>130000</v>
      </c>
      <c r="I564" s="453">
        <v>200000</v>
      </c>
      <c r="J564" s="453">
        <v>1</v>
      </c>
      <c r="K564" s="453">
        <v>1</v>
      </c>
      <c r="L564" s="453" t="s">
        <v>154</v>
      </c>
      <c r="M564" s="453">
        <v>1</v>
      </c>
      <c r="N564" s="453" t="s">
        <v>122</v>
      </c>
      <c r="O564" s="453">
        <v>115</v>
      </c>
      <c r="P564" s="453" t="s">
        <v>123</v>
      </c>
      <c r="Q564" s="453" t="s">
        <v>149</v>
      </c>
      <c r="R564" s="453">
        <v>0</v>
      </c>
      <c r="S564" s="453">
        <v>0</v>
      </c>
      <c r="T564" s="453">
        <v>7</v>
      </c>
      <c r="V564" s="453">
        <v>100</v>
      </c>
      <c r="W564" s="453">
        <v>500</v>
      </c>
      <c r="X564" s="453" t="s">
        <v>58</v>
      </c>
      <c r="Z564" s="453" t="s">
        <v>150</v>
      </c>
      <c r="AC564" s="453" t="s">
        <v>1406</v>
      </c>
    </row>
    <row r="565" spans="1:29">
      <c r="A565" s="453">
        <v>564</v>
      </c>
      <c r="B565" s="453" t="s">
        <v>1408</v>
      </c>
      <c r="C565" s="453" t="s">
        <v>1404</v>
      </c>
      <c r="D565" s="550" t="s">
        <v>1409</v>
      </c>
      <c r="F565" s="453">
        <v>2010</v>
      </c>
      <c r="G565" s="453">
        <v>2025</v>
      </c>
      <c r="H565" s="472">
        <v>130000</v>
      </c>
      <c r="I565" s="453">
        <v>200000</v>
      </c>
      <c r="J565" s="453">
        <v>1</v>
      </c>
      <c r="K565" s="453">
        <v>1</v>
      </c>
      <c r="L565" s="453" t="s">
        <v>154</v>
      </c>
      <c r="M565" s="453">
        <v>1</v>
      </c>
      <c r="N565" s="453" t="s">
        <v>122</v>
      </c>
      <c r="O565" s="453">
        <v>115</v>
      </c>
      <c r="P565" s="453" t="s">
        <v>148</v>
      </c>
      <c r="Q565" s="453" t="s">
        <v>149</v>
      </c>
      <c r="R565" s="453">
        <v>0</v>
      </c>
      <c r="S565" s="453">
        <v>0</v>
      </c>
      <c r="T565" s="453">
        <v>5</v>
      </c>
      <c r="V565" s="453">
        <v>50</v>
      </c>
      <c r="W565" s="453">
        <v>250</v>
      </c>
      <c r="X565" s="453" t="s">
        <v>58</v>
      </c>
      <c r="Z565" s="453" t="s">
        <v>150</v>
      </c>
      <c r="AC565" s="453" t="s">
        <v>1408</v>
      </c>
    </row>
    <row r="566" spans="1:29">
      <c r="A566" s="453">
        <v>565</v>
      </c>
      <c r="B566" s="453" t="s">
        <v>1410</v>
      </c>
      <c r="C566" s="453" t="s">
        <v>1404</v>
      </c>
      <c r="D566" s="550" t="s">
        <v>1411</v>
      </c>
      <c r="F566" s="453">
        <v>2010</v>
      </c>
      <c r="G566" s="453">
        <v>2025</v>
      </c>
      <c r="H566" s="472">
        <v>150000</v>
      </c>
      <c r="I566" s="453">
        <v>225000</v>
      </c>
      <c r="J566" s="453">
        <v>1</v>
      </c>
      <c r="K566" s="453">
        <v>1</v>
      </c>
      <c r="L566" s="453" t="s">
        <v>154</v>
      </c>
      <c r="M566" s="453">
        <v>1</v>
      </c>
      <c r="N566" s="453" t="s">
        <v>122</v>
      </c>
      <c r="O566" s="453">
        <v>180</v>
      </c>
      <c r="P566" s="453" t="s">
        <v>123</v>
      </c>
      <c r="Q566" s="453" t="s">
        <v>149</v>
      </c>
      <c r="R566" s="453">
        <v>0</v>
      </c>
      <c r="S566" s="453">
        <v>0</v>
      </c>
      <c r="T566" s="453">
        <v>7</v>
      </c>
      <c r="V566" s="453">
        <v>100</v>
      </c>
      <c r="W566" s="453">
        <v>500</v>
      </c>
      <c r="X566" s="453" t="s">
        <v>58</v>
      </c>
      <c r="Z566" s="453" t="s">
        <v>150</v>
      </c>
      <c r="AC566" s="453" t="s">
        <v>1410</v>
      </c>
    </row>
    <row r="567" spans="1:29">
      <c r="A567" s="453">
        <v>566</v>
      </c>
      <c r="B567" s="453" t="s">
        <v>1412</v>
      </c>
      <c r="C567" s="453" t="s">
        <v>1404</v>
      </c>
      <c r="D567" s="550" t="s">
        <v>1413</v>
      </c>
      <c r="F567" s="453">
        <v>2000</v>
      </c>
      <c r="G567" s="453">
        <v>2025</v>
      </c>
      <c r="H567" s="472">
        <v>50000</v>
      </c>
      <c r="I567" s="453">
        <v>150000</v>
      </c>
      <c r="J567" s="453">
        <v>1</v>
      </c>
      <c r="K567" s="453">
        <v>1</v>
      </c>
      <c r="L567" s="453" t="s">
        <v>154</v>
      </c>
      <c r="M567" s="453">
        <v>1</v>
      </c>
      <c r="N567" s="453" t="s">
        <v>122</v>
      </c>
      <c r="O567" s="453">
        <v>100</v>
      </c>
      <c r="P567" s="453" t="s">
        <v>148</v>
      </c>
      <c r="Q567" s="453" t="s">
        <v>149</v>
      </c>
      <c r="R567" s="453">
        <v>0</v>
      </c>
      <c r="S567" s="453">
        <v>0</v>
      </c>
      <c r="T567" s="453">
        <v>2</v>
      </c>
      <c r="V567" s="453">
        <v>100</v>
      </c>
      <c r="W567" s="453">
        <v>500</v>
      </c>
      <c r="X567" s="453" t="s">
        <v>58</v>
      </c>
      <c r="Z567" s="453" t="s">
        <v>150</v>
      </c>
      <c r="AC567" s="453" t="s">
        <v>1412</v>
      </c>
    </row>
    <row r="568" spans="1:29">
      <c r="A568" s="453">
        <v>567</v>
      </c>
      <c r="B568" s="453" t="s">
        <v>1414</v>
      </c>
      <c r="C568" s="453" t="s">
        <v>1404</v>
      </c>
      <c r="D568" s="550" t="s">
        <v>1415</v>
      </c>
      <c r="F568" s="453">
        <v>2000</v>
      </c>
      <c r="G568" s="453">
        <v>2025</v>
      </c>
      <c r="H568" s="472">
        <v>45000</v>
      </c>
      <c r="I568" s="453">
        <v>150000</v>
      </c>
      <c r="J568" s="453">
        <v>1</v>
      </c>
      <c r="K568" s="453">
        <v>1</v>
      </c>
      <c r="L568" s="453" t="s">
        <v>154</v>
      </c>
      <c r="M568" s="453">
        <v>1</v>
      </c>
      <c r="N568" s="453" t="s">
        <v>122</v>
      </c>
      <c r="O568" s="453">
        <v>100</v>
      </c>
      <c r="P568" s="453" t="s">
        <v>148</v>
      </c>
      <c r="Q568" s="453" t="s">
        <v>149</v>
      </c>
      <c r="R568" s="453">
        <v>0</v>
      </c>
      <c r="S568" s="453">
        <v>0</v>
      </c>
      <c r="T568" s="453">
        <v>2</v>
      </c>
      <c r="V568" s="453">
        <v>100</v>
      </c>
      <c r="W568" s="453">
        <v>500</v>
      </c>
      <c r="X568" s="453" t="s">
        <v>58</v>
      </c>
      <c r="Z568" s="453" t="s">
        <v>150</v>
      </c>
      <c r="AC568" s="453" t="s">
        <v>1414</v>
      </c>
    </row>
    <row r="569" spans="1:29">
      <c r="A569" s="453">
        <v>568</v>
      </c>
      <c r="B569" s="453" t="s">
        <v>1416</v>
      </c>
      <c r="C569" s="453" t="s">
        <v>1404</v>
      </c>
      <c r="D569" s="550" t="s">
        <v>1417</v>
      </c>
      <c r="F569" s="453">
        <v>1998</v>
      </c>
      <c r="G569" s="453">
        <v>2004</v>
      </c>
      <c r="H569" s="472">
        <v>45000</v>
      </c>
      <c r="I569" s="453">
        <v>100000</v>
      </c>
      <c r="J569" s="453">
        <v>1</v>
      </c>
      <c r="K569" s="453">
        <v>1</v>
      </c>
      <c r="L569" s="453" t="s">
        <v>147</v>
      </c>
      <c r="M569" s="453">
        <v>1</v>
      </c>
      <c r="N569" s="453" t="s">
        <v>122</v>
      </c>
      <c r="O569" s="453">
        <v>100</v>
      </c>
      <c r="P569" s="453" t="s">
        <v>148</v>
      </c>
      <c r="Q569" s="453" t="s">
        <v>149</v>
      </c>
      <c r="R569" s="453">
        <v>0</v>
      </c>
      <c r="T569" s="453">
        <v>2</v>
      </c>
      <c r="V569" s="453">
        <v>50</v>
      </c>
      <c r="W569" s="453">
        <v>250</v>
      </c>
      <c r="X569" s="453" t="s">
        <v>58</v>
      </c>
      <c r="Z569" s="453" t="s">
        <v>150</v>
      </c>
      <c r="AA569" s="453">
        <v>887</v>
      </c>
      <c r="AC569" s="453" t="s">
        <v>1416</v>
      </c>
    </row>
    <row r="570" spans="1:29">
      <c r="A570" s="453">
        <v>569</v>
      </c>
      <c r="B570" s="453" t="s">
        <v>1418</v>
      </c>
      <c r="C570" s="453" t="s">
        <v>1404</v>
      </c>
      <c r="D570" s="550" t="s">
        <v>1419</v>
      </c>
      <c r="F570" s="453">
        <v>2000</v>
      </c>
      <c r="G570" s="453">
        <v>2025</v>
      </c>
      <c r="H570" s="472">
        <v>45000</v>
      </c>
      <c r="I570" s="453">
        <v>150000</v>
      </c>
      <c r="J570" s="453">
        <v>1</v>
      </c>
      <c r="K570" s="453">
        <v>1</v>
      </c>
      <c r="L570" s="453" t="s">
        <v>154</v>
      </c>
      <c r="M570" s="453">
        <v>1</v>
      </c>
      <c r="N570" s="453" t="s">
        <v>122</v>
      </c>
      <c r="O570" s="453">
        <v>100</v>
      </c>
      <c r="P570" s="453" t="s">
        <v>123</v>
      </c>
      <c r="Q570" s="453" t="s">
        <v>149</v>
      </c>
      <c r="R570" s="453">
        <v>0</v>
      </c>
      <c r="T570" s="453">
        <v>3</v>
      </c>
      <c r="V570" s="453">
        <v>100</v>
      </c>
      <c r="W570" s="453">
        <v>500</v>
      </c>
      <c r="X570" s="453" t="s">
        <v>58</v>
      </c>
      <c r="Z570" s="453" t="s">
        <v>150</v>
      </c>
      <c r="AA570" s="453">
        <v>888</v>
      </c>
      <c r="AC570" s="453" t="s">
        <v>1418</v>
      </c>
    </row>
    <row r="571" spans="1:29">
      <c r="A571" s="453">
        <v>570</v>
      </c>
      <c r="B571" s="453" t="s">
        <v>1420</v>
      </c>
      <c r="C571" s="453" t="s">
        <v>1404</v>
      </c>
      <c r="D571" s="550" t="s">
        <v>1421</v>
      </c>
      <c r="F571" s="453">
        <v>2000</v>
      </c>
      <c r="G571" s="453">
        <v>2025</v>
      </c>
      <c r="H571" s="472">
        <v>75000</v>
      </c>
      <c r="I571" s="453">
        <v>175000</v>
      </c>
      <c r="J571" s="453">
        <v>1</v>
      </c>
      <c r="K571" s="453">
        <v>1</v>
      </c>
      <c r="L571" s="453" t="s">
        <v>154</v>
      </c>
      <c r="M571" s="453">
        <v>1</v>
      </c>
      <c r="N571" s="453" t="s">
        <v>122</v>
      </c>
      <c r="O571" s="453">
        <v>100</v>
      </c>
      <c r="P571" s="453" t="s">
        <v>123</v>
      </c>
      <c r="Q571" s="453" t="s">
        <v>149</v>
      </c>
      <c r="R571" s="453">
        <v>0</v>
      </c>
      <c r="S571" s="453">
        <v>0</v>
      </c>
      <c r="T571" s="453">
        <v>3</v>
      </c>
      <c r="V571" s="453">
        <v>100</v>
      </c>
      <c r="W571" s="453">
        <v>500</v>
      </c>
      <c r="X571" s="453" t="s">
        <v>58</v>
      </c>
      <c r="Z571" s="453" t="s">
        <v>150</v>
      </c>
      <c r="AC571" s="453" t="s">
        <v>1420</v>
      </c>
    </row>
    <row r="572" spans="1:29">
      <c r="A572" s="453">
        <v>571</v>
      </c>
      <c r="B572" s="453" t="s">
        <v>1422</v>
      </c>
      <c r="C572" s="453" t="s">
        <v>1423</v>
      </c>
      <c r="D572" s="550" t="s">
        <v>1424</v>
      </c>
      <c r="F572" s="453">
        <v>1940</v>
      </c>
      <c r="G572" s="453">
        <v>1941</v>
      </c>
      <c r="H572" s="472">
        <v>24500</v>
      </c>
      <c r="I572" s="453">
        <v>76000</v>
      </c>
      <c r="J572" s="453">
        <v>1</v>
      </c>
      <c r="K572" s="453">
        <v>1</v>
      </c>
      <c r="L572" s="453" t="s">
        <v>147</v>
      </c>
      <c r="M572" s="453">
        <v>1</v>
      </c>
      <c r="N572" s="453" t="s">
        <v>122</v>
      </c>
      <c r="O572" s="453">
        <v>120</v>
      </c>
      <c r="P572" s="453" t="s">
        <v>123</v>
      </c>
      <c r="Q572" s="453" t="s">
        <v>149</v>
      </c>
      <c r="R572" s="453">
        <v>0</v>
      </c>
      <c r="T572" s="453">
        <v>7</v>
      </c>
      <c r="V572" s="453">
        <v>100</v>
      </c>
      <c r="W572" s="453">
        <v>500</v>
      </c>
      <c r="X572" s="453" t="s">
        <v>58</v>
      </c>
      <c r="Z572" s="453" t="s">
        <v>150</v>
      </c>
      <c r="AA572" s="453">
        <v>889</v>
      </c>
      <c r="AC572" s="453" t="s">
        <v>1422</v>
      </c>
    </row>
    <row r="573" spans="1:29">
      <c r="A573" s="453">
        <v>572</v>
      </c>
      <c r="B573" s="453" t="s">
        <v>1425</v>
      </c>
      <c r="C573" s="453" t="s">
        <v>1423</v>
      </c>
      <c r="D573" s="550" t="s">
        <v>1426</v>
      </c>
      <c r="F573" s="453">
        <v>1941</v>
      </c>
      <c r="G573" s="453">
        <v>1946</v>
      </c>
      <c r="H573" s="472">
        <v>9500</v>
      </c>
      <c r="I573" s="453">
        <v>41000</v>
      </c>
      <c r="J573" s="453">
        <v>1</v>
      </c>
      <c r="K573" s="453">
        <v>1</v>
      </c>
      <c r="L573" s="453" t="s">
        <v>147</v>
      </c>
      <c r="M573" s="453">
        <v>1</v>
      </c>
      <c r="N573" s="453" t="s">
        <v>122</v>
      </c>
      <c r="O573" s="453">
        <v>85</v>
      </c>
      <c r="P573" s="453" t="s">
        <v>123</v>
      </c>
      <c r="Q573" s="453" t="s">
        <v>149</v>
      </c>
      <c r="R573" s="453">
        <v>0</v>
      </c>
      <c r="T573" s="453">
        <v>7</v>
      </c>
      <c r="V573" s="453">
        <v>100</v>
      </c>
      <c r="W573" s="453">
        <v>500</v>
      </c>
      <c r="X573" s="453" t="s">
        <v>58</v>
      </c>
      <c r="Z573" s="453" t="s">
        <v>150</v>
      </c>
      <c r="AA573" s="453">
        <v>890</v>
      </c>
      <c r="AC573" s="453" t="s">
        <v>1425</v>
      </c>
    </row>
    <row r="574" spans="1:29">
      <c r="A574" s="453">
        <v>573</v>
      </c>
      <c r="B574" s="453" t="s">
        <v>1427</v>
      </c>
      <c r="C574" s="453" t="s">
        <v>1428</v>
      </c>
      <c r="D574" s="550" t="s">
        <v>1429</v>
      </c>
      <c r="F574" s="453">
        <v>2002</v>
      </c>
      <c r="G574" s="453">
        <v>2016</v>
      </c>
      <c r="H574" s="472">
        <v>64500</v>
      </c>
      <c r="I574" s="453">
        <v>150000</v>
      </c>
      <c r="J574" s="453">
        <v>1</v>
      </c>
      <c r="K574" s="453">
        <v>1</v>
      </c>
      <c r="L574" s="453" t="s">
        <v>154</v>
      </c>
      <c r="M574" s="453">
        <v>1</v>
      </c>
      <c r="N574" s="453" t="s">
        <v>122</v>
      </c>
      <c r="O574" s="453">
        <v>100</v>
      </c>
      <c r="P574" s="453" t="s">
        <v>148</v>
      </c>
      <c r="Q574" s="453" t="s">
        <v>149</v>
      </c>
      <c r="R574" s="453">
        <v>0.25</v>
      </c>
      <c r="T574" s="453">
        <v>2</v>
      </c>
      <c r="V574" s="453">
        <v>50</v>
      </c>
      <c r="W574" s="453">
        <v>250</v>
      </c>
      <c r="X574" s="453" t="s">
        <v>58</v>
      </c>
      <c r="Z574" s="453" t="s">
        <v>150</v>
      </c>
      <c r="AA574" s="453">
        <v>891</v>
      </c>
      <c r="AC574" s="453" t="s">
        <v>1427</v>
      </c>
    </row>
    <row r="575" spans="1:29">
      <c r="A575" s="453">
        <v>574</v>
      </c>
      <c r="B575" s="453" t="s">
        <v>1430</v>
      </c>
      <c r="C575" s="453" t="s">
        <v>1428</v>
      </c>
      <c r="D575" s="550" t="s">
        <v>1431</v>
      </c>
      <c r="F575" s="453">
        <v>2002</v>
      </c>
      <c r="G575" s="453">
        <v>2018</v>
      </c>
      <c r="H575" s="472">
        <v>60000</v>
      </c>
      <c r="I575" s="453">
        <v>150000</v>
      </c>
      <c r="J575" s="453">
        <v>1</v>
      </c>
      <c r="K575" s="453">
        <v>1</v>
      </c>
      <c r="L575" s="453" t="s">
        <v>154</v>
      </c>
      <c r="M575" s="453">
        <v>1</v>
      </c>
      <c r="N575" s="453" t="s">
        <v>122</v>
      </c>
      <c r="O575" s="453">
        <v>100</v>
      </c>
      <c r="P575" s="453" t="s">
        <v>148</v>
      </c>
      <c r="Q575" s="453" t="s">
        <v>149</v>
      </c>
      <c r="R575" s="453">
        <v>0.25</v>
      </c>
      <c r="T575" s="453">
        <v>2</v>
      </c>
      <c r="V575" s="453">
        <v>50</v>
      </c>
      <c r="W575" s="453">
        <v>250</v>
      </c>
      <c r="X575" s="453" t="s">
        <v>58</v>
      </c>
      <c r="Z575" s="453" t="s">
        <v>150</v>
      </c>
      <c r="AA575" s="453">
        <v>1344</v>
      </c>
      <c r="AC575" s="453" t="s">
        <v>1430</v>
      </c>
    </row>
    <row r="576" spans="1:29">
      <c r="A576" s="453">
        <v>575</v>
      </c>
      <c r="B576" s="453" t="s">
        <v>1432</v>
      </c>
      <c r="C576" s="453" t="s">
        <v>1433</v>
      </c>
      <c r="D576" s="550" t="s">
        <v>1434</v>
      </c>
      <c r="F576" s="453">
        <v>2010</v>
      </c>
      <c r="G576" s="453">
        <v>2030</v>
      </c>
      <c r="H576" s="472">
        <v>25000</v>
      </c>
      <c r="I576" s="453">
        <v>300000</v>
      </c>
      <c r="J576" s="453">
        <v>1</v>
      </c>
      <c r="K576" s="453">
        <v>1</v>
      </c>
      <c r="L576" s="453" t="s">
        <v>154</v>
      </c>
      <c r="M576" s="453">
        <v>1</v>
      </c>
      <c r="N576" s="453" t="s">
        <v>122</v>
      </c>
      <c r="O576" s="453">
        <v>115</v>
      </c>
      <c r="P576" s="453" t="s">
        <v>148</v>
      </c>
      <c r="Q576" s="453" t="s">
        <v>133</v>
      </c>
      <c r="R576" s="453">
        <v>3</v>
      </c>
      <c r="S576" s="453">
        <v>3</v>
      </c>
      <c r="T576" s="453">
        <v>1</v>
      </c>
      <c r="V576" s="453">
        <v>25000</v>
      </c>
      <c r="W576" s="453">
        <v>0.5</v>
      </c>
      <c r="X576" s="453" t="s">
        <v>125</v>
      </c>
      <c r="AB576" s="453" t="s">
        <v>1435</v>
      </c>
      <c r="AC576" s="453" t="s">
        <v>1432</v>
      </c>
    </row>
    <row r="577" spans="1:29">
      <c r="A577" s="453">
        <v>576</v>
      </c>
      <c r="B577" s="453" t="s">
        <v>1436</v>
      </c>
      <c r="C577" s="453" t="s">
        <v>1433</v>
      </c>
      <c r="D577" s="550" t="s">
        <v>1437</v>
      </c>
      <c r="F577" s="453">
        <v>2010</v>
      </c>
      <c r="G577" s="453">
        <v>2030</v>
      </c>
      <c r="H577" s="472">
        <v>25000</v>
      </c>
      <c r="I577" s="453">
        <v>300000</v>
      </c>
      <c r="J577" s="453">
        <v>1</v>
      </c>
      <c r="K577" s="453">
        <v>1</v>
      </c>
      <c r="L577" s="453" t="s">
        <v>154</v>
      </c>
      <c r="M577" s="453">
        <v>1</v>
      </c>
      <c r="N577" s="453" t="s">
        <v>122</v>
      </c>
      <c r="O577" s="453">
        <v>115</v>
      </c>
      <c r="P577" s="453" t="s">
        <v>123</v>
      </c>
      <c r="Q577" s="453" t="s">
        <v>133</v>
      </c>
      <c r="R577" s="453">
        <v>3</v>
      </c>
      <c r="S577" s="453">
        <v>3</v>
      </c>
      <c r="T577" s="453">
        <v>1</v>
      </c>
      <c r="V577" s="453">
        <v>25000</v>
      </c>
      <c r="W577" s="453">
        <v>0.5</v>
      </c>
      <c r="X577" s="453" t="s">
        <v>125</v>
      </c>
      <c r="AB577" s="453" t="s">
        <v>1438</v>
      </c>
      <c r="AC577" s="453" t="s">
        <v>1436</v>
      </c>
    </row>
    <row r="578" spans="1:29">
      <c r="A578" s="453">
        <v>577</v>
      </c>
      <c r="B578" s="453" t="s">
        <v>1439</v>
      </c>
      <c r="C578" s="453" t="s">
        <v>1433</v>
      </c>
      <c r="D578" s="550" t="s">
        <v>1440</v>
      </c>
      <c r="F578" s="453">
        <v>2010</v>
      </c>
      <c r="G578" s="453">
        <v>2030</v>
      </c>
      <c r="H578" s="472">
        <v>25000</v>
      </c>
      <c r="I578" s="453">
        <v>300000</v>
      </c>
      <c r="J578" s="453">
        <v>1</v>
      </c>
      <c r="K578" s="453">
        <v>1</v>
      </c>
      <c r="L578" s="453" t="s">
        <v>154</v>
      </c>
      <c r="M578" s="453">
        <v>1</v>
      </c>
      <c r="N578" s="453" t="s">
        <v>122</v>
      </c>
      <c r="O578" s="453">
        <v>115</v>
      </c>
      <c r="P578" s="453" t="s">
        <v>123</v>
      </c>
      <c r="Q578" s="453" t="s">
        <v>133</v>
      </c>
      <c r="R578" s="453">
        <v>3</v>
      </c>
      <c r="S578" s="453">
        <v>3</v>
      </c>
      <c r="T578" s="453">
        <v>1</v>
      </c>
      <c r="V578" s="453">
        <v>25000</v>
      </c>
      <c r="W578" s="453">
        <v>0.5</v>
      </c>
      <c r="X578" s="453" t="s">
        <v>125</v>
      </c>
      <c r="AB578" s="453" t="s">
        <v>1435</v>
      </c>
      <c r="AC578" s="453" t="s">
        <v>1439</v>
      </c>
    </row>
    <row r="579" spans="1:29">
      <c r="A579" s="453">
        <v>578</v>
      </c>
      <c r="B579" s="453" t="s">
        <v>1441</v>
      </c>
      <c r="C579" s="453" t="s">
        <v>1442</v>
      </c>
      <c r="D579" s="550" t="s">
        <v>1443</v>
      </c>
      <c r="F579" s="453">
        <v>1944</v>
      </c>
      <c r="G579" s="453">
        <v>1950</v>
      </c>
      <c r="H579" s="472">
        <v>49500</v>
      </c>
      <c r="I579" s="453">
        <v>126000</v>
      </c>
      <c r="J579" s="453">
        <v>1</v>
      </c>
      <c r="K579" s="453">
        <v>3</v>
      </c>
      <c r="L579" s="453" t="s">
        <v>147</v>
      </c>
      <c r="M579" s="453">
        <v>1</v>
      </c>
      <c r="N579" s="453" t="s">
        <v>122</v>
      </c>
      <c r="O579" s="453">
        <v>215</v>
      </c>
      <c r="P579" s="453" t="s">
        <v>150</v>
      </c>
      <c r="Q579" s="453" t="s">
        <v>133</v>
      </c>
      <c r="R579" s="453">
        <v>0.15</v>
      </c>
      <c r="S579" s="453">
        <v>0</v>
      </c>
      <c r="T579" s="453">
        <v>1</v>
      </c>
      <c r="V579" s="453">
        <v>100</v>
      </c>
      <c r="W579" s="453">
        <v>0.1</v>
      </c>
      <c r="X579" s="453" t="s">
        <v>125</v>
      </c>
      <c r="Z579" s="453" t="s">
        <v>150</v>
      </c>
      <c r="AA579" s="453">
        <v>892</v>
      </c>
      <c r="AC579" s="453" t="s">
        <v>1441</v>
      </c>
    </row>
    <row r="580" spans="1:29">
      <c r="A580" s="453">
        <v>579</v>
      </c>
      <c r="B580" s="453" t="s">
        <v>1444</v>
      </c>
      <c r="C580" s="453" t="s">
        <v>1445</v>
      </c>
      <c r="D580" s="550" t="s">
        <v>1446</v>
      </c>
      <c r="F580" s="453">
        <v>1979</v>
      </c>
      <c r="G580" s="453">
        <v>1989</v>
      </c>
      <c r="H580" s="472">
        <v>39500</v>
      </c>
      <c r="I580" s="453">
        <v>101000</v>
      </c>
      <c r="J580" s="453">
        <v>1</v>
      </c>
      <c r="K580" s="453">
        <v>1</v>
      </c>
      <c r="L580" s="453" t="s">
        <v>147</v>
      </c>
      <c r="M580" s="453">
        <v>6</v>
      </c>
      <c r="N580" s="453" t="s">
        <v>122</v>
      </c>
      <c r="O580" s="453">
        <v>124</v>
      </c>
      <c r="P580" s="453" t="s">
        <v>148</v>
      </c>
      <c r="Q580" s="453" t="s">
        <v>149</v>
      </c>
      <c r="R580" s="453">
        <v>0.1</v>
      </c>
      <c r="S580" s="453">
        <v>0.1</v>
      </c>
      <c r="T580" s="453">
        <v>17</v>
      </c>
      <c r="V580" s="453">
        <v>1000</v>
      </c>
      <c r="W580" s="453">
        <v>0.05</v>
      </c>
      <c r="X580" s="453" t="s">
        <v>125</v>
      </c>
      <c r="Z580" s="453" t="s">
        <v>150</v>
      </c>
      <c r="AA580" s="453">
        <v>894</v>
      </c>
      <c r="AC580" s="453" t="s">
        <v>1444</v>
      </c>
    </row>
    <row r="581" spans="1:29">
      <c r="A581" s="453">
        <v>580</v>
      </c>
      <c r="B581" s="453" t="s">
        <v>1447</v>
      </c>
      <c r="C581" s="453" t="s">
        <v>1445</v>
      </c>
      <c r="D581" s="550" t="s">
        <v>1448</v>
      </c>
      <c r="F581" s="453">
        <v>1993</v>
      </c>
      <c r="G581" s="453">
        <v>2002</v>
      </c>
      <c r="H581" s="472">
        <v>149500</v>
      </c>
      <c r="I581" s="453">
        <v>251000</v>
      </c>
      <c r="J581" s="453">
        <v>1</v>
      </c>
      <c r="K581" s="453">
        <v>3</v>
      </c>
      <c r="L581" s="453" t="s">
        <v>147</v>
      </c>
      <c r="M581" s="453">
        <v>6</v>
      </c>
      <c r="N581" s="453" t="s">
        <v>122</v>
      </c>
      <c r="O581" s="453">
        <v>205</v>
      </c>
      <c r="P581" s="453" t="s">
        <v>148</v>
      </c>
      <c r="Q581" s="453" t="s">
        <v>124</v>
      </c>
      <c r="R581" s="453">
        <v>0</v>
      </c>
      <c r="S581" s="453">
        <v>0</v>
      </c>
      <c r="T581" s="453">
        <v>18</v>
      </c>
      <c r="U581" s="453" t="s">
        <v>229</v>
      </c>
      <c r="V581" s="453">
        <v>1000</v>
      </c>
      <c r="W581" s="453">
        <v>0.05</v>
      </c>
      <c r="X581" s="453" t="s">
        <v>125</v>
      </c>
      <c r="Z581" s="453" t="s">
        <v>150</v>
      </c>
      <c r="AA581" s="453">
        <v>896</v>
      </c>
      <c r="AC581" s="453" t="s">
        <v>1447</v>
      </c>
    </row>
    <row r="582" spans="1:29">
      <c r="A582" s="453">
        <v>581</v>
      </c>
      <c r="B582" s="453" t="s">
        <v>1449</v>
      </c>
      <c r="C582" s="453" t="s">
        <v>1445</v>
      </c>
      <c r="D582" s="550" t="s">
        <v>1450</v>
      </c>
      <c r="F582" s="453">
        <v>2011</v>
      </c>
      <c r="G582" s="453">
        <v>2020</v>
      </c>
      <c r="H582" s="472">
        <v>450000</v>
      </c>
      <c r="I582" s="453">
        <v>1000000</v>
      </c>
      <c r="J582" s="453">
        <v>1</v>
      </c>
      <c r="K582" s="453">
        <v>4</v>
      </c>
      <c r="L582" s="453" t="s">
        <v>147</v>
      </c>
      <c r="M582" s="453">
        <v>7</v>
      </c>
      <c r="N582" s="453" t="s">
        <v>130</v>
      </c>
      <c r="O582" s="453">
        <v>300</v>
      </c>
      <c r="P582" s="453" t="s">
        <v>148</v>
      </c>
      <c r="Q582" s="453" t="s">
        <v>124</v>
      </c>
      <c r="R582" s="453">
        <v>0</v>
      </c>
      <c r="S582" s="453">
        <v>0</v>
      </c>
      <c r="T582" s="453">
        <v>22</v>
      </c>
      <c r="U582" s="453" t="s">
        <v>123</v>
      </c>
      <c r="V582" s="453">
        <v>1000</v>
      </c>
      <c r="W582" s="453">
        <v>2.5000000000000001E-2</v>
      </c>
      <c r="X582" s="453" t="s">
        <v>125</v>
      </c>
      <c r="Z582" s="453" t="s">
        <v>150</v>
      </c>
      <c r="AC582" s="453" t="s">
        <v>1449</v>
      </c>
    </row>
    <row r="583" spans="1:29">
      <c r="A583" s="453">
        <v>582</v>
      </c>
      <c r="B583" s="453" t="s">
        <v>1451</v>
      </c>
      <c r="C583" s="453" t="s">
        <v>1452</v>
      </c>
      <c r="D583" s="550">
        <v>100</v>
      </c>
      <c r="E583" s="453" t="s">
        <v>1453</v>
      </c>
      <c r="F583" s="453">
        <v>1966</v>
      </c>
      <c r="G583" s="453">
        <v>1971</v>
      </c>
      <c r="H583" s="472">
        <v>9000</v>
      </c>
      <c r="I583" s="453">
        <v>25000</v>
      </c>
      <c r="J583" s="453">
        <v>1</v>
      </c>
      <c r="K583" s="453">
        <v>2</v>
      </c>
      <c r="L583" s="453" t="s">
        <v>147</v>
      </c>
      <c r="M583" s="453">
        <v>1</v>
      </c>
      <c r="N583" s="453" t="s">
        <v>122</v>
      </c>
      <c r="O583" s="453">
        <v>100</v>
      </c>
      <c r="P583" s="453" t="s">
        <v>148</v>
      </c>
      <c r="Q583" s="453" t="s">
        <v>149</v>
      </c>
      <c r="R583" s="453">
        <v>0</v>
      </c>
      <c r="T583" s="453">
        <v>4</v>
      </c>
      <c r="V583" s="453">
        <v>50</v>
      </c>
      <c r="W583" s="453">
        <v>250</v>
      </c>
      <c r="X583" s="453" t="s">
        <v>125</v>
      </c>
      <c r="Z583" s="453" t="s">
        <v>150</v>
      </c>
      <c r="AC583" s="453" t="s">
        <v>1451</v>
      </c>
    </row>
    <row r="584" spans="1:29">
      <c r="A584" s="453">
        <v>583</v>
      </c>
      <c r="B584" s="453" t="s">
        <v>1454</v>
      </c>
      <c r="C584" s="453" t="s">
        <v>1452</v>
      </c>
      <c r="D584" s="550" t="s">
        <v>1455</v>
      </c>
      <c r="E584" s="453" t="s">
        <v>1456</v>
      </c>
      <c r="F584" s="453">
        <v>1966</v>
      </c>
      <c r="G584" s="453">
        <v>1971</v>
      </c>
      <c r="H584" s="472">
        <v>14500</v>
      </c>
      <c r="I584" s="453">
        <v>26000</v>
      </c>
      <c r="J584" s="453">
        <v>1</v>
      </c>
      <c r="K584" s="453">
        <v>3</v>
      </c>
      <c r="L584" s="453" t="s">
        <v>147</v>
      </c>
      <c r="M584" s="453">
        <v>1</v>
      </c>
      <c r="N584" s="453" t="s">
        <v>122</v>
      </c>
      <c r="O584" s="453">
        <v>180</v>
      </c>
      <c r="P584" s="453" t="s">
        <v>148</v>
      </c>
      <c r="Q584" s="453" t="s">
        <v>149</v>
      </c>
      <c r="R584" s="453">
        <v>0</v>
      </c>
      <c r="T584" s="453">
        <v>4</v>
      </c>
      <c r="V584" s="453">
        <v>50</v>
      </c>
      <c r="W584" s="453">
        <v>250</v>
      </c>
      <c r="X584" s="453" t="s">
        <v>125</v>
      </c>
      <c r="Z584" s="453" t="s">
        <v>150</v>
      </c>
      <c r="AA584" s="453">
        <v>898</v>
      </c>
      <c r="AC584" s="453" t="s">
        <v>1454</v>
      </c>
    </row>
    <row r="585" spans="1:29">
      <c r="A585" s="453">
        <v>584</v>
      </c>
      <c r="B585" s="453" t="s">
        <v>1457</v>
      </c>
      <c r="C585" s="453" t="s">
        <v>1458</v>
      </c>
      <c r="D585" s="550" t="s">
        <v>1459</v>
      </c>
      <c r="F585" s="453">
        <v>1936</v>
      </c>
      <c r="G585" s="453">
        <v>1975</v>
      </c>
      <c r="H585" s="472">
        <v>24500</v>
      </c>
      <c r="I585" s="453">
        <v>76000</v>
      </c>
      <c r="J585" s="453">
        <v>1</v>
      </c>
      <c r="K585" s="453">
        <v>0</v>
      </c>
      <c r="L585" s="453" t="s">
        <v>147</v>
      </c>
      <c r="M585" s="453">
        <v>1</v>
      </c>
      <c r="N585" s="453" t="s">
        <v>122</v>
      </c>
      <c r="O585" s="453">
        <v>65</v>
      </c>
      <c r="P585" s="453" t="s">
        <v>123</v>
      </c>
      <c r="Q585" s="453" t="s">
        <v>149</v>
      </c>
      <c r="R585" s="453">
        <v>0</v>
      </c>
      <c r="T585" s="453">
        <v>7</v>
      </c>
      <c r="V585" s="453">
        <v>100</v>
      </c>
      <c r="W585" s="453">
        <v>500</v>
      </c>
      <c r="X585" s="453" t="s">
        <v>58</v>
      </c>
      <c r="Z585" s="453" t="s">
        <v>150</v>
      </c>
      <c r="AA585" s="453">
        <v>908</v>
      </c>
      <c r="AC585" s="453" t="s">
        <v>1457</v>
      </c>
    </row>
    <row r="586" spans="1:29">
      <c r="A586" s="453">
        <v>585</v>
      </c>
      <c r="B586" s="453" t="s">
        <v>1460</v>
      </c>
      <c r="C586" s="453" t="s">
        <v>1461</v>
      </c>
      <c r="D586" s="550" t="s">
        <v>1462</v>
      </c>
      <c r="F586" s="453">
        <v>1926</v>
      </c>
      <c r="G586" s="453">
        <v>1945</v>
      </c>
      <c r="H586" s="472">
        <v>24500</v>
      </c>
      <c r="I586" s="453">
        <v>76000</v>
      </c>
      <c r="J586" s="453">
        <v>1</v>
      </c>
      <c r="K586" s="453">
        <v>1</v>
      </c>
      <c r="L586" s="453" t="s">
        <v>147</v>
      </c>
      <c r="M586" s="453">
        <v>1</v>
      </c>
      <c r="N586" s="453" t="s">
        <v>122</v>
      </c>
      <c r="O586" s="453">
        <v>300</v>
      </c>
      <c r="P586" s="453" t="s">
        <v>123</v>
      </c>
      <c r="Q586" s="453" t="s">
        <v>124</v>
      </c>
      <c r="R586" s="453">
        <v>0</v>
      </c>
      <c r="T586" s="453">
        <v>8</v>
      </c>
      <c r="V586" s="453">
        <v>100</v>
      </c>
      <c r="W586" s="453">
        <v>500</v>
      </c>
      <c r="X586" s="453" t="s">
        <v>58</v>
      </c>
      <c r="Z586" s="453" t="s">
        <v>150</v>
      </c>
      <c r="AA586" s="453">
        <v>919</v>
      </c>
      <c r="AC586" s="453" t="s">
        <v>1460</v>
      </c>
    </row>
    <row r="587" spans="1:29">
      <c r="A587" s="453">
        <v>586</v>
      </c>
      <c r="B587" s="453" t="s">
        <v>1463</v>
      </c>
      <c r="C587" s="453" t="s">
        <v>1461</v>
      </c>
      <c r="D587" s="550" t="s">
        <v>1464</v>
      </c>
      <c r="F587" s="453">
        <v>1937</v>
      </c>
      <c r="G587" s="453">
        <v>1938</v>
      </c>
      <c r="H587" s="472">
        <v>24500</v>
      </c>
      <c r="I587" s="453">
        <v>76000</v>
      </c>
      <c r="J587" s="453">
        <v>1</v>
      </c>
      <c r="K587" s="453">
        <v>2</v>
      </c>
      <c r="L587" s="453" t="s">
        <v>147</v>
      </c>
      <c r="M587" s="453">
        <v>1</v>
      </c>
      <c r="N587" s="453" t="s">
        <v>122</v>
      </c>
      <c r="O587" s="453">
        <v>160</v>
      </c>
      <c r="P587" s="453" t="s">
        <v>123</v>
      </c>
      <c r="Q587" s="453" t="s">
        <v>149</v>
      </c>
      <c r="R587" s="453">
        <v>0</v>
      </c>
      <c r="T587" s="453">
        <v>7</v>
      </c>
      <c r="V587" s="453">
        <v>100</v>
      </c>
      <c r="W587" s="453">
        <v>500</v>
      </c>
      <c r="X587" s="453" t="s">
        <v>58</v>
      </c>
      <c r="Z587" s="453" t="s">
        <v>150</v>
      </c>
      <c r="AA587" s="453">
        <v>920</v>
      </c>
      <c r="AC587" s="453" t="s">
        <v>1463</v>
      </c>
    </row>
    <row r="588" spans="1:29">
      <c r="A588" s="453">
        <v>587</v>
      </c>
      <c r="B588" s="453" t="s">
        <v>1465</v>
      </c>
      <c r="C588" s="453" t="s">
        <v>1461</v>
      </c>
      <c r="D588" s="550" t="s">
        <v>1466</v>
      </c>
      <c r="F588" s="453">
        <v>1934</v>
      </c>
      <c r="G588" s="453">
        <v>1944</v>
      </c>
      <c r="H588" s="472">
        <v>14500</v>
      </c>
      <c r="I588" s="453">
        <v>76000</v>
      </c>
      <c r="J588" s="453">
        <v>1</v>
      </c>
      <c r="K588" s="453">
        <v>1</v>
      </c>
      <c r="L588" s="453" t="s">
        <v>147</v>
      </c>
      <c r="M588" s="453">
        <v>1</v>
      </c>
      <c r="N588" s="453" t="s">
        <v>122</v>
      </c>
      <c r="O588" s="453">
        <v>125</v>
      </c>
      <c r="P588" s="453" t="s">
        <v>123</v>
      </c>
      <c r="Q588" s="453" t="s">
        <v>149</v>
      </c>
      <c r="R588" s="453">
        <v>0.75</v>
      </c>
      <c r="S588" s="453">
        <v>0.25</v>
      </c>
      <c r="T588" s="453">
        <v>7</v>
      </c>
      <c r="V588" s="453">
        <v>100</v>
      </c>
      <c r="W588" s="453">
        <v>500</v>
      </c>
      <c r="X588" s="453" t="s">
        <v>58</v>
      </c>
      <c r="Z588" s="453" t="s">
        <v>150</v>
      </c>
      <c r="AA588" s="453">
        <v>921</v>
      </c>
      <c r="AC588" s="453" t="s">
        <v>1465</v>
      </c>
    </row>
    <row r="589" spans="1:29">
      <c r="A589" s="453">
        <v>588</v>
      </c>
      <c r="B589" s="453" t="s">
        <v>1467</v>
      </c>
      <c r="C589" s="453" t="s">
        <v>1461</v>
      </c>
      <c r="D589" s="550" t="s">
        <v>1468</v>
      </c>
      <c r="F589" s="453">
        <v>1950</v>
      </c>
      <c r="G589" s="453">
        <v>1960</v>
      </c>
      <c r="H589" s="472">
        <v>49500</v>
      </c>
      <c r="I589" s="453">
        <v>101000</v>
      </c>
      <c r="J589" s="453">
        <v>1</v>
      </c>
      <c r="K589" s="453">
        <v>4</v>
      </c>
      <c r="L589" s="453" t="s">
        <v>147</v>
      </c>
      <c r="M589" s="453">
        <v>2</v>
      </c>
      <c r="N589" s="453" t="s">
        <v>122</v>
      </c>
      <c r="O589" s="453">
        <v>320</v>
      </c>
      <c r="P589" s="453" t="s">
        <v>132</v>
      </c>
      <c r="Q589" s="453" t="s">
        <v>149</v>
      </c>
      <c r="R589" s="453">
        <v>0.5</v>
      </c>
      <c r="T589" s="453">
        <v>14</v>
      </c>
      <c r="V589" s="453">
        <v>100</v>
      </c>
      <c r="W589" s="453">
        <v>500</v>
      </c>
      <c r="X589" s="453" t="s">
        <v>125</v>
      </c>
      <c r="Z589" s="453" t="s">
        <v>150</v>
      </c>
      <c r="AA589" s="453">
        <v>922</v>
      </c>
      <c r="AC589" s="453" t="s">
        <v>1467</v>
      </c>
    </row>
    <row r="590" spans="1:29">
      <c r="A590" s="453">
        <v>589</v>
      </c>
      <c r="B590" s="453" t="s">
        <v>1469</v>
      </c>
      <c r="C590" s="453" t="s">
        <v>1470</v>
      </c>
      <c r="D590" s="550" t="s">
        <v>1471</v>
      </c>
      <c r="F590" s="453">
        <v>2000</v>
      </c>
      <c r="G590" s="453">
        <v>2016</v>
      </c>
      <c r="H590" s="472">
        <v>80000</v>
      </c>
      <c r="I590" s="453">
        <v>150000</v>
      </c>
      <c r="J590" s="453">
        <v>1</v>
      </c>
      <c r="K590" s="453">
        <v>1</v>
      </c>
      <c r="L590" s="453" t="s">
        <v>154</v>
      </c>
      <c r="M590" s="453">
        <v>1</v>
      </c>
      <c r="N590" s="453" t="s">
        <v>122</v>
      </c>
      <c r="O590" s="453">
        <v>100</v>
      </c>
      <c r="P590" s="453" t="s">
        <v>148</v>
      </c>
      <c r="Q590" s="453" t="s">
        <v>149</v>
      </c>
      <c r="R590" s="453">
        <v>0</v>
      </c>
      <c r="T590" s="453">
        <v>2</v>
      </c>
      <c r="V590" s="453">
        <v>50</v>
      </c>
      <c r="W590" s="453">
        <v>250</v>
      </c>
      <c r="X590" s="453" t="s">
        <v>125</v>
      </c>
      <c r="Z590" s="453" t="s">
        <v>150</v>
      </c>
      <c r="AA590" s="453">
        <v>925</v>
      </c>
      <c r="AC590" s="453" t="s">
        <v>1469</v>
      </c>
    </row>
    <row r="591" spans="1:29">
      <c r="A591" s="453">
        <v>590</v>
      </c>
      <c r="B591" s="453" t="s">
        <v>1472</v>
      </c>
      <c r="C591" s="453" t="s">
        <v>1473</v>
      </c>
      <c r="D591" s="550">
        <v>330</v>
      </c>
      <c r="F591" s="453">
        <v>1993</v>
      </c>
      <c r="G591" s="453">
        <v>1999</v>
      </c>
      <c r="H591" s="472">
        <v>325000</v>
      </c>
      <c r="I591" s="453">
        <v>480000</v>
      </c>
      <c r="J591" s="453">
        <v>1</v>
      </c>
      <c r="K591" s="453">
        <v>3</v>
      </c>
      <c r="L591" s="453" t="s">
        <v>147</v>
      </c>
      <c r="M591" s="453">
        <v>7</v>
      </c>
      <c r="N591" s="453" t="s">
        <v>130</v>
      </c>
      <c r="O591" s="453">
        <v>235</v>
      </c>
      <c r="P591" s="453" t="s">
        <v>148</v>
      </c>
      <c r="Q591" s="453" t="s">
        <v>149</v>
      </c>
      <c r="R591" s="453">
        <v>0</v>
      </c>
      <c r="S591" s="453">
        <v>0</v>
      </c>
      <c r="T591" s="453">
        <v>22</v>
      </c>
      <c r="U591" s="453" t="s">
        <v>123</v>
      </c>
      <c r="V591" s="453">
        <v>1000</v>
      </c>
      <c r="W591" s="453">
        <v>2.5000000000000001E-2</v>
      </c>
      <c r="X591" s="453" t="s">
        <v>125</v>
      </c>
      <c r="Z591" s="453" t="s">
        <v>150</v>
      </c>
      <c r="AA591" s="453">
        <v>1035</v>
      </c>
      <c r="AC591" s="453" t="s">
        <v>1472</v>
      </c>
    </row>
    <row r="592" spans="1:29">
      <c r="A592" s="453">
        <v>591</v>
      </c>
      <c r="B592" s="453" t="s">
        <v>1474</v>
      </c>
      <c r="C592" s="453" t="s">
        <v>1473</v>
      </c>
      <c r="D592" s="550">
        <v>333</v>
      </c>
      <c r="F592" s="453">
        <v>2000</v>
      </c>
      <c r="G592" s="453">
        <v>2009</v>
      </c>
      <c r="H592" s="472">
        <v>480000</v>
      </c>
      <c r="I592" s="453">
        <v>850000</v>
      </c>
      <c r="J592" s="453">
        <v>1</v>
      </c>
      <c r="K592" s="453">
        <v>3</v>
      </c>
      <c r="L592" s="453" t="s">
        <v>147</v>
      </c>
      <c r="M592" s="453">
        <v>7</v>
      </c>
      <c r="N592" s="453" t="s">
        <v>130</v>
      </c>
      <c r="O592" s="453">
        <v>250</v>
      </c>
      <c r="P592" s="453" t="s">
        <v>148</v>
      </c>
      <c r="Q592" s="453" t="s">
        <v>149</v>
      </c>
      <c r="R592" s="453">
        <v>0</v>
      </c>
      <c r="S592" s="453">
        <v>0</v>
      </c>
      <c r="T592" s="453">
        <v>22</v>
      </c>
      <c r="U592" s="453" t="s">
        <v>123</v>
      </c>
      <c r="V592" s="453">
        <v>1000</v>
      </c>
      <c r="W592" s="453">
        <v>2.5000000000000001E-2</v>
      </c>
      <c r="X592" s="453" t="s">
        <v>125</v>
      </c>
      <c r="Z592" s="453" t="s">
        <v>150</v>
      </c>
      <c r="AA592" s="453">
        <v>1038</v>
      </c>
      <c r="AC592" s="453" t="s">
        <v>1474</v>
      </c>
    </row>
    <row r="593" spans="1:29">
      <c r="A593" s="453">
        <v>592</v>
      </c>
      <c r="B593" s="611" t="s">
        <v>1475</v>
      </c>
      <c r="C593" s="453" t="s">
        <v>1473</v>
      </c>
      <c r="D593" s="550" t="s">
        <v>1476</v>
      </c>
      <c r="F593" s="453">
        <v>1961</v>
      </c>
      <c r="G593" s="453">
        <v>1969</v>
      </c>
      <c r="H593" s="472">
        <v>39500</v>
      </c>
      <c r="I593" s="453">
        <v>81000</v>
      </c>
      <c r="J593" s="453">
        <v>1</v>
      </c>
      <c r="K593" s="453">
        <v>1</v>
      </c>
      <c r="L593" s="453" t="s">
        <v>147</v>
      </c>
      <c r="M593" s="453">
        <v>6</v>
      </c>
      <c r="N593" s="453" t="s">
        <v>122</v>
      </c>
      <c r="O593" s="453">
        <v>180</v>
      </c>
      <c r="P593" s="453" t="s">
        <v>148</v>
      </c>
      <c r="Q593" s="453" t="s">
        <v>149</v>
      </c>
      <c r="R593" s="453">
        <v>0</v>
      </c>
      <c r="S593" s="453">
        <v>0</v>
      </c>
      <c r="T593" s="453">
        <v>17</v>
      </c>
      <c r="V593" s="453">
        <v>1000</v>
      </c>
      <c r="W593" s="453">
        <v>0.05</v>
      </c>
      <c r="X593" s="453" t="s">
        <v>125</v>
      </c>
      <c r="Z593" s="453" t="s">
        <v>150</v>
      </c>
      <c r="AA593" s="453">
        <v>1041</v>
      </c>
      <c r="AC593" s="453" t="s">
        <v>1477</v>
      </c>
    </row>
    <row r="594" spans="1:29">
      <c r="A594" s="453">
        <v>593</v>
      </c>
      <c r="B594" s="611" t="s">
        <v>1478</v>
      </c>
      <c r="C594" s="453" t="s">
        <v>1473</v>
      </c>
      <c r="D594" s="550" t="s">
        <v>1476</v>
      </c>
      <c r="F594" s="453">
        <v>1970</v>
      </c>
      <c r="G594" s="453">
        <v>1981</v>
      </c>
      <c r="H594" s="472">
        <v>49500</v>
      </c>
      <c r="I594" s="453">
        <v>121000</v>
      </c>
      <c r="J594" s="453">
        <v>1</v>
      </c>
      <c r="K594" s="453">
        <v>2</v>
      </c>
      <c r="L594" s="453" t="s">
        <v>147</v>
      </c>
      <c r="M594" s="453">
        <v>6</v>
      </c>
      <c r="N594" s="453" t="s">
        <v>122</v>
      </c>
      <c r="O594" s="453">
        <v>190</v>
      </c>
      <c r="P594" s="453" t="s">
        <v>148</v>
      </c>
      <c r="Q594" s="453" t="s">
        <v>149</v>
      </c>
      <c r="R594" s="453">
        <v>0</v>
      </c>
      <c r="S594" s="453">
        <v>0</v>
      </c>
      <c r="T594" s="453">
        <v>17</v>
      </c>
      <c r="V594" s="453">
        <v>1000</v>
      </c>
      <c r="W594" s="453">
        <v>0.05</v>
      </c>
      <c r="X594" s="453" t="s">
        <v>125</v>
      </c>
      <c r="Z594" s="453" t="s">
        <v>150</v>
      </c>
      <c r="AA594" s="453">
        <v>1042</v>
      </c>
      <c r="AC594" s="453" t="s">
        <v>1477</v>
      </c>
    </row>
    <row r="595" spans="1:29">
      <c r="A595" s="453">
        <v>594</v>
      </c>
      <c r="B595" s="453" t="s">
        <v>1479</v>
      </c>
      <c r="C595" s="453" t="s">
        <v>1480</v>
      </c>
      <c r="D595" s="550" t="s">
        <v>1481</v>
      </c>
      <c r="F595" s="453">
        <v>2000</v>
      </c>
      <c r="G595" s="453">
        <v>2025</v>
      </c>
      <c r="H595" s="472">
        <v>80000</v>
      </c>
      <c r="I595" s="453">
        <v>150000</v>
      </c>
      <c r="J595" s="453">
        <v>1</v>
      </c>
      <c r="K595" s="453">
        <v>1</v>
      </c>
      <c r="L595" s="453" t="s">
        <v>154</v>
      </c>
      <c r="M595" s="453">
        <v>1</v>
      </c>
      <c r="N595" s="453" t="s">
        <v>122</v>
      </c>
      <c r="O595" s="453">
        <v>115</v>
      </c>
      <c r="P595" s="453" t="s">
        <v>150</v>
      </c>
      <c r="Q595" s="453" t="s">
        <v>124</v>
      </c>
      <c r="R595" s="453">
        <v>0.25</v>
      </c>
      <c r="S595" s="453">
        <v>0.5</v>
      </c>
      <c r="T595" s="453">
        <v>1</v>
      </c>
      <c r="V595" s="453">
        <v>100</v>
      </c>
      <c r="W595" s="453">
        <v>0.05</v>
      </c>
      <c r="X595" s="453" t="s">
        <v>125</v>
      </c>
      <c r="Z595" s="453" t="s">
        <v>150</v>
      </c>
      <c r="AB595" s="453" t="s">
        <v>1482</v>
      </c>
      <c r="AC595" s="453" t="s">
        <v>1479</v>
      </c>
    </row>
    <row r="596" spans="1:29">
      <c r="A596" s="453">
        <v>595</v>
      </c>
      <c r="B596" s="453" t="s">
        <v>1483</v>
      </c>
      <c r="C596" s="453" t="s">
        <v>1484</v>
      </c>
      <c r="D596" s="550" t="s">
        <v>1485</v>
      </c>
      <c r="F596" s="453">
        <v>2000</v>
      </c>
      <c r="G596" s="453">
        <v>2020</v>
      </c>
      <c r="H596" s="472">
        <v>30000</v>
      </c>
      <c r="I596" s="453">
        <v>225000</v>
      </c>
      <c r="J596" s="453">
        <v>1</v>
      </c>
      <c r="K596" s="453">
        <v>1</v>
      </c>
      <c r="L596" s="453" t="s">
        <v>154</v>
      </c>
      <c r="M596" s="453">
        <v>1</v>
      </c>
      <c r="N596" s="453" t="s">
        <v>122</v>
      </c>
      <c r="O596" s="453">
        <v>100</v>
      </c>
      <c r="P596" s="453" t="s">
        <v>150</v>
      </c>
      <c r="Q596" s="453" t="s">
        <v>149</v>
      </c>
      <c r="R596" s="453">
        <v>0.25</v>
      </c>
      <c r="S596" s="453">
        <v>0.5</v>
      </c>
      <c r="T596" s="453">
        <v>1</v>
      </c>
      <c r="V596" s="453">
        <v>100</v>
      </c>
      <c r="W596" s="453">
        <v>0.05</v>
      </c>
      <c r="X596" s="453" t="s">
        <v>125</v>
      </c>
      <c r="Z596" s="453" t="s">
        <v>150</v>
      </c>
      <c r="AA596" s="453">
        <v>1067</v>
      </c>
      <c r="AC596" s="453" t="s">
        <v>1483</v>
      </c>
    </row>
    <row r="597" spans="1:29">
      <c r="A597" s="453">
        <v>596</v>
      </c>
      <c r="B597" s="453" t="s">
        <v>1486</v>
      </c>
      <c r="C597" s="453" t="s">
        <v>1487</v>
      </c>
      <c r="D597" s="550" t="s">
        <v>1488</v>
      </c>
      <c r="F597" s="453">
        <v>1965</v>
      </c>
      <c r="G597" s="453">
        <v>1970</v>
      </c>
      <c r="H597" s="472">
        <v>19500</v>
      </c>
      <c r="I597" s="453">
        <v>81000</v>
      </c>
      <c r="J597" s="453">
        <v>1</v>
      </c>
      <c r="K597" s="453">
        <v>3</v>
      </c>
      <c r="L597" s="453" t="s">
        <v>147</v>
      </c>
      <c r="M597" s="453">
        <v>1</v>
      </c>
      <c r="N597" s="453" t="s">
        <v>122</v>
      </c>
      <c r="O597" s="453">
        <v>260</v>
      </c>
      <c r="P597" s="453" t="s">
        <v>132</v>
      </c>
      <c r="Q597" s="453" t="s">
        <v>149</v>
      </c>
      <c r="R597" s="453">
        <v>0.15</v>
      </c>
      <c r="T597" s="453">
        <v>10</v>
      </c>
      <c r="V597" s="453">
        <v>100</v>
      </c>
      <c r="W597" s="453">
        <v>500</v>
      </c>
      <c r="X597" s="453" t="s">
        <v>125</v>
      </c>
      <c r="Z597" s="453" t="s">
        <v>150</v>
      </c>
      <c r="AA597" s="453">
        <v>1070</v>
      </c>
      <c r="AC597" s="453" t="s">
        <v>1486</v>
      </c>
    </row>
    <row r="598" spans="1:29">
      <c r="A598" s="453">
        <v>597</v>
      </c>
      <c r="B598" s="453" t="s">
        <v>1489</v>
      </c>
      <c r="C598" s="453" t="s">
        <v>1487</v>
      </c>
      <c r="D598" s="550" t="s">
        <v>1490</v>
      </c>
      <c r="F598" s="453">
        <v>1981</v>
      </c>
      <c r="G598" s="453">
        <v>2000</v>
      </c>
      <c r="H598" s="472">
        <v>400000</v>
      </c>
      <c r="I598" s="453">
        <v>1000000</v>
      </c>
      <c r="J598" s="453">
        <v>1</v>
      </c>
      <c r="K598" s="453">
        <v>1</v>
      </c>
      <c r="L598" s="453" t="s">
        <v>129</v>
      </c>
      <c r="M598" s="453">
        <v>3</v>
      </c>
      <c r="N598" s="453" t="s">
        <v>130</v>
      </c>
      <c r="O598" s="453" t="s">
        <v>1491</v>
      </c>
      <c r="P598" s="453" t="s">
        <v>132</v>
      </c>
      <c r="Q598" s="453" t="s">
        <v>133</v>
      </c>
      <c r="R598" s="453">
        <v>0</v>
      </c>
      <c r="S598" s="453">
        <v>0</v>
      </c>
      <c r="T598" s="453">
        <v>1</v>
      </c>
      <c r="U598" s="453" t="s">
        <v>229</v>
      </c>
      <c r="V598" s="453">
        <v>1000</v>
      </c>
      <c r="W598" s="453">
        <v>0.1</v>
      </c>
      <c r="X598" s="453" t="s">
        <v>1492</v>
      </c>
      <c r="Z598" s="453" t="s">
        <v>150</v>
      </c>
      <c r="AC598" s="453" t="s">
        <v>1489</v>
      </c>
    </row>
    <row r="599" spans="1:29">
      <c r="A599" s="453">
        <v>598</v>
      </c>
      <c r="B599" s="453" t="s">
        <v>1493</v>
      </c>
      <c r="C599" s="453" t="s">
        <v>1487</v>
      </c>
      <c r="D599" s="550" t="s">
        <v>1494</v>
      </c>
      <c r="F599" s="453">
        <v>1964</v>
      </c>
      <c r="G599" s="453">
        <v>1991</v>
      </c>
      <c r="H599" s="472">
        <v>49500</v>
      </c>
      <c r="I599" s="453">
        <v>151000</v>
      </c>
      <c r="J599" s="453">
        <v>1</v>
      </c>
      <c r="K599" s="453">
        <v>2</v>
      </c>
      <c r="L599" s="453" t="s">
        <v>147</v>
      </c>
      <c r="M599" s="453">
        <v>1</v>
      </c>
      <c r="N599" s="453" t="s">
        <v>122</v>
      </c>
      <c r="O599" s="453">
        <v>260</v>
      </c>
      <c r="P599" s="453" t="s">
        <v>132</v>
      </c>
      <c r="Q599" s="453" t="s">
        <v>124</v>
      </c>
      <c r="R599" s="453">
        <v>0.5</v>
      </c>
      <c r="S599" s="453">
        <v>0.25</v>
      </c>
      <c r="T599" s="453">
        <v>11</v>
      </c>
      <c r="V599" s="453">
        <v>100</v>
      </c>
      <c r="W599" s="453">
        <v>500</v>
      </c>
      <c r="X599" s="453" t="s">
        <v>125</v>
      </c>
      <c r="Z599" s="453" t="s">
        <v>150</v>
      </c>
      <c r="AA599" s="453">
        <v>1071</v>
      </c>
      <c r="AC599" s="453" t="s">
        <v>1493</v>
      </c>
    </row>
    <row r="600" spans="1:29">
      <c r="A600" s="453">
        <v>599</v>
      </c>
      <c r="B600" s="453" t="s">
        <v>1495</v>
      </c>
      <c r="C600" s="453" t="s">
        <v>1487</v>
      </c>
      <c r="D600" s="550" t="s">
        <v>1496</v>
      </c>
      <c r="F600" s="453">
        <v>1969</v>
      </c>
      <c r="G600" s="453">
        <v>2000</v>
      </c>
      <c r="H600" s="472">
        <v>100000</v>
      </c>
      <c r="I600" s="453">
        <v>225000</v>
      </c>
      <c r="J600" s="453">
        <v>1</v>
      </c>
      <c r="K600" s="453">
        <v>1</v>
      </c>
      <c r="L600" s="453" t="s">
        <v>121</v>
      </c>
      <c r="M600" s="453">
        <v>3</v>
      </c>
      <c r="N600" s="453" t="s">
        <v>130</v>
      </c>
      <c r="O600" s="453">
        <v>400</v>
      </c>
      <c r="P600" s="453" t="s">
        <v>123</v>
      </c>
      <c r="Q600" s="453" t="s">
        <v>133</v>
      </c>
      <c r="R600" s="453">
        <v>0</v>
      </c>
      <c r="S600" s="453">
        <v>1</v>
      </c>
      <c r="T600" s="453">
        <v>1</v>
      </c>
      <c r="V600" s="453">
        <v>1000</v>
      </c>
      <c r="W600" s="453">
        <v>0.1</v>
      </c>
      <c r="X600" s="453" t="s">
        <v>125</v>
      </c>
      <c r="Z600" s="453" t="s">
        <v>150</v>
      </c>
      <c r="AA600" s="453">
        <v>288</v>
      </c>
      <c r="AB600" s="453" t="s">
        <v>1497</v>
      </c>
      <c r="AC600" s="453" t="s">
        <v>1495</v>
      </c>
    </row>
    <row r="601" spans="1:29">
      <c r="A601" s="453">
        <v>600</v>
      </c>
      <c r="B601" s="453" t="s">
        <v>1498</v>
      </c>
      <c r="C601" s="453" t="s">
        <v>1499</v>
      </c>
      <c r="D601" s="550" t="s">
        <v>1500</v>
      </c>
      <c r="F601" s="453">
        <v>1995</v>
      </c>
      <c r="G601" s="453">
        <v>2025</v>
      </c>
      <c r="H601" s="472">
        <v>40000</v>
      </c>
      <c r="I601" s="453">
        <v>150000</v>
      </c>
      <c r="J601" s="453">
        <v>1</v>
      </c>
      <c r="K601" s="453">
        <v>1</v>
      </c>
      <c r="L601" s="453" t="s">
        <v>154</v>
      </c>
      <c r="M601" s="453">
        <v>1</v>
      </c>
      <c r="N601" s="453" t="s">
        <v>122</v>
      </c>
      <c r="O601" s="453">
        <v>100</v>
      </c>
      <c r="P601" s="453" t="s">
        <v>148</v>
      </c>
      <c r="Q601" s="453" t="s">
        <v>149</v>
      </c>
      <c r="R601" s="453">
        <v>0</v>
      </c>
      <c r="T601" s="453">
        <v>2</v>
      </c>
      <c r="V601" s="453">
        <v>50</v>
      </c>
      <c r="W601" s="453">
        <v>250</v>
      </c>
      <c r="X601" s="453" t="s">
        <v>58</v>
      </c>
      <c r="Z601" s="453" t="s">
        <v>150</v>
      </c>
      <c r="AA601" s="453">
        <v>1075</v>
      </c>
      <c r="AB601" s="453" t="s">
        <v>1501</v>
      </c>
      <c r="AC601" s="453" t="s">
        <v>1498</v>
      </c>
    </row>
    <row r="602" spans="1:29">
      <c r="A602" s="453">
        <v>601</v>
      </c>
      <c r="B602" s="453" t="s">
        <v>1502</v>
      </c>
      <c r="C602" s="453" t="s">
        <v>1499</v>
      </c>
      <c r="D602" s="550" t="s">
        <v>1503</v>
      </c>
      <c r="F602" s="453">
        <v>2013</v>
      </c>
      <c r="G602" s="453">
        <v>2025</v>
      </c>
      <c r="H602" s="472">
        <v>40000</v>
      </c>
      <c r="I602" s="453">
        <v>150000</v>
      </c>
      <c r="J602" s="453">
        <v>1</v>
      </c>
      <c r="K602" s="453">
        <v>1</v>
      </c>
      <c r="L602" s="453" t="s">
        <v>154</v>
      </c>
      <c r="M602" s="453">
        <v>1</v>
      </c>
      <c r="N602" s="453" t="s">
        <v>122</v>
      </c>
      <c r="O602" s="453">
        <v>100</v>
      </c>
      <c r="P602" s="453" t="s">
        <v>123</v>
      </c>
      <c r="Q602" s="453" t="s">
        <v>149</v>
      </c>
      <c r="R602" s="453">
        <v>0</v>
      </c>
      <c r="T602" s="453">
        <v>3</v>
      </c>
      <c r="V602" s="453">
        <v>100</v>
      </c>
      <c r="W602" s="453">
        <v>500</v>
      </c>
      <c r="X602" s="453" t="s">
        <v>58</v>
      </c>
      <c r="Z602" s="453" t="s">
        <v>150</v>
      </c>
      <c r="AB602" s="453" t="s">
        <v>1504</v>
      </c>
      <c r="AC602" s="453" t="s">
        <v>1502</v>
      </c>
    </row>
    <row r="603" spans="1:29">
      <c r="A603" s="453">
        <v>602</v>
      </c>
      <c r="B603" s="453" t="s">
        <v>1505</v>
      </c>
      <c r="C603" s="453" t="s">
        <v>1499</v>
      </c>
      <c r="D603" s="550" t="s">
        <v>1506</v>
      </c>
      <c r="F603" s="453">
        <v>2006</v>
      </c>
      <c r="G603" s="453">
        <v>2025</v>
      </c>
      <c r="H603" s="472">
        <v>40000</v>
      </c>
      <c r="I603" s="453">
        <v>150000</v>
      </c>
      <c r="J603" s="453">
        <v>1</v>
      </c>
      <c r="K603" s="453">
        <v>1</v>
      </c>
      <c r="L603" s="453" t="s">
        <v>154</v>
      </c>
      <c r="M603" s="453">
        <v>1</v>
      </c>
      <c r="N603" s="453" t="s">
        <v>122</v>
      </c>
      <c r="O603" s="453">
        <v>100</v>
      </c>
      <c r="P603" s="453" t="s">
        <v>148</v>
      </c>
      <c r="Q603" s="453" t="s">
        <v>124</v>
      </c>
      <c r="R603" s="453">
        <v>0.5</v>
      </c>
      <c r="S603" s="453">
        <v>1</v>
      </c>
      <c r="T603" s="453">
        <v>4</v>
      </c>
      <c r="V603" s="453">
        <v>100</v>
      </c>
      <c r="W603" s="453">
        <v>1000</v>
      </c>
      <c r="X603" s="453" t="s">
        <v>58</v>
      </c>
      <c r="Z603" s="453" t="s">
        <v>150</v>
      </c>
      <c r="AB603" s="453" t="s">
        <v>1507</v>
      </c>
      <c r="AC603" s="453" t="s">
        <v>1505</v>
      </c>
    </row>
    <row r="604" spans="1:29">
      <c r="A604" s="453">
        <v>603</v>
      </c>
      <c r="B604" s="453" t="s">
        <v>1508</v>
      </c>
      <c r="C604" s="453" t="s">
        <v>1509</v>
      </c>
      <c r="D604" s="550" t="s">
        <v>1510</v>
      </c>
      <c r="F604" s="453">
        <v>2010</v>
      </c>
      <c r="G604" s="453">
        <v>2025</v>
      </c>
      <c r="H604" s="472">
        <v>45000</v>
      </c>
      <c r="I604" s="453">
        <v>125000</v>
      </c>
      <c r="J604" s="453">
        <v>1</v>
      </c>
      <c r="K604" s="453">
        <v>1</v>
      </c>
      <c r="L604" s="453" t="s">
        <v>154</v>
      </c>
      <c r="M604" s="453">
        <v>1</v>
      </c>
      <c r="N604" s="453" t="s">
        <v>122</v>
      </c>
      <c r="O604" s="453">
        <v>100</v>
      </c>
      <c r="P604" s="453" t="s">
        <v>123</v>
      </c>
      <c r="Q604" s="453" t="s">
        <v>124</v>
      </c>
      <c r="R604" s="453">
        <v>0.25</v>
      </c>
      <c r="S604" s="453">
        <v>0.25</v>
      </c>
      <c r="T604" s="453">
        <v>3</v>
      </c>
      <c r="V604" s="453">
        <v>100</v>
      </c>
      <c r="W604" s="453">
        <v>500</v>
      </c>
      <c r="X604" s="453" t="s">
        <v>58</v>
      </c>
      <c r="Z604" s="453" t="s">
        <v>150</v>
      </c>
      <c r="AB604" s="453" t="s">
        <v>1511</v>
      </c>
      <c r="AC604" s="453" t="s">
        <v>1508</v>
      </c>
    </row>
    <row r="605" spans="1:29">
      <c r="A605" s="453">
        <v>604</v>
      </c>
      <c r="B605" s="453" t="s">
        <v>1512</v>
      </c>
      <c r="C605" s="453" t="s">
        <v>1509</v>
      </c>
      <c r="D605" s="550" t="s">
        <v>1513</v>
      </c>
      <c r="F605" s="453">
        <v>2010</v>
      </c>
      <c r="G605" s="453">
        <v>2025</v>
      </c>
      <c r="H605" s="472">
        <v>45000</v>
      </c>
      <c r="I605" s="453">
        <v>125000</v>
      </c>
      <c r="J605" s="453">
        <v>1</v>
      </c>
      <c r="K605" s="453">
        <v>1</v>
      </c>
      <c r="L605" s="453" t="s">
        <v>154</v>
      </c>
      <c r="M605" s="453">
        <v>1</v>
      </c>
      <c r="N605" s="453" t="s">
        <v>122</v>
      </c>
      <c r="O605" s="453">
        <v>100</v>
      </c>
      <c r="P605" s="453" t="s">
        <v>148</v>
      </c>
      <c r="Q605" s="453" t="s">
        <v>124</v>
      </c>
      <c r="R605" s="453">
        <v>0.25</v>
      </c>
      <c r="S605" s="453">
        <v>0.25</v>
      </c>
      <c r="T605" s="453">
        <v>2</v>
      </c>
      <c r="V605" s="453">
        <v>100</v>
      </c>
      <c r="W605" s="453">
        <v>500</v>
      </c>
      <c r="X605" s="453" t="s">
        <v>58</v>
      </c>
      <c r="Z605" s="453" t="s">
        <v>150</v>
      </c>
      <c r="AB605" s="453" t="s">
        <v>1511</v>
      </c>
      <c r="AC605" s="453" t="s">
        <v>1512</v>
      </c>
    </row>
    <row r="606" spans="1:29">
      <c r="A606" s="453">
        <v>605</v>
      </c>
      <c r="B606" s="453" t="s">
        <v>1514</v>
      </c>
      <c r="C606" s="453" t="s">
        <v>1515</v>
      </c>
      <c r="D606" s="550" t="s">
        <v>1516</v>
      </c>
      <c r="F606" s="453">
        <v>1970</v>
      </c>
      <c r="G606" s="453">
        <v>1979</v>
      </c>
      <c r="H606" s="472">
        <v>23500</v>
      </c>
      <c r="I606" s="453">
        <v>76000</v>
      </c>
      <c r="J606" s="453">
        <v>1</v>
      </c>
      <c r="K606" s="453">
        <v>3</v>
      </c>
      <c r="L606" s="453" t="s">
        <v>147</v>
      </c>
      <c r="M606" s="453">
        <v>1</v>
      </c>
      <c r="N606" s="453" t="s">
        <v>122</v>
      </c>
      <c r="O606" s="453">
        <v>150</v>
      </c>
      <c r="P606" s="453" t="s">
        <v>148</v>
      </c>
      <c r="Q606" s="453" t="s">
        <v>149</v>
      </c>
      <c r="R606" s="453">
        <v>0.15</v>
      </c>
      <c r="T606" s="453">
        <v>4</v>
      </c>
      <c r="V606" s="453">
        <v>50</v>
      </c>
      <c r="W606" s="453">
        <v>250</v>
      </c>
      <c r="X606" s="453" t="s">
        <v>58</v>
      </c>
      <c r="Z606" s="453" t="s">
        <v>150</v>
      </c>
      <c r="AA606" s="453">
        <v>1099</v>
      </c>
      <c r="AC606" s="453" t="s">
        <v>1514</v>
      </c>
    </row>
    <row r="607" spans="1:29">
      <c r="A607" s="453">
        <v>606</v>
      </c>
      <c r="B607" s="453" t="s">
        <v>1517</v>
      </c>
      <c r="C607" s="453" t="s">
        <v>1515</v>
      </c>
      <c r="D607" s="550" t="s">
        <v>1518</v>
      </c>
      <c r="F607" s="453">
        <v>1986</v>
      </c>
      <c r="G607" s="453">
        <v>1989</v>
      </c>
      <c r="H607" s="472">
        <v>35250</v>
      </c>
      <c r="I607" s="453">
        <v>70000</v>
      </c>
      <c r="J607" s="453">
        <v>1</v>
      </c>
      <c r="K607" s="453">
        <v>3</v>
      </c>
      <c r="L607" s="453" t="s">
        <v>147</v>
      </c>
      <c r="M607" s="453">
        <v>1</v>
      </c>
      <c r="N607" s="453" t="s">
        <v>122</v>
      </c>
      <c r="O607" s="453">
        <v>180</v>
      </c>
      <c r="P607" s="453" t="s">
        <v>148</v>
      </c>
      <c r="Q607" s="453" t="s">
        <v>149</v>
      </c>
      <c r="R607" s="453">
        <v>0.15</v>
      </c>
      <c r="T607" s="453">
        <v>4</v>
      </c>
      <c r="V607" s="453">
        <v>50</v>
      </c>
      <c r="W607" s="453">
        <v>250</v>
      </c>
      <c r="X607" s="453" t="s">
        <v>58</v>
      </c>
      <c r="Z607" s="453" t="s">
        <v>150</v>
      </c>
      <c r="AA607" s="453">
        <v>1100</v>
      </c>
      <c r="AC607" s="453" t="s">
        <v>1517</v>
      </c>
    </row>
    <row r="608" spans="1:29">
      <c r="A608" s="453">
        <v>607</v>
      </c>
      <c r="B608" s="611" t="s">
        <v>1519</v>
      </c>
      <c r="C608" s="453" t="s">
        <v>1515</v>
      </c>
      <c r="D608" s="550" t="s">
        <v>1520</v>
      </c>
      <c r="F608" s="453">
        <v>1984</v>
      </c>
      <c r="G608" s="453">
        <v>1987</v>
      </c>
      <c r="H608" s="472">
        <v>81000</v>
      </c>
      <c r="I608" s="453">
        <v>155000</v>
      </c>
      <c r="J608" s="453">
        <v>1</v>
      </c>
      <c r="K608" s="453">
        <v>3</v>
      </c>
      <c r="L608" s="453" t="s">
        <v>147</v>
      </c>
      <c r="M608" s="453">
        <v>1</v>
      </c>
      <c r="N608" s="453" t="s">
        <v>122</v>
      </c>
      <c r="O608" s="453">
        <v>250</v>
      </c>
      <c r="P608" s="453" t="s">
        <v>132</v>
      </c>
      <c r="Q608" s="453" t="s">
        <v>124</v>
      </c>
      <c r="R608" s="453">
        <v>0.65</v>
      </c>
      <c r="T608" s="453">
        <v>11</v>
      </c>
      <c r="V608" s="453">
        <v>100</v>
      </c>
      <c r="W608" s="453">
        <v>500</v>
      </c>
      <c r="X608" s="453" t="s">
        <v>58</v>
      </c>
      <c r="Z608" s="453" t="s">
        <v>150</v>
      </c>
      <c r="AA608" s="453">
        <v>1103</v>
      </c>
      <c r="AC608" s="453" t="s">
        <v>1521</v>
      </c>
    </row>
    <row r="609" spans="1:29">
      <c r="A609" s="453">
        <v>608</v>
      </c>
      <c r="B609" s="611" t="s">
        <v>1522</v>
      </c>
      <c r="C609" s="453" t="s">
        <v>1515</v>
      </c>
      <c r="D609" s="550" t="s">
        <v>1520</v>
      </c>
      <c r="F609" s="453">
        <v>1993</v>
      </c>
      <c r="G609" s="453">
        <v>1994</v>
      </c>
      <c r="H609" s="472">
        <v>115000</v>
      </c>
      <c r="I609" s="453">
        <v>198000</v>
      </c>
      <c r="J609" s="453">
        <v>1</v>
      </c>
      <c r="K609" s="453">
        <v>4</v>
      </c>
      <c r="L609" s="453" t="s">
        <v>147</v>
      </c>
      <c r="M609" s="453">
        <v>1</v>
      </c>
      <c r="N609" s="453" t="s">
        <v>122</v>
      </c>
      <c r="O609" s="453">
        <v>250</v>
      </c>
      <c r="P609" s="453" t="s">
        <v>132</v>
      </c>
      <c r="Q609" s="453" t="s">
        <v>124</v>
      </c>
      <c r="R609" s="453">
        <v>0.65</v>
      </c>
      <c r="T609" s="453">
        <v>11</v>
      </c>
      <c r="V609" s="453">
        <v>100</v>
      </c>
      <c r="W609" s="453">
        <v>500</v>
      </c>
      <c r="X609" s="453" t="s">
        <v>58</v>
      </c>
      <c r="Z609" s="453" t="s">
        <v>150</v>
      </c>
      <c r="AA609" s="453">
        <v>1106</v>
      </c>
      <c r="AC609" s="453" t="s">
        <v>1521</v>
      </c>
    </row>
    <row r="610" spans="1:29">
      <c r="A610" s="453">
        <v>609</v>
      </c>
      <c r="B610" s="453" t="s">
        <v>1523</v>
      </c>
      <c r="C610" s="453" t="s">
        <v>1515</v>
      </c>
      <c r="D610" s="550" t="s">
        <v>1524</v>
      </c>
      <c r="F610" s="453">
        <v>1993</v>
      </c>
      <c r="G610" s="453">
        <v>1999</v>
      </c>
      <c r="H610" s="472">
        <v>65000</v>
      </c>
      <c r="I610" s="453">
        <v>165000</v>
      </c>
      <c r="J610" s="453">
        <v>1</v>
      </c>
      <c r="K610" s="453">
        <v>3</v>
      </c>
      <c r="L610" s="453" t="s">
        <v>147</v>
      </c>
      <c r="M610" s="453">
        <v>1</v>
      </c>
      <c r="N610" s="453" t="s">
        <v>122</v>
      </c>
      <c r="O610" s="453">
        <v>200</v>
      </c>
      <c r="P610" s="453" t="s">
        <v>148</v>
      </c>
      <c r="Q610" s="453" t="s">
        <v>124</v>
      </c>
      <c r="R610" s="453">
        <v>0.15</v>
      </c>
      <c r="T610" s="453">
        <v>5</v>
      </c>
      <c r="V610" s="453">
        <v>50</v>
      </c>
      <c r="W610" s="453">
        <v>250</v>
      </c>
      <c r="X610" s="453" t="s">
        <v>58</v>
      </c>
      <c r="Z610" s="453" t="s">
        <v>150</v>
      </c>
      <c r="AA610" s="453">
        <v>1109</v>
      </c>
      <c r="AC610" s="453" t="s">
        <v>1523</v>
      </c>
    </row>
    <row r="611" spans="1:29">
      <c r="A611" s="453">
        <v>610</v>
      </c>
      <c r="B611" s="611" t="s">
        <v>1525</v>
      </c>
      <c r="C611" s="453" t="s">
        <v>1515</v>
      </c>
      <c r="D611" s="550" t="s">
        <v>1526</v>
      </c>
      <c r="F611" s="453">
        <v>1986</v>
      </c>
      <c r="G611" s="453">
        <v>1989</v>
      </c>
      <c r="H611" s="472">
        <v>78000</v>
      </c>
      <c r="I611" s="453">
        <v>150000</v>
      </c>
      <c r="J611" s="453">
        <v>1</v>
      </c>
      <c r="K611" s="453">
        <v>4</v>
      </c>
      <c r="L611" s="453" t="s">
        <v>147</v>
      </c>
      <c r="M611" s="453">
        <v>1</v>
      </c>
      <c r="N611" s="453" t="s">
        <v>122</v>
      </c>
      <c r="O611" s="453">
        <v>250</v>
      </c>
      <c r="P611" s="453" t="s">
        <v>132</v>
      </c>
      <c r="Q611" s="453" t="s">
        <v>124</v>
      </c>
      <c r="R611" s="453">
        <v>0.65</v>
      </c>
      <c r="T611" s="453">
        <v>11</v>
      </c>
      <c r="V611" s="453">
        <v>100</v>
      </c>
      <c r="W611" s="453">
        <v>500</v>
      </c>
      <c r="X611" s="453" t="s">
        <v>58</v>
      </c>
      <c r="Z611" s="453" t="s">
        <v>150</v>
      </c>
      <c r="AA611" s="453">
        <v>1111</v>
      </c>
      <c r="AC611" s="453" t="s">
        <v>1527</v>
      </c>
    </row>
    <row r="612" spans="1:29">
      <c r="A612" s="453">
        <v>611</v>
      </c>
      <c r="B612" s="611" t="s">
        <v>1528</v>
      </c>
      <c r="C612" s="453" t="s">
        <v>1515</v>
      </c>
      <c r="D612" s="550" t="s">
        <v>1526</v>
      </c>
      <c r="F612" s="453">
        <v>2001</v>
      </c>
      <c r="G612" s="453">
        <v>2005</v>
      </c>
      <c r="H612" s="472">
        <v>155000</v>
      </c>
      <c r="I612" s="453">
        <v>380000</v>
      </c>
      <c r="J612" s="453">
        <v>1</v>
      </c>
      <c r="K612" s="453">
        <v>3</v>
      </c>
      <c r="L612" s="453" t="s">
        <v>147</v>
      </c>
      <c r="M612" s="453">
        <v>1</v>
      </c>
      <c r="N612" s="453" t="s">
        <v>122</v>
      </c>
      <c r="O612" s="453">
        <v>250</v>
      </c>
      <c r="P612" s="453" t="s">
        <v>132</v>
      </c>
      <c r="Q612" s="453" t="s">
        <v>124</v>
      </c>
      <c r="R612" s="453">
        <v>0.65</v>
      </c>
      <c r="T612" s="453">
        <v>11</v>
      </c>
      <c r="V612" s="453">
        <v>100</v>
      </c>
      <c r="W612" s="453">
        <v>500</v>
      </c>
      <c r="X612" s="453" t="s">
        <v>58</v>
      </c>
      <c r="Z612" s="453" t="s">
        <v>150</v>
      </c>
      <c r="AA612" s="453">
        <v>1114</v>
      </c>
      <c r="AC612" s="453" t="s">
        <v>1527</v>
      </c>
    </row>
    <row r="613" spans="1:29">
      <c r="A613" s="453">
        <v>612</v>
      </c>
      <c r="B613" s="453" t="s">
        <v>1529</v>
      </c>
      <c r="C613" s="453" t="s">
        <v>1515</v>
      </c>
      <c r="D613" s="550" t="s">
        <v>1530</v>
      </c>
      <c r="E613" s="453" t="s">
        <v>1531</v>
      </c>
      <c r="F613" s="453">
        <v>1982</v>
      </c>
      <c r="G613" s="453">
        <v>2000</v>
      </c>
      <c r="H613" s="472">
        <v>75000</v>
      </c>
      <c r="I613" s="453">
        <v>250000</v>
      </c>
      <c r="J613" s="453">
        <v>1</v>
      </c>
      <c r="K613" s="453">
        <v>1</v>
      </c>
      <c r="L613" s="453" t="s">
        <v>121</v>
      </c>
      <c r="M613" s="453">
        <v>1</v>
      </c>
      <c r="N613" s="453" t="s">
        <v>122</v>
      </c>
      <c r="O613" s="453">
        <v>300</v>
      </c>
      <c r="P613" s="453" t="s">
        <v>132</v>
      </c>
      <c r="Q613" s="453" t="s">
        <v>124</v>
      </c>
      <c r="R613" s="453">
        <v>0</v>
      </c>
      <c r="S613" s="453">
        <v>0</v>
      </c>
      <c r="T613" s="453">
        <v>1</v>
      </c>
      <c r="V613" s="453">
        <v>100</v>
      </c>
      <c r="W613" s="453">
        <v>1000</v>
      </c>
      <c r="X613" s="453" t="s">
        <v>125</v>
      </c>
      <c r="AB613" s="453" t="s">
        <v>1532</v>
      </c>
      <c r="AC613" s="453" t="s">
        <v>1529</v>
      </c>
    </row>
    <row r="614" spans="1:29">
      <c r="A614" s="453">
        <v>613</v>
      </c>
      <c r="B614" s="453" t="s">
        <v>1533</v>
      </c>
      <c r="C614" s="453" t="s">
        <v>1515</v>
      </c>
      <c r="D614" s="550" t="s">
        <v>1534</v>
      </c>
      <c r="F614" s="453">
        <v>1990</v>
      </c>
      <c r="G614" s="453">
        <v>1994</v>
      </c>
      <c r="H614" s="472">
        <v>29000</v>
      </c>
      <c r="I614" s="453">
        <v>75000</v>
      </c>
      <c r="J614" s="453">
        <v>1</v>
      </c>
      <c r="K614" s="453">
        <v>4</v>
      </c>
      <c r="L614" s="453" t="s">
        <v>147</v>
      </c>
      <c r="M614" s="453">
        <v>1</v>
      </c>
      <c r="N614" s="453" t="s">
        <v>122</v>
      </c>
      <c r="O614" s="453">
        <v>160</v>
      </c>
      <c r="P614" s="453" t="s">
        <v>148</v>
      </c>
      <c r="Q614" s="453" t="s">
        <v>149</v>
      </c>
      <c r="R614" s="453">
        <v>0.15</v>
      </c>
      <c r="T614" s="453">
        <v>4</v>
      </c>
      <c r="V614" s="453">
        <v>50</v>
      </c>
      <c r="W614" s="453">
        <v>250</v>
      </c>
      <c r="X614" s="453" t="s">
        <v>58</v>
      </c>
      <c r="Z614" s="453" t="s">
        <v>150</v>
      </c>
      <c r="AA614" s="453">
        <v>1115</v>
      </c>
      <c r="AC614" s="453" t="s">
        <v>1533</v>
      </c>
    </row>
    <row r="615" spans="1:29">
      <c r="A615" s="453">
        <v>614</v>
      </c>
      <c r="B615" s="453" t="s">
        <v>1535</v>
      </c>
      <c r="C615" s="453" t="s">
        <v>1515</v>
      </c>
      <c r="D615" s="550" t="s">
        <v>1536</v>
      </c>
      <c r="F615" s="453">
        <v>1991</v>
      </c>
      <c r="G615" s="453">
        <v>2006</v>
      </c>
      <c r="H615" s="472">
        <v>800000</v>
      </c>
      <c r="I615" s="453">
        <v>2000000</v>
      </c>
      <c r="J615" s="453">
        <v>1</v>
      </c>
      <c r="K615" s="453">
        <v>5</v>
      </c>
      <c r="L615" s="453" t="s">
        <v>147</v>
      </c>
      <c r="M615" s="453">
        <v>3</v>
      </c>
      <c r="N615" s="453" t="s">
        <v>130</v>
      </c>
      <c r="O615" s="453">
        <v>700</v>
      </c>
      <c r="P615" s="453" t="s">
        <v>132</v>
      </c>
      <c r="Q615" s="453" t="s">
        <v>133</v>
      </c>
      <c r="R615" s="453">
        <v>-0.05</v>
      </c>
      <c r="S615" s="453">
        <v>-0.05</v>
      </c>
      <c r="T615" s="453">
        <v>19</v>
      </c>
      <c r="U615" s="453" t="s">
        <v>123</v>
      </c>
      <c r="V615" s="453">
        <v>1000</v>
      </c>
      <c r="W615" s="453">
        <v>5000</v>
      </c>
      <c r="X615" s="453" t="s">
        <v>125</v>
      </c>
      <c r="Z615" s="453" t="s">
        <v>150</v>
      </c>
      <c r="AC615" s="453" t="s">
        <v>1535</v>
      </c>
    </row>
    <row r="616" spans="1:29">
      <c r="A616" s="453">
        <v>615</v>
      </c>
      <c r="B616" s="453" t="s">
        <v>1537</v>
      </c>
      <c r="C616" s="453" t="s">
        <v>1515</v>
      </c>
      <c r="D616" s="550" t="s">
        <v>1538</v>
      </c>
      <c r="F616" s="453">
        <v>2006</v>
      </c>
      <c r="G616" s="453">
        <v>2020</v>
      </c>
      <c r="H616" s="472">
        <v>1600000</v>
      </c>
      <c r="I616" s="453">
        <v>3500000</v>
      </c>
      <c r="J616" s="453">
        <v>1</v>
      </c>
      <c r="K616" s="453">
        <v>5</v>
      </c>
      <c r="L616" s="453" t="s">
        <v>147</v>
      </c>
      <c r="M616" s="453">
        <v>3</v>
      </c>
      <c r="N616" s="453" t="s">
        <v>130</v>
      </c>
      <c r="O616" s="453">
        <v>850</v>
      </c>
      <c r="P616" s="453" t="s">
        <v>132</v>
      </c>
      <c r="Q616" s="453" t="s">
        <v>133</v>
      </c>
      <c r="R616" s="453">
        <v>-0.05</v>
      </c>
      <c r="S616" s="453">
        <v>-0.05</v>
      </c>
      <c r="T616" s="453">
        <v>19</v>
      </c>
      <c r="U616" s="453" t="s">
        <v>123</v>
      </c>
      <c r="V616" s="453">
        <v>1000</v>
      </c>
      <c r="W616" s="453">
        <v>5000</v>
      </c>
      <c r="X616" s="453" t="s">
        <v>125</v>
      </c>
      <c r="Z616" s="453" t="s">
        <v>150</v>
      </c>
      <c r="AC616" s="453" t="s">
        <v>1537</v>
      </c>
    </row>
    <row r="617" spans="1:29">
      <c r="A617" s="453">
        <v>616</v>
      </c>
      <c r="B617" s="611" t="s">
        <v>1539</v>
      </c>
      <c r="C617" s="611" t="s">
        <v>1540</v>
      </c>
      <c r="D617" s="550" t="s">
        <v>1541</v>
      </c>
      <c r="F617" s="453">
        <v>2016</v>
      </c>
      <c r="G617" s="453">
        <v>2020</v>
      </c>
      <c r="H617" s="472">
        <v>3200000</v>
      </c>
      <c r="I617" s="453">
        <v>4500000</v>
      </c>
      <c r="J617" s="453">
        <v>1</v>
      </c>
      <c r="K617" s="453">
        <v>5</v>
      </c>
      <c r="L617" s="453" t="s">
        <v>147</v>
      </c>
      <c r="M617" s="453">
        <v>3</v>
      </c>
      <c r="N617" s="453" t="s">
        <v>130</v>
      </c>
      <c r="O617" s="453">
        <v>850</v>
      </c>
      <c r="P617" s="453" t="s">
        <v>132</v>
      </c>
      <c r="Q617" s="453" t="s">
        <v>133</v>
      </c>
      <c r="R617" s="453">
        <v>-0.05</v>
      </c>
      <c r="S617" s="453">
        <v>-0.05</v>
      </c>
      <c r="T617" s="453">
        <v>19</v>
      </c>
      <c r="U617" s="453" t="s">
        <v>123</v>
      </c>
      <c r="V617" s="453">
        <v>1000</v>
      </c>
      <c r="W617" s="453">
        <v>5000</v>
      </c>
      <c r="X617" s="453" t="s">
        <v>125</v>
      </c>
      <c r="Z617" s="453" t="s">
        <v>150</v>
      </c>
      <c r="AC617" s="611" t="s">
        <v>1539</v>
      </c>
    </row>
    <row r="618" spans="1:29">
      <c r="A618" s="453">
        <v>617</v>
      </c>
      <c r="B618" s="611" t="s">
        <v>1542</v>
      </c>
      <c r="C618" s="453" t="s">
        <v>1540</v>
      </c>
      <c r="D618" s="612" t="s">
        <v>1543</v>
      </c>
      <c r="F618" s="453">
        <v>2016</v>
      </c>
      <c r="G618" s="453">
        <v>2023</v>
      </c>
      <c r="H618" s="472">
        <v>3200000</v>
      </c>
      <c r="I618" s="453">
        <v>4500000</v>
      </c>
      <c r="J618" s="453">
        <v>1</v>
      </c>
      <c r="K618" s="453">
        <v>5</v>
      </c>
      <c r="L618" s="453" t="s">
        <v>147</v>
      </c>
      <c r="M618" s="453">
        <v>3</v>
      </c>
      <c r="N618" s="453" t="s">
        <v>130</v>
      </c>
      <c r="O618" s="453">
        <v>850</v>
      </c>
      <c r="P618" s="453" t="s">
        <v>132</v>
      </c>
      <c r="Q618" s="453" t="s">
        <v>133</v>
      </c>
      <c r="R618" s="453">
        <v>-0.05</v>
      </c>
      <c r="S618" s="453">
        <v>-0.05</v>
      </c>
      <c r="T618" s="453">
        <v>19</v>
      </c>
      <c r="U618" s="453" t="s">
        <v>123</v>
      </c>
      <c r="V618" s="453">
        <v>1000</v>
      </c>
      <c r="W618" s="453">
        <v>5000</v>
      </c>
      <c r="X618" s="453" t="s">
        <v>125</v>
      </c>
      <c r="Z618" s="453" t="s">
        <v>150</v>
      </c>
      <c r="AC618" s="611" t="s">
        <v>1542</v>
      </c>
    </row>
    <row r="619" spans="1:29">
      <c r="A619" s="453">
        <v>618</v>
      </c>
      <c r="B619" s="611" t="s">
        <v>1544</v>
      </c>
      <c r="C619" s="453" t="s">
        <v>1540</v>
      </c>
      <c r="D619" s="612" t="s">
        <v>1545</v>
      </c>
      <c r="F619" s="453">
        <v>2016</v>
      </c>
      <c r="G619" s="453">
        <v>2019</v>
      </c>
      <c r="H619" s="472">
        <v>3200000</v>
      </c>
      <c r="I619" s="453">
        <v>4500000</v>
      </c>
      <c r="J619" s="453">
        <v>1</v>
      </c>
      <c r="K619" s="453">
        <v>5</v>
      </c>
      <c r="L619" s="453" t="s">
        <v>147</v>
      </c>
      <c r="M619" s="453">
        <v>3</v>
      </c>
      <c r="N619" s="453" t="s">
        <v>130</v>
      </c>
      <c r="O619" s="453">
        <v>850</v>
      </c>
      <c r="P619" s="453" t="s">
        <v>132</v>
      </c>
      <c r="Q619" s="453" t="s">
        <v>133</v>
      </c>
      <c r="R619" s="453">
        <v>-0.05</v>
      </c>
      <c r="S619" s="453">
        <v>-0.05</v>
      </c>
      <c r="T619" s="453">
        <v>19</v>
      </c>
      <c r="U619" s="453" t="s">
        <v>123</v>
      </c>
      <c r="V619" s="453">
        <v>1000</v>
      </c>
      <c r="W619" s="453">
        <v>5000</v>
      </c>
      <c r="X619" s="453" t="s">
        <v>125</v>
      </c>
      <c r="Z619" s="453" t="s">
        <v>150</v>
      </c>
      <c r="AC619" s="611" t="s">
        <v>1544</v>
      </c>
    </row>
    <row r="620" spans="1:29">
      <c r="A620" s="453">
        <v>619</v>
      </c>
      <c r="B620" s="611" t="s">
        <v>1546</v>
      </c>
      <c r="C620" s="453" t="s">
        <v>1540</v>
      </c>
      <c r="D620" s="612" t="s">
        <v>1547</v>
      </c>
      <c r="F620" s="453">
        <v>2019</v>
      </c>
      <c r="G620" s="453">
        <v>2022</v>
      </c>
      <c r="H620" s="472">
        <v>4000000</v>
      </c>
      <c r="I620" s="453">
        <v>4500000</v>
      </c>
      <c r="J620" s="453">
        <v>1</v>
      </c>
      <c r="K620" s="453">
        <v>5</v>
      </c>
      <c r="L620" s="453" t="s">
        <v>147</v>
      </c>
      <c r="M620" s="453">
        <v>3</v>
      </c>
      <c r="N620" s="453" t="s">
        <v>130</v>
      </c>
      <c r="O620" s="453">
        <v>850</v>
      </c>
      <c r="P620" s="453" t="s">
        <v>132</v>
      </c>
      <c r="Q620" s="453" t="s">
        <v>133</v>
      </c>
      <c r="R620" s="453">
        <v>-0.05</v>
      </c>
      <c r="S620" s="453">
        <v>-0.05</v>
      </c>
      <c r="T620" s="453">
        <v>19</v>
      </c>
      <c r="U620" s="453" t="s">
        <v>123</v>
      </c>
      <c r="V620" s="453">
        <v>1000</v>
      </c>
      <c r="W620" s="453">
        <v>5000</v>
      </c>
      <c r="X620" s="453" t="s">
        <v>125</v>
      </c>
      <c r="Z620" s="453" t="s">
        <v>150</v>
      </c>
      <c r="AC620" s="611" t="s">
        <v>1546</v>
      </c>
    </row>
    <row r="621" spans="1:29">
      <c r="A621" s="453">
        <v>620</v>
      </c>
      <c r="B621" s="611" t="s">
        <v>1548</v>
      </c>
      <c r="C621" s="453" t="s">
        <v>1540</v>
      </c>
      <c r="D621" s="612" t="s">
        <v>1549</v>
      </c>
      <c r="F621" s="453">
        <v>2022</v>
      </c>
      <c r="G621" s="453">
        <v>2024</v>
      </c>
      <c r="H621" s="472">
        <v>4600000</v>
      </c>
      <c r="I621" s="453">
        <v>5500000</v>
      </c>
      <c r="J621" s="453">
        <v>1</v>
      </c>
      <c r="K621" s="453">
        <v>6</v>
      </c>
      <c r="L621" s="453" t="s">
        <v>147</v>
      </c>
      <c r="M621" s="453">
        <v>3</v>
      </c>
      <c r="N621" s="453" t="s">
        <v>130</v>
      </c>
      <c r="O621" s="453">
        <v>850</v>
      </c>
      <c r="P621" s="453" t="s">
        <v>132</v>
      </c>
      <c r="Q621" s="453" t="s">
        <v>133</v>
      </c>
      <c r="R621" s="453">
        <v>-0.05</v>
      </c>
      <c r="S621" s="453">
        <v>-0.05</v>
      </c>
      <c r="T621" s="453">
        <v>19</v>
      </c>
      <c r="U621" s="453" t="s">
        <v>123</v>
      </c>
      <c r="V621" s="453">
        <v>1000</v>
      </c>
      <c r="W621" s="453">
        <v>5000</v>
      </c>
      <c r="X621" s="453" t="s">
        <v>125</v>
      </c>
      <c r="Z621" s="453" t="s">
        <v>150</v>
      </c>
      <c r="AC621" s="667" t="s">
        <v>1548</v>
      </c>
    </row>
    <row r="622" spans="1:29">
      <c r="A622" s="453">
        <v>621</v>
      </c>
      <c r="B622" s="667" t="s">
        <v>4026</v>
      </c>
      <c r="C622" s="453" t="s">
        <v>1540</v>
      </c>
      <c r="D622" s="668" t="s">
        <v>4027</v>
      </c>
      <c r="F622" s="453">
        <v>2022</v>
      </c>
      <c r="G622" s="453">
        <v>2024</v>
      </c>
      <c r="H622" s="472">
        <v>4600000</v>
      </c>
      <c r="I622" s="453">
        <v>6000000</v>
      </c>
      <c r="J622" s="453">
        <v>1</v>
      </c>
      <c r="K622" s="453">
        <v>6</v>
      </c>
      <c r="L622" s="453" t="s">
        <v>147</v>
      </c>
      <c r="M622" s="453">
        <v>3</v>
      </c>
      <c r="N622" s="453" t="s">
        <v>130</v>
      </c>
      <c r="O622" s="453">
        <v>850</v>
      </c>
      <c r="P622" s="453" t="s">
        <v>132</v>
      </c>
      <c r="Q622" s="453" t="s">
        <v>133</v>
      </c>
      <c r="R622" s="453">
        <v>-0.05</v>
      </c>
      <c r="S622" s="453">
        <v>-0.05</v>
      </c>
      <c r="T622" s="453">
        <v>19</v>
      </c>
      <c r="U622" s="453" t="s">
        <v>123</v>
      </c>
      <c r="V622" s="453">
        <v>1000</v>
      </c>
      <c r="W622" s="453">
        <v>5000</v>
      </c>
      <c r="X622" s="453" t="s">
        <v>125</v>
      </c>
      <c r="Z622" s="453" t="s">
        <v>150</v>
      </c>
      <c r="AC622" s="667" t="s">
        <v>1548</v>
      </c>
    </row>
    <row r="623" spans="1:29">
      <c r="A623" s="453">
        <v>622</v>
      </c>
      <c r="B623" s="453" t="s">
        <v>1550</v>
      </c>
      <c r="C623" s="453" t="s">
        <v>1551</v>
      </c>
      <c r="D623" s="550" t="s">
        <v>1552</v>
      </c>
      <c r="F623" s="453">
        <v>1937</v>
      </c>
      <c r="G623" s="453">
        <v>1950</v>
      </c>
      <c r="H623" s="472">
        <v>149500</v>
      </c>
      <c r="I623" s="453">
        <v>301000</v>
      </c>
      <c r="J623" s="453">
        <v>1</v>
      </c>
      <c r="K623" s="453">
        <v>4</v>
      </c>
      <c r="L623" s="453" t="s">
        <v>147</v>
      </c>
      <c r="M623" s="453">
        <v>1</v>
      </c>
      <c r="N623" s="453" t="s">
        <v>122</v>
      </c>
      <c r="O623" s="453">
        <v>450</v>
      </c>
      <c r="P623" s="453" t="s">
        <v>123</v>
      </c>
      <c r="Q623" s="453" t="s">
        <v>133</v>
      </c>
      <c r="R623" s="453">
        <v>0</v>
      </c>
      <c r="T623" s="453">
        <v>13</v>
      </c>
      <c r="V623" s="453">
        <v>100</v>
      </c>
      <c r="W623" s="453">
        <v>500</v>
      </c>
      <c r="X623" s="453" t="s">
        <v>125</v>
      </c>
      <c r="Z623" s="453" t="s">
        <v>150</v>
      </c>
      <c r="AA623" s="453">
        <v>1124</v>
      </c>
      <c r="AC623" s="453" t="s">
        <v>1550</v>
      </c>
    </row>
    <row r="624" spans="1:29">
      <c r="A624" s="453">
        <v>623</v>
      </c>
      <c r="B624" s="453" t="s">
        <v>1553</v>
      </c>
      <c r="C624" s="453" t="s">
        <v>1554</v>
      </c>
      <c r="D624" s="550" t="s">
        <v>1555</v>
      </c>
      <c r="F624" s="453">
        <v>2010</v>
      </c>
      <c r="G624" s="453">
        <v>2025</v>
      </c>
      <c r="H624" s="472">
        <v>25000</v>
      </c>
      <c r="I624" s="453">
        <v>75000</v>
      </c>
      <c r="J624" s="453">
        <v>1</v>
      </c>
      <c r="K624" s="453">
        <v>0</v>
      </c>
      <c r="L624" s="453" t="s">
        <v>154</v>
      </c>
      <c r="M624" s="453">
        <v>1</v>
      </c>
      <c r="N624" s="453" t="s">
        <v>122</v>
      </c>
      <c r="O624" s="453">
        <v>120</v>
      </c>
      <c r="P624" s="453" t="s">
        <v>123</v>
      </c>
      <c r="Q624" s="453" t="s">
        <v>149</v>
      </c>
      <c r="R624" s="453">
        <v>0</v>
      </c>
      <c r="T624" s="453">
        <v>7</v>
      </c>
      <c r="V624" s="453">
        <v>100</v>
      </c>
      <c r="W624" s="453">
        <v>500</v>
      </c>
      <c r="Z624" s="453" t="s">
        <v>150</v>
      </c>
      <c r="AC624" s="453" t="s">
        <v>1553</v>
      </c>
    </row>
    <row r="625" spans="1:29">
      <c r="A625" s="453">
        <v>624</v>
      </c>
      <c r="B625" s="453" t="s">
        <v>1556</v>
      </c>
      <c r="C625" s="453" t="s">
        <v>1554</v>
      </c>
      <c r="D625" s="550" t="s">
        <v>1557</v>
      </c>
      <c r="F625" s="453">
        <v>2010</v>
      </c>
      <c r="G625" s="453">
        <v>2025</v>
      </c>
      <c r="H625" s="472">
        <v>25000</v>
      </c>
      <c r="I625" s="453">
        <v>75000</v>
      </c>
      <c r="J625" s="453">
        <v>1</v>
      </c>
      <c r="K625" s="453">
        <v>0</v>
      </c>
      <c r="L625" s="453" t="s">
        <v>154</v>
      </c>
      <c r="M625" s="453">
        <v>1</v>
      </c>
      <c r="N625" s="453" t="s">
        <v>122</v>
      </c>
      <c r="O625" s="453">
        <v>120</v>
      </c>
      <c r="P625" s="453" t="s">
        <v>148</v>
      </c>
      <c r="Q625" s="453" t="s">
        <v>149</v>
      </c>
      <c r="R625" s="453">
        <v>0</v>
      </c>
      <c r="T625" s="453">
        <v>4</v>
      </c>
      <c r="V625" s="453">
        <v>100</v>
      </c>
      <c r="W625" s="453">
        <v>500</v>
      </c>
      <c r="Z625" s="453" t="s">
        <v>150</v>
      </c>
      <c r="AC625" s="453" t="s">
        <v>1556</v>
      </c>
    </row>
    <row r="626" spans="1:29">
      <c r="A626" s="453">
        <v>625</v>
      </c>
      <c r="B626" s="453" t="s">
        <v>1558</v>
      </c>
      <c r="C626" s="453" t="s">
        <v>1186</v>
      </c>
      <c r="D626" s="550" t="s">
        <v>1559</v>
      </c>
      <c r="F626" s="453">
        <v>1947</v>
      </c>
      <c r="G626" s="453">
        <v>1965</v>
      </c>
      <c r="H626" s="472">
        <v>24500</v>
      </c>
      <c r="I626" s="453">
        <v>51000</v>
      </c>
      <c r="J626" s="453">
        <v>1</v>
      </c>
      <c r="K626" s="453">
        <v>1</v>
      </c>
      <c r="L626" s="453" t="s">
        <v>147</v>
      </c>
      <c r="M626" s="453">
        <v>1</v>
      </c>
      <c r="N626" s="453" t="s">
        <v>122</v>
      </c>
      <c r="O626" s="453">
        <v>100</v>
      </c>
      <c r="P626" s="453" t="s">
        <v>123</v>
      </c>
      <c r="Q626" s="453" t="s">
        <v>124</v>
      </c>
      <c r="R626" s="453">
        <v>0.35</v>
      </c>
      <c r="T626" s="453">
        <v>8</v>
      </c>
      <c r="V626" s="453">
        <v>100</v>
      </c>
      <c r="W626" s="453">
        <v>500</v>
      </c>
      <c r="X626" s="453" t="s">
        <v>125</v>
      </c>
      <c r="Z626" s="453" t="s">
        <v>150</v>
      </c>
      <c r="AA626" s="453">
        <v>1134</v>
      </c>
      <c r="AC626" s="453" t="s">
        <v>1558</v>
      </c>
    </row>
    <row r="627" spans="1:29">
      <c r="A627" s="453">
        <v>626</v>
      </c>
      <c r="B627" s="453" t="s">
        <v>1560</v>
      </c>
      <c r="C627" s="453" t="s">
        <v>1561</v>
      </c>
      <c r="D627" s="550">
        <v>108</v>
      </c>
      <c r="F627" s="453">
        <v>1939</v>
      </c>
      <c r="G627" s="453">
        <v>1954</v>
      </c>
      <c r="H627" s="472">
        <v>19500</v>
      </c>
      <c r="I627" s="453">
        <v>51000</v>
      </c>
      <c r="J627" s="453">
        <v>1</v>
      </c>
      <c r="K627" s="453">
        <v>3</v>
      </c>
      <c r="L627" s="453" t="s">
        <v>147</v>
      </c>
      <c r="M627" s="453">
        <v>1</v>
      </c>
      <c r="N627" s="453" t="s">
        <v>122</v>
      </c>
      <c r="O627" s="453">
        <v>150</v>
      </c>
      <c r="P627" s="453" t="s">
        <v>123</v>
      </c>
      <c r="Q627" s="453" t="s">
        <v>124</v>
      </c>
      <c r="R627" s="453">
        <v>0</v>
      </c>
      <c r="T627" s="453">
        <v>8</v>
      </c>
      <c r="V627" s="453">
        <v>100</v>
      </c>
      <c r="W627" s="453">
        <v>500</v>
      </c>
      <c r="X627" s="453" t="s">
        <v>58</v>
      </c>
      <c r="Z627" s="453" t="s">
        <v>150</v>
      </c>
      <c r="AA627" s="453">
        <v>1144</v>
      </c>
      <c r="AC627" s="453" t="s">
        <v>1560</v>
      </c>
    </row>
    <row r="628" spans="1:29">
      <c r="A628" s="453">
        <v>627</v>
      </c>
      <c r="B628" s="453" t="s">
        <v>1562</v>
      </c>
      <c r="C628" s="453" t="s">
        <v>1561</v>
      </c>
      <c r="D628" s="550" t="s">
        <v>1563</v>
      </c>
      <c r="F628" s="453">
        <v>1928</v>
      </c>
      <c r="G628" s="453">
        <v>1931</v>
      </c>
      <c r="H628" s="472">
        <v>24500</v>
      </c>
      <c r="I628" s="453">
        <v>76000</v>
      </c>
      <c r="J628" s="453">
        <v>1</v>
      </c>
      <c r="K628" s="453">
        <v>3</v>
      </c>
      <c r="L628" s="453" t="s">
        <v>147</v>
      </c>
      <c r="M628" s="453">
        <v>1</v>
      </c>
      <c r="N628" s="453" t="s">
        <v>753</v>
      </c>
      <c r="O628" s="453">
        <v>0</v>
      </c>
      <c r="P628" s="453" t="s">
        <v>123</v>
      </c>
      <c r="Q628" s="453" t="s">
        <v>124</v>
      </c>
      <c r="R628" s="453">
        <v>0.35</v>
      </c>
      <c r="T628" s="453">
        <v>8</v>
      </c>
      <c r="V628" s="453">
        <v>100</v>
      </c>
      <c r="W628" s="453">
        <v>1000</v>
      </c>
      <c r="X628" s="453" t="s">
        <v>125</v>
      </c>
      <c r="Z628" s="453" t="s">
        <v>150</v>
      </c>
      <c r="AA628" s="453">
        <v>1145</v>
      </c>
      <c r="AC628" s="453" t="s">
        <v>1562</v>
      </c>
    </row>
    <row r="629" spans="1:29">
      <c r="A629" s="453">
        <v>628</v>
      </c>
      <c r="B629" s="453" t="s">
        <v>1564</v>
      </c>
      <c r="C629" s="453" t="s">
        <v>1561</v>
      </c>
      <c r="D629" s="550" t="s">
        <v>1565</v>
      </c>
      <c r="F629" s="453">
        <v>1940</v>
      </c>
      <c r="G629" s="453">
        <v>1948</v>
      </c>
      <c r="H629" s="472">
        <v>24500</v>
      </c>
      <c r="I629" s="453">
        <v>61000</v>
      </c>
      <c r="J629" s="453">
        <v>1</v>
      </c>
      <c r="K629" s="453">
        <v>1</v>
      </c>
      <c r="L629" s="453" t="s">
        <v>147</v>
      </c>
      <c r="M629" s="453">
        <v>1</v>
      </c>
      <c r="N629" s="453" t="s">
        <v>122</v>
      </c>
      <c r="O629" s="453">
        <v>190</v>
      </c>
      <c r="P629" s="453" t="s">
        <v>123</v>
      </c>
      <c r="Q629" s="453" t="s">
        <v>124</v>
      </c>
      <c r="R629" s="453">
        <v>0</v>
      </c>
      <c r="T629" s="453">
        <v>8</v>
      </c>
      <c r="V629" s="453">
        <v>100</v>
      </c>
      <c r="W629" s="453">
        <v>500</v>
      </c>
      <c r="X629" s="453" t="s">
        <v>58</v>
      </c>
      <c r="Z629" s="453" t="s">
        <v>150</v>
      </c>
      <c r="AA629" s="453">
        <v>1146</v>
      </c>
      <c r="AC629" s="453" t="s">
        <v>1564</v>
      </c>
    </row>
    <row r="630" spans="1:29">
      <c r="A630" s="453">
        <v>629</v>
      </c>
      <c r="B630" s="453" t="s">
        <v>1566</v>
      </c>
      <c r="C630" s="453" t="s">
        <v>1561</v>
      </c>
      <c r="D630" s="550" t="s">
        <v>1567</v>
      </c>
      <c r="F630" s="453">
        <v>1930</v>
      </c>
      <c r="G630" s="453">
        <v>1935</v>
      </c>
      <c r="H630" s="472">
        <v>39500</v>
      </c>
      <c r="I630" s="453">
        <v>81000</v>
      </c>
      <c r="J630" s="453">
        <v>1</v>
      </c>
      <c r="K630" s="453">
        <v>3</v>
      </c>
      <c r="L630" s="453" t="s">
        <v>147</v>
      </c>
      <c r="M630" s="453">
        <v>1</v>
      </c>
      <c r="N630" s="453" t="s">
        <v>122</v>
      </c>
      <c r="O630" s="453">
        <v>215</v>
      </c>
      <c r="P630" s="453" t="s">
        <v>123</v>
      </c>
      <c r="Q630" s="453" t="s">
        <v>124</v>
      </c>
      <c r="R630" s="453">
        <v>0</v>
      </c>
      <c r="T630" s="453">
        <v>8</v>
      </c>
      <c r="V630" s="453">
        <v>100</v>
      </c>
      <c r="W630" s="453">
        <v>500</v>
      </c>
      <c r="X630" s="453" t="s">
        <v>125</v>
      </c>
      <c r="Z630" s="453" t="s">
        <v>150</v>
      </c>
      <c r="AA630" s="453">
        <v>1147</v>
      </c>
      <c r="AC630" s="453" t="s">
        <v>1566</v>
      </c>
    </row>
    <row r="631" spans="1:29">
      <c r="A631" s="453">
        <v>630</v>
      </c>
      <c r="B631" s="453" t="s">
        <v>1568</v>
      </c>
      <c r="C631" s="453" t="s">
        <v>1561</v>
      </c>
      <c r="D631" s="550" t="s">
        <v>1569</v>
      </c>
      <c r="F631" s="453">
        <v>1933</v>
      </c>
      <c r="G631" s="453">
        <v>1947</v>
      </c>
      <c r="H631" s="472">
        <v>24500</v>
      </c>
      <c r="I631" s="453">
        <v>151000</v>
      </c>
      <c r="J631" s="453">
        <v>1</v>
      </c>
      <c r="K631" s="453">
        <v>4</v>
      </c>
      <c r="L631" s="453" t="s">
        <v>147</v>
      </c>
      <c r="M631" s="453">
        <v>1</v>
      </c>
      <c r="N631" s="453" t="s">
        <v>122</v>
      </c>
      <c r="O631" s="453">
        <v>290</v>
      </c>
      <c r="P631" s="453" t="s">
        <v>123</v>
      </c>
      <c r="Q631" s="453" t="s">
        <v>133</v>
      </c>
      <c r="R631" s="453">
        <v>0</v>
      </c>
      <c r="T631" s="453">
        <v>9</v>
      </c>
      <c r="V631" s="453">
        <v>100</v>
      </c>
      <c r="W631" s="453">
        <v>500</v>
      </c>
      <c r="X631" s="453" t="s">
        <v>125</v>
      </c>
      <c r="Z631" s="453" t="s">
        <v>150</v>
      </c>
      <c r="AA631" s="453">
        <v>1148</v>
      </c>
      <c r="AC631" s="453" t="s">
        <v>1568</v>
      </c>
    </row>
    <row r="632" spans="1:29">
      <c r="A632" s="453">
        <v>631</v>
      </c>
      <c r="B632" s="453" t="s">
        <v>1570</v>
      </c>
      <c r="C632" s="453" t="s">
        <v>1561</v>
      </c>
      <c r="D632" s="550" t="s">
        <v>1571</v>
      </c>
      <c r="F632" s="453">
        <v>1934</v>
      </c>
      <c r="G632" s="453">
        <v>1949</v>
      </c>
      <c r="H632" s="472">
        <v>24500</v>
      </c>
      <c r="I632" s="453">
        <v>101000</v>
      </c>
      <c r="J632" s="453">
        <v>1</v>
      </c>
      <c r="K632" s="453">
        <v>4</v>
      </c>
      <c r="L632" s="453" t="s">
        <v>147</v>
      </c>
      <c r="M632" s="453">
        <v>1</v>
      </c>
      <c r="N632" s="453" t="s">
        <v>122</v>
      </c>
      <c r="O632" s="453">
        <v>250</v>
      </c>
      <c r="P632" s="453" t="s">
        <v>123</v>
      </c>
      <c r="Q632" s="453" t="s">
        <v>133</v>
      </c>
      <c r="R632" s="453">
        <v>0</v>
      </c>
      <c r="T632" s="453">
        <v>9</v>
      </c>
      <c r="V632" s="453">
        <v>100</v>
      </c>
      <c r="W632" s="453">
        <v>500</v>
      </c>
      <c r="X632" s="453" t="s">
        <v>125</v>
      </c>
      <c r="Z632" s="453" t="s">
        <v>150</v>
      </c>
      <c r="AA632" s="453">
        <v>1149</v>
      </c>
      <c r="AC632" s="453" t="s">
        <v>1570</v>
      </c>
    </row>
    <row r="633" spans="1:29">
      <c r="A633" s="453">
        <v>632</v>
      </c>
      <c r="B633" s="453" t="s">
        <v>1572</v>
      </c>
      <c r="C633" s="453" t="s">
        <v>1573</v>
      </c>
      <c r="D633" s="550" t="s">
        <v>1574</v>
      </c>
      <c r="E633" s="453" t="s">
        <v>1575</v>
      </c>
      <c r="F633" s="453">
        <v>1965</v>
      </c>
      <c r="G633" s="453">
        <v>2010</v>
      </c>
      <c r="H633" s="472">
        <v>50000</v>
      </c>
      <c r="I633" s="453">
        <v>300000</v>
      </c>
      <c r="J633" s="453">
        <v>1</v>
      </c>
      <c r="K633" s="453">
        <v>4</v>
      </c>
      <c r="L633" s="453" t="s">
        <v>147</v>
      </c>
      <c r="M633" s="453">
        <v>2</v>
      </c>
      <c r="N633" s="453" t="s">
        <v>122</v>
      </c>
      <c r="O633" s="453">
        <v>180</v>
      </c>
      <c r="P633" s="453" t="s">
        <v>150</v>
      </c>
      <c r="Q633" s="453" t="s">
        <v>124</v>
      </c>
      <c r="R633" s="453">
        <v>0</v>
      </c>
      <c r="S633" s="453">
        <v>0</v>
      </c>
      <c r="T633" s="453">
        <v>1</v>
      </c>
      <c r="V633" s="453">
        <v>500</v>
      </c>
      <c r="W633" s="453">
        <v>0.1</v>
      </c>
      <c r="X633" s="453" t="s">
        <v>125</v>
      </c>
      <c r="Z633" s="453" t="s">
        <v>150</v>
      </c>
      <c r="AB633" s="453" t="s">
        <v>1576</v>
      </c>
      <c r="AC633" s="453" t="s">
        <v>1572</v>
      </c>
    </row>
    <row r="634" spans="1:29">
      <c r="A634" s="453">
        <v>633</v>
      </c>
      <c r="B634" s="453" t="s">
        <v>1577</v>
      </c>
      <c r="C634" s="453" t="s">
        <v>1578</v>
      </c>
      <c r="D634" s="550" t="s">
        <v>1579</v>
      </c>
      <c r="F634" s="453">
        <v>2000</v>
      </c>
      <c r="G634" s="453">
        <v>2016</v>
      </c>
      <c r="H634" s="472">
        <v>80000</v>
      </c>
      <c r="I634" s="453">
        <v>150000</v>
      </c>
      <c r="J634" s="453">
        <v>1</v>
      </c>
      <c r="K634" s="453">
        <v>1</v>
      </c>
      <c r="L634" s="453" t="s">
        <v>154</v>
      </c>
      <c r="M634" s="453">
        <v>1</v>
      </c>
      <c r="N634" s="453" t="s">
        <v>122</v>
      </c>
      <c r="O634" s="453">
        <v>100</v>
      </c>
      <c r="P634" s="453" t="s">
        <v>148</v>
      </c>
      <c r="Q634" s="453" t="s">
        <v>149</v>
      </c>
      <c r="R634" s="453">
        <v>0</v>
      </c>
      <c r="T634" s="453">
        <v>2</v>
      </c>
      <c r="V634" s="453">
        <v>50</v>
      </c>
      <c r="W634" s="453">
        <v>250</v>
      </c>
      <c r="X634" s="453" t="s">
        <v>58</v>
      </c>
      <c r="Z634" s="453" t="s">
        <v>150</v>
      </c>
      <c r="AA634" s="453">
        <v>1164</v>
      </c>
      <c r="AC634" s="453" t="s">
        <v>1577</v>
      </c>
    </row>
    <row r="635" spans="1:29">
      <c r="A635" s="453">
        <v>634</v>
      </c>
      <c r="B635" s="453" t="s">
        <v>1580</v>
      </c>
      <c r="C635" s="453" t="s">
        <v>1581</v>
      </c>
      <c r="D635" s="550" t="s">
        <v>1582</v>
      </c>
      <c r="F635" s="453">
        <v>1929</v>
      </c>
      <c r="G635" s="453">
        <v>1931</v>
      </c>
      <c r="H635" s="472">
        <v>25000</v>
      </c>
      <c r="I635" s="453">
        <v>100000</v>
      </c>
      <c r="J635" s="453">
        <v>1</v>
      </c>
      <c r="K635" s="453">
        <v>1</v>
      </c>
      <c r="L635" s="453" t="s">
        <v>147</v>
      </c>
      <c r="M635" s="453">
        <v>1</v>
      </c>
      <c r="N635" s="453" t="s">
        <v>122</v>
      </c>
      <c r="O635" s="453">
        <v>110</v>
      </c>
      <c r="P635" s="453" t="s">
        <v>123</v>
      </c>
      <c r="Q635" s="453" t="s">
        <v>124</v>
      </c>
      <c r="R635" s="453">
        <v>0.5</v>
      </c>
      <c r="S635" s="453">
        <v>1</v>
      </c>
      <c r="T635" s="453">
        <v>1</v>
      </c>
      <c r="V635" s="453">
        <v>500</v>
      </c>
      <c r="W635" s="453">
        <v>2500</v>
      </c>
      <c r="X635" s="453" t="s">
        <v>58</v>
      </c>
      <c r="Z635" s="453" t="s">
        <v>150</v>
      </c>
      <c r="AB635" s="453" t="s">
        <v>1583</v>
      </c>
      <c r="AC635" s="453" t="s">
        <v>1580</v>
      </c>
    </row>
    <row r="636" spans="1:29">
      <c r="A636" s="453">
        <v>635</v>
      </c>
      <c r="B636" s="453" t="s">
        <v>1584</v>
      </c>
      <c r="C636" s="453" t="s">
        <v>1585</v>
      </c>
      <c r="D636" s="550" t="s">
        <v>1586</v>
      </c>
      <c r="F636" s="453">
        <v>2000</v>
      </c>
      <c r="G636" s="453">
        <v>2020</v>
      </c>
      <c r="H636" s="472">
        <v>150000</v>
      </c>
      <c r="I636" s="453">
        <v>175000</v>
      </c>
      <c r="J636" s="453">
        <v>1</v>
      </c>
      <c r="K636" s="453">
        <v>1</v>
      </c>
      <c r="L636" s="453" t="s">
        <v>154</v>
      </c>
      <c r="M636" s="453">
        <v>1</v>
      </c>
      <c r="N636" s="453" t="s">
        <v>122</v>
      </c>
      <c r="O636" s="453">
        <v>100</v>
      </c>
      <c r="P636" s="453" t="s">
        <v>150</v>
      </c>
      <c r="Q636" s="453" t="s">
        <v>149</v>
      </c>
      <c r="R636" s="453">
        <v>0.25</v>
      </c>
      <c r="S636" s="453">
        <v>0.5</v>
      </c>
      <c r="T636" s="453">
        <v>1</v>
      </c>
      <c r="V636" s="453">
        <v>100</v>
      </c>
      <c r="W636" s="453">
        <v>0.05</v>
      </c>
      <c r="X636" s="453" t="s">
        <v>125</v>
      </c>
      <c r="Z636" s="453" t="s">
        <v>150</v>
      </c>
      <c r="AC636" s="453" t="s">
        <v>1584</v>
      </c>
    </row>
    <row r="637" spans="1:29">
      <c r="A637" s="453">
        <v>636</v>
      </c>
      <c r="B637" s="453" t="s">
        <v>1587</v>
      </c>
      <c r="C637" s="453" t="s">
        <v>1585</v>
      </c>
      <c r="D637" s="550" t="s">
        <v>1588</v>
      </c>
      <c r="F637" s="453">
        <v>2000</v>
      </c>
      <c r="G637" s="453">
        <v>2020</v>
      </c>
      <c r="H637" s="472">
        <v>150000</v>
      </c>
      <c r="I637" s="453">
        <v>175000</v>
      </c>
      <c r="J637" s="453">
        <v>1</v>
      </c>
      <c r="K637" s="453">
        <v>1</v>
      </c>
      <c r="L637" s="453" t="s">
        <v>154</v>
      </c>
      <c r="M637" s="453">
        <v>1</v>
      </c>
      <c r="N637" s="453" t="s">
        <v>122</v>
      </c>
      <c r="O637" s="453">
        <v>115</v>
      </c>
      <c r="P637" s="453" t="s">
        <v>150</v>
      </c>
      <c r="Q637" s="453" t="s">
        <v>149</v>
      </c>
      <c r="R637" s="453">
        <v>0.25</v>
      </c>
      <c r="S637" s="453">
        <v>0.5</v>
      </c>
      <c r="T637" s="453">
        <v>1</v>
      </c>
      <c r="V637" s="453">
        <v>100</v>
      </c>
      <c r="W637" s="453">
        <v>0.05</v>
      </c>
      <c r="X637" s="453" t="s">
        <v>125</v>
      </c>
      <c r="Z637" s="453" t="s">
        <v>150</v>
      </c>
      <c r="AC637" s="453" t="s">
        <v>1587</v>
      </c>
    </row>
    <row r="638" spans="1:29">
      <c r="A638" s="453">
        <v>637</v>
      </c>
      <c r="B638" s="453" t="s">
        <v>1589</v>
      </c>
      <c r="C638" s="453" t="s">
        <v>1590</v>
      </c>
      <c r="D638" s="550" t="s">
        <v>1591</v>
      </c>
      <c r="F638" s="453">
        <v>1925</v>
      </c>
      <c r="G638" s="453">
        <v>1940</v>
      </c>
      <c r="H638" s="472">
        <v>74500</v>
      </c>
      <c r="I638" s="453">
        <v>151000</v>
      </c>
      <c r="J638" s="453">
        <v>1</v>
      </c>
      <c r="K638" s="453">
        <v>1</v>
      </c>
      <c r="L638" s="453" t="s">
        <v>147</v>
      </c>
      <c r="M638" s="453">
        <v>1</v>
      </c>
      <c r="N638" s="453" t="s">
        <v>122</v>
      </c>
      <c r="O638" s="453">
        <v>250</v>
      </c>
      <c r="P638" s="453" t="s">
        <v>123</v>
      </c>
      <c r="Q638" s="453" t="s">
        <v>124</v>
      </c>
      <c r="R638" s="453">
        <v>0</v>
      </c>
      <c r="T638" s="453">
        <v>8</v>
      </c>
      <c r="V638" s="453">
        <v>100</v>
      </c>
      <c r="W638" s="453">
        <v>500</v>
      </c>
      <c r="X638" s="453" t="s">
        <v>58</v>
      </c>
      <c r="Z638" s="453" t="s">
        <v>150</v>
      </c>
      <c r="AA638" s="453">
        <v>1171</v>
      </c>
      <c r="AC638" s="453" t="s">
        <v>1589</v>
      </c>
    </row>
    <row r="639" spans="1:29">
      <c r="A639" s="453">
        <v>638</v>
      </c>
      <c r="B639" s="453" t="s">
        <v>1592</v>
      </c>
      <c r="C639" s="453" t="s">
        <v>1593</v>
      </c>
      <c r="D639" s="550" t="s">
        <v>1594</v>
      </c>
      <c r="F639" s="453">
        <v>1945</v>
      </c>
      <c r="G639" s="453">
        <v>1951</v>
      </c>
      <c r="H639" s="472">
        <v>24500</v>
      </c>
      <c r="I639" s="453">
        <v>76000</v>
      </c>
      <c r="J639" s="453">
        <v>1</v>
      </c>
      <c r="K639" s="453">
        <v>1</v>
      </c>
      <c r="L639" s="453" t="s">
        <v>147</v>
      </c>
      <c r="M639" s="453">
        <v>1</v>
      </c>
      <c r="N639" s="453" t="s">
        <v>122</v>
      </c>
      <c r="O639" s="453">
        <v>85</v>
      </c>
      <c r="P639" s="453" t="s">
        <v>130</v>
      </c>
      <c r="Q639" s="453" t="s">
        <v>124</v>
      </c>
      <c r="R639" s="453">
        <v>0</v>
      </c>
      <c r="T639" s="453">
        <v>13</v>
      </c>
      <c r="V639" s="453">
        <v>100</v>
      </c>
      <c r="W639" s="453">
        <v>1000</v>
      </c>
      <c r="X639" s="453" t="s">
        <v>125</v>
      </c>
      <c r="Z639" s="453" t="s">
        <v>150</v>
      </c>
      <c r="AA639" s="453">
        <v>1172</v>
      </c>
      <c r="AB639" s="453" t="s">
        <v>1595</v>
      </c>
      <c r="AC639" s="453" t="s">
        <v>1592</v>
      </c>
    </row>
    <row r="640" spans="1:29">
      <c r="A640" s="453">
        <v>639</v>
      </c>
      <c r="B640" s="453" t="s">
        <v>1596</v>
      </c>
      <c r="C640" s="453" t="s">
        <v>1593</v>
      </c>
      <c r="D640" s="550" t="s">
        <v>1597</v>
      </c>
      <c r="F640" s="453">
        <v>1945</v>
      </c>
      <c r="G640" s="453">
        <v>1951</v>
      </c>
      <c r="H640" s="472">
        <v>24500</v>
      </c>
      <c r="I640" s="453">
        <v>76000</v>
      </c>
      <c r="J640" s="453">
        <v>1</v>
      </c>
      <c r="K640" s="453">
        <v>1</v>
      </c>
      <c r="L640" s="453" t="s">
        <v>147</v>
      </c>
      <c r="M640" s="453">
        <v>1</v>
      </c>
      <c r="N640" s="453" t="s">
        <v>122</v>
      </c>
      <c r="O640" s="453">
        <v>125</v>
      </c>
      <c r="P640" s="453" t="s">
        <v>130</v>
      </c>
      <c r="Q640" s="453" t="s">
        <v>124</v>
      </c>
      <c r="R640" s="453">
        <v>0</v>
      </c>
      <c r="T640" s="453">
        <v>13</v>
      </c>
      <c r="V640" s="453">
        <v>100</v>
      </c>
      <c r="W640" s="453">
        <v>1000</v>
      </c>
      <c r="X640" s="453" t="s">
        <v>125</v>
      </c>
      <c r="Z640" s="453" t="s">
        <v>150</v>
      </c>
      <c r="AA640" s="453">
        <v>1172</v>
      </c>
      <c r="AB640" s="453" t="s">
        <v>1595</v>
      </c>
      <c r="AC640" s="453" t="s">
        <v>1596</v>
      </c>
    </row>
    <row r="641" spans="1:29">
      <c r="A641" s="453">
        <v>640</v>
      </c>
      <c r="B641" s="453" t="s">
        <v>1598</v>
      </c>
      <c r="C641" s="453" t="s">
        <v>1593</v>
      </c>
      <c r="D641" s="550" t="s">
        <v>1599</v>
      </c>
      <c r="F641" s="453">
        <v>1945</v>
      </c>
      <c r="G641" s="453">
        <v>1950</v>
      </c>
      <c r="H641" s="472">
        <v>24500</v>
      </c>
      <c r="I641" s="453">
        <v>76000</v>
      </c>
      <c r="J641" s="453">
        <v>1</v>
      </c>
      <c r="K641" s="453">
        <v>1</v>
      </c>
      <c r="L641" s="453" t="s">
        <v>147</v>
      </c>
      <c r="M641" s="453">
        <v>1</v>
      </c>
      <c r="N641" s="453" t="s">
        <v>122</v>
      </c>
      <c r="O641" s="453">
        <v>125</v>
      </c>
      <c r="P641" s="453" t="s">
        <v>132</v>
      </c>
      <c r="Q641" s="453" t="s">
        <v>124</v>
      </c>
      <c r="R641" s="453">
        <v>1.5</v>
      </c>
      <c r="T641" s="453">
        <v>1</v>
      </c>
      <c r="V641" s="453">
        <v>250</v>
      </c>
      <c r="W641" s="453">
        <v>1000</v>
      </c>
      <c r="X641" s="453" t="s">
        <v>125</v>
      </c>
      <c r="Z641" s="453" t="s">
        <v>150</v>
      </c>
      <c r="AA641" s="453">
        <v>1175</v>
      </c>
      <c r="AC641" s="453" t="s">
        <v>1598</v>
      </c>
    </row>
    <row r="642" spans="1:29">
      <c r="A642" s="453">
        <v>641</v>
      </c>
      <c r="B642" s="453" t="s">
        <v>1600</v>
      </c>
      <c r="C642" s="453" t="s">
        <v>1601</v>
      </c>
      <c r="D642" s="550" t="s">
        <v>1602</v>
      </c>
      <c r="F642" s="453">
        <v>2000</v>
      </c>
      <c r="G642" s="453">
        <v>2016</v>
      </c>
      <c r="H642" s="472">
        <v>65000</v>
      </c>
      <c r="I642" s="453">
        <v>150000</v>
      </c>
      <c r="J642" s="453">
        <v>1</v>
      </c>
      <c r="K642" s="453">
        <v>1</v>
      </c>
      <c r="L642" s="453" t="s">
        <v>154</v>
      </c>
      <c r="M642" s="453">
        <v>1</v>
      </c>
      <c r="N642" s="453" t="s">
        <v>122</v>
      </c>
      <c r="O642" s="453">
        <v>100</v>
      </c>
      <c r="P642" s="453" t="s">
        <v>148</v>
      </c>
      <c r="Q642" s="453" t="s">
        <v>149</v>
      </c>
      <c r="R642" s="453">
        <v>0</v>
      </c>
      <c r="T642" s="453">
        <v>2</v>
      </c>
      <c r="V642" s="453">
        <v>50</v>
      </c>
      <c r="W642" s="453">
        <v>250</v>
      </c>
      <c r="X642" s="453" t="s">
        <v>58</v>
      </c>
      <c r="Z642" s="453" t="s">
        <v>150</v>
      </c>
      <c r="AA642" s="453">
        <v>1176</v>
      </c>
      <c r="AC642" s="453" t="s">
        <v>1600</v>
      </c>
    </row>
    <row r="643" spans="1:29">
      <c r="A643" s="453">
        <v>642</v>
      </c>
      <c r="B643" s="453" t="s">
        <v>1603</v>
      </c>
      <c r="C643" s="453" t="s">
        <v>1604</v>
      </c>
      <c r="D643" s="550" t="s">
        <v>1605</v>
      </c>
      <c r="F643" s="453">
        <v>2002</v>
      </c>
      <c r="G643" s="453">
        <v>2006</v>
      </c>
      <c r="H643" s="472">
        <v>40000</v>
      </c>
      <c r="I643" s="453">
        <v>90000</v>
      </c>
      <c r="J643" s="453">
        <v>1</v>
      </c>
      <c r="K643" s="453">
        <v>1</v>
      </c>
      <c r="L643" s="453" t="s">
        <v>147</v>
      </c>
      <c r="M643" s="453">
        <v>1</v>
      </c>
      <c r="N643" s="453" t="s">
        <v>122</v>
      </c>
      <c r="O643" s="453">
        <v>160</v>
      </c>
      <c r="P643" s="453" t="s">
        <v>148</v>
      </c>
      <c r="Q643" s="453" t="s">
        <v>149</v>
      </c>
      <c r="R643" s="453">
        <v>0</v>
      </c>
      <c r="T643" s="453">
        <v>4</v>
      </c>
      <c r="V643" s="453">
        <v>50</v>
      </c>
      <c r="W643" s="453">
        <v>250</v>
      </c>
      <c r="X643" s="453" t="s">
        <v>58</v>
      </c>
      <c r="Z643" s="453" t="s">
        <v>150</v>
      </c>
      <c r="AC643" s="453" t="s">
        <v>1603</v>
      </c>
    </row>
    <row r="644" spans="1:29">
      <c r="A644" s="453">
        <v>643</v>
      </c>
      <c r="B644" s="453" t="s">
        <v>1606</v>
      </c>
      <c r="C644" s="453" t="s">
        <v>1607</v>
      </c>
      <c r="D644" s="550" t="s">
        <v>1434</v>
      </c>
      <c r="F644" s="453">
        <v>2000</v>
      </c>
      <c r="G644" s="453">
        <v>2010</v>
      </c>
      <c r="H644" s="472">
        <v>80000</v>
      </c>
      <c r="I644" s="453">
        <v>150000</v>
      </c>
      <c r="J644" s="453">
        <v>1</v>
      </c>
      <c r="K644" s="453">
        <v>1</v>
      </c>
      <c r="L644" s="453" t="s">
        <v>154</v>
      </c>
      <c r="M644" s="453">
        <v>1</v>
      </c>
      <c r="N644" s="453" t="s">
        <v>122</v>
      </c>
      <c r="O644" s="453">
        <v>100</v>
      </c>
      <c r="P644" s="453" t="s">
        <v>148</v>
      </c>
      <c r="Q644" s="453" t="s">
        <v>149</v>
      </c>
      <c r="R644" s="453">
        <v>0.5</v>
      </c>
      <c r="S644" s="453">
        <v>0.5</v>
      </c>
      <c r="T644" s="453">
        <v>1</v>
      </c>
      <c r="V644" s="453">
        <v>1000</v>
      </c>
      <c r="W644" s="453">
        <v>5000</v>
      </c>
      <c r="X644" s="453" t="s">
        <v>125</v>
      </c>
      <c r="AA644" s="453">
        <v>1182</v>
      </c>
      <c r="AB644" s="453" t="s">
        <v>1608</v>
      </c>
      <c r="AC644" s="453" t="s">
        <v>1606</v>
      </c>
    </row>
    <row r="645" spans="1:29">
      <c r="A645" s="453">
        <v>644</v>
      </c>
      <c r="B645" s="453" t="s">
        <v>1609</v>
      </c>
      <c r="C645" s="453" t="s">
        <v>1610</v>
      </c>
      <c r="D645" s="550" t="s">
        <v>1611</v>
      </c>
      <c r="F645" s="453">
        <v>2002</v>
      </c>
      <c r="G645" s="453">
        <v>2006</v>
      </c>
      <c r="H645" s="472">
        <v>40000</v>
      </c>
      <c r="I645" s="453">
        <v>85000</v>
      </c>
      <c r="J645" s="453">
        <v>1</v>
      </c>
      <c r="K645" s="453">
        <v>1</v>
      </c>
      <c r="L645" s="453" t="s">
        <v>154</v>
      </c>
      <c r="M645" s="453">
        <v>1</v>
      </c>
      <c r="N645" s="453" t="s">
        <v>122</v>
      </c>
      <c r="O645" s="453">
        <v>90</v>
      </c>
      <c r="P645" s="453" t="s">
        <v>148</v>
      </c>
      <c r="Q645" s="453" t="s">
        <v>149</v>
      </c>
      <c r="R645" s="453">
        <v>0</v>
      </c>
      <c r="T645" s="453">
        <v>2</v>
      </c>
      <c r="V645" s="453">
        <v>50</v>
      </c>
      <c r="W645" s="453">
        <v>250</v>
      </c>
      <c r="X645" s="453" t="s">
        <v>58</v>
      </c>
      <c r="Z645" s="453" t="s">
        <v>150</v>
      </c>
      <c r="AA645" s="453">
        <v>1180</v>
      </c>
      <c r="AC645" s="453" t="s">
        <v>1609</v>
      </c>
    </row>
    <row r="646" spans="1:29">
      <c r="A646" s="453">
        <v>645</v>
      </c>
      <c r="B646" s="453" t="s">
        <v>1612</v>
      </c>
      <c r="C646" s="453" t="s">
        <v>1610</v>
      </c>
      <c r="D646" s="550" t="s">
        <v>1613</v>
      </c>
      <c r="F646" s="453">
        <v>2008</v>
      </c>
      <c r="G646" s="453">
        <v>2010</v>
      </c>
      <c r="H646" s="472">
        <v>75000</v>
      </c>
      <c r="I646" s="453">
        <v>130000</v>
      </c>
      <c r="J646" s="453">
        <v>1</v>
      </c>
      <c r="K646" s="453">
        <v>1</v>
      </c>
      <c r="L646" s="453" t="s">
        <v>154</v>
      </c>
      <c r="M646" s="453">
        <v>1</v>
      </c>
      <c r="N646" s="453" t="s">
        <v>122</v>
      </c>
      <c r="O646" s="453">
        <v>100</v>
      </c>
      <c r="P646" s="453" t="s">
        <v>148</v>
      </c>
      <c r="Q646" s="453" t="s">
        <v>149</v>
      </c>
      <c r="R646" s="453">
        <v>0</v>
      </c>
      <c r="T646" s="453">
        <v>2</v>
      </c>
      <c r="V646" s="453">
        <v>50</v>
      </c>
      <c r="W646" s="453">
        <v>250</v>
      </c>
      <c r="X646" s="453" t="s">
        <v>58</v>
      </c>
      <c r="Z646" s="453" t="s">
        <v>150</v>
      </c>
      <c r="AC646" s="453" t="s">
        <v>1612</v>
      </c>
    </row>
    <row r="647" spans="1:29">
      <c r="A647" s="453">
        <v>646</v>
      </c>
      <c r="B647" s="453" t="s">
        <v>1614</v>
      </c>
      <c r="C647" s="453" t="s">
        <v>1610</v>
      </c>
      <c r="D647" s="550" t="s">
        <v>1615</v>
      </c>
      <c r="F647" s="453">
        <v>2011</v>
      </c>
      <c r="G647" s="453">
        <v>2012</v>
      </c>
      <c r="H647" s="472">
        <v>100000</v>
      </c>
      <c r="I647" s="453">
        <v>150000</v>
      </c>
      <c r="J647" s="453">
        <v>1</v>
      </c>
      <c r="K647" s="453">
        <v>1</v>
      </c>
      <c r="L647" s="453" t="s">
        <v>154</v>
      </c>
      <c r="M647" s="453">
        <v>1</v>
      </c>
      <c r="N647" s="453" t="s">
        <v>122</v>
      </c>
      <c r="O647" s="453">
        <v>100</v>
      </c>
      <c r="P647" s="453" t="s">
        <v>148</v>
      </c>
      <c r="Q647" s="453" t="s">
        <v>149</v>
      </c>
      <c r="R647" s="453">
        <v>0</v>
      </c>
      <c r="T647" s="453">
        <v>2</v>
      </c>
      <c r="V647" s="453">
        <v>50</v>
      </c>
      <c r="W647" s="453">
        <v>250</v>
      </c>
      <c r="X647" s="453" t="s">
        <v>58</v>
      </c>
      <c r="Z647" s="453" t="s">
        <v>150</v>
      </c>
      <c r="AC647" s="453" t="s">
        <v>1614</v>
      </c>
    </row>
    <row r="648" spans="1:29">
      <c r="A648" s="453">
        <v>647</v>
      </c>
      <c r="B648" s="453" t="s">
        <v>1616</v>
      </c>
      <c r="C648" s="453" t="s">
        <v>1610</v>
      </c>
      <c r="D648" s="550" t="s">
        <v>1617</v>
      </c>
      <c r="F648" s="453">
        <v>2006</v>
      </c>
      <c r="G648" s="453">
        <v>2020</v>
      </c>
      <c r="H648" s="472">
        <v>100000</v>
      </c>
      <c r="I648" s="453">
        <v>125000</v>
      </c>
      <c r="J648" s="453">
        <v>1</v>
      </c>
      <c r="K648" s="453">
        <v>1</v>
      </c>
      <c r="L648" s="453" t="s">
        <v>154</v>
      </c>
      <c r="M648" s="453">
        <v>1</v>
      </c>
      <c r="N648" s="453" t="s">
        <v>122</v>
      </c>
      <c r="O648" s="453">
        <v>100</v>
      </c>
      <c r="P648" s="453" t="s">
        <v>148</v>
      </c>
      <c r="Q648" s="453" t="s">
        <v>149</v>
      </c>
      <c r="R648" s="453">
        <v>0</v>
      </c>
      <c r="T648" s="453">
        <v>2</v>
      </c>
      <c r="V648" s="453">
        <v>50</v>
      </c>
      <c r="W648" s="453">
        <v>250</v>
      </c>
      <c r="X648" s="453" t="s">
        <v>58</v>
      </c>
      <c r="Z648" s="453" t="s">
        <v>150</v>
      </c>
      <c r="AC648" s="453" t="s">
        <v>1616</v>
      </c>
    </row>
    <row r="649" spans="1:29">
      <c r="A649" s="453">
        <v>648</v>
      </c>
      <c r="B649" s="453" t="s">
        <v>1618</v>
      </c>
      <c r="C649" s="453" t="s">
        <v>1610</v>
      </c>
      <c r="D649" s="550" t="s">
        <v>1619</v>
      </c>
      <c r="F649" s="453">
        <v>2007</v>
      </c>
      <c r="G649" s="453">
        <v>2020</v>
      </c>
      <c r="H649" s="472">
        <v>100000</v>
      </c>
      <c r="I649" s="453">
        <v>150000</v>
      </c>
      <c r="J649" s="453">
        <v>1</v>
      </c>
      <c r="K649" s="453">
        <v>1</v>
      </c>
      <c r="L649" s="453" t="s">
        <v>154</v>
      </c>
      <c r="M649" s="453">
        <v>1</v>
      </c>
      <c r="N649" s="453" t="s">
        <v>122</v>
      </c>
      <c r="O649" s="453">
        <v>100</v>
      </c>
      <c r="P649" s="453" t="s">
        <v>148</v>
      </c>
      <c r="Q649" s="453" t="s">
        <v>149</v>
      </c>
      <c r="R649" s="453">
        <v>0</v>
      </c>
      <c r="T649" s="453">
        <v>2</v>
      </c>
      <c r="V649" s="453">
        <v>50</v>
      </c>
      <c r="W649" s="453">
        <v>250</v>
      </c>
      <c r="X649" s="453" t="s">
        <v>58</v>
      </c>
      <c r="Z649" s="453" t="s">
        <v>150</v>
      </c>
      <c r="AB649" s="453" t="s">
        <v>1620</v>
      </c>
      <c r="AC649" s="453" t="s">
        <v>1618</v>
      </c>
    </row>
    <row r="650" spans="1:29">
      <c r="A650" s="453">
        <v>649</v>
      </c>
      <c r="B650" s="453" t="s">
        <v>1621</v>
      </c>
      <c r="C650" s="453" t="s">
        <v>1622</v>
      </c>
      <c r="D650" s="550" t="s">
        <v>1623</v>
      </c>
      <c r="F650" s="453">
        <v>1928</v>
      </c>
      <c r="G650" s="453">
        <v>1937</v>
      </c>
      <c r="H650" s="472">
        <v>4500</v>
      </c>
      <c r="I650" s="453">
        <v>51000</v>
      </c>
      <c r="J650" s="453">
        <v>1</v>
      </c>
      <c r="K650" s="453">
        <v>1</v>
      </c>
      <c r="L650" s="453" t="s">
        <v>147</v>
      </c>
      <c r="M650" s="453">
        <v>1</v>
      </c>
      <c r="N650" s="453" t="s">
        <v>122</v>
      </c>
      <c r="O650" s="453">
        <v>35</v>
      </c>
      <c r="P650" s="453" t="s">
        <v>123</v>
      </c>
      <c r="Q650" s="453" t="s">
        <v>149</v>
      </c>
      <c r="R650" s="453">
        <v>0</v>
      </c>
      <c r="T650" s="453">
        <v>7</v>
      </c>
      <c r="V650" s="453">
        <v>100</v>
      </c>
      <c r="W650" s="453">
        <v>500</v>
      </c>
      <c r="X650" s="453" t="s">
        <v>58</v>
      </c>
      <c r="Z650" s="453" t="s">
        <v>150</v>
      </c>
      <c r="AA650" s="453">
        <v>1183</v>
      </c>
      <c r="AC650" s="453" t="s">
        <v>1621</v>
      </c>
    </row>
    <row r="651" spans="1:29">
      <c r="A651" s="453">
        <v>650</v>
      </c>
      <c r="B651" s="453" t="s">
        <v>1624</v>
      </c>
      <c r="C651" s="453" t="s">
        <v>1625</v>
      </c>
      <c r="D651" s="550" t="s">
        <v>1626</v>
      </c>
      <c r="F651" s="453">
        <v>1945</v>
      </c>
      <c r="G651" s="453">
        <v>1960</v>
      </c>
      <c r="H651" s="472">
        <v>19500</v>
      </c>
      <c r="I651" s="453">
        <v>41000</v>
      </c>
      <c r="J651" s="453">
        <v>1</v>
      </c>
      <c r="K651" s="453">
        <v>3</v>
      </c>
      <c r="L651" s="453" t="s">
        <v>147</v>
      </c>
      <c r="M651" s="453">
        <v>1</v>
      </c>
      <c r="N651" s="453" t="s">
        <v>122</v>
      </c>
      <c r="O651" s="453">
        <v>145</v>
      </c>
      <c r="P651" s="453" t="s">
        <v>123</v>
      </c>
      <c r="Q651" s="453" t="s">
        <v>149</v>
      </c>
      <c r="R651" s="453">
        <v>0</v>
      </c>
      <c r="T651" s="453">
        <v>7</v>
      </c>
      <c r="V651" s="453">
        <v>100</v>
      </c>
      <c r="W651" s="453">
        <v>500</v>
      </c>
      <c r="X651" s="453" t="s">
        <v>58</v>
      </c>
      <c r="Z651" s="453" t="s">
        <v>150</v>
      </c>
      <c r="AA651" s="453">
        <v>1184</v>
      </c>
      <c r="AC651" s="453" t="s">
        <v>1624</v>
      </c>
    </row>
    <row r="652" spans="1:29">
      <c r="A652" s="453">
        <v>651</v>
      </c>
      <c r="B652" s="453" t="s">
        <v>1627</v>
      </c>
      <c r="C652" s="453" t="s">
        <v>1625</v>
      </c>
      <c r="D652" s="550" t="s">
        <v>1628</v>
      </c>
      <c r="F652" s="453">
        <v>1937</v>
      </c>
      <c r="G652" s="453">
        <v>1959</v>
      </c>
      <c r="H652" s="472">
        <v>7000</v>
      </c>
      <c r="I652" s="453">
        <v>31000</v>
      </c>
      <c r="J652" s="453">
        <v>1</v>
      </c>
      <c r="K652" s="453">
        <v>1</v>
      </c>
      <c r="L652" s="453" t="s">
        <v>147</v>
      </c>
      <c r="M652" s="453">
        <v>1</v>
      </c>
      <c r="N652" s="453" t="s">
        <v>122</v>
      </c>
      <c r="O652" s="453">
        <v>85</v>
      </c>
      <c r="P652" s="453" t="s">
        <v>123</v>
      </c>
      <c r="Q652" s="453" t="s">
        <v>149</v>
      </c>
      <c r="R652" s="453">
        <v>0</v>
      </c>
      <c r="T652" s="453">
        <v>7</v>
      </c>
      <c r="V652" s="453">
        <v>100</v>
      </c>
      <c r="W652" s="453">
        <v>500</v>
      </c>
      <c r="X652" s="453" t="s">
        <v>58</v>
      </c>
      <c r="Z652" s="453" t="s">
        <v>150</v>
      </c>
      <c r="AA652" s="453">
        <v>1185</v>
      </c>
      <c r="AC652" s="453" t="s">
        <v>1627</v>
      </c>
    </row>
    <row r="653" spans="1:29">
      <c r="A653" s="453">
        <v>652</v>
      </c>
      <c r="B653" s="453" t="s">
        <v>1629</v>
      </c>
      <c r="C653" s="453" t="s">
        <v>1625</v>
      </c>
      <c r="D653" s="550" t="s">
        <v>1630</v>
      </c>
      <c r="F653" s="453">
        <v>1991</v>
      </c>
      <c r="G653" s="453">
        <v>2003</v>
      </c>
      <c r="H653" s="472">
        <v>34500</v>
      </c>
      <c r="I653" s="453">
        <v>76000</v>
      </c>
      <c r="J653" s="453">
        <v>1</v>
      </c>
      <c r="K653" s="453">
        <v>1</v>
      </c>
      <c r="L653" s="453" t="s">
        <v>147</v>
      </c>
      <c r="M653" s="453">
        <v>1</v>
      </c>
      <c r="N653" s="453" t="s">
        <v>122</v>
      </c>
      <c r="O653" s="453">
        <v>118</v>
      </c>
      <c r="P653" s="453" t="s">
        <v>123</v>
      </c>
      <c r="Q653" s="453" t="s">
        <v>149</v>
      </c>
      <c r="R653" s="453">
        <v>0</v>
      </c>
      <c r="T653" s="453">
        <v>7</v>
      </c>
      <c r="V653" s="453">
        <v>100</v>
      </c>
      <c r="W653" s="453">
        <v>500</v>
      </c>
      <c r="X653" s="453" t="s">
        <v>58</v>
      </c>
      <c r="Z653" s="453" t="s">
        <v>150</v>
      </c>
      <c r="AA653" s="453">
        <v>1189</v>
      </c>
      <c r="AC653" s="453" t="s">
        <v>1629</v>
      </c>
    </row>
    <row r="654" spans="1:29">
      <c r="A654" s="453">
        <v>653</v>
      </c>
      <c r="B654" s="453" t="s">
        <v>1631</v>
      </c>
      <c r="C654" s="453" t="s">
        <v>1625</v>
      </c>
      <c r="D654" s="550" t="s">
        <v>1632</v>
      </c>
      <c r="F654" s="453">
        <v>1990</v>
      </c>
      <c r="G654" s="453">
        <v>2003</v>
      </c>
      <c r="H654" s="472">
        <v>49500</v>
      </c>
      <c r="I654" s="453">
        <v>126000</v>
      </c>
      <c r="J654" s="453">
        <v>1</v>
      </c>
      <c r="K654" s="453">
        <v>1</v>
      </c>
      <c r="L654" s="453" t="s">
        <v>147</v>
      </c>
      <c r="M654" s="453">
        <v>1</v>
      </c>
      <c r="N654" s="453" t="s">
        <v>122</v>
      </c>
      <c r="O654" s="453">
        <v>150</v>
      </c>
      <c r="P654" s="453" t="s">
        <v>148</v>
      </c>
      <c r="Q654" s="453" t="s">
        <v>149</v>
      </c>
      <c r="R654" s="453">
        <v>0</v>
      </c>
      <c r="T654" s="453">
        <v>4</v>
      </c>
      <c r="V654" s="453">
        <v>50</v>
      </c>
      <c r="W654" s="453">
        <v>250</v>
      </c>
      <c r="X654" s="453" t="s">
        <v>58</v>
      </c>
      <c r="Z654" s="453" t="s">
        <v>150</v>
      </c>
      <c r="AA654" s="453">
        <v>1188</v>
      </c>
      <c r="AC654" s="453" t="s">
        <v>1631</v>
      </c>
    </row>
    <row r="655" spans="1:29">
      <c r="A655" s="453">
        <v>654</v>
      </c>
      <c r="B655" s="453" t="s">
        <v>1633</v>
      </c>
      <c r="C655" s="453" t="s">
        <v>1625</v>
      </c>
      <c r="D655" s="550" t="s">
        <v>1634</v>
      </c>
      <c r="F655" s="453">
        <v>2005</v>
      </c>
      <c r="G655" s="453">
        <v>2016</v>
      </c>
      <c r="H655" s="472">
        <v>49500</v>
      </c>
      <c r="I655" s="453">
        <v>150000</v>
      </c>
      <c r="J655" s="453">
        <v>1</v>
      </c>
      <c r="K655" s="453">
        <v>1</v>
      </c>
      <c r="L655" s="453" t="s">
        <v>154</v>
      </c>
      <c r="M655" s="453">
        <v>1</v>
      </c>
      <c r="N655" s="453" t="s">
        <v>122</v>
      </c>
      <c r="O655" s="453">
        <v>100</v>
      </c>
      <c r="P655" s="453" t="s">
        <v>123</v>
      </c>
      <c r="Q655" s="453" t="s">
        <v>149</v>
      </c>
      <c r="R655" s="453">
        <v>0</v>
      </c>
      <c r="T655" s="453">
        <v>3</v>
      </c>
      <c r="V655" s="453">
        <v>100</v>
      </c>
      <c r="W655" s="453">
        <v>500</v>
      </c>
      <c r="X655" s="453" t="s">
        <v>58</v>
      </c>
      <c r="Z655" s="453" t="s">
        <v>150</v>
      </c>
      <c r="AA655" s="453">
        <v>1190</v>
      </c>
      <c r="AC655" s="453" t="s">
        <v>1633</v>
      </c>
    </row>
    <row r="656" spans="1:29">
      <c r="A656" s="453">
        <v>655</v>
      </c>
      <c r="B656" s="453" t="s">
        <v>1635</v>
      </c>
      <c r="C656" s="453" t="s">
        <v>1625</v>
      </c>
      <c r="D656" s="550" t="s">
        <v>1636</v>
      </c>
      <c r="F656" s="453">
        <v>2000</v>
      </c>
      <c r="G656" s="453">
        <v>2005</v>
      </c>
      <c r="H656" s="472">
        <v>74500</v>
      </c>
      <c r="I656" s="453">
        <v>101000</v>
      </c>
      <c r="J656" s="453">
        <v>1</v>
      </c>
      <c r="K656" s="453">
        <v>1</v>
      </c>
      <c r="L656" s="453" t="s">
        <v>147</v>
      </c>
      <c r="M656" s="453">
        <v>1</v>
      </c>
      <c r="N656" s="453" t="s">
        <v>122</v>
      </c>
      <c r="O656" s="453">
        <v>125</v>
      </c>
      <c r="P656" s="453" t="s">
        <v>123</v>
      </c>
      <c r="Q656" s="453" t="s">
        <v>149</v>
      </c>
      <c r="R656" s="453">
        <v>0</v>
      </c>
      <c r="T656" s="453">
        <v>7</v>
      </c>
      <c r="V656" s="453">
        <v>100</v>
      </c>
      <c r="W656" s="453">
        <v>500</v>
      </c>
      <c r="X656" s="453" t="s">
        <v>58</v>
      </c>
      <c r="Z656" s="453" t="s">
        <v>150</v>
      </c>
      <c r="AA656" s="453">
        <v>1191</v>
      </c>
      <c r="AC656" s="453" t="s">
        <v>1635</v>
      </c>
    </row>
    <row r="657" spans="1:29">
      <c r="A657" s="453">
        <v>656</v>
      </c>
      <c r="B657" s="453" t="s">
        <v>1637</v>
      </c>
      <c r="C657" s="453" t="s">
        <v>1638</v>
      </c>
      <c r="D657" s="550" t="s">
        <v>1639</v>
      </c>
      <c r="F657" s="453">
        <v>2013</v>
      </c>
      <c r="G657" s="453">
        <v>2025</v>
      </c>
      <c r="H657" s="472">
        <v>95000</v>
      </c>
      <c r="I657" s="453">
        <v>225000</v>
      </c>
      <c r="J657" s="453">
        <v>1</v>
      </c>
      <c r="K657" s="453">
        <v>1</v>
      </c>
      <c r="L657" s="453" t="s">
        <v>154</v>
      </c>
      <c r="M657" s="453">
        <v>1</v>
      </c>
      <c r="N657" s="453" t="s">
        <v>122</v>
      </c>
      <c r="O657" s="453">
        <v>1115</v>
      </c>
      <c r="P657" s="453" t="s">
        <v>148</v>
      </c>
      <c r="Q657" s="453" t="s">
        <v>149</v>
      </c>
      <c r="R657" s="453">
        <v>0</v>
      </c>
      <c r="T657" s="453">
        <v>2</v>
      </c>
      <c r="V657" s="453">
        <v>100</v>
      </c>
      <c r="W657" s="453">
        <v>500</v>
      </c>
      <c r="X657" s="453" t="s">
        <v>58</v>
      </c>
      <c r="Z657" s="453" t="s">
        <v>150</v>
      </c>
      <c r="AC657" s="453" t="s">
        <v>1637</v>
      </c>
    </row>
    <row r="658" spans="1:29">
      <c r="A658" s="453">
        <v>657</v>
      </c>
      <c r="B658" s="453" t="s">
        <v>1640</v>
      </c>
      <c r="C658" s="453" t="s">
        <v>1638</v>
      </c>
      <c r="D658" s="550" t="s">
        <v>1641</v>
      </c>
      <c r="F658" s="453">
        <v>2002</v>
      </c>
      <c r="G658" s="453">
        <v>2016</v>
      </c>
      <c r="H658" s="472">
        <v>65000</v>
      </c>
      <c r="I658" s="453">
        <v>150000</v>
      </c>
      <c r="J658" s="453">
        <v>1</v>
      </c>
      <c r="K658" s="453">
        <v>1</v>
      </c>
      <c r="L658" s="453" t="s">
        <v>154</v>
      </c>
      <c r="M658" s="453">
        <v>1</v>
      </c>
      <c r="N658" s="453" t="s">
        <v>122</v>
      </c>
      <c r="O658" s="453">
        <v>100</v>
      </c>
      <c r="P658" s="453" t="s">
        <v>148</v>
      </c>
      <c r="Q658" s="453" t="s">
        <v>149</v>
      </c>
      <c r="R658" s="453">
        <v>0</v>
      </c>
      <c r="T658" s="453">
        <v>2</v>
      </c>
      <c r="V658" s="453">
        <v>50</v>
      </c>
      <c r="W658" s="453">
        <v>250</v>
      </c>
      <c r="X658" s="453" t="s">
        <v>58</v>
      </c>
      <c r="Z658" s="453" t="s">
        <v>150</v>
      </c>
      <c r="AA658" s="453">
        <v>1195</v>
      </c>
      <c r="AC658" s="453" t="s">
        <v>1640</v>
      </c>
    </row>
    <row r="659" spans="1:29">
      <c r="A659" s="453">
        <v>658</v>
      </c>
      <c r="B659" s="453" t="s">
        <v>1642</v>
      </c>
      <c r="C659" s="453" t="s">
        <v>1638</v>
      </c>
      <c r="D659" s="550" t="s">
        <v>1643</v>
      </c>
      <c r="F659" s="453">
        <v>2002</v>
      </c>
      <c r="G659" s="453">
        <v>2020</v>
      </c>
      <c r="H659" s="472">
        <v>65000</v>
      </c>
      <c r="I659" s="453">
        <v>150000</v>
      </c>
      <c r="J659" s="453">
        <v>1</v>
      </c>
      <c r="K659" s="453">
        <v>1</v>
      </c>
      <c r="L659" s="453" t="s">
        <v>154</v>
      </c>
      <c r="M659" s="453">
        <v>1</v>
      </c>
      <c r="N659" s="453" t="s">
        <v>122</v>
      </c>
      <c r="O659" s="453">
        <v>100</v>
      </c>
      <c r="P659" s="453" t="s">
        <v>148</v>
      </c>
      <c r="Q659" s="453" t="s">
        <v>149</v>
      </c>
      <c r="R659" s="453">
        <v>0</v>
      </c>
      <c r="T659" s="453">
        <v>2</v>
      </c>
      <c r="V659" s="453">
        <v>50</v>
      </c>
      <c r="W659" s="453">
        <v>250</v>
      </c>
      <c r="X659" s="453" t="s">
        <v>58</v>
      </c>
      <c r="Z659" s="453" t="s">
        <v>150</v>
      </c>
      <c r="AA659" s="453">
        <v>1196</v>
      </c>
      <c r="AC659" s="453" t="s">
        <v>1642</v>
      </c>
    </row>
    <row r="660" spans="1:29">
      <c r="A660" s="453">
        <v>659</v>
      </c>
      <c r="B660" s="611" t="s">
        <v>1644</v>
      </c>
      <c r="C660" s="453" t="s">
        <v>1638</v>
      </c>
      <c r="D660" s="612" t="s">
        <v>1645</v>
      </c>
      <c r="F660" s="453">
        <v>2023</v>
      </c>
      <c r="G660" s="453">
        <v>2025</v>
      </c>
      <c r="H660" s="472">
        <v>300000</v>
      </c>
      <c r="I660" s="453">
        <v>400000</v>
      </c>
      <c r="J660" s="453">
        <v>1</v>
      </c>
      <c r="K660" s="453">
        <v>1</v>
      </c>
      <c r="L660" s="453" t="s">
        <v>154</v>
      </c>
      <c r="M660" s="453">
        <v>1</v>
      </c>
      <c r="N660" s="453" t="s">
        <v>122</v>
      </c>
      <c r="O660" s="453">
        <v>100</v>
      </c>
      <c r="P660" s="453" t="s">
        <v>148</v>
      </c>
      <c r="Q660" s="453" t="s">
        <v>149</v>
      </c>
      <c r="R660" s="453">
        <v>0.1</v>
      </c>
      <c r="S660" s="453">
        <v>0.1</v>
      </c>
      <c r="T660" s="453">
        <v>2</v>
      </c>
      <c r="V660" s="453">
        <v>50</v>
      </c>
      <c r="W660" s="453">
        <v>250</v>
      </c>
      <c r="X660" s="453" t="s">
        <v>58</v>
      </c>
      <c r="Z660" s="453" t="s">
        <v>150</v>
      </c>
      <c r="AA660" s="453">
        <v>1196</v>
      </c>
      <c r="AC660" s="611" t="s">
        <v>1646</v>
      </c>
    </row>
    <row r="661" spans="1:29">
      <c r="A661" s="453">
        <v>660</v>
      </c>
      <c r="B661" s="453" t="s">
        <v>1647</v>
      </c>
      <c r="C661" s="453" t="s">
        <v>1638</v>
      </c>
      <c r="D661" s="550" t="s">
        <v>1648</v>
      </c>
      <c r="F661" s="453">
        <v>2005</v>
      </c>
      <c r="G661" s="453">
        <v>2020</v>
      </c>
      <c r="H661" s="472">
        <v>80000</v>
      </c>
      <c r="I661" s="453">
        <v>150000</v>
      </c>
      <c r="J661" s="453">
        <v>1</v>
      </c>
      <c r="K661" s="453">
        <v>1</v>
      </c>
      <c r="L661" s="453" t="s">
        <v>154</v>
      </c>
      <c r="M661" s="453">
        <v>1</v>
      </c>
      <c r="N661" s="453" t="s">
        <v>122</v>
      </c>
      <c r="O661" s="453">
        <v>100</v>
      </c>
      <c r="P661" s="453" t="s">
        <v>148</v>
      </c>
      <c r="Q661" s="453" t="s">
        <v>149</v>
      </c>
      <c r="R661" s="453">
        <v>0</v>
      </c>
      <c r="T661" s="453">
        <v>2</v>
      </c>
      <c r="V661" s="453">
        <v>50</v>
      </c>
      <c r="W661" s="453">
        <v>250</v>
      </c>
      <c r="X661" s="453" t="s">
        <v>58</v>
      </c>
      <c r="Z661" s="453" t="s">
        <v>150</v>
      </c>
      <c r="AC661" s="453" t="s">
        <v>1647</v>
      </c>
    </row>
    <row r="662" spans="1:29">
      <c r="A662" s="453">
        <v>661</v>
      </c>
      <c r="B662" s="453" t="s">
        <v>1649</v>
      </c>
      <c r="C662" s="453" t="s">
        <v>1638</v>
      </c>
      <c r="D662" s="550" t="s">
        <v>1650</v>
      </c>
      <c r="F662" s="453">
        <v>2009</v>
      </c>
      <c r="G662" s="453">
        <v>2020</v>
      </c>
      <c r="H662" s="472">
        <v>300000</v>
      </c>
      <c r="I662" s="453">
        <v>500000</v>
      </c>
      <c r="J662" s="453">
        <v>1</v>
      </c>
      <c r="K662" s="453">
        <v>3</v>
      </c>
      <c r="L662" s="453" t="s">
        <v>147</v>
      </c>
      <c r="M662" s="453">
        <v>2</v>
      </c>
      <c r="N662" s="453" t="s">
        <v>122</v>
      </c>
      <c r="O662" s="453">
        <v>100</v>
      </c>
      <c r="P662" s="453" t="s">
        <v>132</v>
      </c>
      <c r="Q662" s="453" t="s">
        <v>149</v>
      </c>
      <c r="R662" s="453">
        <v>0</v>
      </c>
      <c r="T662" s="453">
        <v>14</v>
      </c>
      <c r="V662" s="453">
        <v>100</v>
      </c>
      <c r="W662" s="453">
        <v>500</v>
      </c>
      <c r="X662" s="453" t="s">
        <v>125</v>
      </c>
      <c r="Y662" s="453" t="s">
        <v>229</v>
      </c>
      <c r="Z662" s="453" t="s">
        <v>150</v>
      </c>
      <c r="AA662" s="453">
        <v>1350</v>
      </c>
      <c r="AC662" s="453" t="s">
        <v>1649</v>
      </c>
    </row>
    <row r="663" spans="1:29">
      <c r="A663" s="453">
        <v>662</v>
      </c>
      <c r="B663" s="453" t="s">
        <v>1651</v>
      </c>
      <c r="C663" s="453" t="s">
        <v>1638</v>
      </c>
      <c r="D663" s="550" t="s">
        <v>1652</v>
      </c>
      <c r="F663" s="453">
        <v>2009</v>
      </c>
      <c r="G663" s="453">
        <v>2020</v>
      </c>
      <c r="H663" s="472">
        <v>116000</v>
      </c>
      <c r="I663" s="453">
        <v>175000</v>
      </c>
      <c r="J663" s="453">
        <v>1</v>
      </c>
      <c r="K663" s="453">
        <v>1</v>
      </c>
      <c r="L663" s="453" t="s">
        <v>154</v>
      </c>
      <c r="M663" s="453">
        <v>1</v>
      </c>
      <c r="N663" s="453" t="s">
        <v>122</v>
      </c>
      <c r="O663" s="453">
        <v>100</v>
      </c>
      <c r="P663" s="453" t="s">
        <v>148</v>
      </c>
      <c r="Q663" s="453" t="s">
        <v>149</v>
      </c>
      <c r="R663" s="453">
        <v>0</v>
      </c>
      <c r="T663" s="453">
        <v>2</v>
      </c>
      <c r="V663" s="453">
        <v>50</v>
      </c>
      <c r="W663" s="453">
        <v>250</v>
      </c>
      <c r="X663" s="453" t="s">
        <v>58</v>
      </c>
      <c r="Z663" s="453" t="s">
        <v>150</v>
      </c>
      <c r="AA663" s="453">
        <v>1351</v>
      </c>
      <c r="AC663" s="453" t="s">
        <v>1651</v>
      </c>
    </row>
    <row r="664" spans="1:29">
      <c r="A664" s="453">
        <v>663</v>
      </c>
      <c r="B664" s="453" t="s">
        <v>1653</v>
      </c>
      <c r="C664" s="453" t="s">
        <v>1638</v>
      </c>
      <c r="D664" s="550" t="s">
        <v>1654</v>
      </c>
      <c r="F664" s="453">
        <v>2014</v>
      </c>
      <c r="G664" s="453">
        <v>2025</v>
      </c>
      <c r="H664" s="472">
        <v>250000</v>
      </c>
      <c r="I664" s="453">
        <v>450000</v>
      </c>
      <c r="J664" s="453">
        <v>1</v>
      </c>
      <c r="K664" s="453">
        <v>3</v>
      </c>
      <c r="L664" s="453" t="s">
        <v>147</v>
      </c>
      <c r="M664" s="453">
        <v>1</v>
      </c>
      <c r="N664" s="453" t="s">
        <v>122</v>
      </c>
      <c r="O664" s="453">
        <v>180</v>
      </c>
      <c r="P664" s="453" t="s">
        <v>148</v>
      </c>
      <c r="Q664" s="453" t="s">
        <v>149</v>
      </c>
      <c r="R664" s="453">
        <v>0</v>
      </c>
      <c r="T664" s="453">
        <v>5</v>
      </c>
      <c r="V664" s="453">
        <v>100</v>
      </c>
      <c r="W664" s="453">
        <v>500</v>
      </c>
      <c r="X664" s="453" t="s">
        <v>58</v>
      </c>
      <c r="Z664" s="453" t="s">
        <v>150</v>
      </c>
      <c r="AC664" s="453" t="s">
        <v>1653</v>
      </c>
    </row>
    <row r="665" spans="1:29">
      <c r="A665" s="453">
        <v>664</v>
      </c>
      <c r="B665" s="453" t="s">
        <v>1655</v>
      </c>
      <c r="C665" s="453" t="s">
        <v>1638</v>
      </c>
      <c r="D665" s="550" t="s">
        <v>1656</v>
      </c>
      <c r="F665" s="453">
        <v>2014</v>
      </c>
      <c r="G665" s="453">
        <v>2025</v>
      </c>
      <c r="H665" s="472">
        <v>250000</v>
      </c>
      <c r="I665" s="453">
        <v>450000</v>
      </c>
      <c r="J665" s="453">
        <v>1</v>
      </c>
      <c r="K665" s="453">
        <v>3</v>
      </c>
      <c r="L665" s="453" t="s">
        <v>147</v>
      </c>
      <c r="M665" s="453">
        <v>1</v>
      </c>
      <c r="N665" s="453" t="s">
        <v>122</v>
      </c>
      <c r="O665" s="453">
        <v>215</v>
      </c>
      <c r="P665" s="453" t="s">
        <v>148</v>
      </c>
      <c r="Q665" s="453" t="s">
        <v>149</v>
      </c>
      <c r="R665" s="453">
        <v>0</v>
      </c>
      <c r="T665" s="453">
        <v>5</v>
      </c>
      <c r="V665" s="453">
        <v>100</v>
      </c>
      <c r="W665" s="453">
        <v>500</v>
      </c>
      <c r="X665" s="453" t="s">
        <v>58</v>
      </c>
      <c r="Z665" s="453" t="s">
        <v>150</v>
      </c>
      <c r="AC665" s="453" t="s">
        <v>1655</v>
      </c>
    </row>
    <row r="666" spans="1:29">
      <c r="A666" s="453">
        <v>665</v>
      </c>
      <c r="B666" s="453" t="s">
        <v>1657</v>
      </c>
      <c r="C666" s="453" t="s">
        <v>1638</v>
      </c>
      <c r="D666" s="550" t="s">
        <v>1658</v>
      </c>
      <c r="F666" s="453">
        <v>2005</v>
      </c>
      <c r="G666" s="453">
        <v>2020</v>
      </c>
      <c r="H666" s="472">
        <v>65000</v>
      </c>
      <c r="I666" s="453">
        <v>100000</v>
      </c>
      <c r="J666" s="453">
        <v>1</v>
      </c>
      <c r="K666" s="453">
        <v>1</v>
      </c>
      <c r="L666" s="453" t="s">
        <v>154</v>
      </c>
      <c r="M666" s="453">
        <v>1</v>
      </c>
      <c r="N666" s="453" t="s">
        <v>122</v>
      </c>
      <c r="O666" s="453">
        <v>100</v>
      </c>
      <c r="P666" s="453" t="s">
        <v>148</v>
      </c>
      <c r="Q666" s="453" t="s">
        <v>149</v>
      </c>
      <c r="R666" s="453">
        <v>0</v>
      </c>
      <c r="T666" s="453">
        <v>2</v>
      </c>
      <c r="V666" s="453">
        <v>50</v>
      </c>
      <c r="W666" s="453">
        <v>250</v>
      </c>
      <c r="X666" s="453" t="s">
        <v>58</v>
      </c>
      <c r="Z666" s="453" t="s">
        <v>150</v>
      </c>
      <c r="AA666" s="453">
        <v>1197</v>
      </c>
      <c r="AC666" s="453" t="s">
        <v>1657</v>
      </c>
    </row>
    <row r="667" spans="1:29">
      <c r="A667" s="453">
        <v>666</v>
      </c>
      <c r="B667" s="453" t="s">
        <v>1659</v>
      </c>
      <c r="C667" s="453" t="s">
        <v>1638</v>
      </c>
      <c r="D667" s="550" t="s">
        <v>1660</v>
      </c>
      <c r="F667" s="453">
        <v>2008</v>
      </c>
      <c r="G667" s="453">
        <v>2020</v>
      </c>
      <c r="H667" s="472">
        <v>75000</v>
      </c>
      <c r="I667" s="453">
        <v>150000</v>
      </c>
      <c r="J667" s="453">
        <v>1</v>
      </c>
      <c r="K667" s="453">
        <v>1</v>
      </c>
      <c r="L667" s="453" t="s">
        <v>154</v>
      </c>
      <c r="M667" s="453">
        <v>1</v>
      </c>
      <c r="N667" s="453" t="s">
        <v>122</v>
      </c>
      <c r="O667" s="453">
        <v>100</v>
      </c>
      <c r="P667" s="453" t="s">
        <v>148</v>
      </c>
      <c r="Q667" s="453" t="s">
        <v>149</v>
      </c>
      <c r="R667" s="453">
        <v>0</v>
      </c>
      <c r="T667" s="453">
        <v>2</v>
      </c>
      <c r="V667" s="453">
        <v>50</v>
      </c>
      <c r="W667" s="453">
        <v>250</v>
      </c>
      <c r="X667" s="453" t="s">
        <v>58</v>
      </c>
      <c r="Z667" s="453" t="s">
        <v>150</v>
      </c>
      <c r="AA667" s="453">
        <v>1352</v>
      </c>
      <c r="AC667" s="453" t="s">
        <v>1659</v>
      </c>
    </row>
    <row r="668" spans="1:29">
      <c r="A668" s="453">
        <v>667</v>
      </c>
      <c r="B668" s="453" t="s">
        <v>1661</v>
      </c>
      <c r="C668" s="453" t="s">
        <v>1638</v>
      </c>
      <c r="D668" s="550" t="s">
        <v>1662</v>
      </c>
      <c r="F668" s="453">
        <v>2000</v>
      </c>
      <c r="G668" s="453">
        <v>2020</v>
      </c>
      <c r="H668" s="472">
        <v>69500</v>
      </c>
      <c r="I668" s="453">
        <v>150000</v>
      </c>
      <c r="J668" s="453">
        <v>1</v>
      </c>
      <c r="K668" s="453">
        <v>1</v>
      </c>
      <c r="L668" s="453" t="s">
        <v>154</v>
      </c>
      <c r="M668" s="453">
        <v>1</v>
      </c>
      <c r="N668" s="453" t="s">
        <v>122</v>
      </c>
      <c r="O668" s="453">
        <v>100</v>
      </c>
      <c r="P668" s="453" t="s">
        <v>148</v>
      </c>
      <c r="Q668" s="453" t="s">
        <v>149</v>
      </c>
      <c r="R668" s="453">
        <v>0</v>
      </c>
      <c r="T668" s="453">
        <v>2</v>
      </c>
      <c r="V668" s="453">
        <v>50</v>
      </c>
      <c r="W668" s="453">
        <v>250</v>
      </c>
      <c r="X668" s="453" t="s">
        <v>58</v>
      </c>
      <c r="Z668" s="453" t="s">
        <v>150</v>
      </c>
      <c r="AA668" s="453">
        <v>1199</v>
      </c>
      <c r="AC668" s="453" t="s">
        <v>1661</v>
      </c>
    </row>
    <row r="669" spans="1:29">
      <c r="A669" s="453">
        <v>668</v>
      </c>
      <c r="B669" s="453" t="s">
        <v>1663</v>
      </c>
      <c r="C669" s="453" t="s">
        <v>1664</v>
      </c>
      <c r="D669" s="550" t="s">
        <v>1665</v>
      </c>
      <c r="F669" s="453">
        <v>1945</v>
      </c>
      <c r="G669" s="453">
        <v>1955</v>
      </c>
      <c r="H669" s="472">
        <v>44500</v>
      </c>
      <c r="I669" s="453">
        <v>76000</v>
      </c>
      <c r="J669" s="453">
        <v>1</v>
      </c>
      <c r="K669" s="453">
        <v>3</v>
      </c>
      <c r="L669" s="453" t="s">
        <v>147</v>
      </c>
      <c r="M669" s="453">
        <v>1</v>
      </c>
      <c r="N669" s="453" t="s">
        <v>122</v>
      </c>
      <c r="O669" s="453">
        <v>205</v>
      </c>
      <c r="P669" s="453" t="s">
        <v>123</v>
      </c>
      <c r="Q669" s="453" t="s">
        <v>124</v>
      </c>
      <c r="R669" s="453">
        <v>0</v>
      </c>
      <c r="T669" s="453">
        <v>8</v>
      </c>
      <c r="V669" s="453">
        <v>100</v>
      </c>
      <c r="W669" s="453">
        <v>500</v>
      </c>
      <c r="X669" s="453" t="s">
        <v>125</v>
      </c>
      <c r="Z669" s="453" t="s">
        <v>150</v>
      </c>
      <c r="AA669" s="453">
        <v>1204</v>
      </c>
      <c r="AC669" s="453" t="s">
        <v>1663</v>
      </c>
    </row>
    <row r="670" spans="1:29">
      <c r="A670" s="453">
        <v>669</v>
      </c>
      <c r="B670" s="453" t="s">
        <v>1666</v>
      </c>
      <c r="C670" s="453" t="s">
        <v>1667</v>
      </c>
      <c r="D670" s="550" t="s">
        <v>1668</v>
      </c>
      <c r="F670" s="453">
        <v>1960</v>
      </c>
      <c r="G670" s="453">
        <v>2010</v>
      </c>
      <c r="H670" s="472">
        <v>24500</v>
      </c>
      <c r="I670" s="453">
        <v>100000</v>
      </c>
      <c r="J670" s="453">
        <v>1</v>
      </c>
      <c r="K670" s="453">
        <v>1</v>
      </c>
      <c r="L670" s="453" t="s">
        <v>147</v>
      </c>
      <c r="M670" s="453">
        <v>1</v>
      </c>
      <c r="N670" s="453" t="s">
        <v>122</v>
      </c>
      <c r="O670" s="453">
        <v>100</v>
      </c>
      <c r="P670" s="453" t="s">
        <v>148</v>
      </c>
      <c r="Q670" s="453" t="s">
        <v>149</v>
      </c>
      <c r="R670" s="453">
        <v>0</v>
      </c>
      <c r="T670" s="453">
        <v>2</v>
      </c>
      <c r="V670" s="453">
        <v>50</v>
      </c>
      <c r="W670" s="453">
        <v>250</v>
      </c>
      <c r="X670" s="453" t="s">
        <v>58</v>
      </c>
      <c r="Z670" s="453" t="s">
        <v>150</v>
      </c>
      <c r="AA670" s="453">
        <v>1208</v>
      </c>
      <c r="AC670" s="453" t="s">
        <v>1666</v>
      </c>
    </row>
    <row r="671" spans="1:29">
      <c r="A671" s="453">
        <v>670</v>
      </c>
      <c r="B671" s="453" t="s">
        <v>1669</v>
      </c>
      <c r="C671" s="453" t="s">
        <v>1670</v>
      </c>
      <c r="D671" s="550" t="s">
        <v>1671</v>
      </c>
      <c r="F671" s="453">
        <v>1969</v>
      </c>
      <c r="G671" s="453">
        <v>1979</v>
      </c>
      <c r="H671" s="472">
        <v>45000</v>
      </c>
      <c r="I671" s="453">
        <v>90000</v>
      </c>
      <c r="J671" s="453">
        <v>1</v>
      </c>
      <c r="K671" s="453">
        <v>1</v>
      </c>
      <c r="L671" s="453" t="s">
        <v>147</v>
      </c>
      <c r="M671" s="453">
        <v>1</v>
      </c>
      <c r="N671" s="453" t="s">
        <v>122</v>
      </c>
      <c r="O671" s="453">
        <v>150</v>
      </c>
      <c r="P671" s="453" t="s">
        <v>150</v>
      </c>
      <c r="Q671" s="453" t="s">
        <v>124</v>
      </c>
      <c r="R671" s="453">
        <v>0.25</v>
      </c>
      <c r="S671" s="453">
        <v>0.25</v>
      </c>
      <c r="T671" s="453">
        <v>1</v>
      </c>
      <c r="V671" s="453">
        <v>250</v>
      </c>
      <c r="W671" s="453">
        <v>0.1</v>
      </c>
      <c r="X671" s="453" t="s">
        <v>125</v>
      </c>
      <c r="Z671" s="453" t="s">
        <v>150</v>
      </c>
      <c r="AB671" s="453" t="s">
        <v>1672</v>
      </c>
      <c r="AC671" s="453" t="s">
        <v>1669</v>
      </c>
    </row>
    <row r="672" spans="1:29">
      <c r="A672" s="453">
        <v>671</v>
      </c>
      <c r="B672" s="453" t="s">
        <v>1673</v>
      </c>
      <c r="C672" s="453" t="s">
        <v>1674</v>
      </c>
      <c r="D672" s="550" t="s">
        <v>1675</v>
      </c>
      <c r="F672" s="453">
        <v>2000</v>
      </c>
      <c r="G672" s="453">
        <v>2009</v>
      </c>
      <c r="H672" s="472">
        <v>174500</v>
      </c>
      <c r="I672" s="453">
        <v>226000</v>
      </c>
      <c r="J672" s="453">
        <v>1</v>
      </c>
      <c r="K672" s="453">
        <v>3</v>
      </c>
      <c r="L672" s="453" t="s">
        <v>147</v>
      </c>
      <c r="M672" s="453">
        <v>1</v>
      </c>
      <c r="N672" s="453" t="s">
        <v>122</v>
      </c>
      <c r="O672" s="453">
        <v>180</v>
      </c>
      <c r="P672" s="453" t="s">
        <v>148</v>
      </c>
      <c r="Q672" s="453" t="s">
        <v>149</v>
      </c>
      <c r="R672" s="453">
        <v>0</v>
      </c>
      <c r="T672" s="453">
        <v>4</v>
      </c>
      <c r="V672" s="453">
        <v>50</v>
      </c>
      <c r="W672" s="453">
        <v>250</v>
      </c>
      <c r="X672" s="453" t="s">
        <v>58</v>
      </c>
      <c r="Z672" s="453" t="s">
        <v>150</v>
      </c>
      <c r="AA672" s="453">
        <v>1209</v>
      </c>
      <c r="AC672" s="453" t="s">
        <v>1673</v>
      </c>
    </row>
    <row r="673" spans="1:29">
      <c r="A673" s="453">
        <v>672</v>
      </c>
      <c r="B673" s="453" t="s">
        <v>1676</v>
      </c>
      <c r="C673" s="453" t="s">
        <v>1674</v>
      </c>
      <c r="D673" s="550" t="s">
        <v>313</v>
      </c>
      <c r="F673" s="453">
        <v>2002</v>
      </c>
      <c r="G673" s="453">
        <v>2005</v>
      </c>
      <c r="H673" s="472">
        <v>73000</v>
      </c>
      <c r="I673" s="453">
        <v>150000</v>
      </c>
      <c r="J673" s="453">
        <v>1</v>
      </c>
      <c r="K673" s="453">
        <v>3</v>
      </c>
      <c r="L673" s="453" t="s">
        <v>147</v>
      </c>
      <c r="M673" s="453">
        <v>1</v>
      </c>
      <c r="N673" s="453" t="s">
        <v>122</v>
      </c>
      <c r="O673" s="453">
        <v>180</v>
      </c>
      <c r="P673" s="453" t="s">
        <v>148</v>
      </c>
      <c r="Q673" s="453" t="s">
        <v>149</v>
      </c>
      <c r="R673" s="453">
        <v>0</v>
      </c>
      <c r="S673" s="453">
        <v>0</v>
      </c>
      <c r="T673" s="453">
        <v>4</v>
      </c>
      <c r="V673" s="453">
        <v>50</v>
      </c>
      <c r="W673" s="453">
        <v>250</v>
      </c>
      <c r="X673" s="453" t="s">
        <v>58</v>
      </c>
      <c r="Z673" s="453" t="s">
        <v>150</v>
      </c>
      <c r="AA673" s="453">
        <v>70</v>
      </c>
      <c r="AC673" s="453" t="s">
        <v>1676</v>
      </c>
    </row>
    <row r="674" spans="1:29">
      <c r="A674" s="453">
        <v>673</v>
      </c>
      <c r="B674" s="453" t="s">
        <v>1677</v>
      </c>
      <c r="C674" s="453" t="s">
        <v>1678</v>
      </c>
      <c r="D674" s="550" t="s">
        <v>1011</v>
      </c>
      <c r="F674" s="453">
        <v>2000</v>
      </c>
      <c r="G674" s="453">
        <v>2016</v>
      </c>
      <c r="H674" s="472">
        <v>80000</v>
      </c>
      <c r="I674" s="453">
        <v>165000</v>
      </c>
      <c r="J674" s="453">
        <v>1</v>
      </c>
      <c r="K674" s="453">
        <v>1</v>
      </c>
      <c r="L674" s="453" t="s">
        <v>154</v>
      </c>
      <c r="M674" s="453">
        <v>1</v>
      </c>
      <c r="N674" s="453" t="s">
        <v>122</v>
      </c>
      <c r="O674" s="453">
        <v>100</v>
      </c>
      <c r="P674" s="453" t="s">
        <v>148</v>
      </c>
      <c r="Q674" s="453" t="s">
        <v>149</v>
      </c>
      <c r="R674" s="453">
        <v>0</v>
      </c>
      <c r="T674" s="453">
        <v>2</v>
      </c>
      <c r="V674" s="453">
        <v>50</v>
      </c>
      <c r="W674" s="453">
        <v>250</v>
      </c>
      <c r="X674" s="453" t="s">
        <v>58</v>
      </c>
      <c r="Z674" s="453" t="s">
        <v>150</v>
      </c>
      <c r="AA674" s="453">
        <v>1210</v>
      </c>
      <c r="AC674" s="453" t="s">
        <v>1677</v>
      </c>
    </row>
    <row r="675" spans="1:29">
      <c r="A675" s="453">
        <v>674</v>
      </c>
      <c r="B675" s="453" t="s">
        <v>1679</v>
      </c>
      <c r="C675" s="453" t="s">
        <v>1680</v>
      </c>
      <c r="D675" s="550" t="s">
        <v>1681</v>
      </c>
      <c r="F675" s="453">
        <v>1927</v>
      </c>
      <c r="G675" s="453">
        <v>1959</v>
      </c>
      <c r="H675" s="472">
        <v>24500</v>
      </c>
      <c r="I675" s="453">
        <v>101000</v>
      </c>
      <c r="J675" s="453">
        <v>1</v>
      </c>
      <c r="K675" s="453">
        <v>2</v>
      </c>
      <c r="L675" s="453" t="s">
        <v>147</v>
      </c>
      <c r="M675" s="453">
        <v>1</v>
      </c>
      <c r="N675" s="453" t="s">
        <v>122</v>
      </c>
      <c r="O675" s="453">
        <v>165</v>
      </c>
      <c r="P675" s="453" t="s">
        <v>123</v>
      </c>
      <c r="Q675" s="453" t="s">
        <v>124</v>
      </c>
      <c r="R675" s="453">
        <v>0.35</v>
      </c>
      <c r="T675" s="453">
        <v>8</v>
      </c>
      <c r="V675" s="453">
        <v>100</v>
      </c>
      <c r="W675" s="453">
        <v>500</v>
      </c>
      <c r="X675" s="453" t="s">
        <v>125</v>
      </c>
      <c r="Z675" s="453" t="s">
        <v>150</v>
      </c>
      <c r="AA675" s="453">
        <v>1211</v>
      </c>
      <c r="AC675" s="453" t="s">
        <v>1679</v>
      </c>
    </row>
    <row r="676" spans="1:29">
      <c r="A676" s="453">
        <v>675</v>
      </c>
      <c r="B676" s="453" t="s">
        <v>1682</v>
      </c>
      <c r="C676" s="453" t="s">
        <v>1683</v>
      </c>
      <c r="D676" s="550" t="s">
        <v>1684</v>
      </c>
      <c r="F676" s="453">
        <v>2014</v>
      </c>
      <c r="G676" s="453">
        <v>2025</v>
      </c>
      <c r="H676" s="472">
        <v>50000</v>
      </c>
      <c r="I676" s="453">
        <v>125000</v>
      </c>
      <c r="J676" s="453">
        <v>1</v>
      </c>
      <c r="K676" s="453">
        <v>1</v>
      </c>
      <c r="L676" s="453" t="s">
        <v>1063</v>
      </c>
      <c r="M676" s="453">
        <v>8</v>
      </c>
      <c r="N676" s="453" t="s">
        <v>122</v>
      </c>
      <c r="O676" s="453">
        <v>130</v>
      </c>
      <c r="P676" s="453" t="s">
        <v>148</v>
      </c>
      <c r="Q676" s="453" t="s">
        <v>124</v>
      </c>
      <c r="R676" s="453">
        <v>0</v>
      </c>
      <c r="S676" s="453">
        <v>0</v>
      </c>
      <c r="T676" s="453">
        <v>1</v>
      </c>
      <c r="V676" s="453">
        <v>1000</v>
      </c>
      <c r="W676" s="453">
        <v>4000</v>
      </c>
      <c r="X676" s="453" t="s">
        <v>125</v>
      </c>
      <c r="Z676" s="453" t="s">
        <v>150</v>
      </c>
      <c r="AB676" s="453" t="s">
        <v>1685</v>
      </c>
      <c r="AC676" s="453" t="s">
        <v>1682</v>
      </c>
    </row>
    <row r="677" spans="1:29">
      <c r="A677" s="453">
        <v>676</v>
      </c>
      <c r="B677" s="453" t="s">
        <v>1686</v>
      </c>
      <c r="C677" s="453" t="s">
        <v>1683</v>
      </c>
      <c r="D677" s="550" t="s">
        <v>1687</v>
      </c>
      <c r="F677" s="453">
        <v>2014</v>
      </c>
      <c r="G677" s="453">
        <v>2025</v>
      </c>
      <c r="H677" s="472">
        <v>50000</v>
      </c>
      <c r="I677" s="453">
        <v>125000</v>
      </c>
      <c r="J677" s="453">
        <v>1</v>
      </c>
      <c r="K677" s="453">
        <v>1</v>
      </c>
      <c r="L677" s="453" t="s">
        <v>1063</v>
      </c>
      <c r="M677" s="453">
        <v>8</v>
      </c>
      <c r="N677" s="453" t="s">
        <v>122</v>
      </c>
      <c r="O677" s="453">
        <v>130</v>
      </c>
      <c r="P677" s="453" t="s">
        <v>148</v>
      </c>
      <c r="Q677" s="453" t="s">
        <v>124</v>
      </c>
      <c r="R677" s="453">
        <v>0</v>
      </c>
      <c r="S677" s="453">
        <v>0</v>
      </c>
      <c r="T677" s="453">
        <v>1</v>
      </c>
      <c r="V677" s="453">
        <v>1000</v>
      </c>
      <c r="W677" s="453">
        <v>4000</v>
      </c>
      <c r="X677" s="453" t="s">
        <v>125</v>
      </c>
      <c r="Z677" s="453" t="s">
        <v>150</v>
      </c>
      <c r="AB677" s="453" t="s">
        <v>1688</v>
      </c>
      <c r="AC677" s="453" t="s">
        <v>1686</v>
      </c>
    </row>
    <row r="678" spans="1:29">
      <c r="A678" s="453">
        <v>677</v>
      </c>
      <c r="B678" s="453" t="s">
        <v>1689</v>
      </c>
      <c r="C678" s="453" t="s">
        <v>1690</v>
      </c>
      <c r="D678" s="550">
        <v>690</v>
      </c>
      <c r="F678" s="453">
        <v>1972</v>
      </c>
      <c r="G678" s="453">
        <v>1973</v>
      </c>
      <c r="H678" s="472">
        <v>180000</v>
      </c>
      <c r="I678" s="453">
        <v>280000</v>
      </c>
      <c r="J678" s="453">
        <v>1</v>
      </c>
      <c r="K678" s="453">
        <v>8</v>
      </c>
      <c r="L678" s="453" t="s">
        <v>147</v>
      </c>
      <c r="M678" s="453">
        <v>4</v>
      </c>
      <c r="N678" s="453" t="s">
        <v>130</v>
      </c>
      <c r="O678" s="453">
        <v>720</v>
      </c>
      <c r="P678" s="453" t="s">
        <v>132</v>
      </c>
      <c r="Q678" s="453" t="s">
        <v>133</v>
      </c>
      <c r="R678" s="453">
        <v>0</v>
      </c>
      <c r="T678" s="453">
        <v>20</v>
      </c>
      <c r="U678" s="453" t="s">
        <v>123</v>
      </c>
      <c r="V678" s="453">
        <v>1000</v>
      </c>
      <c r="W678" s="453">
        <v>5000</v>
      </c>
      <c r="X678" s="453" t="s">
        <v>125</v>
      </c>
      <c r="Z678" s="453" t="s">
        <v>150</v>
      </c>
      <c r="AC678" s="453" t="s">
        <v>1689</v>
      </c>
    </row>
    <row r="679" spans="1:29">
      <c r="A679" s="453">
        <v>678</v>
      </c>
      <c r="B679" s="453" t="s">
        <v>1691</v>
      </c>
      <c r="C679" s="453" t="s">
        <v>1690</v>
      </c>
      <c r="D679" s="550" t="s">
        <v>1692</v>
      </c>
      <c r="F679" s="453">
        <v>1960</v>
      </c>
      <c r="G679" s="453">
        <v>1963</v>
      </c>
      <c r="H679" s="472">
        <v>49500</v>
      </c>
      <c r="I679" s="453">
        <v>81000</v>
      </c>
      <c r="J679" s="453">
        <v>1</v>
      </c>
      <c r="K679" s="453">
        <v>7</v>
      </c>
      <c r="L679" s="453" t="s">
        <v>147</v>
      </c>
      <c r="M679" s="453">
        <v>2</v>
      </c>
      <c r="N679" s="453" t="s">
        <v>122</v>
      </c>
      <c r="O679" s="453">
        <v>250</v>
      </c>
      <c r="P679" s="453" t="s">
        <v>132</v>
      </c>
      <c r="Q679" s="453" t="s">
        <v>124</v>
      </c>
      <c r="R679" s="453">
        <v>0</v>
      </c>
      <c r="T679" s="453">
        <v>15</v>
      </c>
      <c r="U679" s="453" t="s">
        <v>229</v>
      </c>
      <c r="V679" s="453">
        <v>100</v>
      </c>
      <c r="W679" s="453">
        <v>500</v>
      </c>
      <c r="X679" s="453" t="s">
        <v>125</v>
      </c>
      <c r="Z679" s="453" t="s">
        <v>150</v>
      </c>
      <c r="AA679" s="453">
        <v>1215</v>
      </c>
      <c r="AC679" s="453" t="s">
        <v>1691</v>
      </c>
    </row>
    <row r="680" spans="1:29">
      <c r="A680" s="453">
        <v>679</v>
      </c>
      <c r="B680" s="453" t="s">
        <v>1693</v>
      </c>
      <c r="C680" s="453" t="s">
        <v>1690</v>
      </c>
      <c r="D680" s="550" t="s">
        <v>1694</v>
      </c>
      <c r="F680" s="453">
        <v>1960</v>
      </c>
      <c r="G680" s="453">
        <v>1968</v>
      </c>
      <c r="H680" s="472">
        <v>64500</v>
      </c>
      <c r="I680" s="453">
        <v>126000</v>
      </c>
      <c r="J680" s="453">
        <v>1</v>
      </c>
      <c r="K680" s="453">
        <v>7</v>
      </c>
      <c r="L680" s="453" t="s">
        <v>147</v>
      </c>
      <c r="M680" s="453">
        <v>2</v>
      </c>
      <c r="N680" s="453" t="s">
        <v>122</v>
      </c>
      <c r="O680" s="453">
        <v>290</v>
      </c>
      <c r="P680" s="453" t="s">
        <v>132</v>
      </c>
      <c r="Q680" s="453" t="s">
        <v>124</v>
      </c>
      <c r="R680" s="453">
        <v>0</v>
      </c>
      <c r="T680" s="453">
        <v>15</v>
      </c>
      <c r="U680" s="453" t="s">
        <v>229</v>
      </c>
      <c r="V680" s="453">
        <v>100</v>
      </c>
      <c r="W680" s="453">
        <v>500</v>
      </c>
      <c r="X680" s="453" t="s">
        <v>125</v>
      </c>
      <c r="Z680" s="453" t="s">
        <v>150</v>
      </c>
      <c r="AA680" s="453">
        <v>1216</v>
      </c>
      <c r="AC680" s="453" t="s">
        <v>1693</v>
      </c>
    </row>
    <row r="681" spans="1:29">
      <c r="A681" s="453">
        <v>680</v>
      </c>
      <c r="B681" s="453" t="s">
        <v>1695</v>
      </c>
      <c r="C681" s="453" t="s">
        <v>1690</v>
      </c>
      <c r="D681" s="550" t="s">
        <v>1696</v>
      </c>
      <c r="F681" s="453">
        <v>1968</v>
      </c>
      <c r="G681" s="453">
        <v>1979</v>
      </c>
      <c r="H681" s="472">
        <v>149500</v>
      </c>
      <c r="I681" s="453">
        <v>251000</v>
      </c>
      <c r="J681" s="453">
        <v>1</v>
      </c>
      <c r="K681" s="453">
        <v>7</v>
      </c>
      <c r="L681" s="453" t="s">
        <v>147</v>
      </c>
      <c r="M681" s="453">
        <v>2</v>
      </c>
      <c r="N681" s="453" t="s">
        <v>122</v>
      </c>
      <c r="O681" s="453">
        <v>290</v>
      </c>
      <c r="P681" s="453" t="s">
        <v>132</v>
      </c>
      <c r="Q681" s="453" t="s">
        <v>124</v>
      </c>
      <c r="R681" s="453">
        <v>0</v>
      </c>
      <c r="T681" s="453">
        <v>15</v>
      </c>
      <c r="U681" s="453" t="s">
        <v>229</v>
      </c>
      <c r="V681" s="453">
        <v>100</v>
      </c>
      <c r="W681" s="453">
        <v>500</v>
      </c>
      <c r="X681" s="453" t="s">
        <v>125</v>
      </c>
      <c r="Z681" s="453" t="s">
        <v>150</v>
      </c>
      <c r="AA681" s="453">
        <v>1217</v>
      </c>
      <c r="AC681" s="453" t="s">
        <v>1695</v>
      </c>
    </row>
    <row r="682" spans="1:29">
      <c r="A682" s="453">
        <v>681</v>
      </c>
      <c r="B682" s="453" t="s">
        <v>1697</v>
      </c>
      <c r="C682" s="453" t="s">
        <v>1690</v>
      </c>
      <c r="D682" s="550" t="s">
        <v>1698</v>
      </c>
      <c r="F682" s="453">
        <v>1962</v>
      </c>
      <c r="G682" s="453">
        <v>1972</v>
      </c>
      <c r="H682" s="472">
        <v>79500</v>
      </c>
      <c r="I682" s="453">
        <v>176000</v>
      </c>
      <c r="J682" s="453">
        <v>1</v>
      </c>
      <c r="K682" s="453">
        <v>6</v>
      </c>
      <c r="L682" s="453" t="s">
        <v>147</v>
      </c>
      <c r="M682" s="453">
        <v>2</v>
      </c>
      <c r="N682" s="453" t="s">
        <v>122</v>
      </c>
      <c r="O682" s="453">
        <v>380</v>
      </c>
      <c r="P682" s="453" t="s">
        <v>132</v>
      </c>
      <c r="Q682" s="453" t="s">
        <v>133</v>
      </c>
      <c r="R682" s="453">
        <v>0</v>
      </c>
      <c r="T682" s="453">
        <v>16</v>
      </c>
      <c r="U682" s="453" t="s">
        <v>123</v>
      </c>
      <c r="V682" s="453">
        <v>100</v>
      </c>
      <c r="W682" s="453">
        <v>500</v>
      </c>
      <c r="X682" s="453" t="s">
        <v>125</v>
      </c>
      <c r="Z682" s="453" t="s">
        <v>150</v>
      </c>
      <c r="AA682" s="453">
        <v>1218</v>
      </c>
      <c r="AC682" s="453" t="s">
        <v>1697</v>
      </c>
    </row>
    <row r="683" spans="1:29">
      <c r="A683" s="453">
        <v>682</v>
      </c>
      <c r="B683" s="453" t="s">
        <v>1699</v>
      </c>
      <c r="C683" s="453" t="s">
        <v>1690</v>
      </c>
      <c r="D683" s="550" t="s">
        <v>1700</v>
      </c>
      <c r="F683" s="453">
        <v>1973</v>
      </c>
      <c r="G683" s="453">
        <v>1979</v>
      </c>
      <c r="H683" s="472">
        <v>325000</v>
      </c>
      <c r="I683" s="453">
        <v>690000</v>
      </c>
      <c r="J683" s="453">
        <v>1</v>
      </c>
      <c r="K683" s="453">
        <v>9</v>
      </c>
      <c r="L683" s="453" t="s">
        <v>147</v>
      </c>
      <c r="M683" s="453">
        <v>4</v>
      </c>
      <c r="N683" s="453" t="s">
        <v>130</v>
      </c>
      <c r="O683" s="453">
        <v>720</v>
      </c>
      <c r="P683" s="453" t="s">
        <v>132</v>
      </c>
      <c r="Q683" s="453" t="s">
        <v>133</v>
      </c>
      <c r="R683" s="453">
        <v>0</v>
      </c>
      <c r="T683" s="453">
        <v>20</v>
      </c>
      <c r="U683" s="453" t="s">
        <v>123</v>
      </c>
      <c r="V683" s="453">
        <v>1000</v>
      </c>
      <c r="W683" s="453">
        <v>5000</v>
      </c>
      <c r="X683" s="453" t="s">
        <v>125</v>
      </c>
      <c r="Z683" s="453" t="s">
        <v>150</v>
      </c>
      <c r="AC683" s="453" t="s">
        <v>1699</v>
      </c>
    </row>
    <row r="684" spans="1:29">
      <c r="A684" s="453">
        <v>683</v>
      </c>
      <c r="B684" s="453" t="s">
        <v>1701</v>
      </c>
      <c r="C684" s="453" t="s">
        <v>1702</v>
      </c>
      <c r="D684" s="550" t="s">
        <v>1703</v>
      </c>
      <c r="F684" s="453">
        <v>1966</v>
      </c>
      <c r="G684" s="453">
        <v>2020</v>
      </c>
      <c r="H684" s="472">
        <v>30000</v>
      </c>
      <c r="I684" s="453">
        <v>100000</v>
      </c>
      <c r="J684" s="453">
        <v>1</v>
      </c>
      <c r="K684" s="453">
        <v>3</v>
      </c>
      <c r="L684" s="453" t="s">
        <v>121</v>
      </c>
      <c r="M684" s="453">
        <v>1</v>
      </c>
      <c r="N684" s="453" t="s">
        <v>122</v>
      </c>
      <c r="O684" s="453">
        <v>340</v>
      </c>
      <c r="P684" s="453" t="s">
        <v>123</v>
      </c>
      <c r="Q684" s="453" t="s">
        <v>124</v>
      </c>
      <c r="R684" s="453">
        <v>0.5</v>
      </c>
      <c r="S684" s="453">
        <v>0.5</v>
      </c>
      <c r="T684" s="453">
        <v>1</v>
      </c>
      <c r="V684" s="453">
        <v>250</v>
      </c>
      <c r="W684" s="453">
        <v>1000</v>
      </c>
      <c r="X684" s="453" t="s">
        <v>58</v>
      </c>
      <c r="Z684" s="453" t="s">
        <v>150</v>
      </c>
      <c r="AB684" s="453" t="s">
        <v>1704</v>
      </c>
      <c r="AC684" s="453" t="s">
        <v>1701</v>
      </c>
    </row>
    <row r="685" spans="1:29">
      <c r="A685" s="453">
        <v>684</v>
      </c>
      <c r="B685" s="453" t="s">
        <v>1705</v>
      </c>
      <c r="C685" s="453" t="s">
        <v>1706</v>
      </c>
      <c r="D685" s="550" t="s">
        <v>1707</v>
      </c>
      <c r="F685" s="453">
        <v>2005</v>
      </c>
      <c r="G685" s="453">
        <v>2025</v>
      </c>
      <c r="H685" s="472">
        <v>40000</v>
      </c>
      <c r="I685" s="453">
        <v>150000</v>
      </c>
      <c r="J685" s="453">
        <v>1</v>
      </c>
      <c r="K685" s="453">
        <v>1</v>
      </c>
      <c r="L685" s="453" t="s">
        <v>154</v>
      </c>
      <c r="M685" s="453">
        <v>1</v>
      </c>
      <c r="N685" s="453" t="s">
        <v>122</v>
      </c>
      <c r="O685" s="453">
        <v>100</v>
      </c>
      <c r="P685" s="453" t="s">
        <v>148</v>
      </c>
      <c r="Q685" s="453" t="s">
        <v>149</v>
      </c>
      <c r="R685" s="453">
        <v>0</v>
      </c>
      <c r="S685" s="453">
        <v>0</v>
      </c>
      <c r="T685" s="453">
        <v>2</v>
      </c>
      <c r="V685" s="453">
        <v>50</v>
      </c>
      <c r="W685" s="453">
        <v>250</v>
      </c>
      <c r="X685" s="453" t="s">
        <v>58</v>
      </c>
      <c r="Z685" s="453" t="s">
        <v>150</v>
      </c>
      <c r="AB685" s="453" t="s">
        <v>1708</v>
      </c>
      <c r="AC685" s="453" t="s">
        <v>1705</v>
      </c>
    </row>
    <row r="686" spans="1:29">
      <c r="A686" s="453">
        <v>685</v>
      </c>
      <c r="B686" s="453" t="s">
        <v>1709</v>
      </c>
      <c r="C686" s="453" t="s">
        <v>1710</v>
      </c>
      <c r="D686" s="550" t="s">
        <v>1711</v>
      </c>
      <c r="F686" s="453">
        <v>1976</v>
      </c>
      <c r="G686" s="453">
        <v>1990</v>
      </c>
      <c r="H686" s="472">
        <v>24500</v>
      </c>
      <c r="I686" s="453">
        <v>65000</v>
      </c>
      <c r="J686" s="453">
        <v>1</v>
      </c>
      <c r="K686" s="453">
        <v>1</v>
      </c>
      <c r="L686" s="453" t="s">
        <v>147</v>
      </c>
      <c r="M686" s="453">
        <v>1</v>
      </c>
      <c r="N686" s="453" t="s">
        <v>122</v>
      </c>
      <c r="O686" s="453">
        <v>180</v>
      </c>
      <c r="P686" s="453" t="s">
        <v>148</v>
      </c>
      <c r="Q686" s="453" t="s">
        <v>149</v>
      </c>
      <c r="R686" s="453">
        <v>0</v>
      </c>
      <c r="S686" s="453">
        <v>0</v>
      </c>
      <c r="T686" s="453">
        <v>4</v>
      </c>
      <c r="V686" s="453">
        <v>50</v>
      </c>
      <c r="W686" s="453">
        <v>250</v>
      </c>
      <c r="X686" s="453" t="s">
        <v>58</v>
      </c>
      <c r="Z686" s="453" t="s">
        <v>150</v>
      </c>
      <c r="AA686" s="453">
        <v>1240</v>
      </c>
      <c r="AC686" s="453" t="s">
        <v>1709</v>
      </c>
    </row>
    <row r="687" spans="1:29">
      <c r="A687" s="453">
        <v>686</v>
      </c>
      <c r="B687" s="453" t="s">
        <v>1712</v>
      </c>
      <c r="C687" s="453" t="s">
        <v>1713</v>
      </c>
      <c r="D687" s="550" t="s">
        <v>1714</v>
      </c>
      <c r="F687" s="453">
        <v>2017</v>
      </c>
      <c r="G687" s="453">
        <v>2025</v>
      </c>
      <c r="H687" s="472">
        <v>85000</v>
      </c>
      <c r="I687" s="453">
        <v>125000</v>
      </c>
      <c r="J687" s="453">
        <v>1</v>
      </c>
      <c r="K687" s="453">
        <v>1</v>
      </c>
      <c r="L687" s="453" t="s">
        <v>154</v>
      </c>
      <c r="M687" s="453">
        <v>1</v>
      </c>
      <c r="N687" s="453" t="s">
        <v>163</v>
      </c>
      <c r="O687" s="453">
        <v>108</v>
      </c>
      <c r="P687" s="453" t="s">
        <v>148</v>
      </c>
      <c r="Q687" s="453" t="s">
        <v>149</v>
      </c>
      <c r="R687" s="453">
        <v>0</v>
      </c>
      <c r="S687" s="453">
        <v>0</v>
      </c>
      <c r="T687" s="453">
        <v>2</v>
      </c>
      <c r="V687" s="453">
        <v>100</v>
      </c>
      <c r="W687" s="453">
        <v>500</v>
      </c>
      <c r="X687" s="453" t="s">
        <v>58</v>
      </c>
      <c r="Z687" s="453" t="s">
        <v>150</v>
      </c>
      <c r="AC687" s="453" t="s">
        <v>1712</v>
      </c>
    </row>
    <row r="688" spans="1:29">
      <c r="A688" s="453">
        <v>687</v>
      </c>
      <c r="B688" s="453" t="s">
        <v>1715</v>
      </c>
      <c r="C688" s="453" t="s">
        <v>1716</v>
      </c>
      <c r="D688" s="550" t="s">
        <v>1717</v>
      </c>
      <c r="F688" s="453">
        <v>2015</v>
      </c>
      <c r="G688" s="453">
        <v>2025</v>
      </c>
      <c r="H688" s="472">
        <v>200000</v>
      </c>
      <c r="I688" s="453">
        <v>350000</v>
      </c>
      <c r="J688" s="453">
        <v>1</v>
      </c>
      <c r="K688" s="453">
        <v>3</v>
      </c>
      <c r="L688" s="453" t="s">
        <v>147</v>
      </c>
      <c r="M688" s="453">
        <v>1</v>
      </c>
      <c r="N688" s="453" t="s">
        <v>122</v>
      </c>
      <c r="O688" s="453">
        <v>180</v>
      </c>
      <c r="P688" s="453" t="s">
        <v>148</v>
      </c>
      <c r="Q688" s="453" t="s">
        <v>149</v>
      </c>
      <c r="R688" s="453">
        <v>0</v>
      </c>
      <c r="S688" s="453">
        <v>0</v>
      </c>
      <c r="T688" s="453">
        <v>4</v>
      </c>
      <c r="V688" s="453">
        <v>100</v>
      </c>
      <c r="W688" s="453">
        <v>500</v>
      </c>
      <c r="X688" s="453" t="s">
        <v>58</v>
      </c>
      <c r="Z688" s="453" t="s">
        <v>150</v>
      </c>
      <c r="AB688" s="453" t="s">
        <v>1718</v>
      </c>
      <c r="AC688" s="453" t="s">
        <v>1715</v>
      </c>
    </row>
    <row r="689" spans="1:29">
      <c r="A689" s="453">
        <v>688</v>
      </c>
      <c r="B689" s="453" t="s">
        <v>1719</v>
      </c>
      <c r="C689" s="453" t="s">
        <v>1720</v>
      </c>
      <c r="D689" s="550" t="s">
        <v>1721</v>
      </c>
      <c r="F689" s="453">
        <v>1939</v>
      </c>
      <c r="G689" s="453">
        <v>1980</v>
      </c>
      <c r="H689" s="472">
        <v>49500</v>
      </c>
      <c r="I689" s="453">
        <v>151000</v>
      </c>
      <c r="J689" s="453">
        <v>1</v>
      </c>
      <c r="K689" s="453">
        <v>1</v>
      </c>
      <c r="L689" s="453" t="s">
        <v>147</v>
      </c>
      <c r="M689" s="453">
        <v>1</v>
      </c>
      <c r="N689" s="453" t="s">
        <v>122</v>
      </c>
      <c r="O689" s="453">
        <v>450</v>
      </c>
      <c r="P689" s="453" t="s">
        <v>123</v>
      </c>
      <c r="Q689" s="453" t="s">
        <v>133</v>
      </c>
      <c r="R689" s="453">
        <v>0.25</v>
      </c>
      <c r="S689" s="453">
        <v>0.25</v>
      </c>
      <c r="T689" s="453">
        <v>9</v>
      </c>
      <c r="V689" s="453">
        <v>100</v>
      </c>
      <c r="W689" s="453">
        <v>500</v>
      </c>
      <c r="X689" s="453" t="s">
        <v>125</v>
      </c>
      <c r="Z689" s="453" t="s">
        <v>150</v>
      </c>
      <c r="AA689" s="453">
        <v>1246</v>
      </c>
      <c r="AC689" s="453" t="s">
        <v>1719</v>
      </c>
    </row>
    <row r="690" spans="1:29">
      <c r="A690" s="453">
        <v>689</v>
      </c>
      <c r="B690" s="453" t="s">
        <v>1722</v>
      </c>
      <c r="C690" s="453" t="s">
        <v>1720</v>
      </c>
      <c r="D690" s="550" t="s">
        <v>1723</v>
      </c>
      <c r="F690" s="453">
        <v>1945</v>
      </c>
      <c r="G690" s="453">
        <v>1947</v>
      </c>
      <c r="H690" s="472">
        <v>49500</v>
      </c>
      <c r="I690" s="453">
        <v>76000</v>
      </c>
      <c r="J690" s="453">
        <v>1</v>
      </c>
      <c r="K690" s="453">
        <v>1</v>
      </c>
      <c r="L690" s="453" t="s">
        <v>147</v>
      </c>
      <c r="M690" s="453">
        <v>1</v>
      </c>
      <c r="N690" s="453" t="s">
        <v>122</v>
      </c>
      <c r="O690" s="453">
        <v>245</v>
      </c>
      <c r="P690" s="453" t="s">
        <v>123</v>
      </c>
      <c r="Q690" s="453" t="s">
        <v>124</v>
      </c>
      <c r="R690" s="453">
        <v>0</v>
      </c>
      <c r="T690" s="453">
        <v>8</v>
      </c>
      <c r="V690" s="453">
        <v>100</v>
      </c>
      <c r="W690" s="453">
        <v>500</v>
      </c>
      <c r="X690" s="453" t="s">
        <v>125</v>
      </c>
      <c r="Z690" s="453" t="s">
        <v>150</v>
      </c>
      <c r="AA690" s="453">
        <v>1247</v>
      </c>
      <c r="AC690" s="453" t="s">
        <v>1722</v>
      </c>
    </row>
    <row r="691" spans="1:29">
      <c r="A691" s="453">
        <v>690</v>
      </c>
      <c r="B691" s="453" t="s">
        <v>1724</v>
      </c>
      <c r="C691" s="453" t="s">
        <v>1725</v>
      </c>
      <c r="D691" s="550" t="s">
        <v>1726</v>
      </c>
      <c r="F691" s="453">
        <v>1925</v>
      </c>
      <c r="G691" s="453">
        <v>1950</v>
      </c>
      <c r="H691" s="472">
        <v>24500</v>
      </c>
      <c r="I691" s="453">
        <v>101000</v>
      </c>
      <c r="J691" s="453">
        <v>1</v>
      </c>
      <c r="K691" s="453">
        <v>2</v>
      </c>
      <c r="L691" s="453" t="s">
        <v>147</v>
      </c>
      <c r="M691" s="453">
        <v>1</v>
      </c>
      <c r="N691" s="453" t="s">
        <v>122</v>
      </c>
      <c r="O691" s="453">
        <v>225</v>
      </c>
      <c r="P691" s="453" t="s">
        <v>123</v>
      </c>
      <c r="Q691" s="453" t="s">
        <v>133</v>
      </c>
      <c r="R691" s="453">
        <v>0.3</v>
      </c>
      <c r="T691" s="453">
        <v>9</v>
      </c>
      <c r="V691" s="453">
        <v>100</v>
      </c>
      <c r="W691" s="453">
        <v>500</v>
      </c>
      <c r="X691" s="453" t="s">
        <v>125</v>
      </c>
      <c r="Z691" s="453" t="s">
        <v>150</v>
      </c>
      <c r="AA691" s="453">
        <v>1248</v>
      </c>
      <c r="AC691" s="453" t="s">
        <v>1724</v>
      </c>
    </row>
    <row r="692" spans="1:29">
      <c r="A692" s="453">
        <v>691</v>
      </c>
      <c r="B692" s="453" t="s">
        <v>1727</v>
      </c>
      <c r="C692" s="453" t="s">
        <v>1725</v>
      </c>
      <c r="D692" s="550" t="s">
        <v>1728</v>
      </c>
      <c r="F692" s="453">
        <v>1933</v>
      </c>
      <c r="G692" s="453">
        <v>1950</v>
      </c>
      <c r="H692" s="472">
        <v>24500</v>
      </c>
      <c r="I692" s="453">
        <v>101000</v>
      </c>
      <c r="J692" s="453">
        <v>1</v>
      </c>
      <c r="K692" s="453">
        <v>4</v>
      </c>
      <c r="L692" s="453" t="s">
        <v>147</v>
      </c>
      <c r="M692" s="453">
        <v>1</v>
      </c>
      <c r="N692" s="453" t="s">
        <v>122</v>
      </c>
      <c r="O692" s="453">
        <v>450</v>
      </c>
      <c r="P692" s="453" t="s">
        <v>123</v>
      </c>
      <c r="Q692" s="453" t="s">
        <v>133</v>
      </c>
      <c r="R692" s="453">
        <v>0.3</v>
      </c>
      <c r="T692" s="453">
        <v>9</v>
      </c>
      <c r="V692" s="453">
        <v>100</v>
      </c>
      <c r="W692" s="453">
        <v>500</v>
      </c>
      <c r="X692" s="453" t="s">
        <v>125</v>
      </c>
      <c r="Z692" s="453" t="s">
        <v>150</v>
      </c>
      <c r="AA692" s="453">
        <v>1250</v>
      </c>
      <c r="AC692" s="453" t="s">
        <v>1727</v>
      </c>
    </row>
    <row r="693" spans="1:29">
      <c r="A693" s="453">
        <v>692</v>
      </c>
      <c r="B693" s="453" t="s">
        <v>1729</v>
      </c>
      <c r="C693" s="453" t="s">
        <v>1730</v>
      </c>
      <c r="D693" s="550" t="s">
        <v>1731</v>
      </c>
      <c r="F693" s="453">
        <v>1989</v>
      </c>
      <c r="G693" s="453">
        <v>2020</v>
      </c>
      <c r="H693" s="472">
        <v>75000</v>
      </c>
      <c r="I693" s="453">
        <v>350000</v>
      </c>
      <c r="J693" s="453">
        <v>1</v>
      </c>
      <c r="K693" s="453">
        <v>1</v>
      </c>
      <c r="L693" s="453" t="s">
        <v>147</v>
      </c>
      <c r="M693" s="453">
        <v>1</v>
      </c>
      <c r="N693" s="453" t="s">
        <v>122</v>
      </c>
      <c r="O693" s="453">
        <v>180</v>
      </c>
      <c r="P693" s="453" t="s">
        <v>123</v>
      </c>
      <c r="Q693" s="453" t="s">
        <v>149</v>
      </c>
      <c r="R693" s="453">
        <v>0</v>
      </c>
      <c r="S693" s="453">
        <v>0</v>
      </c>
      <c r="T693" s="453">
        <v>8</v>
      </c>
      <c r="V693" s="453">
        <v>100</v>
      </c>
      <c r="W693" s="453">
        <v>500</v>
      </c>
      <c r="X693" s="453" t="s">
        <v>58</v>
      </c>
      <c r="Z693" s="453" t="s">
        <v>150</v>
      </c>
      <c r="AC693" s="453" t="s">
        <v>1729</v>
      </c>
    </row>
    <row r="694" spans="1:29">
      <c r="A694" s="453">
        <v>693</v>
      </c>
      <c r="B694" s="453" t="s">
        <v>1732</v>
      </c>
      <c r="C694" s="453" t="s">
        <v>1730</v>
      </c>
      <c r="D694" s="550" t="s">
        <v>1733</v>
      </c>
      <c r="F694" s="453">
        <v>1989</v>
      </c>
      <c r="G694" s="453">
        <v>2020</v>
      </c>
      <c r="H694" s="472">
        <v>50000</v>
      </c>
      <c r="I694" s="453">
        <v>475000</v>
      </c>
      <c r="J694" s="453">
        <v>1</v>
      </c>
      <c r="K694" s="453">
        <v>2</v>
      </c>
      <c r="L694" s="453" t="s">
        <v>147</v>
      </c>
      <c r="M694" s="453">
        <v>1</v>
      </c>
      <c r="N694" s="453" t="s">
        <v>122</v>
      </c>
      <c r="O694" s="453">
        <v>300</v>
      </c>
      <c r="P694" s="453" t="s">
        <v>123</v>
      </c>
      <c r="Q694" s="453" t="s">
        <v>124</v>
      </c>
      <c r="R694" s="453">
        <v>0</v>
      </c>
      <c r="S694" s="453">
        <v>0</v>
      </c>
      <c r="T694" s="453">
        <v>8</v>
      </c>
      <c r="V694" s="453">
        <v>100</v>
      </c>
      <c r="W694" s="453">
        <v>500</v>
      </c>
      <c r="X694" s="453" t="s">
        <v>58</v>
      </c>
      <c r="Z694" s="453" t="s">
        <v>150</v>
      </c>
      <c r="AC694" s="453" t="s">
        <v>1732</v>
      </c>
    </row>
    <row r="695" spans="1:29">
      <c r="A695" s="453">
        <v>694</v>
      </c>
      <c r="B695" s="453" t="s">
        <v>1734</v>
      </c>
      <c r="C695" s="453" t="s">
        <v>1730</v>
      </c>
      <c r="D695" s="550" t="s">
        <v>1735</v>
      </c>
      <c r="F695" s="453">
        <v>1989</v>
      </c>
      <c r="G695" s="453">
        <v>2020</v>
      </c>
      <c r="H695" s="472">
        <v>50000</v>
      </c>
      <c r="I695" s="453">
        <v>500000</v>
      </c>
      <c r="J695" s="453">
        <v>1</v>
      </c>
      <c r="K695" s="453">
        <v>2</v>
      </c>
      <c r="L695" s="453" t="s">
        <v>147</v>
      </c>
      <c r="M695" s="453">
        <v>1</v>
      </c>
      <c r="N695" s="453" t="s">
        <v>122</v>
      </c>
      <c r="O695" s="453">
        <v>300</v>
      </c>
      <c r="P695" s="453" t="s">
        <v>123</v>
      </c>
      <c r="Q695" s="453" t="s">
        <v>124</v>
      </c>
      <c r="R695" s="453">
        <v>0</v>
      </c>
      <c r="S695" s="453">
        <v>0</v>
      </c>
      <c r="T695" s="453">
        <v>8</v>
      </c>
      <c r="V695" s="453">
        <v>100</v>
      </c>
      <c r="W695" s="453">
        <v>500</v>
      </c>
      <c r="X695" s="453" t="s">
        <v>58</v>
      </c>
      <c r="Z695" s="453" t="s">
        <v>150</v>
      </c>
      <c r="AC695" s="453" t="s">
        <v>1734</v>
      </c>
    </row>
    <row r="696" spans="1:29">
      <c r="A696" s="453">
        <v>695</v>
      </c>
      <c r="B696" s="453" t="s">
        <v>1736</v>
      </c>
      <c r="C696" s="453" t="s">
        <v>1730</v>
      </c>
      <c r="D696" s="550" t="s">
        <v>1737</v>
      </c>
      <c r="F696" s="453">
        <v>1989</v>
      </c>
      <c r="G696" s="453">
        <v>2020</v>
      </c>
      <c r="H696" s="472">
        <v>100000</v>
      </c>
      <c r="I696" s="453">
        <v>650000</v>
      </c>
      <c r="J696" s="453">
        <v>1</v>
      </c>
      <c r="K696" s="453">
        <v>2</v>
      </c>
      <c r="L696" s="453" t="s">
        <v>147</v>
      </c>
      <c r="M696" s="453">
        <v>1</v>
      </c>
      <c r="N696" s="453" t="s">
        <v>122</v>
      </c>
      <c r="O696" s="453">
        <v>300</v>
      </c>
      <c r="P696" s="453" t="s">
        <v>192</v>
      </c>
      <c r="Q696" s="453" t="s">
        <v>124</v>
      </c>
      <c r="R696" s="453">
        <v>0</v>
      </c>
      <c r="S696" s="453">
        <v>0</v>
      </c>
      <c r="T696" s="453">
        <v>1</v>
      </c>
      <c r="V696" s="453">
        <v>1000</v>
      </c>
      <c r="W696" s="453">
        <v>0.1</v>
      </c>
      <c r="X696" s="453" t="s">
        <v>125</v>
      </c>
      <c r="Z696" s="453" t="s">
        <v>150</v>
      </c>
      <c r="AC696" s="453" t="s">
        <v>1736</v>
      </c>
    </row>
    <row r="697" spans="1:29">
      <c r="A697" s="453">
        <v>696</v>
      </c>
      <c r="B697" s="453" t="s">
        <v>1738</v>
      </c>
      <c r="C697" s="453" t="s">
        <v>1739</v>
      </c>
      <c r="D697" s="550" t="s">
        <v>1740</v>
      </c>
      <c r="F697" s="453">
        <v>2000</v>
      </c>
      <c r="G697" s="453">
        <v>2016</v>
      </c>
      <c r="H697" s="472">
        <v>45000</v>
      </c>
      <c r="I697" s="453">
        <v>150000</v>
      </c>
      <c r="J697" s="453">
        <v>1</v>
      </c>
      <c r="K697" s="453">
        <v>1</v>
      </c>
      <c r="L697" s="453" t="s">
        <v>154</v>
      </c>
      <c r="M697" s="453">
        <v>1</v>
      </c>
      <c r="N697" s="453" t="s">
        <v>122</v>
      </c>
      <c r="O697" s="453">
        <v>85</v>
      </c>
      <c r="P697" s="453" t="s">
        <v>148</v>
      </c>
      <c r="Q697" s="453" t="s">
        <v>149</v>
      </c>
      <c r="R697" s="453">
        <v>0</v>
      </c>
      <c r="T697" s="453">
        <v>2</v>
      </c>
      <c r="V697" s="453">
        <v>50</v>
      </c>
      <c r="W697" s="453">
        <v>250</v>
      </c>
      <c r="X697" s="453" t="s">
        <v>58</v>
      </c>
      <c r="Z697" s="453" t="s">
        <v>150</v>
      </c>
      <c r="AA697" s="453">
        <v>1272</v>
      </c>
      <c r="AC697" s="453" t="s">
        <v>1738</v>
      </c>
    </row>
    <row r="698" spans="1:29">
      <c r="A698" s="453">
        <v>697</v>
      </c>
      <c r="B698" s="453" t="s">
        <v>1741</v>
      </c>
      <c r="C698" s="453" t="s">
        <v>1742</v>
      </c>
      <c r="D698" s="550">
        <v>3</v>
      </c>
      <c r="F698" s="453">
        <v>1941</v>
      </c>
      <c r="G698" s="453">
        <v>1947</v>
      </c>
      <c r="H698" s="472">
        <v>150000</v>
      </c>
      <c r="I698" s="453">
        <v>1000000</v>
      </c>
      <c r="J698" s="453">
        <v>1</v>
      </c>
      <c r="K698" s="453">
        <v>0</v>
      </c>
      <c r="L698" s="453" t="s">
        <v>121</v>
      </c>
      <c r="M698" s="453">
        <v>1</v>
      </c>
      <c r="N698" s="453" t="s">
        <v>122</v>
      </c>
      <c r="O698" s="453">
        <v>1400</v>
      </c>
      <c r="P698" s="453" t="s">
        <v>130</v>
      </c>
      <c r="Q698" s="453" t="s">
        <v>133</v>
      </c>
      <c r="R698" s="453">
        <v>0.85</v>
      </c>
      <c r="S698" s="453">
        <v>1.5</v>
      </c>
      <c r="T698" s="453">
        <v>1</v>
      </c>
      <c r="V698" s="453">
        <v>1000</v>
      </c>
      <c r="W698" s="453">
        <v>0.1</v>
      </c>
      <c r="X698" s="453" t="s">
        <v>125</v>
      </c>
      <c r="Z698" s="453" t="s">
        <v>150</v>
      </c>
      <c r="AC698" s="453" t="s">
        <v>1741</v>
      </c>
    </row>
    <row r="699" spans="1:29">
      <c r="A699" s="453">
        <v>698</v>
      </c>
      <c r="B699" s="453" t="s">
        <v>1743</v>
      </c>
      <c r="C699" s="453" t="s">
        <v>1742</v>
      </c>
      <c r="D699" s="550">
        <v>11</v>
      </c>
      <c r="F699" s="453">
        <v>1946</v>
      </c>
      <c r="G699" s="453">
        <v>1970</v>
      </c>
      <c r="H699" s="472">
        <v>75000</v>
      </c>
      <c r="I699" s="453">
        <v>400000</v>
      </c>
      <c r="J699" s="453">
        <v>1</v>
      </c>
      <c r="K699" s="453">
        <v>1</v>
      </c>
      <c r="L699" s="453" t="s">
        <v>121</v>
      </c>
      <c r="M699" s="453">
        <v>1</v>
      </c>
      <c r="N699" s="453" t="s">
        <v>122</v>
      </c>
      <c r="O699" s="453">
        <v>700</v>
      </c>
      <c r="P699" s="453" t="s">
        <v>130</v>
      </c>
      <c r="Q699" s="453" t="s">
        <v>124</v>
      </c>
      <c r="R699" s="453">
        <v>0</v>
      </c>
      <c r="S699" s="453">
        <v>0.6</v>
      </c>
      <c r="T699" s="453">
        <v>1</v>
      </c>
      <c r="V699" s="453">
        <v>250</v>
      </c>
      <c r="W699" s="453">
        <v>1000</v>
      </c>
      <c r="X699" s="453" t="s">
        <v>125</v>
      </c>
      <c r="Z699" s="453" t="s">
        <v>150</v>
      </c>
      <c r="AB699" s="453" t="s">
        <v>1744</v>
      </c>
      <c r="AC699" s="453" t="s">
        <v>1743</v>
      </c>
    </row>
    <row r="700" spans="1:29">
      <c r="A700" s="453">
        <v>699</v>
      </c>
      <c r="B700" s="453" t="s">
        <v>1745</v>
      </c>
      <c r="C700" s="453" t="s">
        <v>1742</v>
      </c>
      <c r="D700" s="550">
        <v>18</v>
      </c>
      <c r="F700" s="453">
        <v>1960</v>
      </c>
      <c r="G700" s="453">
        <v>2025</v>
      </c>
      <c r="H700" s="472">
        <v>24500</v>
      </c>
      <c r="I700" s="453">
        <v>100000</v>
      </c>
      <c r="J700" s="453">
        <v>1</v>
      </c>
      <c r="K700" s="453">
        <v>1</v>
      </c>
      <c r="L700" s="453" t="s">
        <v>121</v>
      </c>
      <c r="M700" s="453">
        <v>1</v>
      </c>
      <c r="N700" s="453" t="s">
        <v>122</v>
      </c>
      <c r="O700" s="453">
        <v>360</v>
      </c>
      <c r="P700" s="453" t="s">
        <v>132</v>
      </c>
      <c r="Q700" s="453" t="s">
        <v>124</v>
      </c>
      <c r="R700" s="453">
        <v>0</v>
      </c>
      <c r="S700" s="453">
        <v>0</v>
      </c>
      <c r="T700" s="453">
        <v>1</v>
      </c>
      <c r="V700" s="453">
        <v>100</v>
      </c>
      <c r="W700" s="453">
        <v>1000</v>
      </c>
      <c r="X700" s="453" t="s">
        <v>125</v>
      </c>
      <c r="Z700" s="453" t="s">
        <v>150</v>
      </c>
      <c r="AA700" s="453">
        <v>1273</v>
      </c>
      <c r="AC700" s="453" t="s">
        <v>1745</v>
      </c>
    </row>
    <row r="701" spans="1:29">
      <c r="A701" s="453">
        <v>700</v>
      </c>
      <c r="B701" s="453" t="s">
        <v>1746</v>
      </c>
      <c r="C701" s="453" t="s">
        <v>1742</v>
      </c>
      <c r="D701" s="550">
        <v>50</v>
      </c>
      <c r="F701" s="453">
        <v>1960</v>
      </c>
      <c r="G701" s="453">
        <v>2025</v>
      </c>
      <c r="H701" s="472">
        <v>4500</v>
      </c>
      <c r="I701" s="453">
        <v>251000</v>
      </c>
      <c r="J701" s="453">
        <v>1</v>
      </c>
      <c r="K701" s="453">
        <v>0</v>
      </c>
      <c r="L701" s="453" t="s">
        <v>121</v>
      </c>
      <c r="M701" s="453">
        <v>1</v>
      </c>
      <c r="N701" s="453" t="s">
        <v>122</v>
      </c>
      <c r="O701" s="453">
        <v>360</v>
      </c>
      <c r="P701" s="453" t="s">
        <v>123</v>
      </c>
      <c r="Q701" s="453" t="s">
        <v>133</v>
      </c>
      <c r="R701" s="453">
        <v>0</v>
      </c>
      <c r="S701" s="453">
        <v>0</v>
      </c>
      <c r="T701" s="453">
        <v>1</v>
      </c>
      <c r="V701" s="453">
        <v>100</v>
      </c>
      <c r="W701" s="453">
        <v>1000</v>
      </c>
      <c r="X701" s="453" t="s">
        <v>125</v>
      </c>
      <c r="Z701" s="453" t="s">
        <v>150</v>
      </c>
      <c r="AA701" s="453">
        <v>1274</v>
      </c>
      <c r="AC701" s="453" t="s">
        <v>1746</v>
      </c>
    </row>
    <row r="702" spans="1:29">
      <c r="A702" s="453">
        <v>701</v>
      </c>
      <c r="B702" s="453" t="s">
        <v>1747</v>
      </c>
      <c r="C702" s="453" t="s">
        <v>1742</v>
      </c>
      <c r="D702" s="550">
        <v>52</v>
      </c>
      <c r="F702" s="453">
        <v>1960</v>
      </c>
      <c r="G702" s="453">
        <v>2025</v>
      </c>
      <c r="H702" s="472">
        <v>4500</v>
      </c>
      <c r="I702" s="453">
        <v>151000</v>
      </c>
      <c r="J702" s="453">
        <v>1</v>
      </c>
      <c r="K702" s="453">
        <v>1</v>
      </c>
      <c r="L702" s="453" t="s">
        <v>121</v>
      </c>
      <c r="M702" s="453">
        <v>1</v>
      </c>
      <c r="N702" s="453" t="s">
        <v>122</v>
      </c>
      <c r="O702" s="453">
        <v>360</v>
      </c>
      <c r="P702" s="453" t="s">
        <v>132</v>
      </c>
      <c r="Q702" s="453" t="s">
        <v>133</v>
      </c>
      <c r="R702" s="453">
        <v>0</v>
      </c>
      <c r="S702" s="453">
        <v>0</v>
      </c>
      <c r="T702" s="453">
        <v>1</v>
      </c>
      <c r="V702" s="453">
        <v>100</v>
      </c>
      <c r="W702" s="453">
        <v>1000</v>
      </c>
      <c r="X702" s="453" t="s">
        <v>125</v>
      </c>
      <c r="Z702" s="453" t="s">
        <v>150</v>
      </c>
      <c r="AA702" s="453">
        <v>1275</v>
      </c>
      <c r="AC702" s="453" t="s">
        <v>1747</v>
      </c>
    </row>
    <row r="703" spans="1:29">
      <c r="A703" s="453">
        <v>702</v>
      </c>
      <c r="B703" s="453" t="s">
        <v>1748</v>
      </c>
      <c r="C703" s="453" t="s">
        <v>1742</v>
      </c>
      <c r="D703" s="550">
        <v>53</v>
      </c>
      <c r="F703" s="453">
        <v>1960</v>
      </c>
      <c r="G703" s="453">
        <v>2025</v>
      </c>
      <c r="H703" s="472">
        <v>4500</v>
      </c>
      <c r="I703" s="453">
        <v>151000</v>
      </c>
      <c r="J703" s="453">
        <v>1</v>
      </c>
      <c r="K703" s="453">
        <v>0</v>
      </c>
      <c r="L703" s="453" t="s">
        <v>121</v>
      </c>
      <c r="M703" s="453">
        <v>1</v>
      </c>
      <c r="N703" s="453" t="s">
        <v>122</v>
      </c>
      <c r="O703" s="453">
        <v>360</v>
      </c>
      <c r="P703" s="453" t="s">
        <v>123</v>
      </c>
      <c r="Q703" s="453" t="s">
        <v>133</v>
      </c>
      <c r="R703" s="453">
        <v>0</v>
      </c>
      <c r="S703" s="453">
        <v>0</v>
      </c>
      <c r="T703" s="453">
        <v>1</v>
      </c>
      <c r="V703" s="453">
        <v>100</v>
      </c>
      <c r="W703" s="453">
        <v>1000</v>
      </c>
      <c r="X703" s="453" t="s">
        <v>125</v>
      </c>
      <c r="Z703" s="453" t="s">
        <v>150</v>
      </c>
      <c r="AA703" s="453">
        <v>1277</v>
      </c>
      <c r="AC703" s="453" t="s">
        <v>1748</v>
      </c>
    </row>
    <row r="704" spans="1:29">
      <c r="A704" s="453">
        <v>703</v>
      </c>
      <c r="B704" s="453" t="s">
        <v>1749</v>
      </c>
      <c r="C704" s="453" t="s">
        <v>1742</v>
      </c>
      <c r="D704" s="550">
        <v>54</v>
      </c>
      <c r="F704" s="453">
        <v>1960</v>
      </c>
      <c r="G704" s="453">
        <v>2025</v>
      </c>
      <c r="H704" s="472">
        <v>99500</v>
      </c>
      <c r="I704" s="453">
        <v>171000</v>
      </c>
      <c r="J704" s="453">
        <v>1</v>
      </c>
      <c r="K704" s="453">
        <v>1</v>
      </c>
      <c r="L704" s="453" t="s">
        <v>121</v>
      </c>
      <c r="M704" s="453">
        <v>1</v>
      </c>
      <c r="N704" s="453" t="s">
        <v>122</v>
      </c>
      <c r="O704" s="453">
        <v>355</v>
      </c>
      <c r="P704" s="453" t="s">
        <v>123</v>
      </c>
      <c r="Q704" s="453" t="s">
        <v>133</v>
      </c>
      <c r="R704" s="453">
        <v>0</v>
      </c>
      <c r="S704" s="453">
        <v>0</v>
      </c>
      <c r="T704" s="453">
        <v>1</v>
      </c>
      <c r="V704" s="453">
        <v>100</v>
      </c>
      <c r="W704" s="453">
        <v>0.1</v>
      </c>
      <c r="X704" s="453" t="s">
        <v>125</v>
      </c>
      <c r="Z704" s="453" t="s">
        <v>150</v>
      </c>
      <c r="AA704" s="453">
        <v>1278</v>
      </c>
      <c r="AC704" s="453" t="s">
        <v>1749</v>
      </c>
    </row>
    <row r="705" spans="1:29">
      <c r="A705" s="453">
        <v>704</v>
      </c>
      <c r="B705" s="453" t="s">
        <v>1750</v>
      </c>
      <c r="C705" s="453" t="s">
        <v>1742</v>
      </c>
      <c r="D705" s="550">
        <v>55</v>
      </c>
      <c r="F705" s="453">
        <v>1960</v>
      </c>
      <c r="G705" s="453">
        <v>2025</v>
      </c>
      <c r="H705" s="472">
        <v>49500</v>
      </c>
      <c r="I705" s="453">
        <v>201000</v>
      </c>
      <c r="J705" s="453">
        <v>1</v>
      </c>
      <c r="K705" s="453">
        <v>0</v>
      </c>
      <c r="L705" s="453" t="s">
        <v>121</v>
      </c>
      <c r="M705" s="453">
        <v>1</v>
      </c>
      <c r="N705" s="453" t="s">
        <v>122</v>
      </c>
      <c r="O705" s="453">
        <v>360</v>
      </c>
      <c r="P705" s="453" t="s">
        <v>123</v>
      </c>
      <c r="Q705" s="453" t="s">
        <v>133</v>
      </c>
      <c r="R705" s="453">
        <v>0.6</v>
      </c>
      <c r="S705" s="453">
        <v>0.5</v>
      </c>
      <c r="T705" s="453">
        <v>1</v>
      </c>
      <c r="V705" s="453">
        <v>100</v>
      </c>
      <c r="W705" s="453">
        <v>0.1</v>
      </c>
      <c r="X705" s="453" t="s">
        <v>125</v>
      </c>
      <c r="AA705" s="453">
        <v>1279</v>
      </c>
      <c r="AB705" s="453" t="s">
        <v>1751</v>
      </c>
      <c r="AC705" s="453" t="s">
        <v>1750</v>
      </c>
    </row>
    <row r="706" spans="1:29">
      <c r="A706" s="453">
        <v>705</v>
      </c>
      <c r="B706" s="453" t="s">
        <v>1752</v>
      </c>
      <c r="C706" s="453" t="s">
        <v>1742</v>
      </c>
      <c r="D706" s="550" t="s">
        <v>1753</v>
      </c>
      <c r="F706" s="453">
        <v>1960</v>
      </c>
      <c r="G706" s="453">
        <v>2025</v>
      </c>
      <c r="H706" s="472">
        <v>35000</v>
      </c>
      <c r="I706" s="453">
        <v>150000</v>
      </c>
      <c r="J706" s="453">
        <v>1</v>
      </c>
      <c r="K706" s="453">
        <v>3</v>
      </c>
      <c r="L706" s="453" t="s">
        <v>121</v>
      </c>
      <c r="M706" s="453">
        <v>1</v>
      </c>
      <c r="N706" s="453" t="s">
        <v>122</v>
      </c>
      <c r="O706" s="453">
        <v>360</v>
      </c>
      <c r="P706" s="453" t="s">
        <v>132</v>
      </c>
      <c r="Q706" s="453" t="s">
        <v>124</v>
      </c>
      <c r="R706" s="453">
        <v>-0.15</v>
      </c>
      <c r="S706" s="453">
        <v>0</v>
      </c>
      <c r="T706" s="453">
        <v>1</v>
      </c>
      <c r="V706" s="453">
        <v>100</v>
      </c>
      <c r="W706" s="453">
        <v>1000</v>
      </c>
      <c r="X706" s="453" t="s">
        <v>125</v>
      </c>
      <c r="Z706" s="453" t="s">
        <v>150</v>
      </c>
      <c r="AB706" s="453" t="s">
        <v>1754</v>
      </c>
      <c r="AC706" s="453" t="s">
        <v>1752</v>
      </c>
    </row>
    <row r="707" spans="1:29">
      <c r="A707" s="453">
        <v>706</v>
      </c>
      <c r="B707" s="453" t="s">
        <v>1755</v>
      </c>
      <c r="C707" s="453" t="s">
        <v>1742</v>
      </c>
      <c r="D707" s="550" t="s">
        <v>1756</v>
      </c>
      <c r="F707" s="453">
        <v>1960</v>
      </c>
      <c r="G707" s="453">
        <v>2025</v>
      </c>
      <c r="H707" s="472">
        <v>74500</v>
      </c>
      <c r="I707" s="453">
        <v>151000</v>
      </c>
      <c r="J707" s="453">
        <v>1</v>
      </c>
      <c r="K707" s="453">
        <v>1</v>
      </c>
      <c r="L707" s="453" t="s">
        <v>121</v>
      </c>
      <c r="M707" s="453">
        <v>1</v>
      </c>
      <c r="N707" s="453" t="s">
        <v>122</v>
      </c>
      <c r="O707" s="453">
        <v>360</v>
      </c>
      <c r="P707" s="453" t="s">
        <v>130</v>
      </c>
      <c r="Q707" s="453" t="s">
        <v>133</v>
      </c>
      <c r="R707" s="453">
        <v>0</v>
      </c>
      <c r="S707" s="453">
        <v>0</v>
      </c>
      <c r="T707" s="453">
        <v>1</v>
      </c>
      <c r="V707" s="453">
        <v>100</v>
      </c>
      <c r="W707" s="453">
        <v>1000</v>
      </c>
      <c r="X707" s="453" t="s">
        <v>125</v>
      </c>
      <c r="Z707" s="453" t="s">
        <v>150</v>
      </c>
      <c r="AA707" s="453">
        <v>1276</v>
      </c>
      <c r="AC707" s="453" t="s">
        <v>1755</v>
      </c>
    </row>
    <row r="708" spans="1:29">
      <c r="A708" s="453">
        <v>707</v>
      </c>
      <c r="B708" s="453" t="s">
        <v>1757</v>
      </c>
      <c r="C708" s="453" t="s">
        <v>1758</v>
      </c>
      <c r="D708" s="550" t="s">
        <v>1759</v>
      </c>
      <c r="F708" s="453">
        <v>2005</v>
      </c>
      <c r="G708" s="453">
        <v>2016</v>
      </c>
      <c r="H708" s="472">
        <v>50000</v>
      </c>
      <c r="I708" s="453">
        <v>150000</v>
      </c>
      <c r="J708" s="453">
        <v>1</v>
      </c>
      <c r="K708" s="453">
        <v>1</v>
      </c>
      <c r="L708" s="453" t="s">
        <v>154</v>
      </c>
      <c r="M708" s="453">
        <v>1</v>
      </c>
      <c r="N708" s="453" t="s">
        <v>122</v>
      </c>
      <c r="O708" s="453">
        <v>100</v>
      </c>
      <c r="P708" s="453" t="s">
        <v>148</v>
      </c>
      <c r="Q708" s="453" t="s">
        <v>149</v>
      </c>
      <c r="R708" s="453">
        <v>0</v>
      </c>
      <c r="T708" s="453">
        <v>2</v>
      </c>
      <c r="V708" s="453">
        <v>50</v>
      </c>
      <c r="W708" s="453">
        <v>250</v>
      </c>
      <c r="X708" s="453" t="s">
        <v>58</v>
      </c>
      <c r="Z708" s="453" t="s">
        <v>150</v>
      </c>
      <c r="AA708" s="453">
        <v>1342</v>
      </c>
      <c r="AC708" s="453" t="s">
        <v>1757</v>
      </c>
    </row>
    <row r="709" spans="1:29">
      <c r="A709" s="453">
        <v>708</v>
      </c>
      <c r="B709" s="453" t="s">
        <v>1760</v>
      </c>
      <c r="C709" s="453" t="s">
        <v>1758</v>
      </c>
      <c r="D709" s="550" t="s">
        <v>1761</v>
      </c>
      <c r="F709" s="453">
        <v>1995</v>
      </c>
      <c r="G709" s="453">
        <v>2004</v>
      </c>
      <c r="H709" s="472">
        <v>89500</v>
      </c>
      <c r="I709" s="453">
        <v>126000</v>
      </c>
      <c r="J709" s="453">
        <v>1</v>
      </c>
      <c r="K709" s="453">
        <v>1</v>
      </c>
      <c r="L709" s="453" t="s">
        <v>147</v>
      </c>
      <c r="M709" s="453">
        <v>1</v>
      </c>
      <c r="N709" s="453" t="s">
        <v>122</v>
      </c>
      <c r="O709" s="453">
        <v>116</v>
      </c>
      <c r="P709" s="453" t="s">
        <v>148</v>
      </c>
      <c r="Q709" s="453" t="s">
        <v>149</v>
      </c>
      <c r="R709" s="453">
        <v>0</v>
      </c>
      <c r="T709" s="453">
        <v>4</v>
      </c>
      <c r="V709" s="453">
        <v>50</v>
      </c>
      <c r="W709" s="453">
        <v>250</v>
      </c>
      <c r="X709" s="453" t="s">
        <v>58</v>
      </c>
      <c r="Z709" s="453" t="s">
        <v>150</v>
      </c>
      <c r="AA709" s="453">
        <v>1281</v>
      </c>
      <c r="AC709" s="453" t="s">
        <v>1760</v>
      </c>
    </row>
    <row r="710" spans="1:29">
      <c r="A710" s="453">
        <v>709</v>
      </c>
      <c r="B710" s="453" t="s">
        <v>1762</v>
      </c>
      <c r="C710" s="453" t="s">
        <v>1763</v>
      </c>
      <c r="D710" s="550">
        <v>142</v>
      </c>
      <c r="F710" s="453">
        <v>1981</v>
      </c>
      <c r="G710" s="453">
        <v>1994</v>
      </c>
      <c r="H710" s="472">
        <v>49500</v>
      </c>
      <c r="I710" s="453">
        <v>151000</v>
      </c>
      <c r="J710" s="453">
        <v>1</v>
      </c>
      <c r="K710" s="453">
        <v>1</v>
      </c>
      <c r="L710" s="453" t="s">
        <v>147</v>
      </c>
      <c r="M710" s="453">
        <v>1</v>
      </c>
      <c r="N710" s="453" t="s">
        <v>122</v>
      </c>
      <c r="O710" s="453">
        <v>180</v>
      </c>
      <c r="P710" s="453" t="s">
        <v>148</v>
      </c>
      <c r="Q710" s="453" t="s">
        <v>149</v>
      </c>
      <c r="R710" s="453">
        <v>0.5</v>
      </c>
      <c r="T710" s="453">
        <v>4</v>
      </c>
      <c r="V710" s="453">
        <v>50</v>
      </c>
      <c r="W710" s="453">
        <v>250</v>
      </c>
      <c r="X710" s="453" t="s">
        <v>125</v>
      </c>
      <c r="Z710" s="453" t="s">
        <v>150</v>
      </c>
      <c r="AA710" s="453">
        <v>1291</v>
      </c>
      <c r="AC710" s="453" t="s">
        <v>1762</v>
      </c>
    </row>
    <row r="711" spans="1:29">
      <c r="A711" s="453">
        <v>710</v>
      </c>
      <c r="B711" s="453" t="s">
        <v>1764</v>
      </c>
      <c r="C711" s="453" t="s">
        <v>1763</v>
      </c>
      <c r="D711" s="550">
        <v>242</v>
      </c>
      <c r="F711" s="453">
        <v>1981</v>
      </c>
      <c r="G711" s="453">
        <v>2005</v>
      </c>
      <c r="H711" s="472">
        <v>49500</v>
      </c>
      <c r="I711" s="453">
        <v>151000</v>
      </c>
      <c r="J711" s="453">
        <v>1</v>
      </c>
      <c r="K711" s="453">
        <v>1</v>
      </c>
      <c r="L711" s="453" t="s">
        <v>147</v>
      </c>
      <c r="M711" s="453">
        <v>1</v>
      </c>
      <c r="N711" s="453" t="s">
        <v>122</v>
      </c>
      <c r="O711" s="453">
        <v>180</v>
      </c>
      <c r="P711" s="453" t="s">
        <v>148</v>
      </c>
      <c r="Q711" s="453" t="s">
        <v>124</v>
      </c>
      <c r="R711" s="453">
        <v>0.5</v>
      </c>
      <c r="T711" s="453">
        <v>4</v>
      </c>
      <c r="V711" s="453">
        <v>50</v>
      </c>
      <c r="W711" s="453">
        <v>250</v>
      </c>
      <c r="X711" s="453" t="s">
        <v>125</v>
      </c>
      <c r="Z711" s="453" t="s">
        <v>150</v>
      </c>
      <c r="AA711" s="453">
        <v>1293</v>
      </c>
      <c r="AC711" s="453" t="s">
        <v>1764</v>
      </c>
    </row>
    <row r="712" spans="1:29">
      <c r="A712" s="453">
        <v>711</v>
      </c>
      <c r="B712" s="453" t="s">
        <v>1765</v>
      </c>
      <c r="C712" s="453" t="s">
        <v>1763</v>
      </c>
      <c r="D712" s="550" t="s">
        <v>1766</v>
      </c>
      <c r="F712" s="453">
        <v>1995</v>
      </c>
      <c r="G712" s="453">
        <v>2009</v>
      </c>
      <c r="H712" s="472">
        <v>124500</v>
      </c>
      <c r="I712" s="453">
        <v>166000</v>
      </c>
      <c r="J712" s="453">
        <v>1</v>
      </c>
      <c r="K712" s="453">
        <v>3</v>
      </c>
      <c r="L712" s="453" t="s">
        <v>147</v>
      </c>
      <c r="M712" s="453">
        <v>1</v>
      </c>
      <c r="N712" s="453" t="s">
        <v>122</v>
      </c>
      <c r="O712" s="453">
        <v>235</v>
      </c>
      <c r="P712" s="453" t="s">
        <v>148</v>
      </c>
      <c r="Q712" s="453" t="s">
        <v>124</v>
      </c>
      <c r="R712" s="453">
        <v>0.5</v>
      </c>
      <c r="T712" s="453">
        <v>5</v>
      </c>
      <c r="V712" s="453">
        <v>50</v>
      </c>
      <c r="W712" s="453">
        <v>250</v>
      </c>
      <c r="X712" s="453" t="s">
        <v>125</v>
      </c>
      <c r="Z712" s="453" t="s">
        <v>150</v>
      </c>
      <c r="AA712" s="453">
        <v>1292</v>
      </c>
      <c r="AC712" s="453" t="s">
        <v>1765</v>
      </c>
    </row>
    <row r="713" spans="1:29">
      <c r="A713" s="453">
        <v>712</v>
      </c>
      <c r="B713" s="453" t="s">
        <v>1767</v>
      </c>
      <c r="C713" s="453" t="s">
        <v>1763</v>
      </c>
      <c r="D713" s="550" t="s">
        <v>1768</v>
      </c>
      <c r="F713" s="453">
        <v>1976</v>
      </c>
      <c r="G713" s="453">
        <v>1991</v>
      </c>
      <c r="H713" s="472">
        <v>49500</v>
      </c>
      <c r="I713" s="453">
        <v>151000</v>
      </c>
      <c r="J713" s="453">
        <v>1</v>
      </c>
      <c r="K713" s="453">
        <v>0</v>
      </c>
      <c r="L713" s="453" t="s">
        <v>147</v>
      </c>
      <c r="M713" s="453">
        <v>1</v>
      </c>
      <c r="N713" s="453" t="s">
        <v>122</v>
      </c>
      <c r="O713" s="453">
        <v>360</v>
      </c>
      <c r="P713" s="453" t="s">
        <v>123</v>
      </c>
      <c r="Q713" s="453" t="s">
        <v>124</v>
      </c>
      <c r="R713" s="453">
        <v>0.5</v>
      </c>
      <c r="S713" s="453">
        <v>0.25</v>
      </c>
      <c r="T713" s="453">
        <v>8</v>
      </c>
      <c r="V713" s="453">
        <v>1000</v>
      </c>
      <c r="W713" s="453">
        <v>0.1</v>
      </c>
      <c r="X713" s="453" t="s">
        <v>125</v>
      </c>
      <c r="Z713" s="453" t="s">
        <v>150</v>
      </c>
      <c r="AA713" s="453">
        <v>1294</v>
      </c>
      <c r="AC713" s="453" t="s">
        <v>1767</v>
      </c>
    </row>
    <row r="714" spans="1:29">
      <c r="A714" s="453">
        <v>713</v>
      </c>
      <c r="B714" s="453" t="s">
        <v>1769</v>
      </c>
      <c r="C714" s="453" t="s">
        <v>1763</v>
      </c>
      <c r="D714" s="550" t="s">
        <v>1770</v>
      </c>
      <c r="F714" s="453">
        <v>2000</v>
      </c>
      <c r="G714" s="453">
        <v>2016</v>
      </c>
      <c r="H714" s="472">
        <v>70000</v>
      </c>
      <c r="I714" s="453">
        <v>150000</v>
      </c>
      <c r="J714" s="453">
        <v>1</v>
      </c>
      <c r="K714" s="453">
        <v>1</v>
      </c>
      <c r="L714" s="453" t="s">
        <v>154</v>
      </c>
      <c r="M714" s="453">
        <v>1</v>
      </c>
      <c r="N714" s="453" t="s">
        <v>122</v>
      </c>
      <c r="O714" s="453">
        <v>100</v>
      </c>
      <c r="P714" s="453" t="s">
        <v>123</v>
      </c>
      <c r="Q714" s="453" t="s">
        <v>149</v>
      </c>
      <c r="R714" s="453">
        <v>0</v>
      </c>
      <c r="T714" s="453">
        <v>3</v>
      </c>
      <c r="V714" s="453">
        <v>100</v>
      </c>
      <c r="W714" s="453">
        <v>500</v>
      </c>
      <c r="X714" s="453" t="s">
        <v>58</v>
      </c>
      <c r="Z714" s="453" t="s">
        <v>150</v>
      </c>
      <c r="AA714" s="453">
        <v>1295</v>
      </c>
      <c r="AC714" s="453" t="s">
        <v>1769</v>
      </c>
    </row>
    <row r="715" spans="1:29">
      <c r="A715" s="453">
        <v>714</v>
      </c>
      <c r="B715" s="453" t="s">
        <v>1771</v>
      </c>
      <c r="C715" s="453" t="s">
        <v>1763</v>
      </c>
      <c r="D715" s="550" t="s">
        <v>1772</v>
      </c>
      <c r="F715" s="453">
        <v>1956</v>
      </c>
      <c r="G715" s="453">
        <v>1966</v>
      </c>
      <c r="H715" s="472">
        <v>24500</v>
      </c>
      <c r="I715" s="453">
        <v>51000</v>
      </c>
      <c r="J715" s="453">
        <v>1</v>
      </c>
      <c r="K715" s="453">
        <v>0</v>
      </c>
      <c r="L715" s="453" t="s">
        <v>147</v>
      </c>
      <c r="M715" s="453">
        <v>1</v>
      </c>
      <c r="N715" s="453" t="s">
        <v>122</v>
      </c>
      <c r="O715" s="453">
        <v>150</v>
      </c>
      <c r="P715" s="453" t="s">
        <v>148</v>
      </c>
      <c r="Q715" s="453" t="s">
        <v>149</v>
      </c>
      <c r="R715" s="453">
        <v>0.5</v>
      </c>
      <c r="T715" s="453">
        <v>4</v>
      </c>
      <c r="V715" s="453">
        <v>50</v>
      </c>
      <c r="W715" s="453">
        <v>250</v>
      </c>
      <c r="X715" s="453" t="s">
        <v>125</v>
      </c>
      <c r="Z715" s="453" t="s">
        <v>150</v>
      </c>
      <c r="AA715" s="453">
        <v>1297</v>
      </c>
      <c r="AC715" s="453" t="s">
        <v>1771</v>
      </c>
    </row>
    <row r="716" spans="1:29">
      <c r="A716"/>
      <c r="B716"/>
      <c r="C716"/>
      <c r="D716" s="551"/>
      <c r="E716"/>
      <c r="F716"/>
      <c r="G716"/>
      <c r="H716"/>
      <c r="I716"/>
      <c r="J716"/>
      <c r="K716"/>
      <c r="L716"/>
      <c r="M716"/>
      <c r="N716"/>
      <c r="O716"/>
      <c r="P716"/>
      <c r="Q716"/>
      <c r="R716"/>
      <c r="S716"/>
      <c r="T716"/>
      <c r="U716"/>
      <c r="V716"/>
      <c r="W716"/>
      <c r="X716"/>
      <c r="Y716"/>
      <c r="Z716"/>
      <c r="AA716"/>
      <c r="AB716"/>
      <c r="AC716"/>
    </row>
    <row r="717" spans="1:29">
      <c r="A717"/>
      <c r="B717"/>
      <c r="C717"/>
      <c r="D717" s="551"/>
      <c r="E717"/>
      <c r="F717"/>
      <c r="G717"/>
      <c r="H717"/>
      <c r="I717"/>
      <c r="J717"/>
      <c r="K717"/>
      <c r="L717"/>
      <c r="M717"/>
      <c r="N717"/>
      <c r="O717"/>
      <c r="P717"/>
      <c r="Q717"/>
      <c r="R717"/>
      <c r="S717"/>
      <c r="T717"/>
      <c r="U717"/>
      <c r="V717"/>
      <c r="W717"/>
      <c r="X717"/>
      <c r="Y717"/>
      <c r="Z717"/>
      <c r="AA717"/>
      <c r="AB717"/>
      <c r="AC717"/>
    </row>
    <row r="718" spans="1:29">
      <c r="A718"/>
      <c r="B718"/>
      <c r="C718"/>
      <c r="D718" s="551"/>
      <c r="E718"/>
      <c r="F718"/>
      <c r="G718"/>
      <c r="H718"/>
      <c r="I718"/>
      <c r="J718"/>
      <c r="K718"/>
      <c r="L718"/>
      <c r="M718"/>
      <c r="N718"/>
      <c r="O718"/>
      <c r="P718"/>
      <c r="Q718"/>
      <c r="R718"/>
      <c r="S718"/>
      <c r="T718"/>
      <c r="U718"/>
      <c r="V718"/>
      <c r="W718"/>
      <c r="X718"/>
      <c r="Y718"/>
      <c r="Z718"/>
      <c r="AA718"/>
      <c r="AB718"/>
      <c r="AC718"/>
    </row>
    <row r="719" spans="1:29">
      <c r="A719"/>
      <c r="B719"/>
      <c r="C719"/>
      <c r="D719" s="551"/>
      <c r="E719"/>
      <c r="F719"/>
      <c r="G719"/>
      <c r="H719"/>
      <c r="I719"/>
      <c r="J719"/>
      <c r="K719"/>
      <c r="L719"/>
      <c r="M719"/>
      <c r="N719"/>
      <c r="O719"/>
      <c r="P719"/>
      <c r="Q719"/>
      <c r="R719"/>
      <c r="S719"/>
      <c r="T719"/>
      <c r="U719"/>
      <c r="V719"/>
      <c r="W719"/>
      <c r="X719"/>
      <c r="Y719"/>
      <c r="Z719"/>
      <c r="AA719"/>
      <c r="AB719"/>
      <c r="AC719"/>
    </row>
    <row r="720" spans="1:29">
      <c r="A720"/>
      <c r="B720"/>
      <c r="C720"/>
      <c r="D720" s="551"/>
      <c r="E720"/>
      <c r="F720"/>
      <c r="G720"/>
      <c r="H720"/>
      <c r="I720"/>
      <c r="J720"/>
      <c r="K720"/>
      <c r="L720"/>
      <c r="M720"/>
      <c r="N720"/>
      <c r="O720"/>
      <c r="P720"/>
      <c r="Q720"/>
      <c r="R720"/>
      <c r="S720"/>
      <c r="T720"/>
      <c r="U720"/>
      <c r="V720"/>
      <c r="W720"/>
      <c r="X720"/>
      <c r="Y720"/>
      <c r="Z720"/>
      <c r="AA720"/>
      <c r="AB720"/>
      <c r="AC720"/>
    </row>
    <row r="721" spans="1:29">
      <c r="A721"/>
      <c r="B721"/>
      <c r="C721"/>
      <c r="D721" s="551"/>
      <c r="E721"/>
      <c r="F721"/>
      <c r="G721"/>
      <c r="H721"/>
      <c r="I721"/>
      <c r="J721"/>
      <c r="K721"/>
      <c r="L721"/>
      <c r="M721"/>
      <c r="N721"/>
      <c r="O721"/>
      <c r="P721"/>
      <c r="Q721"/>
      <c r="R721"/>
      <c r="S721"/>
      <c r="T721"/>
      <c r="U721"/>
      <c r="V721"/>
      <c r="W721"/>
      <c r="X721"/>
      <c r="Y721"/>
      <c r="Z721"/>
      <c r="AA721"/>
      <c r="AB721"/>
      <c r="AC721"/>
    </row>
    <row r="722" spans="1:29">
      <c r="A722"/>
      <c r="B722"/>
      <c r="C722"/>
      <c r="D722" s="551"/>
      <c r="E722"/>
      <c r="F722"/>
      <c r="G722"/>
      <c r="H722"/>
      <c r="I722"/>
      <c r="J722"/>
      <c r="K722"/>
      <c r="L722"/>
      <c r="M722"/>
      <c r="N722"/>
      <c r="O722"/>
      <c r="P722"/>
      <c r="Q722"/>
      <c r="R722"/>
      <c r="S722"/>
      <c r="T722"/>
      <c r="U722"/>
      <c r="V722"/>
      <c r="W722"/>
      <c r="X722"/>
      <c r="Y722"/>
      <c r="Z722"/>
      <c r="AA722"/>
      <c r="AB722"/>
      <c r="AC722"/>
    </row>
    <row r="723" spans="1:29">
      <c r="A723"/>
      <c r="B723"/>
      <c r="C723"/>
      <c r="D723" s="551"/>
      <c r="E723"/>
      <c r="F723"/>
      <c r="G723"/>
      <c r="H723"/>
      <c r="I723"/>
      <c r="J723"/>
      <c r="K723"/>
      <c r="L723"/>
      <c r="M723"/>
      <c r="N723"/>
      <c r="O723"/>
      <c r="P723"/>
      <c r="Q723"/>
      <c r="R723"/>
      <c r="S723"/>
      <c r="T723"/>
      <c r="U723"/>
      <c r="V723"/>
      <c r="W723"/>
      <c r="X723"/>
      <c r="Y723"/>
      <c r="Z723"/>
      <c r="AA723"/>
      <c r="AB723"/>
      <c r="AC723"/>
    </row>
    <row r="724" spans="1:29">
      <c r="A724"/>
      <c r="B724"/>
      <c r="C724"/>
      <c r="D724" s="551"/>
      <c r="E724"/>
      <c r="F724"/>
      <c r="G724"/>
      <c r="H724"/>
      <c r="I724"/>
      <c r="J724"/>
      <c r="K724"/>
      <c r="L724"/>
      <c r="M724"/>
      <c r="N724"/>
      <c r="O724"/>
      <c r="P724"/>
      <c r="Q724"/>
      <c r="R724"/>
      <c r="S724"/>
      <c r="T724"/>
      <c r="U724"/>
      <c r="V724"/>
      <c r="W724"/>
      <c r="X724"/>
      <c r="Y724"/>
      <c r="Z724"/>
      <c r="AA724"/>
      <c r="AB724"/>
      <c r="AC724"/>
    </row>
    <row r="725" spans="1:29">
      <c r="A725"/>
      <c r="B725"/>
      <c r="C725"/>
      <c r="D725" s="551"/>
      <c r="E725"/>
      <c r="F725"/>
      <c r="G725"/>
      <c r="H725"/>
      <c r="I725"/>
      <c r="J725"/>
      <c r="K725"/>
      <c r="L725"/>
      <c r="M725"/>
      <c r="N725"/>
      <c r="O725"/>
      <c r="P725"/>
      <c r="Q725"/>
      <c r="R725"/>
      <c r="S725"/>
      <c r="T725"/>
      <c r="U725"/>
      <c r="V725"/>
      <c r="W725"/>
      <c r="X725"/>
      <c r="Y725"/>
      <c r="Z725"/>
      <c r="AA725"/>
      <c r="AB725"/>
      <c r="AC725"/>
    </row>
    <row r="726" spans="1:29">
      <c r="A726"/>
      <c r="B726"/>
      <c r="C726"/>
      <c r="D726" s="551"/>
      <c r="E726"/>
      <c r="F726"/>
      <c r="G726"/>
      <c r="H726"/>
      <c r="I726"/>
      <c r="J726"/>
      <c r="K726"/>
      <c r="L726"/>
      <c r="M726"/>
      <c r="N726"/>
      <c r="O726"/>
      <c r="P726"/>
      <c r="Q726"/>
      <c r="R726"/>
      <c r="S726"/>
      <c r="T726"/>
      <c r="U726"/>
      <c r="V726"/>
      <c r="W726"/>
      <c r="X726"/>
      <c r="Y726"/>
      <c r="Z726"/>
      <c r="AA726"/>
      <c r="AB726"/>
      <c r="AC726"/>
    </row>
    <row r="727" spans="1:29">
      <c r="A727"/>
      <c r="B727"/>
      <c r="C727"/>
      <c r="D727" s="551"/>
      <c r="E727"/>
      <c r="F727"/>
      <c r="G727"/>
      <c r="H727"/>
      <c r="I727"/>
      <c r="J727"/>
      <c r="K727"/>
      <c r="L727"/>
      <c r="M727"/>
      <c r="N727"/>
      <c r="O727"/>
      <c r="P727"/>
      <c r="Q727"/>
      <c r="R727"/>
      <c r="S727"/>
      <c r="T727"/>
      <c r="U727"/>
      <c r="V727"/>
      <c r="W727"/>
      <c r="X727"/>
      <c r="Y727"/>
      <c r="Z727"/>
      <c r="AA727"/>
      <c r="AB727"/>
      <c r="AC727"/>
    </row>
    <row r="728" spans="1:29">
      <c r="A728"/>
      <c r="B728"/>
      <c r="C728"/>
      <c r="D728" s="551"/>
      <c r="E728"/>
      <c r="F728"/>
      <c r="G728"/>
      <c r="H728"/>
      <c r="I728"/>
      <c r="J728"/>
      <c r="K728"/>
      <c r="L728"/>
      <c r="M728"/>
      <c r="N728"/>
      <c r="O728"/>
      <c r="P728"/>
      <c r="Q728"/>
      <c r="R728"/>
      <c r="S728"/>
      <c r="T728"/>
      <c r="U728"/>
      <c r="V728"/>
      <c r="W728"/>
      <c r="X728"/>
      <c r="Y728"/>
      <c r="Z728"/>
      <c r="AA728"/>
      <c r="AB728"/>
      <c r="AC728"/>
    </row>
    <row r="729" spans="1:29">
      <c r="A729"/>
      <c r="B729"/>
      <c r="C729"/>
      <c r="D729" s="551"/>
      <c r="E729"/>
      <c r="F729"/>
      <c r="G729"/>
      <c r="H729"/>
      <c r="I729"/>
      <c r="J729"/>
      <c r="K729"/>
      <c r="L729"/>
      <c r="M729"/>
      <c r="N729"/>
      <c r="O729"/>
      <c r="P729"/>
      <c r="Q729"/>
      <c r="R729"/>
      <c r="S729"/>
      <c r="T729"/>
      <c r="U729"/>
      <c r="V729"/>
      <c r="W729"/>
      <c r="X729"/>
      <c r="Y729"/>
      <c r="Z729"/>
      <c r="AA729"/>
      <c r="AB729"/>
      <c r="AC729"/>
    </row>
    <row r="730" spans="1:29">
      <c r="A730"/>
      <c r="B730"/>
      <c r="C730"/>
      <c r="D730" s="551"/>
      <c r="E730"/>
      <c r="F730"/>
      <c r="G730"/>
      <c r="H730"/>
      <c r="I730"/>
      <c r="J730"/>
      <c r="K730"/>
      <c r="L730"/>
      <c r="M730"/>
      <c r="N730"/>
      <c r="O730"/>
      <c r="P730"/>
      <c r="Q730"/>
      <c r="R730"/>
      <c r="S730"/>
      <c r="T730"/>
      <c r="U730"/>
      <c r="V730"/>
      <c r="W730"/>
      <c r="X730"/>
      <c r="Y730"/>
      <c r="Z730"/>
      <c r="AA730"/>
      <c r="AB730"/>
      <c r="AC730"/>
    </row>
    <row r="731" spans="1:29">
      <c r="A731"/>
      <c r="B731"/>
      <c r="C731"/>
      <c r="D731" s="551"/>
      <c r="E731"/>
      <c r="F731"/>
      <c r="G731"/>
      <c r="H731"/>
      <c r="I731"/>
      <c r="J731"/>
      <c r="K731"/>
      <c r="L731"/>
      <c r="M731"/>
      <c r="N731"/>
      <c r="O731"/>
      <c r="P731"/>
      <c r="Q731"/>
      <c r="R731"/>
      <c r="S731"/>
      <c r="T731"/>
      <c r="U731"/>
      <c r="V731"/>
      <c r="W731"/>
      <c r="X731"/>
      <c r="Y731"/>
      <c r="Z731"/>
      <c r="AA731"/>
      <c r="AB731"/>
      <c r="AC731"/>
    </row>
    <row r="732" spans="1:29">
      <c r="A732"/>
      <c r="B732"/>
      <c r="C732"/>
      <c r="D732" s="551"/>
      <c r="E732"/>
      <c r="F732"/>
      <c r="G732"/>
      <c r="H732"/>
      <c r="I732"/>
      <c r="J732"/>
      <c r="K732"/>
      <c r="L732"/>
      <c r="M732"/>
      <c r="N732"/>
      <c r="O732"/>
      <c r="P732"/>
      <c r="Q732"/>
      <c r="R732"/>
      <c r="S732"/>
      <c r="T732"/>
      <c r="U732"/>
      <c r="V732"/>
      <c r="W732"/>
      <c r="X732"/>
      <c r="Y732"/>
      <c r="Z732"/>
      <c r="AA732"/>
      <c r="AB732"/>
      <c r="AC732"/>
    </row>
    <row r="733" spans="1:29">
      <c r="A733"/>
      <c r="B733"/>
      <c r="C733"/>
      <c r="D733" s="551"/>
      <c r="E733"/>
      <c r="F733"/>
      <c r="G733"/>
      <c r="H733"/>
      <c r="I733"/>
      <c r="J733"/>
      <c r="K733"/>
      <c r="L733"/>
      <c r="M733"/>
      <c r="N733"/>
      <c r="O733"/>
      <c r="P733"/>
      <c r="Q733"/>
      <c r="R733"/>
      <c r="S733"/>
      <c r="T733"/>
      <c r="U733"/>
      <c r="V733"/>
      <c r="W733"/>
      <c r="X733"/>
      <c r="Y733"/>
      <c r="Z733"/>
      <c r="AA733"/>
      <c r="AB733"/>
      <c r="AC733"/>
    </row>
    <row r="734" spans="1:29">
      <c r="A734"/>
      <c r="B734"/>
      <c r="C734"/>
      <c r="D734" s="551"/>
      <c r="E734"/>
      <c r="F734"/>
      <c r="G734"/>
      <c r="H734"/>
      <c r="I734"/>
      <c r="J734"/>
      <c r="K734"/>
      <c r="L734"/>
      <c r="M734"/>
      <c r="N734"/>
      <c r="O734"/>
      <c r="P734"/>
      <c r="Q734"/>
      <c r="R734"/>
      <c r="S734"/>
      <c r="T734"/>
      <c r="U734"/>
      <c r="V734"/>
      <c r="W734"/>
      <c r="X734"/>
      <c r="Y734"/>
      <c r="Z734"/>
      <c r="AA734"/>
      <c r="AB734"/>
      <c r="AC734"/>
    </row>
    <row r="735" spans="1:29">
      <c r="A735"/>
      <c r="B735"/>
      <c r="C735"/>
      <c r="D735" s="551"/>
      <c r="E735"/>
      <c r="F735"/>
      <c r="G735"/>
      <c r="H735"/>
      <c r="I735"/>
      <c r="J735"/>
      <c r="K735"/>
      <c r="L735"/>
      <c r="M735"/>
      <c r="N735"/>
      <c r="O735"/>
      <c r="P735"/>
      <c r="Q735"/>
      <c r="R735"/>
      <c r="S735"/>
      <c r="T735"/>
      <c r="U735"/>
      <c r="V735"/>
      <c r="W735"/>
      <c r="X735"/>
      <c r="Y735"/>
      <c r="Z735"/>
      <c r="AA735"/>
      <c r="AB735"/>
      <c r="AC735"/>
    </row>
    <row r="736" spans="1:29">
      <c r="A736"/>
      <c r="B736"/>
      <c r="C736"/>
      <c r="D736" s="551"/>
      <c r="E736"/>
      <c r="F736"/>
      <c r="G736"/>
      <c r="H736"/>
      <c r="I736"/>
      <c r="J736"/>
      <c r="K736"/>
      <c r="L736"/>
      <c r="M736"/>
      <c r="N736"/>
      <c r="O736"/>
      <c r="P736"/>
      <c r="Q736"/>
      <c r="R736"/>
      <c r="S736"/>
      <c r="T736"/>
      <c r="U736"/>
      <c r="V736"/>
      <c r="W736"/>
      <c r="X736"/>
      <c r="Y736"/>
      <c r="Z736"/>
      <c r="AA736"/>
      <c r="AB736"/>
      <c r="AC736"/>
    </row>
    <row r="737" spans="1:29">
      <c r="A737"/>
      <c r="B737"/>
      <c r="C737"/>
      <c r="D737" s="551"/>
      <c r="E737"/>
      <c r="F737"/>
      <c r="G737"/>
      <c r="H737"/>
      <c r="I737"/>
      <c r="J737"/>
      <c r="K737"/>
      <c r="L737"/>
      <c r="M737"/>
      <c r="N737"/>
      <c r="O737"/>
      <c r="P737"/>
      <c r="Q737"/>
      <c r="R737"/>
      <c r="S737"/>
      <c r="T737"/>
      <c r="U737"/>
      <c r="V737"/>
      <c r="W737"/>
      <c r="X737"/>
      <c r="Y737"/>
      <c r="Z737"/>
      <c r="AA737"/>
      <c r="AB737"/>
      <c r="AC737"/>
    </row>
    <row r="738" spans="1:29">
      <c r="A738"/>
      <c r="B738"/>
      <c r="C738"/>
      <c r="D738" s="551"/>
      <c r="E738"/>
      <c r="F738"/>
      <c r="G738"/>
      <c r="H738"/>
      <c r="I738"/>
      <c r="J738"/>
      <c r="K738"/>
      <c r="L738"/>
      <c r="M738"/>
      <c r="N738"/>
      <c r="O738"/>
      <c r="P738"/>
      <c r="Q738"/>
      <c r="R738"/>
      <c r="S738"/>
      <c r="T738"/>
      <c r="U738"/>
      <c r="V738"/>
      <c r="W738"/>
      <c r="X738"/>
      <c r="Y738"/>
      <c r="Z738"/>
      <c r="AA738"/>
      <c r="AB738"/>
      <c r="AC738"/>
    </row>
    <row r="739" spans="1:29">
      <c r="A739"/>
      <c r="B739"/>
      <c r="C739"/>
      <c r="D739" s="551"/>
      <c r="E739"/>
      <c r="F739"/>
      <c r="G739"/>
      <c r="H739"/>
      <c r="I739"/>
      <c r="J739"/>
      <c r="K739"/>
      <c r="L739"/>
      <c r="M739"/>
      <c r="N739"/>
      <c r="O739"/>
      <c r="P739"/>
      <c r="Q739"/>
      <c r="R739"/>
      <c r="S739"/>
      <c r="T739"/>
      <c r="U739"/>
      <c r="V739"/>
      <c r="W739"/>
      <c r="X739"/>
      <c r="Y739"/>
      <c r="Z739"/>
      <c r="AA739"/>
      <c r="AB739"/>
      <c r="AC739"/>
    </row>
    <row r="740" spans="1:29">
      <c r="A740"/>
      <c r="B740"/>
      <c r="C740"/>
      <c r="D740" s="551"/>
      <c r="E740"/>
      <c r="F740"/>
      <c r="G740"/>
      <c r="H740"/>
      <c r="I740"/>
      <c r="J740"/>
      <c r="K740"/>
      <c r="L740"/>
      <c r="M740"/>
      <c r="N740"/>
      <c r="O740"/>
      <c r="P740"/>
      <c r="Q740"/>
      <c r="R740"/>
      <c r="S740"/>
      <c r="T740"/>
      <c r="U740"/>
      <c r="V740"/>
      <c r="W740"/>
      <c r="X740"/>
      <c r="Y740"/>
      <c r="Z740"/>
      <c r="AA740"/>
      <c r="AB740"/>
      <c r="AC740"/>
    </row>
    <row r="741" spans="1:29">
      <c r="A741"/>
      <c r="B741"/>
      <c r="C741"/>
      <c r="D741" s="551"/>
      <c r="E741"/>
      <c r="F741"/>
      <c r="G741"/>
      <c r="H741"/>
      <c r="I741"/>
      <c r="J741"/>
      <c r="K741"/>
      <c r="L741"/>
      <c r="M741"/>
      <c r="N741"/>
      <c r="O741"/>
      <c r="P741"/>
      <c r="Q741"/>
      <c r="R741"/>
      <c r="S741"/>
      <c r="T741"/>
      <c r="U741"/>
      <c r="V741"/>
      <c r="W741"/>
      <c r="X741"/>
      <c r="Y741"/>
      <c r="Z741"/>
      <c r="AA741"/>
      <c r="AB741"/>
      <c r="AC741"/>
    </row>
    <row r="742" spans="1:29">
      <c r="A742"/>
      <c r="B742"/>
      <c r="C742"/>
      <c r="D742" s="551"/>
      <c r="E742"/>
      <c r="F742"/>
      <c r="G742"/>
      <c r="H742"/>
      <c r="I742"/>
      <c r="J742"/>
      <c r="K742"/>
      <c r="L742"/>
      <c r="M742"/>
      <c r="N742"/>
      <c r="O742"/>
      <c r="P742"/>
      <c r="Q742"/>
      <c r="R742"/>
      <c r="S742"/>
      <c r="T742"/>
      <c r="U742"/>
      <c r="V742"/>
      <c r="W742"/>
      <c r="X742"/>
      <c r="Y742"/>
      <c r="Z742"/>
      <c r="AA742"/>
      <c r="AB742"/>
      <c r="AC742"/>
    </row>
    <row r="743" spans="1:29">
      <c r="A743"/>
      <c r="B743"/>
      <c r="C743"/>
      <c r="D743" s="551"/>
      <c r="E743"/>
      <c r="F743"/>
      <c r="G743"/>
      <c r="H743"/>
      <c r="I743"/>
      <c r="J743"/>
      <c r="K743"/>
      <c r="L743"/>
      <c r="M743"/>
      <c r="N743"/>
      <c r="O743"/>
      <c r="P743"/>
      <c r="Q743"/>
      <c r="R743"/>
      <c r="S743"/>
      <c r="T743"/>
      <c r="U743"/>
      <c r="V743"/>
      <c r="W743"/>
      <c r="X743"/>
      <c r="Y743"/>
      <c r="Z743"/>
      <c r="AA743"/>
      <c r="AB743"/>
      <c r="AC743"/>
    </row>
    <row r="744" spans="1:29">
      <c r="A744"/>
      <c r="B744"/>
      <c r="C744"/>
      <c r="D744" s="551"/>
      <c r="E744"/>
      <c r="F744"/>
      <c r="G744"/>
      <c r="H744"/>
      <c r="I744"/>
      <c r="J744"/>
      <c r="K744"/>
      <c r="L744"/>
      <c r="M744"/>
      <c r="N744"/>
      <c r="O744"/>
      <c r="P744"/>
      <c r="Q744"/>
      <c r="R744"/>
      <c r="S744"/>
      <c r="T744"/>
      <c r="U744"/>
      <c r="V744"/>
      <c r="W744"/>
      <c r="X744"/>
      <c r="Y744"/>
      <c r="Z744"/>
      <c r="AA744"/>
      <c r="AB744"/>
      <c r="AC744"/>
    </row>
    <row r="745" spans="1:29">
      <c r="A745"/>
      <c r="B745"/>
      <c r="C745"/>
      <c r="D745" s="551"/>
      <c r="E745"/>
      <c r="F745"/>
      <c r="G745"/>
      <c r="H745"/>
      <c r="I745"/>
      <c r="J745"/>
      <c r="K745"/>
      <c r="L745"/>
      <c r="M745"/>
      <c r="N745"/>
      <c r="O745"/>
      <c r="P745"/>
      <c r="Q745"/>
      <c r="R745"/>
      <c r="S745"/>
      <c r="T745"/>
      <c r="U745"/>
      <c r="V745"/>
      <c r="W745"/>
      <c r="X745"/>
      <c r="Y745"/>
      <c r="Z745"/>
      <c r="AA745"/>
      <c r="AB745"/>
      <c r="AC745"/>
    </row>
    <row r="746" spans="1:29">
      <c r="A746"/>
      <c r="B746"/>
      <c r="C746"/>
      <c r="D746" s="551"/>
      <c r="E746"/>
      <c r="F746"/>
      <c r="G746"/>
      <c r="H746"/>
      <c r="I746"/>
      <c r="J746"/>
      <c r="K746"/>
      <c r="L746"/>
      <c r="M746"/>
      <c r="N746"/>
      <c r="O746"/>
      <c r="P746"/>
      <c r="Q746"/>
      <c r="R746"/>
      <c r="S746"/>
      <c r="T746"/>
      <c r="U746"/>
      <c r="V746"/>
      <c r="W746"/>
      <c r="X746"/>
      <c r="Y746"/>
      <c r="Z746"/>
      <c r="AA746"/>
      <c r="AB746"/>
      <c r="AC746"/>
    </row>
    <row r="747" spans="1:29">
      <c r="A747"/>
      <c r="B747"/>
      <c r="C747"/>
      <c r="D747" s="551"/>
      <c r="E747"/>
      <c r="F747"/>
      <c r="G747"/>
      <c r="H747"/>
      <c r="I747"/>
      <c r="J747"/>
      <c r="K747"/>
      <c r="L747"/>
      <c r="M747"/>
      <c r="N747"/>
      <c r="O747"/>
      <c r="P747"/>
      <c r="Q747"/>
      <c r="R747"/>
      <c r="S747"/>
      <c r="T747"/>
      <c r="U747"/>
      <c r="V747"/>
      <c r="W747"/>
      <c r="X747"/>
      <c r="Y747"/>
      <c r="Z747"/>
      <c r="AA747"/>
      <c r="AB747"/>
      <c r="AC747"/>
    </row>
    <row r="748" spans="1:29">
      <c r="A748"/>
      <c r="B748"/>
      <c r="C748"/>
      <c r="D748" s="551"/>
      <c r="E748"/>
      <c r="F748"/>
      <c r="G748"/>
      <c r="H748"/>
      <c r="I748"/>
      <c r="J748"/>
      <c r="K748"/>
      <c r="L748"/>
      <c r="M748"/>
      <c r="N748"/>
      <c r="O748"/>
      <c r="P748"/>
      <c r="Q748"/>
      <c r="R748"/>
      <c r="S748"/>
      <c r="T748"/>
      <c r="U748"/>
      <c r="V748"/>
      <c r="W748"/>
      <c r="X748"/>
      <c r="Y748"/>
      <c r="Z748"/>
      <c r="AA748"/>
      <c r="AB748"/>
      <c r="AC748"/>
    </row>
    <row r="749" spans="1:29">
      <c r="A749"/>
      <c r="B749"/>
      <c r="C749"/>
      <c r="D749" s="551"/>
      <c r="E749"/>
      <c r="F749"/>
      <c r="G749"/>
      <c r="H749"/>
      <c r="I749"/>
      <c r="J749"/>
      <c r="K749"/>
      <c r="L749"/>
      <c r="M749"/>
      <c r="N749"/>
      <c r="O749"/>
      <c r="P749"/>
      <c r="Q749"/>
      <c r="R749"/>
      <c r="S749"/>
      <c r="T749"/>
      <c r="U749"/>
      <c r="V749"/>
      <c r="W749"/>
      <c r="X749"/>
      <c r="Y749"/>
      <c r="Z749"/>
      <c r="AA749"/>
      <c r="AB749"/>
      <c r="AC749"/>
    </row>
    <row r="750" spans="1:29">
      <c r="A750"/>
      <c r="B750"/>
      <c r="C750"/>
      <c r="D750" s="551"/>
      <c r="E750"/>
      <c r="F750"/>
      <c r="G750"/>
      <c r="H750"/>
      <c r="I750"/>
      <c r="J750"/>
      <c r="K750"/>
      <c r="L750"/>
      <c r="M750"/>
      <c r="N750"/>
      <c r="O750"/>
      <c r="P750"/>
      <c r="Q750"/>
      <c r="R750"/>
      <c r="S750"/>
      <c r="T750"/>
      <c r="U750"/>
      <c r="V750"/>
      <c r="W750"/>
      <c r="X750"/>
      <c r="Y750"/>
      <c r="Z750"/>
      <c r="AA750"/>
      <c r="AB750"/>
      <c r="AC750"/>
    </row>
    <row r="751" spans="1:29">
      <c r="A751"/>
      <c r="B751"/>
      <c r="C751"/>
      <c r="D751" s="551"/>
      <c r="E751"/>
      <c r="F751"/>
      <c r="G751"/>
      <c r="H751"/>
      <c r="I751"/>
      <c r="J751"/>
      <c r="K751"/>
      <c r="L751"/>
      <c r="M751"/>
      <c r="N751"/>
      <c r="O751"/>
      <c r="P751"/>
      <c r="Q751"/>
      <c r="R751"/>
      <c r="S751"/>
      <c r="T751"/>
      <c r="U751"/>
      <c r="V751"/>
      <c r="W751"/>
      <c r="X751"/>
      <c r="Y751"/>
      <c r="Z751"/>
      <c r="AA751"/>
      <c r="AB751"/>
      <c r="AC751"/>
    </row>
    <row r="752" spans="1:29">
      <c r="A752"/>
      <c r="B752"/>
      <c r="C752"/>
      <c r="D752" s="551"/>
      <c r="E752"/>
      <c r="F752"/>
      <c r="G752"/>
      <c r="H752"/>
      <c r="I752"/>
      <c r="J752"/>
      <c r="K752"/>
      <c r="L752"/>
      <c r="M752"/>
      <c r="N752"/>
      <c r="O752"/>
      <c r="P752"/>
      <c r="Q752"/>
      <c r="R752"/>
      <c r="S752"/>
      <c r="T752"/>
      <c r="U752"/>
      <c r="V752"/>
      <c r="W752"/>
      <c r="X752"/>
      <c r="Y752"/>
      <c r="Z752"/>
      <c r="AA752"/>
      <c r="AB752"/>
      <c r="AC752"/>
    </row>
    <row r="753" spans="1:29">
      <c r="A753"/>
      <c r="B753"/>
      <c r="C753"/>
      <c r="D753" s="551"/>
      <c r="E753"/>
      <c r="F753"/>
      <c r="G753"/>
      <c r="H753"/>
      <c r="I753"/>
      <c r="J753"/>
      <c r="K753"/>
      <c r="L753"/>
      <c r="M753"/>
      <c r="N753"/>
      <c r="O753"/>
      <c r="P753"/>
      <c r="Q753"/>
      <c r="R753"/>
      <c r="S753"/>
      <c r="T753"/>
      <c r="U753"/>
      <c r="V753"/>
      <c r="W753"/>
      <c r="X753"/>
      <c r="Y753"/>
      <c r="Z753"/>
      <c r="AA753"/>
      <c r="AB753"/>
      <c r="AC753"/>
    </row>
    <row r="754" spans="1:29">
      <c r="A754"/>
      <c r="B754"/>
      <c r="C754"/>
      <c r="D754" s="551"/>
      <c r="E754"/>
      <c r="F754"/>
      <c r="G754"/>
      <c r="H754"/>
      <c r="I754"/>
      <c r="J754"/>
      <c r="K754"/>
      <c r="L754"/>
      <c r="M754"/>
      <c r="N754"/>
      <c r="O754"/>
      <c r="P754"/>
      <c r="Q754"/>
      <c r="R754"/>
      <c r="S754"/>
      <c r="T754"/>
      <c r="U754"/>
      <c r="V754"/>
      <c r="W754"/>
      <c r="X754"/>
      <c r="Y754"/>
      <c r="Z754"/>
      <c r="AA754"/>
      <c r="AB754"/>
      <c r="AC754"/>
    </row>
    <row r="755" spans="1:29">
      <c r="A755"/>
      <c r="B755"/>
      <c r="C755"/>
      <c r="D755" s="551"/>
      <c r="E755"/>
      <c r="F755"/>
      <c r="G755"/>
      <c r="H755"/>
      <c r="I755"/>
      <c r="J755"/>
      <c r="K755"/>
      <c r="L755"/>
      <c r="M755"/>
      <c r="N755"/>
      <c r="O755"/>
      <c r="P755"/>
      <c r="Q755"/>
      <c r="R755"/>
      <c r="S755"/>
      <c r="T755"/>
      <c r="U755"/>
      <c r="V755"/>
      <c r="W755"/>
      <c r="X755"/>
      <c r="Y755"/>
      <c r="Z755"/>
      <c r="AA755"/>
      <c r="AB755"/>
      <c r="AC755"/>
    </row>
    <row r="756" spans="1:29">
      <c r="A756"/>
      <c r="B756"/>
      <c r="C756"/>
      <c r="D756" s="551"/>
      <c r="E756"/>
      <c r="F756"/>
      <c r="G756"/>
      <c r="H756"/>
      <c r="I756"/>
      <c r="J756"/>
      <c r="K756"/>
      <c r="L756"/>
      <c r="M756"/>
      <c r="N756"/>
      <c r="O756"/>
      <c r="P756"/>
      <c r="Q756"/>
      <c r="R756"/>
      <c r="S756"/>
      <c r="T756"/>
      <c r="U756"/>
      <c r="V756"/>
      <c r="W756"/>
      <c r="X756"/>
      <c r="Y756"/>
      <c r="Z756"/>
      <c r="AA756"/>
      <c r="AB756"/>
      <c r="AC756"/>
    </row>
    <row r="757" spans="1:29">
      <c r="A757"/>
      <c r="B757"/>
      <c r="C757"/>
      <c r="D757" s="551"/>
      <c r="E757"/>
      <c r="F757"/>
      <c r="G757"/>
      <c r="H757"/>
      <c r="I757"/>
      <c r="J757"/>
      <c r="K757"/>
      <c r="L757"/>
      <c r="M757"/>
      <c r="N757"/>
      <c r="O757"/>
      <c r="P757"/>
      <c r="Q757"/>
      <c r="R757"/>
      <c r="S757"/>
      <c r="T757"/>
      <c r="U757"/>
      <c r="V757"/>
      <c r="W757"/>
      <c r="X757"/>
      <c r="Y757"/>
      <c r="Z757"/>
      <c r="AA757"/>
      <c r="AB757"/>
      <c r="AC757"/>
    </row>
    <row r="758" spans="1:29">
      <c r="A758"/>
      <c r="B758"/>
      <c r="C758"/>
      <c r="D758" s="551"/>
      <c r="E758"/>
      <c r="F758"/>
      <c r="G758"/>
      <c r="H758"/>
      <c r="I758"/>
      <c r="J758"/>
      <c r="K758"/>
      <c r="L758"/>
      <c r="M758"/>
      <c r="N758"/>
      <c r="O758"/>
      <c r="P758"/>
      <c r="Q758"/>
      <c r="R758"/>
      <c r="S758"/>
      <c r="T758"/>
      <c r="U758"/>
      <c r="V758"/>
      <c r="W758"/>
      <c r="X758"/>
      <c r="Y758"/>
      <c r="Z758"/>
      <c r="AA758"/>
      <c r="AB758"/>
      <c r="AC758"/>
    </row>
    <row r="759" spans="1:29">
      <c r="A759"/>
      <c r="B759"/>
      <c r="C759"/>
      <c r="D759" s="551"/>
      <c r="E759"/>
      <c r="F759"/>
      <c r="G759"/>
      <c r="H759"/>
      <c r="I759"/>
      <c r="J759"/>
      <c r="K759"/>
      <c r="L759"/>
      <c r="M759"/>
      <c r="N759"/>
      <c r="O759"/>
      <c r="P759"/>
      <c r="Q759"/>
      <c r="R759"/>
      <c r="S759"/>
      <c r="T759"/>
      <c r="U759"/>
      <c r="V759"/>
      <c r="W759"/>
      <c r="X759"/>
      <c r="Y759"/>
      <c r="Z759"/>
      <c r="AA759"/>
      <c r="AB759"/>
      <c r="AC759"/>
    </row>
    <row r="760" spans="1:29">
      <c r="A760"/>
      <c r="B760"/>
      <c r="C760"/>
      <c r="D760" s="551"/>
      <c r="E760"/>
      <c r="F760"/>
      <c r="G760"/>
      <c r="H760"/>
      <c r="I760"/>
      <c r="J760"/>
      <c r="K760"/>
      <c r="L760"/>
      <c r="M760"/>
      <c r="N760"/>
      <c r="O760"/>
      <c r="P760"/>
      <c r="Q760"/>
      <c r="R760"/>
      <c r="S760"/>
      <c r="T760"/>
      <c r="U760"/>
      <c r="V760"/>
      <c r="W760"/>
      <c r="X760"/>
      <c r="Y760"/>
      <c r="Z760"/>
      <c r="AA760"/>
      <c r="AB760"/>
      <c r="AC760"/>
    </row>
    <row r="761" spans="1:29">
      <c r="A761"/>
      <c r="B761"/>
      <c r="C761"/>
      <c r="D761" s="551"/>
      <c r="E761"/>
      <c r="F761"/>
      <c r="G761"/>
      <c r="H761"/>
      <c r="I761"/>
      <c r="J761"/>
      <c r="K761"/>
      <c r="L761"/>
      <c r="M761"/>
      <c r="N761"/>
      <c r="O761"/>
      <c r="P761"/>
      <c r="Q761"/>
      <c r="R761"/>
      <c r="S761"/>
      <c r="T761"/>
      <c r="U761"/>
      <c r="V761"/>
      <c r="W761"/>
      <c r="X761"/>
      <c r="Y761"/>
      <c r="Z761"/>
      <c r="AA761"/>
      <c r="AB761"/>
      <c r="AC761"/>
    </row>
    <row r="762" spans="1:29">
      <c r="A762"/>
      <c r="B762"/>
      <c r="C762"/>
      <c r="D762" s="551"/>
      <c r="E762"/>
      <c r="F762"/>
      <c r="G762"/>
      <c r="H762"/>
      <c r="I762"/>
      <c r="J762"/>
      <c r="K762"/>
      <c r="L762"/>
      <c r="M762"/>
      <c r="N762"/>
      <c r="O762"/>
      <c r="P762"/>
      <c r="Q762"/>
      <c r="R762"/>
      <c r="S762"/>
      <c r="T762"/>
      <c r="U762"/>
      <c r="V762"/>
      <c r="W762"/>
      <c r="X762"/>
      <c r="Y762"/>
      <c r="Z762"/>
      <c r="AA762"/>
      <c r="AB762"/>
      <c r="AC762"/>
    </row>
    <row r="763" spans="1:29">
      <c r="A763"/>
      <c r="B763"/>
      <c r="C763"/>
      <c r="D763" s="551"/>
      <c r="E763"/>
      <c r="F763"/>
      <c r="G763"/>
      <c r="H763"/>
      <c r="I763"/>
      <c r="J763"/>
      <c r="K763"/>
      <c r="L763"/>
      <c r="M763"/>
      <c r="N763"/>
      <c r="O763"/>
      <c r="P763"/>
      <c r="Q763"/>
      <c r="R763"/>
      <c r="S763"/>
      <c r="T763"/>
      <c r="U763"/>
      <c r="V763"/>
      <c r="W763"/>
      <c r="X763"/>
      <c r="Y763"/>
      <c r="Z763"/>
      <c r="AA763"/>
      <c r="AB763"/>
      <c r="AC763"/>
    </row>
    <row r="764" spans="1:29">
      <c r="A764"/>
      <c r="B764"/>
      <c r="C764"/>
      <c r="D764" s="551"/>
      <c r="E764"/>
      <c r="F764"/>
      <c r="G764"/>
      <c r="H764"/>
      <c r="I764"/>
      <c r="J764"/>
      <c r="K764"/>
      <c r="L764"/>
      <c r="M764"/>
      <c r="N764"/>
      <c r="O764"/>
      <c r="P764"/>
      <c r="Q764"/>
      <c r="R764"/>
      <c r="S764"/>
      <c r="T764"/>
      <c r="U764"/>
      <c r="V764"/>
      <c r="W764"/>
      <c r="X764"/>
      <c r="Y764"/>
      <c r="Z764"/>
      <c r="AA764"/>
      <c r="AB764"/>
      <c r="AC764"/>
    </row>
    <row r="765" spans="1:29">
      <c r="A765"/>
      <c r="B765"/>
      <c r="C765"/>
      <c r="D765" s="551"/>
      <c r="E765"/>
      <c r="F765"/>
      <c r="G765"/>
      <c r="H765"/>
      <c r="I765"/>
      <c r="J765"/>
      <c r="K765"/>
      <c r="L765"/>
      <c r="M765"/>
      <c r="N765"/>
      <c r="O765"/>
      <c r="P765"/>
      <c r="Q765"/>
      <c r="R765"/>
      <c r="S765"/>
      <c r="T765"/>
      <c r="U765"/>
      <c r="V765"/>
      <c r="W765"/>
      <c r="X765"/>
      <c r="Y765"/>
      <c r="Z765"/>
      <c r="AA765"/>
      <c r="AB765"/>
      <c r="AC765"/>
    </row>
    <row r="766" spans="1:29">
      <c r="A766"/>
      <c r="B766"/>
      <c r="C766"/>
      <c r="D766" s="551"/>
      <c r="E766"/>
      <c r="F766"/>
      <c r="G766"/>
      <c r="H766"/>
      <c r="I766"/>
      <c r="J766"/>
      <c r="K766"/>
      <c r="L766"/>
      <c r="M766"/>
      <c r="N766"/>
      <c r="O766"/>
      <c r="P766"/>
      <c r="Q766"/>
      <c r="R766"/>
      <c r="S766"/>
      <c r="T766"/>
      <c r="U766"/>
      <c r="V766"/>
      <c r="W766"/>
      <c r="X766"/>
      <c r="Y766"/>
      <c r="Z766"/>
      <c r="AA766"/>
      <c r="AB766"/>
      <c r="AC766"/>
    </row>
    <row r="767" spans="1:29">
      <c r="A767"/>
      <c r="B767"/>
      <c r="C767"/>
      <c r="D767" s="551"/>
      <c r="E767"/>
      <c r="F767"/>
      <c r="G767"/>
      <c r="H767"/>
      <c r="I767"/>
      <c r="J767"/>
      <c r="K767"/>
      <c r="L767"/>
      <c r="M767"/>
      <c r="N767"/>
      <c r="O767"/>
      <c r="P767"/>
      <c r="Q767"/>
      <c r="R767"/>
      <c r="S767"/>
      <c r="T767"/>
      <c r="U767"/>
      <c r="V767"/>
      <c r="W767"/>
      <c r="X767"/>
      <c r="Y767"/>
      <c r="Z767"/>
      <c r="AA767"/>
      <c r="AB767"/>
      <c r="AC767"/>
    </row>
    <row r="768" spans="1:29">
      <c r="A768"/>
      <c r="B768"/>
      <c r="C768"/>
      <c r="D768" s="551"/>
      <c r="E768"/>
      <c r="F768"/>
      <c r="G768"/>
      <c r="H768"/>
      <c r="I768"/>
      <c r="J768"/>
      <c r="K768"/>
      <c r="L768"/>
      <c r="M768"/>
      <c r="N768"/>
      <c r="O768"/>
      <c r="P768"/>
      <c r="Q768"/>
      <c r="R768"/>
      <c r="S768"/>
      <c r="T768"/>
      <c r="U768"/>
      <c r="V768"/>
      <c r="W768"/>
      <c r="X768"/>
      <c r="Y768"/>
      <c r="Z768"/>
      <c r="AA768"/>
      <c r="AB768"/>
      <c r="AC768"/>
    </row>
    <row r="769" spans="1:29">
      <c r="A769"/>
      <c r="B769"/>
      <c r="C769"/>
      <c r="D769" s="551"/>
      <c r="E769"/>
      <c r="F769"/>
      <c r="G769"/>
      <c r="H769"/>
      <c r="I769"/>
      <c r="J769"/>
      <c r="K769"/>
      <c r="L769"/>
      <c r="M769"/>
      <c r="N769"/>
      <c r="O769"/>
      <c r="P769"/>
      <c r="Q769"/>
      <c r="R769"/>
      <c r="S769"/>
      <c r="T769"/>
      <c r="U769"/>
      <c r="V769"/>
      <c r="W769"/>
      <c r="X769"/>
      <c r="Y769"/>
      <c r="Z769"/>
      <c r="AA769"/>
      <c r="AB769"/>
      <c r="AC769"/>
    </row>
    <row r="770" spans="1:29">
      <c r="A770"/>
      <c r="B770"/>
      <c r="C770"/>
      <c r="D770" s="551"/>
      <c r="E770"/>
      <c r="F770"/>
      <c r="G770"/>
      <c r="H770"/>
      <c r="I770"/>
      <c r="J770"/>
      <c r="K770"/>
      <c r="L770"/>
      <c r="M770"/>
      <c r="N770"/>
      <c r="O770"/>
      <c r="P770"/>
      <c r="Q770"/>
      <c r="R770"/>
      <c r="S770"/>
      <c r="T770"/>
      <c r="U770"/>
      <c r="V770"/>
      <c r="W770"/>
      <c r="X770"/>
      <c r="Y770"/>
      <c r="Z770"/>
      <c r="AA770"/>
      <c r="AB770"/>
      <c r="AC770"/>
    </row>
    <row r="771" spans="1:29">
      <c r="A771"/>
      <c r="B771"/>
      <c r="C771"/>
      <c r="D771" s="551"/>
      <c r="E771"/>
      <c r="F771"/>
      <c r="G771"/>
      <c r="H771"/>
      <c r="I771"/>
      <c r="J771"/>
      <c r="K771"/>
      <c r="L771"/>
      <c r="M771"/>
      <c r="N771"/>
      <c r="O771"/>
      <c r="P771"/>
      <c r="Q771"/>
      <c r="R771"/>
      <c r="S771"/>
      <c r="T771"/>
      <c r="U771"/>
      <c r="V771"/>
      <c r="W771"/>
      <c r="X771"/>
      <c r="Y771"/>
      <c r="Z771"/>
      <c r="AA771"/>
      <c r="AB771"/>
      <c r="AC771"/>
    </row>
    <row r="772" spans="1:29">
      <c r="A772"/>
      <c r="B772"/>
      <c r="C772"/>
      <c r="D772" s="551"/>
      <c r="E772"/>
      <c r="F772"/>
      <c r="G772"/>
      <c r="H772"/>
      <c r="I772"/>
      <c r="J772"/>
      <c r="K772"/>
      <c r="L772"/>
      <c r="M772"/>
      <c r="N772"/>
      <c r="O772"/>
      <c r="P772"/>
      <c r="Q772"/>
      <c r="R772"/>
      <c r="S772"/>
      <c r="T772"/>
      <c r="U772"/>
      <c r="V772"/>
      <c r="W772"/>
      <c r="X772"/>
      <c r="Y772"/>
      <c r="Z772"/>
      <c r="AA772"/>
      <c r="AB772"/>
      <c r="AC772"/>
    </row>
    <row r="773" spans="1:29">
      <c r="A773"/>
      <c r="B773"/>
      <c r="C773"/>
      <c r="D773" s="551"/>
      <c r="E773"/>
      <c r="F773"/>
      <c r="G773"/>
      <c r="H773"/>
      <c r="I773"/>
      <c r="J773"/>
      <c r="K773"/>
      <c r="L773"/>
      <c r="M773"/>
      <c r="N773"/>
      <c r="O773"/>
      <c r="P773"/>
      <c r="Q773"/>
      <c r="R773"/>
      <c r="S773"/>
      <c r="T773"/>
      <c r="U773"/>
      <c r="V773"/>
      <c r="W773"/>
      <c r="X773"/>
      <c r="Y773"/>
      <c r="Z773"/>
      <c r="AA773"/>
      <c r="AB773"/>
      <c r="AC773"/>
    </row>
    <row r="774" spans="1:29">
      <c r="A774"/>
      <c r="B774"/>
      <c r="C774"/>
      <c r="D774" s="551"/>
      <c r="E774"/>
      <c r="F774"/>
      <c r="G774"/>
      <c r="H774"/>
      <c r="I774"/>
      <c r="J774"/>
      <c r="K774"/>
      <c r="L774"/>
      <c r="M774"/>
      <c r="N774"/>
      <c r="O774"/>
      <c r="P774"/>
      <c r="Q774"/>
      <c r="R774"/>
      <c r="S774"/>
      <c r="T774"/>
      <c r="U774"/>
      <c r="V774"/>
      <c r="W774"/>
      <c r="X774"/>
      <c r="Y774"/>
      <c r="Z774"/>
      <c r="AA774"/>
      <c r="AB774"/>
      <c r="AC774"/>
    </row>
    <row r="775" spans="1:29">
      <c r="A775"/>
      <c r="B775"/>
      <c r="C775"/>
      <c r="D775" s="551"/>
      <c r="E775"/>
      <c r="F775"/>
      <c r="G775"/>
      <c r="H775"/>
      <c r="I775"/>
      <c r="J775"/>
      <c r="K775"/>
      <c r="L775"/>
      <c r="M775"/>
      <c r="N775"/>
      <c r="O775"/>
      <c r="P775"/>
      <c r="Q775"/>
      <c r="R775"/>
      <c r="S775"/>
      <c r="T775"/>
      <c r="U775"/>
      <c r="V775"/>
      <c r="W775"/>
      <c r="X775"/>
      <c r="Y775"/>
      <c r="Z775"/>
      <c r="AA775"/>
      <c r="AB775"/>
      <c r="AC775"/>
    </row>
    <row r="776" spans="1:29">
      <c r="A776"/>
      <c r="B776"/>
      <c r="C776"/>
      <c r="D776" s="551"/>
      <c r="E776"/>
      <c r="F776"/>
      <c r="G776"/>
      <c r="H776"/>
      <c r="I776"/>
      <c r="J776"/>
      <c r="K776"/>
      <c r="L776"/>
      <c r="M776"/>
      <c r="N776"/>
      <c r="O776"/>
      <c r="P776"/>
      <c r="Q776"/>
      <c r="R776"/>
      <c r="S776"/>
      <c r="T776"/>
      <c r="U776"/>
      <c r="V776"/>
      <c r="W776"/>
      <c r="X776"/>
      <c r="Y776"/>
      <c r="Z776"/>
      <c r="AA776"/>
      <c r="AB776"/>
      <c r="AC776"/>
    </row>
    <row r="777" spans="1:29">
      <c r="A777"/>
      <c r="B777"/>
      <c r="C777"/>
      <c r="D777" s="551"/>
      <c r="E777"/>
      <c r="F777"/>
      <c r="G777"/>
      <c r="H777"/>
      <c r="I777"/>
      <c r="J777"/>
      <c r="K777"/>
      <c r="L777"/>
      <c r="M777"/>
      <c r="N777"/>
      <c r="O777"/>
      <c r="P777"/>
      <c r="Q777"/>
      <c r="R777"/>
      <c r="S777"/>
      <c r="T777"/>
      <c r="U777"/>
      <c r="V777"/>
      <c r="W777"/>
      <c r="X777"/>
      <c r="Y777"/>
      <c r="Z777"/>
      <c r="AA777"/>
      <c r="AB777"/>
      <c r="AC777"/>
    </row>
    <row r="778" spans="1:29">
      <c r="A778"/>
      <c r="B778"/>
      <c r="C778"/>
      <c r="D778" s="551"/>
      <c r="E778"/>
      <c r="F778"/>
      <c r="G778"/>
      <c r="H778"/>
      <c r="I778"/>
      <c r="J778"/>
      <c r="K778"/>
      <c r="L778"/>
      <c r="M778"/>
      <c r="N778"/>
      <c r="O778"/>
      <c r="P778"/>
      <c r="Q778"/>
      <c r="R778"/>
      <c r="S778"/>
      <c r="T778"/>
      <c r="U778"/>
      <c r="V778"/>
      <c r="W778"/>
      <c r="X778"/>
      <c r="Y778"/>
      <c r="Z778"/>
      <c r="AA778"/>
      <c r="AB778"/>
      <c r="AC778"/>
    </row>
    <row r="779" spans="1:29">
      <c r="A779"/>
      <c r="B779"/>
      <c r="C779"/>
      <c r="D779" s="551"/>
      <c r="E779"/>
      <c r="F779"/>
      <c r="G779"/>
      <c r="H779"/>
      <c r="I779"/>
      <c r="J779"/>
      <c r="K779"/>
      <c r="L779"/>
      <c r="M779"/>
      <c r="N779"/>
      <c r="O779"/>
      <c r="P779"/>
      <c r="Q779"/>
      <c r="R779"/>
      <c r="S779"/>
      <c r="T779"/>
      <c r="U779"/>
      <c r="V779"/>
      <c r="W779"/>
      <c r="X779"/>
      <c r="Y779"/>
      <c r="Z779"/>
      <c r="AA779"/>
      <c r="AB779"/>
      <c r="AC779"/>
    </row>
    <row r="780" spans="1:29">
      <c r="A780"/>
      <c r="B780"/>
      <c r="C780"/>
      <c r="D780" s="551"/>
      <c r="E780"/>
      <c r="F780"/>
      <c r="G780"/>
      <c r="H780"/>
      <c r="I780"/>
      <c r="J780"/>
      <c r="K780"/>
      <c r="L780"/>
      <c r="M780"/>
      <c r="N780"/>
      <c r="O780"/>
      <c r="P780"/>
      <c r="Q780"/>
      <c r="R780"/>
      <c r="S780"/>
      <c r="T780"/>
      <c r="U780"/>
      <c r="V780"/>
      <c r="W780"/>
      <c r="X780"/>
      <c r="Y780"/>
      <c r="Z780"/>
      <c r="AA780"/>
      <c r="AB780"/>
      <c r="AC780"/>
    </row>
    <row r="781" spans="1:29">
      <c r="A781"/>
      <c r="B781"/>
      <c r="C781"/>
      <c r="D781" s="551"/>
      <c r="E781"/>
      <c r="F781"/>
      <c r="G781"/>
      <c r="H781"/>
      <c r="I781"/>
      <c r="J781"/>
      <c r="K781"/>
      <c r="L781"/>
      <c r="M781"/>
      <c r="N781"/>
      <c r="O781"/>
      <c r="P781"/>
      <c r="Q781"/>
      <c r="R781"/>
      <c r="S781"/>
      <c r="T781"/>
      <c r="U781"/>
      <c r="V781"/>
      <c r="W781"/>
      <c r="X781"/>
      <c r="Y781"/>
      <c r="Z781"/>
      <c r="AA781"/>
      <c r="AB781"/>
      <c r="AC781"/>
    </row>
    <row r="782" spans="1:29">
      <c r="A782"/>
      <c r="B782"/>
      <c r="C782"/>
      <c r="D782" s="551"/>
      <c r="E782"/>
      <c r="F782"/>
      <c r="G782"/>
      <c r="H782"/>
      <c r="I782"/>
      <c r="J782"/>
      <c r="K782"/>
      <c r="L782"/>
      <c r="M782"/>
      <c r="N782"/>
      <c r="O782"/>
      <c r="P782"/>
      <c r="Q782"/>
      <c r="R782"/>
      <c r="S782"/>
      <c r="T782"/>
      <c r="U782"/>
      <c r="V782"/>
      <c r="W782"/>
      <c r="X782"/>
      <c r="Y782"/>
      <c r="Z782"/>
      <c r="AA782"/>
      <c r="AB782"/>
      <c r="AC782"/>
    </row>
    <row r="783" spans="1:29">
      <c r="A783"/>
      <c r="B783"/>
      <c r="C783"/>
      <c r="D783" s="551"/>
      <c r="E783"/>
      <c r="F783"/>
      <c r="G783"/>
      <c r="H783"/>
      <c r="I783"/>
      <c r="J783"/>
      <c r="K783"/>
      <c r="L783"/>
      <c r="M783"/>
      <c r="N783"/>
      <c r="O783"/>
      <c r="P783"/>
      <c r="Q783"/>
      <c r="R783"/>
      <c r="S783"/>
      <c r="T783"/>
      <c r="U783"/>
      <c r="V783"/>
      <c r="W783"/>
      <c r="X783"/>
      <c r="Y783"/>
      <c r="Z783"/>
      <c r="AA783"/>
      <c r="AB783"/>
      <c r="AC783"/>
    </row>
    <row r="784" spans="1:29">
      <c r="A784"/>
      <c r="B784"/>
      <c r="C784"/>
      <c r="D784" s="551"/>
      <c r="E784"/>
      <c r="F784"/>
      <c r="G784"/>
      <c r="H784"/>
      <c r="I784"/>
      <c r="J784"/>
      <c r="K784"/>
      <c r="L784"/>
      <c r="M784"/>
      <c r="N784"/>
      <c r="O784"/>
      <c r="P784"/>
      <c r="Q784"/>
      <c r="R784"/>
      <c r="S784"/>
      <c r="T784"/>
      <c r="U784"/>
      <c r="V784"/>
      <c r="W784"/>
      <c r="X784"/>
      <c r="Y784"/>
      <c r="Z784"/>
      <c r="AA784"/>
      <c r="AB784"/>
      <c r="AC784"/>
    </row>
    <row r="785" spans="1:29">
      <c r="A785"/>
      <c r="B785"/>
      <c r="C785"/>
      <c r="D785" s="551"/>
      <c r="E785"/>
      <c r="F785"/>
      <c r="G785"/>
      <c r="H785"/>
      <c r="I785"/>
      <c r="J785"/>
      <c r="K785"/>
      <c r="L785"/>
      <c r="M785"/>
      <c r="N785"/>
      <c r="O785"/>
      <c r="P785"/>
      <c r="Q785"/>
      <c r="R785"/>
      <c r="S785"/>
      <c r="T785"/>
      <c r="U785"/>
      <c r="V785"/>
      <c r="W785"/>
      <c r="X785"/>
      <c r="Y785"/>
      <c r="Z785"/>
      <c r="AA785"/>
      <c r="AB785"/>
      <c r="AC785"/>
    </row>
    <row r="786" spans="1:29">
      <c r="A786"/>
      <c r="B786"/>
      <c r="C786"/>
      <c r="D786" s="551"/>
      <c r="E786"/>
      <c r="F786"/>
      <c r="G786"/>
      <c r="H786"/>
      <c r="I786"/>
      <c r="J786"/>
      <c r="K786"/>
      <c r="L786"/>
      <c r="M786"/>
      <c r="N786"/>
      <c r="O786"/>
      <c r="P786"/>
      <c r="Q786"/>
      <c r="R786"/>
      <c r="S786"/>
      <c r="T786"/>
      <c r="U786"/>
      <c r="V786"/>
      <c r="W786"/>
      <c r="X786"/>
      <c r="Y786"/>
      <c r="Z786"/>
      <c r="AA786"/>
      <c r="AB786"/>
      <c r="AC786"/>
    </row>
    <row r="787" spans="1:29">
      <c r="A787"/>
      <c r="B787"/>
      <c r="C787"/>
      <c r="D787" s="551"/>
      <c r="E787"/>
      <c r="F787"/>
      <c r="G787"/>
      <c r="H787"/>
      <c r="I787"/>
      <c r="J787"/>
      <c r="K787"/>
      <c r="L787"/>
      <c r="M787"/>
      <c r="N787"/>
      <c r="O787"/>
      <c r="P787"/>
      <c r="Q787"/>
      <c r="R787"/>
      <c r="S787"/>
      <c r="T787"/>
      <c r="U787"/>
      <c r="V787"/>
      <c r="W787"/>
      <c r="X787"/>
      <c r="Y787"/>
      <c r="Z787"/>
      <c r="AA787"/>
      <c r="AB787"/>
      <c r="AC787"/>
    </row>
    <row r="788" spans="1:29">
      <c r="A788"/>
      <c r="B788"/>
      <c r="C788"/>
      <c r="D788" s="551"/>
      <c r="E788"/>
      <c r="F788"/>
      <c r="G788"/>
      <c r="H788"/>
      <c r="I788"/>
      <c r="J788"/>
      <c r="K788"/>
      <c r="L788"/>
      <c r="M788"/>
      <c r="N788"/>
      <c r="O788"/>
      <c r="P788"/>
      <c r="Q788"/>
      <c r="R788"/>
      <c r="S788"/>
      <c r="T788"/>
      <c r="U788"/>
      <c r="V788"/>
      <c r="W788"/>
      <c r="X788"/>
      <c r="Y788"/>
      <c r="Z788"/>
      <c r="AA788"/>
      <c r="AB788"/>
      <c r="AC788"/>
    </row>
    <row r="789" spans="1:29">
      <c r="A789"/>
      <c r="B789"/>
      <c r="C789"/>
      <c r="D789" s="551"/>
      <c r="E789"/>
      <c r="F789"/>
      <c r="G789"/>
      <c r="H789"/>
      <c r="I789"/>
      <c r="J789"/>
      <c r="K789"/>
      <c r="L789"/>
      <c r="M789"/>
      <c r="N789"/>
      <c r="O789"/>
      <c r="P789"/>
      <c r="Q789"/>
      <c r="R789"/>
      <c r="S789"/>
      <c r="T789"/>
      <c r="U789"/>
      <c r="V789"/>
      <c r="W789"/>
      <c r="X789"/>
      <c r="Y789"/>
      <c r="Z789"/>
      <c r="AA789"/>
      <c r="AB789"/>
      <c r="AC789"/>
    </row>
    <row r="790" spans="1:29">
      <c r="A790"/>
      <c r="B790"/>
      <c r="C790"/>
      <c r="D790" s="551"/>
      <c r="E790"/>
      <c r="F790"/>
      <c r="G790"/>
      <c r="H790"/>
      <c r="I790"/>
      <c r="J790"/>
      <c r="K790"/>
      <c r="L790"/>
      <c r="M790"/>
      <c r="N790"/>
      <c r="O790"/>
      <c r="P790"/>
      <c r="Q790"/>
      <c r="R790"/>
      <c r="S790"/>
      <c r="T790"/>
      <c r="U790"/>
      <c r="V790"/>
      <c r="W790"/>
      <c r="X790"/>
      <c r="Y790"/>
      <c r="Z790"/>
      <c r="AA790"/>
      <c r="AB790"/>
      <c r="AC790"/>
    </row>
    <row r="791" spans="1:29">
      <c r="A791"/>
      <c r="B791"/>
      <c r="C791"/>
      <c r="D791" s="551"/>
      <c r="E791"/>
      <c r="F791"/>
      <c r="G791"/>
      <c r="H791"/>
      <c r="I791"/>
      <c r="J791"/>
      <c r="K791"/>
      <c r="L791"/>
      <c r="M791"/>
      <c r="N791"/>
      <c r="O791"/>
      <c r="P791"/>
      <c r="Q791"/>
      <c r="R791"/>
      <c r="S791"/>
      <c r="T791"/>
      <c r="U791"/>
      <c r="V791"/>
      <c r="W791"/>
      <c r="X791"/>
      <c r="Y791"/>
      <c r="Z791"/>
      <c r="AA791"/>
      <c r="AB791"/>
      <c r="AC791"/>
    </row>
    <row r="792" spans="1:29">
      <c r="A792"/>
      <c r="B792"/>
      <c r="C792"/>
      <c r="D792" s="551"/>
      <c r="E792"/>
      <c r="F792"/>
      <c r="G792"/>
      <c r="H792"/>
      <c r="I792"/>
      <c r="J792"/>
      <c r="K792"/>
      <c r="L792"/>
      <c r="M792"/>
      <c r="N792"/>
      <c r="O792"/>
      <c r="P792"/>
      <c r="Q792"/>
      <c r="R792"/>
      <c r="S792"/>
      <c r="T792"/>
      <c r="U792"/>
      <c r="V792"/>
      <c r="W792"/>
      <c r="X792"/>
      <c r="Y792"/>
      <c r="Z792"/>
      <c r="AA792"/>
      <c r="AB792"/>
      <c r="AC792"/>
    </row>
    <row r="793" spans="1:29">
      <c r="A793"/>
      <c r="B793"/>
      <c r="C793"/>
      <c r="D793" s="551"/>
      <c r="E793"/>
      <c r="F793"/>
      <c r="G793"/>
      <c r="H793"/>
      <c r="I793"/>
      <c r="J793"/>
      <c r="K793"/>
      <c r="L793"/>
      <c r="M793"/>
      <c r="N793"/>
      <c r="O793"/>
      <c r="P793"/>
      <c r="Q793"/>
      <c r="R793"/>
      <c r="S793"/>
      <c r="T793"/>
      <c r="U793"/>
      <c r="V793"/>
      <c r="W793"/>
      <c r="X793"/>
      <c r="Y793"/>
      <c r="Z793"/>
      <c r="AA793"/>
      <c r="AB793"/>
      <c r="AC793"/>
    </row>
    <row r="794" spans="1:29">
      <c r="A794"/>
      <c r="B794"/>
      <c r="C794"/>
      <c r="D794" s="551"/>
      <c r="E794"/>
      <c r="F794"/>
      <c r="G794"/>
      <c r="H794"/>
      <c r="I794"/>
      <c r="J794"/>
      <c r="K794"/>
      <c r="L794"/>
      <c r="M794"/>
      <c r="N794"/>
      <c r="O794"/>
      <c r="P794"/>
      <c r="Q794"/>
      <c r="R794"/>
      <c r="S794"/>
      <c r="T794"/>
      <c r="U794"/>
      <c r="V794"/>
      <c r="W794"/>
      <c r="X794"/>
      <c r="Y794"/>
      <c r="Z794"/>
      <c r="AA794"/>
      <c r="AB794"/>
      <c r="AC794"/>
    </row>
    <row r="795" spans="1:29">
      <c r="A795"/>
      <c r="B795"/>
      <c r="C795"/>
      <c r="D795" s="551"/>
      <c r="E795"/>
      <c r="F795"/>
      <c r="G795"/>
      <c r="H795"/>
      <c r="I795"/>
      <c r="J795"/>
      <c r="K795"/>
      <c r="L795"/>
      <c r="M795"/>
      <c r="N795"/>
      <c r="O795"/>
      <c r="P795"/>
      <c r="Q795"/>
      <c r="R795"/>
      <c r="S795"/>
      <c r="T795"/>
      <c r="U795"/>
      <c r="V795"/>
      <c r="W795"/>
      <c r="X795"/>
      <c r="Y795"/>
      <c r="Z795"/>
      <c r="AA795"/>
      <c r="AB795"/>
      <c r="AC795"/>
    </row>
    <row r="796" spans="1:29">
      <c r="A796"/>
      <c r="B796"/>
      <c r="C796"/>
      <c r="D796" s="551"/>
      <c r="E796"/>
      <c r="F796"/>
      <c r="G796"/>
      <c r="H796"/>
      <c r="I796"/>
      <c r="J796"/>
      <c r="K796"/>
      <c r="L796"/>
      <c r="M796"/>
      <c r="N796"/>
      <c r="O796"/>
      <c r="P796"/>
      <c r="Q796"/>
      <c r="R796"/>
      <c r="S796"/>
      <c r="T796"/>
      <c r="U796"/>
      <c r="V796"/>
      <c r="W796"/>
      <c r="X796"/>
      <c r="Y796"/>
      <c r="Z796"/>
      <c r="AA796"/>
      <c r="AB796"/>
      <c r="AC796"/>
    </row>
    <row r="797" spans="1:29">
      <c r="A797"/>
      <c r="B797"/>
      <c r="C797"/>
      <c r="D797" s="551"/>
      <c r="E797"/>
      <c r="F797"/>
      <c r="G797"/>
      <c r="H797"/>
      <c r="I797"/>
      <c r="J797"/>
      <c r="K797"/>
      <c r="L797"/>
      <c r="M797"/>
      <c r="N797"/>
      <c r="O797"/>
      <c r="P797"/>
      <c r="Q797"/>
      <c r="R797"/>
      <c r="S797"/>
      <c r="T797"/>
      <c r="U797"/>
      <c r="V797"/>
      <c r="W797"/>
      <c r="X797"/>
      <c r="Y797"/>
      <c r="Z797"/>
      <c r="AA797"/>
      <c r="AB797"/>
      <c r="AC797"/>
    </row>
    <row r="798" spans="1:29">
      <c r="A798"/>
      <c r="B798"/>
      <c r="C798"/>
      <c r="D798" s="551"/>
      <c r="E798"/>
      <c r="F798"/>
      <c r="G798"/>
      <c r="H798"/>
      <c r="I798"/>
      <c r="J798"/>
      <c r="K798"/>
      <c r="L798"/>
      <c r="M798"/>
      <c r="N798"/>
      <c r="O798"/>
      <c r="P798"/>
      <c r="Q798"/>
      <c r="R798"/>
      <c r="S798"/>
      <c r="T798"/>
      <c r="U798"/>
      <c r="V798"/>
      <c r="W798"/>
      <c r="X798"/>
      <c r="Y798"/>
      <c r="Z798"/>
      <c r="AA798"/>
      <c r="AB798"/>
      <c r="AC798"/>
    </row>
    <row r="799" spans="1:29">
      <c r="A799"/>
      <c r="B799"/>
      <c r="C799"/>
      <c r="D799" s="551"/>
      <c r="E799"/>
      <c r="F799"/>
      <c r="G799"/>
      <c r="H799"/>
      <c r="I799"/>
      <c r="J799"/>
      <c r="K799"/>
      <c r="L799"/>
      <c r="M799"/>
      <c r="N799"/>
      <c r="O799"/>
      <c r="P799"/>
      <c r="Q799"/>
      <c r="R799"/>
      <c r="S799"/>
      <c r="T799"/>
      <c r="U799"/>
      <c r="V799"/>
      <c r="W799"/>
      <c r="X799"/>
      <c r="Y799"/>
      <c r="Z799"/>
      <c r="AA799"/>
      <c r="AB799"/>
      <c r="AC799"/>
    </row>
    <row r="800" spans="1:29">
      <c r="A800"/>
      <c r="B800"/>
      <c r="C800"/>
      <c r="D800" s="551"/>
      <c r="E800"/>
      <c r="F800"/>
      <c r="G800"/>
      <c r="H800"/>
      <c r="I800"/>
      <c r="J800"/>
      <c r="K800"/>
      <c r="L800"/>
      <c r="M800"/>
      <c r="N800"/>
      <c r="O800"/>
      <c r="P800"/>
      <c r="Q800"/>
      <c r="R800"/>
      <c r="S800"/>
      <c r="T800"/>
      <c r="U800"/>
      <c r="V800"/>
      <c r="W800"/>
      <c r="X800"/>
      <c r="Y800"/>
      <c r="Z800"/>
      <c r="AA800"/>
      <c r="AB800"/>
      <c r="AC800"/>
    </row>
    <row r="801" spans="1:29">
      <c r="A801"/>
      <c r="B801"/>
      <c r="C801"/>
      <c r="D801" s="551"/>
      <c r="E801"/>
      <c r="F801"/>
      <c r="G801"/>
      <c r="H801"/>
      <c r="I801"/>
      <c r="J801"/>
      <c r="K801"/>
      <c r="L801"/>
      <c r="M801"/>
      <c r="N801"/>
      <c r="O801"/>
      <c r="P801"/>
      <c r="Q801"/>
      <c r="R801"/>
      <c r="S801"/>
      <c r="T801"/>
      <c r="U801"/>
      <c r="V801"/>
      <c r="W801"/>
      <c r="X801"/>
      <c r="Y801"/>
      <c r="Z801"/>
      <c r="AA801"/>
      <c r="AB801"/>
      <c r="AC801"/>
    </row>
    <row r="802" spans="1:29">
      <c r="A802"/>
      <c r="B802"/>
      <c r="C802"/>
      <c r="D802" s="551"/>
      <c r="E802"/>
      <c r="F802"/>
      <c r="G802"/>
      <c r="H802"/>
      <c r="I802"/>
      <c r="J802"/>
      <c r="K802"/>
      <c r="L802"/>
      <c r="M802"/>
      <c r="N802"/>
      <c r="O802"/>
      <c r="P802"/>
      <c r="Q802"/>
      <c r="R802"/>
      <c r="S802"/>
      <c r="T802"/>
      <c r="U802"/>
      <c r="V802"/>
      <c r="W802"/>
      <c r="X802"/>
      <c r="Y802"/>
      <c r="Z802"/>
      <c r="AA802"/>
      <c r="AB802"/>
      <c r="AC802"/>
    </row>
    <row r="803" spans="1:29">
      <c r="A803"/>
      <c r="B803"/>
      <c r="C803"/>
      <c r="D803" s="551"/>
      <c r="E803"/>
      <c r="F803"/>
      <c r="G803"/>
      <c r="H803"/>
      <c r="I803"/>
      <c r="J803"/>
      <c r="K803"/>
      <c r="L803"/>
      <c r="M803"/>
      <c r="N803"/>
      <c r="O803"/>
      <c r="P803"/>
      <c r="Q803"/>
      <c r="R803"/>
      <c r="S803"/>
      <c r="T803"/>
      <c r="U803"/>
      <c r="V803"/>
      <c r="W803"/>
      <c r="X803"/>
      <c r="Y803"/>
      <c r="Z803"/>
      <c r="AA803"/>
      <c r="AB803"/>
      <c r="AC803"/>
    </row>
    <row r="804" spans="1:29">
      <c r="A804"/>
      <c r="B804"/>
      <c r="C804"/>
      <c r="D804" s="551"/>
      <c r="E804"/>
      <c r="F804"/>
      <c r="G804"/>
      <c r="H804"/>
      <c r="I804"/>
      <c r="J804"/>
      <c r="K804"/>
      <c r="L804"/>
      <c r="M804"/>
      <c r="N804"/>
      <c r="O804"/>
      <c r="P804"/>
      <c r="Q804"/>
      <c r="R804"/>
      <c r="S804"/>
      <c r="T804"/>
      <c r="U804"/>
      <c r="V804"/>
      <c r="W804"/>
      <c r="X804"/>
      <c r="Y804"/>
      <c r="Z804"/>
      <c r="AA804"/>
      <c r="AB804"/>
      <c r="AC804"/>
    </row>
    <row r="805" spans="1:29">
      <c r="A805"/>
      <c r="B805"/>
      <c r="C805"/>
      <c r="D805" s="551"/>
      <c r="E805"/>
      <c r="F805"/>
      <c r="G805"/>
      <c r="H805"/>
      <c r="I805"/>
      <c r="J805"/>
      <c r="K805"/>
      <c r="L805"/>
      <c r="M805"/>
      <c r="N805"/>
      <c r="O805"/>
      <c r="P805"/>
      <c r="Q805"/>
      <c r="R805"/>
      <c r="S805"/>
      <c r="T805"/>
      <c r="U805"/>
      <c r="V805"/>
      <c r="W805"/>
      <c r="X805"/>
      <c r="Y805"/>
      <c r="Z805"/>
      <c r="AA805"/>
      <c r="AB805"/>
      <c r="AC805"/>
    </row>
    <row r="806" spans="1:29">
      <c r="A806"/>
      <c r="B806"/>
      <c r="C806"/>
      <c r="D806" s="551"/>
      <c r="E806"/>
      <c r="F806"/>
      <c r="G806"/>
      <c r="H806"/>
      <c r="I806"/>
      <c r="J806"/>
      <c r="K806"/>
      <c r="L806"/>
      <c r="M806"/>
      <c r="N806"/>
      <c r="O806"/>
      <c r="P806"/>
      <c r="Q806"/>
      <c r="R806"/>
      <c r="S806"/>
      <c r="T806"/>
      <c r="U806"/>
      <c r="V806"/>
      <c r="W806"/>
      <c r="X806"/>
      <c r="Y806"/>
      <c r="Z806"/>
      <c r="AA806"/>
      <c r="AB806"/>
      <c r="AC806"/>
    </row>
    <row r="807" spans="1:29">
      <c r="A807"/>
      <c r="B807"/>
      <c r="C807"/>
      <c r="D807" s="551"/>
      <c r="E807"/>
      <c r="F807"/>
      <c r="G807"/>
      <c r="H807"/>
      <c r="I807"/>
      <c r="J807"/>
      <c r="K807"/>
      <c r="L807"/>
      <c r="M807"/>
      <c r="N807"/>
      <c r="O807"/>
      <c r="P807"/>
      <c r="Q807"/>
      <c r="R807"/>
      <c r="S807"/>
      <c r="T807"/>
      <c r="U807"/>
      <c r="V807"/>
      <c r="W807"/>
      <c r="X807"/>
      <c r="Y807"/>
      <c r="Z807"/>
      <c r="AA807"/>
      <c r="AB807"/>
      <c r="AC807"/>
    </row>
    <row r="808" spans="1:29">
      <c r="A808"/>
      <c r="B808"/>
      <c r="C808"/>
      <c r="D808" s="551"/>
      <c r="E808"/>
      <c r="F808"/>
      <c r="G808"/>
      <c r="H808"/>
      <c r="I808"/>
      <c r="J808"/>
      <c r="K808"/>
      <c r="L808"/>
      <c r="M808"/>
      <c r="N808"/>
      <c r="O808"/>
      <c r="P808"/>
      <c r="Q808"/>
      <c r="R808"/>
      <c r="S808"/>
      <c r="T808"/>
      <c r="U808"/>
      <c r="V808"/>
      <c r="W808"/>
      <c r="X808"/>
      <c r="Y808"/>
      <c r="Z808"/>
      <c r="AA808"/>
      <c r="AB808"/>
      <c r="AC808"/>
    </row>
    <row r="809" spans="1:29">
      <c r="A809"/>
      <c r="B809"/>
      <c r="C809"/>
      <c r="D809" s="551"/>
      <c r="E809"/>
      <c r="F809"/>
      <c r="G809"/>
      <c r="H809"/>
      <c r="I809"/>
      <c r="J809"/>
      <c r="K809"/>
      <c r="L809"/>
      <c r="M809"/>
      <c r="N809"/>
      <c r="O809"/>
      <c r="P809"/>
      <c r="Q809"/>
      <c r="R809"/>
      <c r="S809"/>
      <c r="T809"/>
      <c r="U809"/>
      <c r="V809"/>
      <c r="W809"/>
      <c r="X809"/>
      <c r="Y809"/>
      <c r="Z809"/>
      <c r="AA809"/>
      <c r="AB809"/>
      <c r="AC809"/>
    </row>
    <row r="810" spans="1:29">
      <c r="A810"/>
      <c r="B810"/>
      <c r="C810"/>
      <c r="D810" s="551"/>
      <c r="E810"/>
      <c r="F810"/>
      <c r="G810"/>
      <c r="H810"/>
      <c r="I810"/>
      <c r="J810"/>
      <c r="K810"/>
      <c r="L810"/>
      <c r="M810"/>
      <c r="N810"/>
      <c r="O810"/>
      <c r="P810"/>
      <c r="Q810"/>
      <c r="R810"/>
      <c r="S810"/>
      <c r="T810"/>
      <c r="U810"/>
      <c r="V810"/>
      <c r="W810"/>
      <c r="X810"/>
      <c r="Y810"/>
      <c r="Z810"/>
      <c r="AA810"/>
      <c r="AB810"/>
      <c r="AC810"/>
    </row>
    <row r="811" spans="1:29">
      <c r="A811"/>
      <c r="B811"/>
      <c r="C811"/>
      <c r="D811" s="551"/>
      <c r="E811"/>
      <c r="F811"/>
      <c r="G811"/>
      <c r="H811"/>
      <c r="I811"/>
      <c r="J811"/>
      <c r="K811"/>
      <c r="L811"/>
      <c r="M811"/>
      <c r="N811"/>
      <c r="O811"/>
      <c r="P811"/>
      <c r="Q811"/>
      <c r="R811"/>
      <c r="S811"/>
      <c r="T811"/>
      <c r="U811"/>
      <c r="V811"/>
      <c r="W811"/>
      <c r="X811"/>
      <c r="Y811"/>
      <c r="Z811"/>
      <c r="AA811"/>
      <c r="AB811"/>
      <c r="AC811"/>
    </row>
    <row r="812" spans="1:29">
      <c r="A812"/>
      <c r="B812"/>
      <c r="C812"/>
      <c r="D812" s="551"/>
      <c r="E812"/>
      <c r="F812"/>
      <c r="G812"/>
      <c r="H812"/>
      <c r="I812"/>
      <c r="J812"/>
      <c r="K812"/>
      <c r="L812"/>
      <c r="M812"/>
      <c r="N812"/>
      <c r="O812"/>
      <c r="P812"/>
      <c r="Q812"/>
      <c r="R812"/>
      <c r="S812"/>
      <c r="T812"/>
      <c r="U812"/>
      <c r="V812"/>
      <c r="W812"/>
      <c r="X812"/>
      <c r="Y812"/>
      <c r="Z812"/>
      <c r="AA812"/>
      <c r="AB812"/>
      <c r="AC812"/>
    </row>
    <row r="813" spans="1:29">
      <c r="A813"/>
      <c r="B813"/>
      <c r="C813"/>
      <c r="D813" s="551"/>
      <c r="E813"/>
      <c r="F813"/>
      <c r="G813"/>
      <c r="H813"/>
      <c r="I813"/>
      <c r="J813"/>
      <c r="K813"/>
      <c r="L813"/>
      <c r="M813"/>
      <c r="N813"/>
      <c r="O813"/>
      <c r="P813"/>
      <c r="Q813"/>
      <c r="R813"/>
      <c r="S813"/>
      <c r="T813"/>
      <c r="U813"/>
      <c r="V813"/>
      <c r="W813"/>
      <c r="X813"/>
      <c r="Y813"/>
      <c r="Z813"/>
      <c r="AA813"/>
      <c r="AB813"/>
      <c r="AC813"/>
    </row>
    <row r="814" spans="1:29">
      <c r="A814"/>
      <c r="B814"/>
      <c r="C814"/>
      <c r="D814" s="551"/>
      <c r="E814"/>
      <c r="F814"/>
      <c r="G814"/>
      <c r="H814"/>
      <c r="I814"/>
      <c r="J814"/>
      <c r="K814"/>
      <c r="L814"/>
      <c r="M814"/>
      <c r="N814"/>
      <c r="O814"/>
      <c r="P814"/>
      <c r="Q814"/>
      <c r="R814"/>
      <c r="S814"/>
      <c r="T814"/>
      <c r="U814"/>
      <c r="V814"/>
      <c r="W814"/>
      <c r="X814"/>
      <c r="Y814"/>
      <c r="Z814"/>
      <c r="AA814"/>
      <c r="AB814"/>
      <c r="AC814"/>
    </row>
    <row r="815" spans="1:29">
      <c r="A815"/>
      <c r="B815"/>
      <c r="C815"/>
      <c r="D815" s="551"/>
      <c r="E815"/>
      <c r="F815"/>
      <c r="G815"/>
      <c r="H815"/>
      <c r="I815"/>
      <c r="J815"/>
      <c r="K815"/>
      <c r="L815"/>
      <c r="M815"/>
      <c r="N815"/>
      <c r="O815"/>
      <c r="P815"/>
      <c r="Q815"/>
      <c r="R815"/>
      <c r="S815"/>
      <c r="T815"/>
      <c r="U815"/>
      <c r="V815"/>
      <c r="W815"/>
      <c r="X815"/>
      <c r="Y815"/>
      <c r="Z815"/>
      <c r="AA815"/>
      <c r="AB815"/>
      <c r="AC815"/>
    </row>
    <row r="816" spans="1:29">
      <c r="A816"/>
      <c r="B816"/>
      <c r="C816"/>
      <c r="D816" s="551"/>
      <c r="E816"/>
      <c r="F816"/>
      <c r="G816"/>
      <c r="H816"/>
      <c r="I816"/>
      <c r="J816"/>
      <c r="K816"/>
      <c r="L816"/>
      <c r="M816"/>
      <c r="N816"/>
      <c r="O816"/>
      <c r="P816"/>
      <c r="Q816"/>
      <c r="R816"/>
      <c r="S816"/>
      <c r="T816"/>
      <c r="U816"/>
      <c r="V816"/>
      <c r="W816"/>
      <c r="X816"/>
      <c r="Y816"/>
      <c r="Z816"/>
      <c r="AA816"/>
      <c r="AB816"/>
      <c r="AC816"/>
    </row>
    <row r="817" spans="1:29">
      <c r="A817"/>
      <c r="B817"/>
      <c r="C817"/>
      <c r="D817" s="551"/>
      <c r="E817"/>
      <c r="F817"/>
      <c r="G817"/>
      <c r="H817"/>
      <c r="I817"/>
      <c r="J817"/>
      <c r="K817"/>
      <c r="L817"/>
      <c r="M817"/>
      <c r="N817"/>
      <c r="O817"/>
      <c r="P817"/>
      <c r="Q817"/>
      <c r="R817"/>
      <c r="S817"/>
      <c r="T817"/>
      <c r="U817"/>
      <c r="V817"/>
      <c r="W817"/>
      <c r="X817"/>
      <c r="Y817"/>
      <c r="Z817"/>
      <c r="AA817"/>
      <c r="AB817"/>
      <c r="AC817"/>
    </row>
    <row r="818" spans="1:29">
      <c r="A818"/>
      <c r="B818"/>
      <c r="C818"/>
      <c r="D818" s="551"/>
      <c r="E818"/>
      <c r="F818"/>
      <c r="G818"/>
      <c r="H818"/>
      <c r="I818"/>
      <c r="J818"/>
      <c r="K818"/>
      <c r="L818"/>
      <c r="M818"/>
      <c r="N818"/>
      <c r="O818"/>
      <c r="P818"/>
      <c r="Q818"/>
      <c r="R818"/>
      <c r="S818"/>
      <c r="T818"/>
      <c r="U818"/>
      <c r="V818"/>
      <c r="W818"/>
      <c r="X818"/>
      <c r="Y818"/>
      <c r="Z818"/>
      <c r="AA818"/>
      <c r="AB818"/>
      <c r="AC818"/>
    </row>
    <row r="819" spans="1:29">
      <c r="A819"/>
      <c r="B819"/>
      <c r="C819"/>
      <c r="D819" s="551"/>
      <c r="E819"/>
      <c r="F819"/>
      <c r="G819"/>
      <c r="H819"/>
      <c r="I819"/>
      <c r="J819"/>
      <c r="K819"/>
      <c r="L819"/>
      <c r="M819"/>
      <c r="N819"/>
      <c r="O819"/>
      <c r="P819"/>
      <c r="Q819"/>
      <c r="R819"/>
      <c r="S819"/>
      <c r="T819"/>
      <c r="U819"/>
      <c r="V819"/>
      <c r="W819"/>
      <c r="X819"/>
      <c r="Y819"/>
      <c r="Z819"/>
      <c r="AA819"/>
      <c r="AB819"/>
      <c r="AC819"/>
    </row>
    <row r="820" spans="1:29">
      <c r="A820"/>
      <c r="B820"/>
      <c r="C820"/>
      <c r="D820" s="551"/>
      <c r="E820"/>
      <c r="F820"/>
      <c r="G820"/>
      <c r="H820"/>
      <c r="I820"/>
      <c r="J820"/>
      <c r="K820"/>
      <c r="L820"/>
      <c r="M820"/>
      <c r="N820"/>
      <c r="O820"/>
      <c r="P820"/>
      <c r="Q820"/>
      <c r="R820"/>
      <c r="S820"/>
      <c r="T820"/>
      <c r="U820"/>
      <c r="V820"/>
      <c r="W820"/>
      <c r="X820"/>
      <c r="Y820"/>
      <c r="Z820"/>
      <c r="AA820"/>
      <c r="AB820"/>
      <c r="AC820"/>
    </row>
    <row r="821" spans="1:29">
      <c r="A821"/>
      <c r="B821"/>
      <c r="C821"/>
      <c r="D821" s="551"/>
      <c r="E821"/>
      <c r="F821"/>
      <c r="G821"/>
      <c r="H821"/>
      <c r="I821"/>
      <c r="J821"/>
      <c r="K821"/>
      <c r="L821"/>
      <c r="M821"/>
      <c r="N821"/>
      <c r="O821"/>
      <c r="P821"/>
      <c r="Q821"/>
      <c r="R821"/>
      <c r="S821"/>
      <c r="T821"/>
      <c r="U821"/>
      <c r="V821"/>
      <c r="W821"/>
      <c r="X821"/>
      <c r="Y821"/>
      <c r="Z821"/>
      <c r="AA821"/>
      <c r="AB821"/>
      <c r="AC821"/>
    </row>
    <row r="822" spans="1:29">
      <c r="A822"/>
      <c r="B822"/>
      <c r="C822"/>
      <c r="D822" s="551"/>
      <c r="E822"/>
      <c r="F822"/>
      <c r="G822"/>
      <c r="H822"/>
      <c r="I822"/>
      <c r="J822"/>
      <c r="K822"/>
      <c r="L822"/>
      <c r="M822"/>
      <c r="N822"/>
      <c r="O822"/>
      <c r="P822"/>
      <c r="Q822"/>
      <c r="R822"/>
      <c r="S822"/>
      <c r="T822"/>
      <c r="U822"/>
      <c r="V822"/>
      <c r="W822"/>
      <c r="X822"/>
      <c r="Y822"/>
      <c r="Z822"/>
      <c r="AA822"/>
      <c r="AB822"/>
      <c r="AC822"/>
    </row>
    <row r="823" spans="1:29">
      <c r="A823"/>
      <c r="B823"/>
      <c r="C823"/>
      <c r="D823" s="551"/>
      <c r="E823"/>
      <c r="F823"/>
      <c r="G823"/>
      <c r="H823"/>
      <c r="I823"/>
      <c r="J823"/>
      <c r="K823"/>
      <c r="L823"/>
      <c r="M823"/>
      <c r="N823"/>
      <c r="O823"/>
      <c r="P823"/>
      <c r="Q823"/>
      <c r="R823"/>
      <c r="S823"/>
      <c r="T823"/>
      <c r="U823"/>
      <c r="V823"/>
      <c r="W823"/>
      <c r="X823"/>
      <c r="Y823"/>
      <c r="Z823"/>
      <c r="AA823"/>
      <c r="AB823"/>
      <c r="AC823"/>
    </row>
    <row r="824" spans="1:29">
      <c r="A824"/>
      <c r="B824"/>
      <c r="C824"/>
      <c r="D824" s="551"/>
      <c r="E824"/>
      <c r="F824"/>
      <c r="G824"/>
      <c r="H824"/>
      <c r="I824"/>
      <c r="J824"/>
      <c r="K824"/>
      <c r="L824"/>
      <c r="M824"/>
      <c r="N824"/>
      <c r="O824"/>
      <c r="P824"/>
      <c r="Q824"/>
      <c r="R824"/>
      <c r="S824"/>
      <c r="T824"/>
      <c r="U824"/>
      <c r="V824"/>
      <c r="W824"/>
      <c r="X824"/>
      <c r="Y824"/>
      <c r="Z824"/>
      <c r="AA824"/>
      <c r="AB824"/>
      <c r="AC824"/>
    </row>
    <row r="825" spans="1:29">
      <c r="A825"/>
      <c r="B825"/>
      <c r="C825"/>
      <c r="D825" s="551"/>
      <c r="E825"/>
      <c r="F825"/>
      <c r="G825"/>
      <c r="H825"/>
      <c r="I825"/>
      <c r="J825"/>
      <c r="K825"/>
      <c r="L825"/>
      <c r="M825"/>
      <c r="N825"/>
      <c r="O825"/>
      <c r="P825"/>
      <c r="Q825"/>
      <c r="R825"/>
      <c r="S825"/>
      <c r="T825"/>
      <c r="U825"/>
      <c r="V825"/>
      <c r="W825"/>
      <c r="X825"/>
      <c r="Y825"/>
      <c r="Z825"/>
      <c r="AA825"/>
      <c r="AB825"/>
      <c r="AC825"/>
    </row>
    <row r="826" spans="1:29">
      <c r="A826"/>
      <c r="B826"/>
      <c r="C826"/>
      <c r="D826" s="551"/>
      <c r="E826"/>
      <c r="F826"/>
      <c r="G826"/>
      <c r="H826"/>
      <c r="I826"/>
      <c r="J826"/>
      <c r="K826"/>
      <c r="L826"/>
      <c r="M826"/>
      <c r="N826"/>
      <c r="O826"/>
      <c r="P826"/>
      <c r="Q826"/>
      <c r="R826"/>
      <c r="S826"/>
      <c r="T826"/>
      <c r="U826"/>
      <c r="V826"/>
      <c r="W826"/>
      <c r="X826"/>
      <c r="Y826"/>
      <c r="Z826"/>
      <c r="AA826"/>
      <c r="AB826"/>
      <c r="AC826"/>
    </row>
    <row r="827" spans="1:29">
      <c r="A827"/>
      <c r="B827"/>
      <c r="C827"/>
      <c r="D827" s="551"/>
      <c r="E827"/>
      <c r="F827"/>
      <c r="G827"/>
      <c r="H827"/>
      <c r="I827"/>
      <c r="J827"/>
      <c r="K827"/>
      <c r="L827"/>
      <c r="M827"/>
      <c r="N827"/>
      <c r="O827"/>
      <c r="P827"/>
      <c r="Q827"/>
      <c r="R827"/>
      <c r="S827"/>
      <c r="T827"/>
      <c r="U827"/>
      <c r="V827"/>
      <c r="W827"/>
      <c r="X827"/>
      <c r="Y827"/>
      <c r="Z827"/>
      <c r="AA827"/>
      <c r="AB827"/>
      <c r="AC827"/>
    </row>
    <row r="828" spans="1:29">
      <c r="A828"/>
      <c r="B828"/>
      <c r="C828"/>
      <c r="D828" s="551"/>
      <c r="E828"/>
      <c r="F828"/>
      <c r="G828"/>
      <c r="H828"/>
      <c r="I828"/>
      <c r="J828"/>
      <c r="K828"/>
      <c r="L828"/>
      <c r="M828"/>
      <c r="N828"/>
      <c r="O828"/>
      <c r="P828"/>
      <c r="Q828"/>
      <c r="R828"/>
      <c r="S828"/>
      <c r="T828"/>
      <c r="U828"/>
      <c r="V828"/>
      <c r="W828"/>
      <c r="X828"/>
      <c r="Y828"/>
      <c r="Z828"/>
      <c r="AA828"/>
      <c r="AB828"/>
      <c r="AC828"/>
    </row>
    <row r="829" spans="1:29">
      <c r="A829"/>
      <c r="B829"/>
      <c r="C829"/>
      <c r="D829" s="551"/>
      <c r="E829"/>
      <c r="F829"/>
      <c r="G829"/>
      <c r="H829"/>
      <c r="I829"/>
      <c r="J829"/>
      <c r="K829"/>
      <c r="L829"/>
      <c r="M829"/>
      <c r="N829"/>
      <c r="O829"/>
      <c r="P829"/>
      <c r="Q829"/>
      <c r="R829"/>
      <c r="S829"/>
      <c r="T829"/>
      <c r="U829"/>
      <c r="V829"/>
      <c r="W829"/>
      <c r="X829"/>
      <c r="Y829"/>
      <c r="Z829"/>
      <c r="AA829"/>
      <c r="AB829"/>
      <c r="AC829"/>
    </row>
    <row r="830" spans="1:29">
      <c r="A830"/>
      <c r="B830"/>
      <c r="C830"/>
      <c r="D830" s="551"/>
      <c r="E830"/>
      <c r="F830"/>
      <c r="G830"/>
      <c r="H830"/>
      <c r="I830"/>
      <c r="J830"/>
      <c r="K830"/>
      <c r="L830"/>
      <c r="M830"/>
      <c r="N830"/>
      <c r="O830"/>
      <c r="P830"/>
      <c r="Q830"/>
      <c r="R830"/>
      <c r="S830"/>
      <c r="T830"/>
      <c r="U830"/>
      <c r="V830"/>
      <c r="W830"/>
      <c r="X830"/>
      <c r="Y830"/>
      <c r="Z830"/>
      <c r="AA830"/>
      <c r="AB830"/>
      <c r="AC830"/>
    </row>
    <row r="831" spans="1:29">
      <c r="A831"/>
      <c r="B831"/>
      <c r="C831"/>
      <c r="D831" s="551"/>
      <c r="E831"/>
      <c r="F831"/>
      <c r="G831"/>
      <c r="H831"/>
      <c r="I831"/>
      <c r="J831"/>
      <c r="K831"/>
      <c r="L831"/>
      <c r="M831"/>
      <c r="N831"/>
      <c r="O831"/>
      <c r="P831"/>
      <c r="Q831"/>
      <c r="R831"/>
      <c r="S831"/>
      <c r="T831"/>
      <c r="U831"/>
      <c r="V831"/>
      <c r="W831"/>
      <c r="X831"/>
      <c r="Y831"/>
      <c r="Z831"/>
      <c r="AA831"/>
      <c r="AB831"/>
      <c r="AC831"/>
    </row>
    <row r="832" spans="1:29">
      <c r="A832"/>
      <c r="B832"/>
      <c r="C832"/>
      <c r="D832" s="551"/>
      <c r="E832"/>
      <c r="F832"/>
      <c r="G832"/>
      <c r="H832"/>
      <c r="I832"/>
      <c r="J832"/>
      <c r="K832"/>
      <c r="L832"/>
      <c r="M832"/>
      <c r="N832"/>
      <c r="O832"/>
      <c r="P832"/>
      <c r="Q832"/>
      <c r="R832"/>
      <c r="S832"/>
      <c r="T832"/>
      <c r="U832"/>
      <c r="V832"/>
      <c r="W832"/>
      <c r="X832"/>
      <c r="Y832"/>
      <c r="Z832"/>
      <c r="AA832"/>
      <c r="AB832"/>
      <c r="AC832"/>
    </row>
    <row r="833" spans="1:29">
      <c r="A833"/>
      <c r="B833"/>
      <c r="C833"/>
      <c r="D833" s="551"/>
      <c r="E833"/>
      <c r="F833"/>
      <c r="G833"/>
      <c r="H833"/>
      <c r="I833"/>
      <c r="J833"/>
      <c r="K833"/>
      <c r="L833"/>
      <c r="M833"/>
      <c r="N833"/>
      <c r="O833"/>
      <c r="P833"/>
      <c r="Q833"/>
      <c r="R833"/>
      <c r="S833"/>
      <c r="T833"/>
      <c r="U833"/>
      <c r="V833"/>
      <c r="W833"/>
      <c r="X833"/>
      <c r="Y833"/>
      <c r="Z833"/>
      <c r="AA833"/>
      <c r="AB833"/>
      <c r="AC833"/>
    </row>
    <row r="834" spans="1:29">
      <c r="A834"/>
      <c r="B834"/>
      <c r="C834"/>
      <c r="D834" s="551"/>
      <c r="E834"/>
      <c r="F834"/>
      <c r="G834"/>
      <c r="H834"/>
      <c r="I834"/>
      <c r="J834"/>
      <c r="K834"/>
      <c r="L834"/>
      <c r="M834"/>
      <c r="N834"/>
      <c r="O834"/>
      <c r="P834"/>
      <c r="Q834"/>
      <c r="R834"/>
      <c r="S834"/>
      <c r="T834"/>
      <c r="U834"/>
      <c r="V834"/>
      <c r="W834"/>
      <c r="X834"/>
      <c r="Y834"/>
      <c r="Z834"/>
      <c r="AA834"/>
      <c r="AB834"/>
      <c r="AC834"/>
    </row>
    <row r="835" spans="1:29">
      <c r="A835"/>
      <c r="B835"/>
      <c r="C835"/>
      <c r="D835" s="551"/>
      <c r="E835"/>
      <c r="F835"/>
      <c r="G835"/>
      <c r="H835"/>
      <c r="I835"/>
      <c r="J835"/>
      <c r="K835"/>
      <c r="L835"/>
      <c r="M835"/>
      <c r="N835"/>
      <c r="O835"/>
      <c r="P835"/>
      <c r="Q835"/>
      <c r="R835"/>
      <c r="S835"/>
      <c r="T835"/>
      <c r="U835"/>
      <c r="V835"/>
      <c r="W835"/>
      <c r="X835"/>
      <c r="Y835"/>
      <c r="Z835"/>
      <c r="AA835"/>
      <c r="AB835"/>
      <c r="AC835"/>
    </row>
    <row r="836" spans="1:29">
      <c r="A836"/>
      <c r="B836"/>
      <c r="C836"/>
      <c r="D836" s="551"/>
      <c r="E836"/>
      <c r="F836"/>
      <c r="G836"/>
      <c r="H836"/>
      <c r="I836"/>
      <c r="J836"/>
      <c r="K836"/>
      <c r="L836"/>
      <c r="M836"/>
      <c r="N836"/>
      <c r="O836"/>
      <c r="P836"/>
      <c r="Q836"/>
      <c r="R836"/>
      <c r="S836"/>
      <c r="T836"/>
      <c r="U836"/>
      <c r="V836"/>
      <c r="W836"/>
      <c r="X836"/>
      <c r="Y836"/>
      <c r="Z836"/>
      <c r="AA836"/>
      <c r="AB836"/>
      <c r="AC836"/>
    </row>
    <row r="837" spans="1:29">
      <c r="A837"/>
      <c r="B837"/>
      <c r="C837"/>
      <c r="D837" s="551"/>
      <c r="E837"/>
      <c r="F837"/>
      <c r="G837"/>
      <c r="H837"/>
      <c r="I837"/>
      <c r="J837"/>
      <c r="K837"/>
      <c r="L837"/>
      <c r="M837"/>
      <c r="N837"/>
      <c r="O837"/>
      <c r="P837"/>
      <c r="Q837"/>
      <c r="R837"/>
      <c r="S837"/>
      <c r="T837"/>
      <c r="U837"/>
      <c r="V837"/>
      <c r="W837"/>
      <c r="X837"/>
      <c r="Y837"/>
      <c r="Z837"/>
      <c r="AA837"/>
      <c r="AB837"/>
      <c r="AC837"/>
    </row>
    <row r="838" spans="1:29">
      <c r="A838"/>
      <c r="B838"/>
      <c r="C838"/>
      <c r="D838" s="551"/>
      <c r="E838"/>
      <c r="F838"/>
      <c r="G838"/>
      <c r="H838"/>
      <c r="I838"/>
      <c r="J838"/>
      <c r="K838"/>
      <c r="L838"/>
      <c r="M838"/>
      <c r="N838"/>
      <c r="O838"/>
      <c r="P838"/>
      <c r="Q838"/>
      <c r="R838"/>
      <c r="S838"/>
      <c r="T838"/>
      <c r="U838"/>
      <c r="V838"/>
      <c r="W838"/>
      <c r="X838"/>
      <c r="Y838"/>
      <c r="Z838"/>
      <c r="AA838"/>
      <c r="AB838"/>
      <c r="AC838"/>
    </row>
    <row r="839" spans="1:29">
      <c r="A839"/>
      <c r="B839"/>
      <c r="C839"/>
      <c r="D839" s="551"/>
      <c r="E839"/>
      <c r="F839"/>
      <c r="G839"/>
      <c r="H839"/>
      <c r="I839"/>
      <c r="J839"/>
      <c r="K839"/>
      <c r="L839"/>
      <c r="M839"/>
      <c r="N839"/>
      <c r="O839"/>
      <c r="P839"/>
      <c r="Q839"/>
      <c r="R839"/>
      <c r="S839"/>
      <c r="T839"/>
      <c r="U839"/>
      <c r="V839"/>
      <c r="W839"/>
      <c r="X839"/>
      <c r="Y839"/>
      <c r="Z839"/>
      <c r="AA839"/>
      <c r="AB839"/>
      <c r="AC839"/>
    </row>
    <row r="840" spans="1:29">
      <c r="A840"/>
      <c r="B840"/>
      <c r="C840"/>
      <c r="D840" s="551"/>
      <c r="E840"/>
      <c r="F840"/>
      <c r="G840"/>
      <c r="H840"/>
      <c r="I840"/>
      <c r="J840"/>
      <c r="K840"/>
      <c r="L840"/>
      <c r="M840"/>
      <c r="N840"/>
      <c r="O840"/>
      <c r="P840"/>
      <c r="Q840"/>
      <c r="R840"/>
      <c r="S840"/>
      <c r="T840"/>
      <c r="U840"/>
      <c r="V840"/>
      <c r="W840"/>
      <c r="X840"/>
      <c r="Y840"/>
      <c r="Z840"/>
      <c r="AA840"/>
      <c r="AB840"/>
      <c r="AC840"/>
    </row>
    <row r="841" spans="1:29">
      <c r="A841"/>
      <c r="B841"/>
      <c r="C841"/>
      <c r="D841" s="551"/>
      <c r="E841"/>
      <c r="F841"/>
      <c r="G841"/>
      <c r="H841"/>
      <c r="I841"/>
      <c r="J841"/>
      <c r="K841"/>
      <c r="L841"/>
      <c r="M841"/>
      <c r="N841"/>
      <c r="O841"/>
      <c r="P841"/>
      <c r="Q841"/>
      <c r="R841"/>
      <c r="S841"/>
      <c r="T841"/>
      <c r="U841"/>
      <c r="V841"/>
      <c r="W841"/>
      <c r="X841"/>
      <c r="Y841"/>
      <c r="Z841"/>
      <c r="AA841"/>
      <c r="AB841"/>
      <c r="AC841"/>
    </row>
    <row r="842" spans="1:29">
      <c r="A842"/>
      <c r="B842"/>
      <c r="C842"/>
      <c r="D842" s="551"/>
      <c r="E842"/>
      <c r="F842"/>
      <c r="G842"/>
      <c r="H842"/>
      <c r="I842"/>
      <c r="J842"/>
      <c r="K842"/>
      <c r="L842"/>
      <c r="M842"/>
      <c r="N842"/>
      <c r="O842"/>
      <c r="P842"/>
      <c r="Q842"/>
      <c r="R842"/>
      <c r="S842"/>
      <c r="T842"/>
      <c r="U842"/>
      <c r="V842"/>
      <c r="W842"/>
      <c r="X842"/>
      <c r="Y842"/>
      <c r="Z842"/>
      <c r="AA842"/>
      <c r="AB842"/>
      <c r="AC842"/>
    </row>
    <row r="843" spans="1:29">
      <c r="A843"/>
      <c r="B843"/>
      <c r="C843"/>
      <c r="D843" s="551"/>
      <c r="E843"/>
      <c r="F843"/>
      <c r="G843"/>
      <c r="H843"/>
      <c r="I843"/>
      <c r="J843"/>
      <c r="K843"/>
      <c r="L843"/>
      <c r="M843"/>
      <c r="N843"/>
      <c r="O843"/>
      <c r="P843"/>
      <c r="Q843"/>
      <c r="R843"/>
      <c r="S843"/>
      <c r="T843"/>
      <c r="U843"/>
      <c r="V843"/>
      <c r="W843"/>
      <c r="X843"/>
      <c r="Y843"/>
      <c r="Z843"/>
      <c r="AA843"/>
      <c r="AB843"/>
      <c r="AC843"/>
    </row>
    <row r="844" spans="1:29">
      <c r="A844"/>
      <c r="B844"/>
      <c r="C844"/>
      <c r="D844" s="551"/>
      <c r="E844"/>
      <c r="F844"/>
      <c r="G844"/>
      <c r="H844"/>
      <c r="I844"/>
      <c r="J844"/>
      <c r="K844"/>
      <c r="L844"/>
      <c r="M844"/>
      <c r="N844"/>
      <c r="O844"/>
      <c r="P844"/>
      <c r="Q844"/>
      <c r="R844"/>
      <c r="S844"/>
      <c r="T844"/>
      <c r="U844"/>
      <c r="V844"/>
      <c r="W844"/>
      <c r="X844"/>
      <c r="Y844"/>
      <c r="Z844"/>
      <c r="AA844"/>
      <c r="AB844"/>
      <c r="AC844"/>
    </row>
    <row r="845" spans="1:29">
      <c r="A845"/>
      <c r="B845"/>
      <c r="C845"/>
      <c r="D845" s="551"/>
      <c r="E845"/>
      <c r="F845"/>
      <c r="G845"/>
      <c r="H845"/>
      <c r="I845"/>
      <c r="J845"/>
      <c r="K845"/>
      <c r="L845"/>
      <c r="M845"/>
      <c r="N845"/>
      <c r="O845"/>
      <c r="P845"/>
      <c r="Q845"/>
      <c r="R845"/>
      <c r="S845"/>
      <c r="T845"/>
      <c r="U845"/>
      <c r="V845"/>
      <c r="W845"/>
      <c r="X845"/>
      <c r="Y845"/>
      <c r="Z845"/>
      <c r="AA845"/>
      <c r="AB845"/>
      <c r="AC845"/>
    </row>
    <row r="846" spans="1:29">
      <c r="A846"/>
      <c r="B846"/>
      <c r="C846"/>
      <c r="D846" s="551"/>
      <c r="E846"/>
      <c r="F846"/>
      <c r="G846"/>
      <c r="H846"/>
      <c r="I846"/>
      <c r="J846"/>
      <c r="K846"/>
      <c r="L846"/>
      <c r="M846"/>
      <c r="N846"/>
      <c r="O846"/>
      <c r="P846"/>
      <c r="Q846"/>
      <c r="R846"/>
      <c r="S846"/>
      <c r="T846"/>
      <c r="U846"/>
      <c r="V846"/>
      <c r="W846"/>
      <c r="X846"/>
      <c r="Y846"/>
      <c r="Z846"/>
      <c r="AA846"/>
      <c r="AB846"/>
      <c r="AC846"/>
    </row>
    <row r="847" spans="1:29">
      <c r="A847"/>
      <c r="B847"/>
      <c r="C847"/>
      <c r="D847" s="551"/>
      <c r="E847"/>
      <c r="F847"/>
      <c r="G847"/>
      <c r="H847"/>
      <c r="I847"/>
      <c r="J847"/>
      <c r="K847"/>
      <c r="L847"/>
      <c r="M847"/>
      <c r="N847"/>
      <c r="O847"/>
      <c r="P847"/>
      <c r="Q847"/>
      <c r="R847"/>
      <c r="S847"/>
      <c r="T847"/>
      <c r="U847"/>
      <c r="V847"/>
      <c r="W847"/>
      <c r="X847"/>
      <c r="Y847"/>
      <c r="Z847"/>
      <c r="AA847"/>
      <c r="AB847"/>
      <c r="AC847"/>
    </row>
    <row r="848" spans="1:29">
      <c r="A848"/>
      <c r="B848"/>
      <c r="C848"/>
      <c r="D848" s="551"/>
      <c r="E848"/>
      <c r="F848"/>
      <c r="G848"/>
      <c r="H848"/>
      <c r="I848"/>
      <c r="J848"/>
      <c r="K848"/>
      <c r="L848"/>
      <c r="M848"/>
      <c r="N848"/>
      <c r="O848"/>
      <c r="P848"/>
      <c r="Q848"/>
      <c r="R848"/>
      <c r="S848"/>
      <c r="T848"/>
      <c r="U848"/>
      <c r="V848"/>
      <c r="W848"/>
      <c r="X848"/>
      <c r="Y848"/>
      <c r="Z848"/>
      <c r="AA848"/>
      <c r="AB848"/>
      <c r="AC848"/>
    </row>
    <row r="849" spans="1:29">
      <c r="A849"/>
      <c r="B849"/>
      <c r="C849"/>
      <c r="D849" s="551"/>
      <c r="E849"/>
      <c r="F849"/>
      <c r="G849"/>
      <c r="H849"/>
      <c r="I849"/>
      <c r="J849"/>
      <c r="K849"/>
      <c r="L849"/>
      <c r="M849"/>
      <c r="N849"/>
      <c r="O849"/>
      <c r="P849"/>
      <c r="Q849"/>
      <c r="R849"/>
      <c r="S849"/>
      <c r="T849"/>
      <c r="U849"/>
      <c r="V849"/>
      <c r="W849"/>
      <c r="X849"/>
      <c r="Y849"/>
      <c r="Z849"/>
      <c r="AA849"/>
      <c r="AB849"/>
      <c r="AC849"/>
    </row>
    <row r="850" spans="1:29">
      <c r="A850"/>
      <c r="B850"/>
      <c r="C850"/>
      <c r="D850" s="551"/>
      <c r="E850"/>
      <c r="F850"/>
      <c r="G850"/>
      <c r="H850"/>
      <c r="I850"/>
      <c r="J850"/>
      <c r="K850"/>
      <c r="L850"/>
      <c r="M850"/>
      <c r="N850"/>
      <c r="O850"/>
      <c r="P850"/>
      <c r="Q850"/>
      <c r="R850"/>
      <c r="S850"/>
      <c r="T850"/>
      <c r="U850"/>
      <c r="V850"/>
      <c r="W850"/>
      <c r="X850"/>
      <c r="Y850"/>
      <c r="Z850"/>
      <c r="AA850"/>
      <c r="AB850"/>
      <c r="AC850"/>
    </row>
    <row r="851" spans="1:29">
      <c r="A851"/>
      <c r="B851"/>
      <c r="C851"/>
      <c r="D851" s="551"/>
      <c r="E851"/>
      <c r="F851"/>
      <c r="G851"/>
      <c r="H851"/>
      <c r="I851"/>
      <c r="J851"/>
      <c r="K851"/>
      <c r="L851"/>
      <c r="M851"/>
      <c r="N851"/>
      <c r="O851"/>
      <c r="P851"/>
      <c r="Q851"/>
      <c r="R851"/>
      <c r="S851"/>
      <c r="T851"/>
      <c r="U851"/>
      <c r="V851"/>
      <c r="W851"/>
      <c r="X851"/>
      <c r="Y851"/>
      <c r="Z851"/>
      <c r="AA851"/>
      <c r="AB851"/>
      <c r="AC851"/>
    </row>
    <row r="852" spans="1:29">
      <c r="A852"/>
      <c r="B852"/>
      <c r="C852"/>
      <c r="D852" s="551"/>
      <c r="E852"/>
      <c r="F852"/>
      <c r="G852"/>
      <c r="H852"/>
      <c r="I852"/>
      <c r="J852"/>
      <c r="K852"/>
      <c r="L852"/>
      <c r="M852"/>
      <c r="N852"/>
      <c r="O852"/>
      <c r="P852"/>
      <c r="Q852"/>
      <c r="R852"/>
      <c r="S852"/>
      <c r="T852"/>
      <c r="U852"/>
      <c r="V852"/>
      <c r="W852"/>
      <c r="X852"/>
      <c r="Y852"/>
      <c r="Z852"/>
      <c r="AA852"/>
      <c r="AB852"/>
      <c r="AC852"/>
    </row>
    <row r="853" spans="1:29">
      <c r="A853"/>
      <c r="B853"/>
      <c r="C853"/>
      <c r="D853" s="551"/>
      <c r="E853"/>
      <c r="F853"/>
      <c r="G853"/>
      <c r="H853"/>
      <c r="I853"/>
      <c r="J853"/>
      <c r="K853"/>
      <c r="L853"/>
      <c r="M853"/>
      <c r="N853"/>
      <c r="O853"/>
      <c r="P853"/>
      <c r="Q853"/>
      <c r="R853"/>
      <c r="S853"/>
      <c r="T853"/>
      <c r="U853"/>
      <c r="V853"/>
      <c r="W853"/>
      <c r="X853"/>
      <c r="Y853"/>
      <c r="Z853"/>
      <c r="AA853"/>
      <c r="AB853"/>
      <c r="AC853"/>
    </row>
    <row r="854" spans="1:29">
      <c r="A854"/>
      <c r="B854"/>
      <c r="C854"/>
      <c r="D854" s="551"/>
      <c r="E854"/>
      <c r="F854"/>
      <c r="G854"/>
      <c r="H854"/>
      <c r="I854"/>
      <c r="J854"/>
      <c r="K854"/>
      <c r="L854"/>
      <c r="M854"/>
      <c r="N854"/>
      <c r="O854"/>
      <c r="P854"/>
      <c r="Q854"/>
      <c r="R854"/>
      <c r="S854"/>
      <c r="T854"/>
      <c r="U854"/>
      <c r="V854"/>
      <c r="W854"/>
      <c r="X854"/>
      <c r="Y854"/>
      <c r="Z854"/>
      <c r="AA854"/>
      <c r="AB854"/>
      <c r="AC854"/>
    </row>
    <row r="855" spans="1:29">
      <c r="A855"/>
      <c r="B855"/>
      <c r="C855"/>
      <c r="D855" s="551"/>
      <c r="E855"/>
      <c r="F855"/>
      <c r="G855"/>
      <c r="H855"/>
      <c r="I855"/>
      <c r="J855"/>
      <c r="K855"/>
      <c r="L855"/>
      <c r="M855"/>
      <c r="N855"/>
      <c r="O855"/>
      <c r="P855"/>
      <c r="Q855"/>
      <c r="R855"/>
      <c r="S855"/>
      <c r="T855"/>
      <c r="U855"/>
      <c r="V855"/>
      <c r="W855"/>
      <c r="X855"/>
      <c r="Y855"/>
      <c r="Z855"/>
      <c r="AA855"/>
      <c r="AB855"/>
      <c r="AC855"/>
    </row>
    <row r="856" spans="1:29">
      <c r="A856"/>
      <c r="B856"/>
      <c r="C856"/>
      <c r="D856" s="551"/>
      <c r="E856"/>
      <c r="F856"/>
      <c r="G856"/>
      <c r="H856"/>
      <c r="I856"/>
      <c r="J856"/>
      <c r="K856"/>
      <c r="L856"/>
      <c r="M856"/>
      <c r="N856"/>
      <c r="O856"/>
      <c r="P856"/>
      <c r="Q856"/>
      <c r="R856"/>
      <c r="S856"/>
      <c r="T856"/>
      <c r="U856"/>
      <c r="V856"/>
      <c r="W856"/>
      <c r="X856"/>
      <c r="Y856"/>
      <c r="Z856"/>
      <c r="AA856"/>
      <c r="AB856"/>
      <c r="AC856"/>
    </row>
    <row r="857" spans="1:29">
      <c r="A857"/>
      <c r="B857"/>
      <c r="C857"/>
      <c r="D857" s="551"/>
      <c r="E857"/>
      <c r="F857"/>
      <c r="G857"/>
      <c r="H857"/>
      <c r="I857"/>
      <c r="J857"/>
      <c r="K857"/>
      <c r="L857"/>
      <c r="M857"/>
      <c r="N857"/>
      <c r="O857"/>
      <c r="P857"/>
      <c r="Q857"/>
      <c r="R857"/>
      <c r="S857"/>
      <c r="T857"/>
      <c r="U857"/>
      <c r="V857"/>
      <c r="W857"/>
      <c r="X857"/>
      <c r="Y857"/>
      <c r="Z857"/>
      <c r="AA857"/>
      <c r="AB857"/>
      <c r="AC857"/>
    </row>
    <row r="858" spans="1:29">
      <c r="A858"/>
      <c r="B858"/>
      <c r="C858"/>
      <c r="D858" s="551"/>
      <c r="E858"/>
      <c r="F858"/>
      <c r="G858"/>
      <c r="H858"/>
      <c r="I858"/>
      <c r="J858"/>
      <c r="K858"/>
      <c r="L858"/>
      <c r="M858"/>
      <c r="N858"/>
      <c r="O858"/>
      <c r="P858"/>
      <c r="Q858"/>
      <c r="R858"/>
      <c r="S858"/>
      <c r="T858"/>
      <c r="U858"/>
      <c r="V858"/>
      <c r="W858"/>
      <c r="X858"/>
      <c r="Y858"/>
      <c r="Z858"/>
      <c r="AA858"/>
      <c r="AB858"/>
      <c r="AC858"/>
    </row>
    <row r="859" spans="1:29">
      <c r="A859"/>
      <c r="B859"/>
      <c r="C859"/>
      <c r="D859" s="551"/>
      <c r="E859"/>
      <c r="F859"/>
      <c r="G859"/>
      <c r="H859"/>
      <c r="I859"/>
      <c r="J859"/>
      <c r="K859"/>
      <c r="L859"/>
      <c r="M859"/>
      <c r="N859"/>
      <c r="O859"/>
      <c r="P859"/>
      <c r="Q859"/>
      <c r="R859"/>
      <c r="S859"/>
      <c r="T859"/>
      <c r="U859"/>
      <c r="V859"/>
      <c r="W859"/>
      <c r="X859"/>
      <c r="Y859"/>
      <c r="Z859"/>
      <c r="AA859"/>
      <c r="AB859"/>
      <c r="AC859"/>
    </row>
    <row r="860" spans="1:29">
      <c r="A860"/>
      <c r="B860"/>
      <c r="C860"/>
      <c r="D860" s="551"/>
      <c r="E860"/>
      <c r="F860"/>
      <c r="G860"/>
      <c r="H860"/>
      <c r="I860"/>
      <c r="J860"/>
      <c r="K860"/>
      <c r="L860"/>
      <c r="M860"/>
      <c r="N860"/>
      <c r="O860"/>
      <c r="P860"/>
      <c r="Q860"/>
      <c r="R860"/>
      <c r="S860"/>
      <c r="T860"/>
      <c r="U860"/>
      <c r="V860"/>
      <c r="W860"/>
      <c r="X860"/>
      <c r="Y860"/>
      <c r="Z860"/>
      <c r="AA860"/>
      <c r="AB860"/>
      <c r="AC860"/>
    </row>
    <row r="861" spans="1:29">
      <c r="A861"/>
      <c r="B861"/>
      <c r="C861"/>
      <c r="D861" s="551"/>
      <c r="E861"/>
      <c r="F861"/>
      <c r="G861"/>
      <c r="H861"/>
      <c r="I861"/>
      <c r="J861"/>
      <c r="K861"/>
      <c r="L861"/>
      <c r="M861"/>
      <c r="N861"/>
      <c r="O861"/>
      <c r="P861"/>
      <c r="Q861"/>
      <c r="R861"/>
      <c r="S861"/>
      <c r="T861"/>
      <c r="U861"/>
      <c r="V861"/>
      <c r="W861"/>
      <c r="X861"/>
      <c r="Y861"/>
      <c r="Z861"/>
      <c r="AA861"/>
      <c r="AB861"/>
      <c r="AC861"/>
    </row>
    <row r="862" spans="1:29">
      <c r="A862"/>
      <c r="B862"/>
      <c r="C862"/>
      <c r="D862" s="551"/>
      <c r="E862"/>
      <c r="F862"/>
      <c r="G862"/>
      <c r="H862"/>
      <c r="I862"/>
      <c r="J862"/>
      <c r="K862"/>
      <c r="L862"/>
      <c r="M862"/>
      <c r="N862"/>
      <c r="O862"/>
      <c r="P862"/>
      <c r="Q862"/>
      <c r="R862"/>
      <c r="S862"/>
      <c r="T862"/>
      <c r="U862"/>
      <c r="V862"/>
      <c r="W862"/>
      <c r="X862"/>
      <c r="Y862"/>
      <c r="Z862"/>
      <c r="AA862"/>
      <c r="AB862"/>
      <c r="AC862"/>
    </row>
    <row r="863" spans="1:29">
      <c r="A863"/>
      <c r="B863"/>
      <c r="C863"/>
      <c r="D863" s="551"/>
      <c r="E863"/>
      <c r="F863"/>
      <c r="G863"/>
      <c r="H863"/>
      <c r="I863"/>
      <c r="J863"/>
      <c r="K863"/>
      <c r="L863"/>
      <c r="M863"/>
      <c r="N863"/>
      <c r="O863"/>
      <c r="P863"/>
      <c r="Q863"/>
      <c r="R863"/>
      <c r="S863"/>
      <c r="T863"/>
      <c r="U863"/>
      <c r="V863"/>
      <c r="W863"/>
      <c r="X863"/>
      <c r="Y863"/>
      <c r="Z863"/>
      <c r="AA863"/>
      <c r="AB863"/>
      <c r="AC863"/>
    </row>
    <row r="864" spans="1:29">
      <c r="A864"/>
      <c r="B864"/>
      <c r="C864"/>
      <c r="D864" s="551"/>
      <c r="E864"/>
      <c r="F864"/>
      <c r="G864"/>
      <c r="H864"/>
      <c r="I864"/>
      <c r="J864"/>
      <c r="K864"/>
      <c r="L864"/>
      <c r="M864"/>
      <c r="N864"/>
      <c r="O864"/>
      <c r="P864"/>
      <c r="Q864"/>
      <c r="R864"/>
      <c r="S864"/>
      <c r="T864"/>
      <c r="U864"/>
      <c r="V864"/>
      <c r="W864"/>
      <c r="X864"/>
      <c r="Y864"/>
      <c r="Z864"/>
      <c r="AA864"/>
      <c r="AB864"/>
      <c r="AC864"/>
    </row>
    <row r="865" spans="1:29">
      <c r="A865"/>
      <c r="B865"/>
      <c r="C865"/>
      <c r="D865" s="551"/>
      <c r="E865"/>
      <c r="F865"/>
      <c r="G865"/>
      <c r="H865"/>
      <c r="I865"/>
      <c r="J865"/>
      <c r="K865"/>
      <c r="L865"/>
      <c r="M865"/>
      <c r="N865"/>
      <c r="O865"/>
      <c r="P865"/>
      <c r="Q865"/>
      <c r="R865"/>
      <c r="S865"/>
      <c r="T865"/>
      <c r="U865"/>
      <c r="V865"/>
      <c r="W865"/>
      <c r="X865"/>
      <c r="Y865"/>
      <c r="Z865"/>
      <c r="AA865"/>
      <c r="AB865"/>
      <c r="AC865"/>
    </row>
    <row r="866" spans="1:29">
      <c r="A866"/>
      <c r="B866"/>
      <c r="C866"/>
      <c r="D866" s="551"/>
      <c r="E866"/>
      <c r="F866"/>
      <c r="G866"/>
      <c r="H866"/>
      <c r="I866"/>
      <c r="J866"/>
      <c r="K866"/>
      <c r="L866"/>
      <c r="M866"/>
      <c r="N866"/>
      <c r="O866"/>
      <c r="P866"/>
      <c r="Q866"/>
      <c r="R866"/>
      <c r="S866"/>
      <c r="T866"/>
      <c r="U866"/>
      <c r="V866"/>
      <c r="W866"/>
      <c r="X866"/>
      <c r="Y866"/>
      <c r="Z866"/>
      <c r="AA866"/>
      <c r="AB866"/>
      <c r="AC866"/>
    </row>
    <row r="867" spans="1:29">
      <c r="A867"/>
      <c r="B867"/>
      <c r="C867"/>
      <c r="D867" s="551"/>
      <c r="E867"/>
      <c r="F867"/>
      <c r="G867"/>
      <c r="H867"/>
      <c r="I867"/>
      <c r="J867"/>
      <c r="K867"/>
      <c r="L867"/>
      <c r="M867"/>
      <c r="N867"/>
      <c r="O867"/>
      <c r="P867"/>
      <c r="Q867"/>
      <c r="R867"/>
      <c r="S867"/>
      <c r="T867"/>
      <c r="U867"/>
      <c r="V867"/>
      <c r="W867"/>
      <c r="X867"/>
      <c r="Y867"/>
      <c r="Z867"/>
      <c r="AA867"/>
      <c r="AB867"/>
      <c r="AC867"/>
    </row>
    <row r="868" spans="1:29">
      <c r="A868"/>
      <c r="B868"/>
      <c r="C868"/>
      <c r="D868" s="551"/>
      <c r="E868"/>
      <c r="F868"/>
      <c r="G868"/>
      <c r="H868"/>
      <c r="I868"/>
      <c r="J868"/>
      <c r="K868"/>
      <c r="L868"/>
      <c r="M868"/>
      <c r="N868"/>
      <c r="O868"/>
      <c r="P868"/>
      <c r="Q868"/>
      <c r="R868"/>
      <c r="S868"/>
      <c r="T868"/>
      <c r="U868"/>
      <c r="V868"/>
      <c r="W868"/>
      <c r="X868"/>
      <c r="Y868"/>
      <c r="Z868"/>
      <c r="AA868"/>
      <c r="AB868"/>
      <c r="AC868"/>
    </row>
    <row r="869" spans="1:29">
      <c r="A869"/>
      <c r="B869"/>
      <c r="C869"/>
      <c r="D869" s="551"/>
      <c r="E869"/>
      <c r="F869"/>
      <c r="G869"/>
      <c r="H869"/>
      <c r="I869"/>
      <c r="J869"/>
      <c r="K869"/>
      <c r="L869"/>
      <c r="M869"/>
      <c r="N869"/>
      <c r="O869"/>
      <c r="P869"/>
      <c r="Q869"/>
      <c r="R869"/>
      <c r="S869"/>
      <c r="T869"/>
      <c r="U869"/>
      <c r="V869"/>
      <c r="W869"/>
      <c r="X869"/>
      <c r="Y869"/>
      <c r="Z869"/>
      <c r="AA869"/>
      <c r="AB869"/>
      <c r="AC869"/>
    </row>
    <row r="870" spans="1:29">
      <c r="A870"/>
      <c r="B870"/>
      <c r="C870"/>
      <c r="D870" s="551"/>
      <c r="E870"/>
      <c r="F870"/>
      <c r="G870"/>
      <c r="H870"/>
      <c r="I870"/>
      <c r="J870"/>
      <c r="K870"/>
      <c r="L870"/>
      <c r="M870"/>
      <c r="N870"/>
      <c r="O870"/>
      <c r="P870"/>
      <c r="Q870"/>
      <c r="R870"/>
      <c r="S870"/>
      <c r="T870"/>
      <c r="U870"/>
      <c r="V870"/>
      <c r="W870"/>
      <c r="X870"/>
      <c r="Y870"/>
      <c r="Z870"/>
      <c r="AA870"/>
      <c r="AB870"/>
      <c r="AC870"/>
    </row>
    <row r="871" spans="1:29">
      <c r="A871"/>
      <c r="B871"/>
      <c r="C871"/>
      <c r="D871" s="551"/>
      <c r="E871"/>
      <c r="F871"/>
      <c r="G871"/>
      <c r="H871"/>
      <c r="I871"/>
      <c r="J871"/>
      <c r="K871"/>
      <c r="L871"/>
      <c r="M871"/>
      <c r="N871"/>
      <c r="O871"/>
      <c r="P871"/>
      <c r="Q871"/>
      <c r="R871"/>
      <c r="S871"/>
      <c r="T871"/>
      <c r="U871"/>
      <c r="V871"/>
      <c r="W871"/>
      <c r="X871"/>
      <c r="Y871"/>
      <c r="Z871"/>
      <c r="AA871"/>
      <c r="AB871"/>
      <c r="AC871"/>
    </row>
    <row r="872" spans="1:29">
      <c r="A872"/>
      <c r="B872"/>
      <c r="C872"/>
      <c r="D872" s="551"/>
      <c r="E872"/>
      <c r="F872"/>
      <c r="G872"/>
      <c r="H872"/>
      <c r="I872"/>
      <c r="J872"/>
      <c r="K872"/>
      <c r="L872"/>
      <c r="M872"/>
      <c r="N872"/>
      <c r="O872"/>
      <c r="P872"/>
      <c r="Q872"/>
      <c r="R872"/>
      <c r="S872"/>
      <c r="T872"/>
      <c r="U872"/>
      <c r="V872"/>
      <c r="W872"/>
      <c r="X872"/>
      <c r="Y872"/>
      <c r="Z872"/>
      <c r="AA872"/>
      <c r="AB872"/>
      <c r="AC872"/>
    </row>
    <row r="873" spans="1:29">
      <c r="A873"/>
      <c r="B873"/>
      <c r="C873"/>
      <c r="D873" s="551"/>
      <c r="E873"/>
      <c r="F873"/>
      <c r="G873"/>
      <c r="H873"/>
      <c r="I873"/>
      <c r="J873"/>
      <c r="K873"/>
      <c r="L873"/>
      <c r="M873"/>
      <c r="N873"/>
      <c r="O873"/>
      <c r="P873"/>
      <c r="Q873"/>
      <c r="R873"/>
      <c r="S873"/>
      <c r="T873"/>
      <c r="U873"/>
      <c r="V873"/>
      <c r="W873"/>
      <c r="X873"/>
      <c r="Y873"/>
      <c r="Z873"/>
      <c r="AA873"/>
      <c r="AB873"/>
      <c r="AC873"/>
    </row>
    <row r="874" spans="1:29">
      <c r="A874"/>
      <c r="B874"/>
      <c r="C874"/>
      <c r="D874" s="551"/>
      <c r="E874"/>
      <c r="F874"/>
      <c r="G874"/>
      <c r="H874"/>
      <c r="I874"/>
      <c r="J874"/>
      <c r="K874"/>
      <c r="L874"/>
      <c r="M874"/>
      <c r="N874"/>
      <c r="O874"/>
      <c r="P874"/>
      <c r="Q874"/>
      <c r="R874"/>
      <c r="S874"/>
      <c r="T874"/>
      <c r="U874"/>
      <c r="V874"/>
      <c r="W874"/>
      <c r="X874"/>
      <c r="Y874"/>
      <c r="Z874"/>
      <c r="AA874"/>
      <c r="AB874"/>
      <c r="AC874"/>
    </row>
    <row r="875" spans="1:29">
      <c r="A875"/>
      <c r="B875"/>
      <c r="C875"/>
      <c r="D875" s="551"/>
      <c r="E875"/>
      <c r="F875"/>
      <c r="G875"/>
      <c r="H875"/>
      <c r="I875"/>
      <c r="J875"/>
      <c r="K875"/>
      <c r="L875"/>
      <c r="M875"/>
      <c r="N875"/>
      <c r="O875"/>
      <c r="P875"/>
      <c r="Q875"/>
      <c r="R875"/>
      <c r="S875"/>
      <c r="T875"/>
      <c r="U875"/>
      <c r="V875"/>
      <c r="W875"/>
      <c r="X875"/>
      <c r="Y875"/>
      <c r="Z875"/>
      <c r="AA875"/>
      <c r="AB875"/>
      <c r="AC875"/>
    </row>
    <row r="876" spans="1:29">
      <c r="A876"/>
      <c r="B876"/>
      <c r="C876"/>
      <c r="D876" s="551"/>
      <c r="E876"/>
      <c r="F876"/>
      <c r="G876"/>
      <c r="H876"/>
      <c r="I876"/>
      <c r="J876"/>
      <c r="K876"/>
      <c r="L876"/>
      <c r="M876"/>
      <c r="N876"/>
      <c r="O876"/>
      <c r="P876"/>
      <c r="Q876"/>
      <c r="R876"/>
      <c r="S876"/>
      <c r="T876"/>
      <c r="U876"/>
      <c r="V876"/>
      <c r="W876"/>
      <c r="X876"/>
      <c r="Y876"/>
      <c r="Z876"/>
      <c r="AA876"/>
      <c r="AB876"/>
      <c r="AC876"/>
    </row>
    <row r="877" spans="1:29">
      <c r="A877"/>
      <c r="B877"/>
      <c r="C877"/>
      <c r="D877" s="551"/>
      <c r="E877"/>
      <c r="F877"/>
      <c r="G877"/>
      <c r="H877"/>
      <c r="I877"/>
      <c r="J877"/>
      <c r="K877"/>
      <c r="L877"/>
      <c r="M877"/>
      <c r="N877"/>
      <c r="O877"/>
      <c r="P877"/>
      <c r="Q877"/>
      <c r="R877"/>
      <c r="S877"/>
      <c r="T877"/>
      <c r="U877"/>
      <c r="V877"/>
      <c r="W877"/>
      <c r="X877"/>
      <c r="Y877"/>
      <c r="Z877"/>
      <c r="AA877"/>
      <c r="AB877"/>
      <c r="AC877"/>
    </row>
    <row r="878" spans="1:29">
      <c r="A878"/>
      <c r="B878"/>
      <c r="C878"/>
      <c r="D878" s="551"/>
      <c r="E878"/>
      <c r="F878"/>
      <c r="G878"/>
      <c r="H878"/>
      <c r="I878"/>
      <c r="J878"/>
      <c r="K878"/>
      <c r="L878"/>
      <c r="M878"/>
      <c r="N878"/>
      <c r="O878"/>
      <c r="P878"/>
      <c r="Q878"/>
      <c r="R878"/>
      <c r="S878"/>
      <c r="T878"/>
      <c r="U878"/>
      <c r="V878"/>
      <c r="W878"/>
      <c r="X878"/>
      <c r="Y878"/>
      <c r="Z878"/>
      <c r="AA878"/>
      <c r="AB878"/>
      <c r="AC878"/>
    </row>
    <row r="879" spans="1:29">
      <c r="A879"/>
      <c r="B879"/>
      <c r="C879"/>
      <c r="D879" s="551"/>
      <c r="E879"/>
      <c r="F879"/>
      <c r="G879"/>
      <c r="H879"/>
      <c r="I879"/>
      <c r="J879"/>
      <c r="K879"/>
      <c r="L879"/>
      <c r="M879"/>
      <c r="N879"/>
      <c r="O879"/>
      <c r="P879"/>
      <c r="Q879"/>
      <c r="R879"/>
      <c r="S879"/>
      <c r="T879"/>
      <c r="U879"/>
      <c r="V879"/>
      <c r="W879"/>
      <c r="X879"/>
      <c r="Y879"/>
      <c r="Z879"/>
      <c r="AA879"/>
      <c r="AB879"/>
      <c r="AC879"/>
    </row>
    <row r="880" spans="1:29">
      <c r="A880"/>
      <c r="B880"/>
      <c r="C880"/>
      <c r="D880" s="551"/>
      <c r="E880"/>
      <c r="F880"/>
      <c r="G880"/>
      <c r="H880"/>
      <c r="I880"/>
      <c r="J880"/>
      <c r="K880"/>
      <c r="L880"/>
      <c r="M880"/>
      <c r="N880"/>
      <c r="O880"/>
      <c r="P880"/>
      <c r="Q880"/>
      <c r="R880"/>
      <c r="S880"/>
      <c r="T880"/>
      <c r="U880"/>
      <c r="V880"/>
      <c r="W880"/>
      <c r="X880"/>
      <c r="Y880"/>
      <c r="Z880"/>
      <c r="AA880"/>
      <c r="AB880"/>
      <c r="AC880"/>
    </row>
    <row r="881" spans="1:29">
      <c r="A881"/>
      <c r="B881"/>
      <c r="C881"/>
      <c r="D881" s="551"/>
      <c r="E881"/>
      <c r="F881"/>
      <c r="G881"/>
      <c r="H881"/>
      <c r="I881"/>
      <c r="J881"/>
      <c r="K881"/>
      <c r="L881"/>
      <c r="M881"/>
      <c r="N881"/>
      <c r="O881"/>
      <c r="P881"/>
      <c r="Q881"/>
      <c r="R881"/>
      <c r="S881"/>
      <c r="T881"/>
      <c r="U881"/>
      <c r="V881"/>
      <c r="W881"/>
      <c r="X881"/>
      <c r="Y881"/>
      <c r="Z881"/>
      <c r="AA881"/>
      <c r="AB881"/>
      <c r="AC881"/>
    </row>
    <row r="882" spans="1:29">
      <c r="A882"/>
      <c r="B882"/>
      <c r="C882"/>
      <c r="D882" s="551"/>
      <c r="E882"/>
      <c r="F882"/>
      <c r="G882"/>
      <c r="H882"/>
      <c r="I882"/>
      <c r="J882"/>
      <c r="K882"/>
      <c r="L882"/>
      <c r="M882"/>
      <c r="N882"/>
      <c r="O882"/>
      <c r="P882"/>
      <c r="Q882"/>
      <c r="R882"/>
      <c r="S882"/>
      <c r="T882"/>
      <c r="U882"/>
      <c r="V882"/>
      <c r="W882"/>
      <c r="X882"/>
      <c r="Y882"/>
      <c r="Z882"/>
      <c r="AA882"/>
      <c r="AB882"/>
      <c r="AC882"/>
    </row>
    <row r="883" spans="1:29">
      <c r="A883"/>
      <c r="B883"/>
      <c r="C883"/>
      <c r="D883" s="551"/>
      <c r="E883"/>
      <c r="F883"/>
      <c r="G883"/>
      <c r="H883"/>
      <c r="I883"/>
      <c r="J883"/>
      <c r="K883"/>
      <c r="L883"/>
      <c r="M883"/>
      <c r="N883"/>
      <c r="O883"/>
      <c r="P883"/>
      <c r="Q883"/>
      <c r="R883"/>
      <c r="S883"/>
      <c r="T883"/>
      <c r="U883"/>
      <c r="V883"/>
      <c r="W883"/>
      <c r="X883"/>
      <c r="Y883"/>
      <c r="Z883"/>
      <c r="AA883"/>
      <c r="AB883"/>
      <c r="AC883"/>
    </row>
    <row r="884" spans="1:29">
      <c r="A884"/>
      <c r="B884"/>
      <c r="C884"/>
      <c r="D884" s="551"/>
      <c r="E884"/>
      <c r="F884"/>
      <c r="G884"/>
      <c r="H884"/>
      <c r="I884"/>
      <c r="J884"/>
      <c r="K884"/>
      <c r="L884"/>
      <c r="M884"/>
      <c r="N884"/>
      <c r="O884"/>
      <c r="P884"/>
      <c r="Q884"/>
      <c r="R884"/>
      <c r="S884"/>
      <c r="T884"/>
      <c r="U884"/>
      <c r="V884"/>
      <c r="W884"/>
      <c r="X884"/>
      <c r="Y884"/>
      <c r="Z884"/>
      <c r="AA884"/>
      <c r="AB884"/>
      <c r="AC884"/>
    </row>
    <row r="885" spans="1:29">
      <c r="A885"/>
      <c r="B885"/>
      <c r="C885"/>
      <c r="D885" s="551"/>
      <c r="E885"/>
      <c r="F885"/>
      <c r="G885"/>
      <c r="H885"/>
      <c r="I885"/>
      <c r="J885"/>
      <c r="K885"/>
      <c r="L885"/>
      <c r="M885"/>
      <c r="N885"/>
      <c r="O885"/>
      <c r="P885"/>
      <c r="Q885"/>
      <c r="R885"/>
      <c r="S885"/>
      <c r="T885"/>
      <c r="U885"/>
      <c r="V885"/>
      <c r="W885"/>
      <c r="X885"/>
      <c r="Y885"/>
      <c r="Z885"/>
      <c r="AA885"/>
      <c r="AB885"/>
      <c r="AC885"/>
    </row>
    <row r="886" spans="1:29">
      <c r="A886"/>
      <c r="B886"/>
      <c r="C886"/>
      <c r="D886" s="551"/>
      <c r="E886"/>
      <c r="F886"/>
      <c r="G886"/>
      <c r="H886"/>
      <c r="I886"/>
      <c r="J886"/>
      <c r="K886"/>
      <c r="L886"/>
      <c r="M886"/>
      <c r="N886"/>
      <c r="O886"/>
      <c r="P886"/>
      <c r="Q886"/>
      <c r="R886"/>
      <c r="S886"/>
      <c r="T886"/>
      <c r="U886"/>
      <c r="V886"/>
      <c r="W886"/>
      <c r="X886"/>
      <c r="Y886"/>
      <c r="Z886"/>
      <c r="AA886"/>
      <c r="AB886"/>
      <c r="AC886"/>
    </row>
    <row r="887" spans="1:29">
      <c r="A887"/>
      <c r="B887"/>
      <c r="C887"/>
      <c r="D887" s="551"/>
      <c r="E887"/>
      <c r="F887"/>
      <c r="G887"/>
      <c r="H887"/>
      <c r="I887"/>
      <c r="J887"/>
      <c r="K887"/>
      <c r="L887"/>
      <c r="M887"/>
      <c r="N887"/>
      <c r="O887"/>
      <c r="P887"/>
      <c r="Q887"/>
      <c r="R887"/>
      <c r="S887"/>
      <c r="T887"/>
      <c r="U887"/>
      <c r="V887"/>
      <c r="W887"/>
      <c r="X887"/>
      <c r="Y887"/>
      <c r="Z887"/>
      <c r="AA887"/>
      <c r="AB887"/>
      <c r="AC887"/>
    </row>
    <row r="888" spans="1:29">
      <c r="A888"/>
      <c r="B888"/>
      <c r="C888"/>
      <c r="D888" s="551"/>
      <c r="E888"/>
      <c r="F888"/>
      <c r="G888"/>
      <c r="H888"/>
      <c r="I888"/>
      <c r="J888"/>
      <c r="K888"/>
      <c r="L888"/>
      <c r="M888"/>
      <c r="N888"/>
      <c r="O888"/>
      <c r="P888"/>
      <c r="Q888"/>
      <c r="R888"/>
      <c r="S888"/>
      <c r="T888"/>
      <c r="U888"/>
      <c r="V888"/>
      <c r="W888"/>
      <c r="X888"/>
      <c r="Y888"/>
      <c r="Z888"/>
      <c r="AA888"/>
      <c r="AB888"/>
      <c r="AC888"/>
    </row>
    <row r="889" spans="1:29">
      <c r="A889"/>
      <c r="B889"/>
      <c r="C889"/>
      <c r="D889" s="551"/>
      <c r="E889"/>
      <c r="F889"/>
      <c r="G889"/>
      <c r="H889"/>
      <c r="I889"/>
      <c r="J889"/>
      <c r="K889"/>
      <c r="L889"/>
      <c r="M889"/>
      <c r="N889"/>
      <c r="O889"/>
      <c r="P889"/>
      <c r="Q889"/>
      <c r="R889"/>
      <c r="S889"/>
      <c r="T889"/>
      <c r="U889"/>
      <c r="V889"/>
      <c r="W889"/>
      <c r="X889"/>
      <c r="Y889"/>
      <c r="Z889"/>
      <c r="AA889"/>
      <c r="AB889"/>
      <c r="AC889"/>
    </row>
    <row r="890" spans="1:29">
      <c r="A890"/>
      <c r="B890"/>
      <c r="C890"/>
      <c r="D890" s="551"/>
      <c r="E890"/>
      <c r="F890"/>
      <c r="G890"/>
      <c r="H890"/>
      <c r="I890"/>
      <c r="J890"/>
      <c r="K890"/>
      <c r="L890"/>
      <c r="M890"/>
      <c r="N890"/>
      <c r="O890"/>
      <c r="P890"/>
      <c r="Q890"/>
      <c r="R890"/>
      <c r="S890"/>
      <c r="T890"/>
      <c r="U890"/>
      <c r="V890"/>
      <c r="W890"/>
      <c r="X890"/>
      <c r="Y890"/>
      <c r="Z890"/>
      <c r="AA890"/>
      <c r="AB890"/>
      <c r="AC890"/>
    </row>
    <row r="891" spans="1:29">
      <c r="A891"/>
      <c r="B891"/>
      <c r="C891"/>
      <c r="D891" s="551"/>
      <c r="E891"/>
      <c r="F891"/>
      <c r="G891"/>
      <c r="H891"/>
      <c r="I891"/>
      <c r="J891"/>
      <c r="K891"/>
      <c r="L891"/>
      <c r="M891"/>
      <c r="N891"/>
      <c r="O891"/>
      <c r="P891"/>
      <c r="Q891"/>
      <c r="R891"/>
      <c r="S891"/>
      <c r="T891"/>
      <c r="U891"/>
      <c r="V891"/>
      <c r="W891"/>
      <c r="X891"/>
      <c r="Y891"/>
      <c r="Z891"/>
      <c r="AA891"/>
      <c r="AB891"/>
      <c r="AC891"/>
    </row>
    <row r="892" spans="1:29">
      <c r="A892"/>
      <c r="B892"/>
      <c r="C892"/>
      <c r="D892" s="551"/>
      <c r="E892"/>
      <c r="F892"/>
      <c r="G892"/>
      <c r="H892"/>
      <c r="I892"/>
      <c r="J892"/>
      <c r="K892"/>
      <c r="L892"/>
      <c r="M892"/>
      <c r="N892"/>
      <c r="O892"/>
      <c r="P892"/>
      <c r="Q892"/>
      <c r="R892"/>
      <c r="S892"/>
      <c r="T892"/>
      <c r="U892"/>
      <c r="V892"/>
      <c r="W892"/>
      <c r="X892"/>
      <c r="Y892"/>
      <c r="Z892"/>
      <c r="AA892"/>
      <c r="AB892"/>
      <c r="AC892"/>
    </row>
    <row r="893" spans="1:29">
      <c r="A893"/>
      <c r="B893"/>
      <c r="C893"/>
      <c r="D893" s="551"/>
      <c r="E893"/>
      <c r="F893"/>
      <c r="G893"/>
      <c r="H893"/>
      <c r="I893"/>
      <c r="J893"/>
      <c r="K893"/>
      <c r="L893"/>
      <c r="M893"/>
      <c r="N893"/>
      <c r="O893"/>
      <c r="P893"/>
      <c r="Q893"/>
      <c r="R893"/>
      <c r="S893"/>
      <c r="T893"/>
      <c r="U893"/>
      <c r="V893"/>
      <c r="W893"/>
      <c r="X893"/>
      <c r="Y893"/>
      <c r="Z893"/>
      <c r="AA893"/>
      <c r="AB893"/>
      <c r="AC893"/>
    </row>
    <row r="894" spans="1:29">
      <c r="A894"/>
      <c r="B894"/>
      <c r="C894"/>
      <c r="D894" s="551"/>
      <c r="E894"/>
      <c r="F894"/>
      <c r="G894"/>
      <c r="H894"/>
      <c r="I894"/>
      <c r="J894"/>
      <c r="K894"/>
      <c r="L894"/>
      <c r="M894"/>
      <c r="N894"/>
      <c r="O894"/>
      <c r="P894"/>
      <c r="Q894"/>
      <c r="R894"/>
      <c r="S894"/>
      <c r="T894"/>
      <c r="U894"/>
      <c r="V894"/>
      <c r="W894"/>
      <c r="X894"/>
      <c r="Y894"/>
      <c r="Z894"/>
      <c r="AA894"/>
      <c r="AB894"/>
      <c r="AC894"/>
    </row>
    <row r="895" spans="1:29">
      <c r="A895"/>
      <c r="B895"/>
      <c r="C895"/>
      <c r="D895" s="551"/>
      <c r="E895"/>
      <c r="F895"/>
      <c r="G895"/>
      <c r="H895"/>
      <c r="I895"/>
      <c r="J895"/>
      <c r="K895"/>
      <c r="L895"/>
      <c r="M895"/>
      <c r="N895"/>
      <c r="O895"/>
      <c r="P895"/>
      <c r="Q895"/>
      <c r="R895"/>
      <c r="S895"/>
      <c r="T895"/>
      <c r="U895"/>
      <c r="V895"/>
      <c r="W895"/>
      <c r="X895"/>
      <c r="Y895"/>
      <c r="Z895"/>
      <c r="AA895"/>
      <c r="AB895"/>
      <c r="AC895"/>
    </row>
    <row r="896" spans="1:29">
      <c r="A896"/>
      <c r="B896"/>
      <c r="C896"/>
      <c r="D896" s="551"/>
      <c r="E896"/>
      <c r="F896"/>
      <c r="G896"/>
      <c r="H896"/>
      <c r="I896"/>
      <c r="J896"/>
      <c r="K896"/>
      <c r="L896"/>
      <c r="M896"/>
      <c r="N896"/>
      <c r="O896"/>
      <c r="P896"/>
      <c r="Q896"/>
      <c r="R896"/>
      <c r="S896"/>
      <c r="T896"/>
      <c r="U896"/>
      <c r="V896"/>
      <c r="W896"/>
      <c r="X896"/>
      <c r="Y896"/>
      <c r="Z896"/>
      <c r="AA896"/>
      <c r="AB896"/>
      <c r="AC896"/>
    </row>
    <row r="897" spans="1:29">
      <c r="A897"/>
      <c r="B897"/>
      <c r="C897"/>
      <c r="D897" s="551"/>
      <c r="E897"/>
      <c r="F897"/>
      <c r="G897"/>
      <c r="H897"/>
      <c r="I897"/>
      <c r="J897"/>
      <c r="K897"/>
      <c r="L897"/>
      <c r="M897"/>
      <c r="N897"/>
      <c r="O897"/>
      <c r="P897"/>
      <c r="Q897"/>
      <c r="R897"/>
      <c r="S897"/>
      <c r="T897"/>
      <c r="U897"/>
      <c r="V897"/>
      <c r="W897"/>
      <c r="X897"/>
      <c r="Y897"/>
      <c r="Z897"/>
      <c r="AA897"/>
      <c r="AB897"/>
      <c r="AC897"/>
    </row>
    <row r="898" spans="1:29">
      <c r="A898"/>
      <c r="B898"/>
      <c r="C898"/>
      <c r="D898" s="551"/>
      <c r="E898"/>
      <c r="F898"/>
      <c r="G898"/>
      <c r="H898"/>
      <c r="I898"/>
      <c r="J898"/>
      <c r="K898"/>
      <c r="L898"/>
      <c r="M898"/>
      <c r="N898"/>
      <c r="O898"/>
      <c r="P898"/>
      <c r="Q898"/>
      <c r="R898"/>
      <c r="S898"/>
      <c r="T898"/>
      <c r="U898"/>
      <c r="V898"/>
      <c r="W898"/>
      <c r="X898"/>
      <c r="Y898"/>
      <c r="Z898"/>
      <c r="AA898"/>
      <c r="AB898"/>
      <c r="AC898"/>
    </row>
    <row r="899" spans="1:29">
      <c r="A899"/>
      <c r="B899"/>
      <c r="C899"/>
      <c r="D899" s="551"/>
      <c r="E899"/>
      <c r="F899"/>
      <c r="G899"/>
      <c r="H899"/>
      <c r="I899"/>
      <c r="J899"/>
      <c r="K899"/>
      <c r="L899"/>
      <c r="M899"/>
      <c r="N899"/>
      <c r="O899"/>
      <c r="P899"/>
      <c r="Q899"/>
      <c r="R899"/>
      <c r="S899"/>
      <c r="T899"/>
      <c r="U899"/>
      <c r="V899"/>
      <c r="W899"/>
      <c r="X899"/>
      <c r="Y899"/>
      <c r="Z899"/>
      <c r="AA899"/>
      <c r="AB899"/>
      <c r="AC899"/>
    </row>
    <row r="900" spans="1:29">
      <c r="A900"/>
      <c r="B900"/>
      <c r="C900"/>
      <c r="D900" s="551"/>
      <c r="E900"/>
      <c r="F900"/>
      <c r="G900"/>
      <c r="H900"/>
      <c r="I900"/>
      <c r="J900"/>
      <c r="K900"/>
      <c r="L900"/>
      <c r="M900"/>
      <c r="N900"/>
      <c r="O900"/>
      <c r="P900"/>
      <c r="Q900"/>
      <c r="R900"/>
      <c r="S900"/>
      <c r="T900"/>
      <c r="U900"/>
      <c r="V900"/>
      <c r="W900"/>
      <c r="X900"/>
      <c r="Y900"/>
      <c r="Z900"/>
      <c r="AA900"/>
      <c r="AB900"/>
      <c r="AC900"/>
    </row>
    <row r="901" spans="1:29">
      <c r="A901"/>
      <c r="B901"/>
      <c r="C901"/>
      <c r="D901" s="551"/>
      <c r="E901"/>
      <c r="F901"/>
      <c r="G901"/>
      <c r="H901"/>
      <c r="I901"/>
      <c r="J901"/>
      <c r="K901"/>
      <c r="L901"/>
      <c r="M901"/>
      <c r="N901"/>
      <c r="O901"/>
      <c r="P901"/>
      <c r="Q901"/>
      <c r="R901"/>
      <c r="S901"/>
      <c r="T901"/>
      <c r="U901"/>
      <c r="V901"/>
      <c r="W901"/>
      <c r="X901"/>
      <c r="Y901"/>
      <c r="Z901"/>
      <c r="AA901"/>
      <c r="AB901"/>
      <c r="AC901"/>
    </row>
    <row r="902" spans="1:29">
      <c r="A902"/>
      <c r="B902"/>
      <c r="C902"/>
      <c r="D902" s="551"/>
      <c r="E902"/>
      <c r="F902"/>
      <c r="G902"/>
      <c r="H902"/>
      <c r="I902"/>
      <c r="J902"/>
      <c r="K902"/>
      <c r="L902"/>
      <c r="M902"/>
      <c r="N902"/>
      <c r="O902"/>
      <c r="P902"/>
      <c r="Q902"/>
      <c r="R902"/>
      <c r="S902"/>
      <c r="T902"/>
      <c r="U902"/>
      <c r="V902"/>
      <c r="W902"/>
      <c r="X902"/>
      <c r="Y902"/>
      <c r="Z902"/>
      <c r="AA902"/>
      <c r="AB902"/>
      <c r="AC902"/>
    </row>
    <row r="903" spans="1:29">
      <c r="B903"/>
      <c r="C903"/>
      <c r="D903" s="551"/>
      <c r="E903"/>
      <c r="F903"/>
      <c r="G903"/>
      <c r="H903"/>
      <c r="I903"/>
      <c r="J903"/>
      <c r="K903"/>
      <c r="L903"/>
      <c r="M903"/>
      <c r="N903"/>
      <c r="O903"/>
      <c r="P903"/>
      <c r="Q903"/>
      <c r="R903"/>
      <c r="S903"/>
      <c r="T903"/>
      <c r="U903"/>
      <c r="V903"/>
      <c r="W903"/>
      <c r="X903"/>
      <c r="Y903"/>
      <c r="Z903"/>
      <c r="AA903"/>
      <c r="AB903"/>
      <c r="AC903"/>
    </row>
    <row r="904" spans="1:29">
      <c r="B904"/>
      <c r="C904"/>
      <c r="D904" s="551"/>
      <c r="E904"/>
      <c r="F904"/>
      <c r="G904"/>
      <c r="H904"/>
      <c r="I904"/>
      <c r="J904"/>
      <c r="K904"/>
      <c r="L904"/>
      <c r="M904"/>
      <c r="N904"/>
      <c r="O904"/>
      <c r="P904"/>
      <c r="Q904"/>
      <c r="R904"/>
      <c r="S904"/>
      <c r="T904"/>
      <c r="U904"/>
      <c r="V904"/>
      <c r="W904"/>
      <c r="X904"/>
      <c r="Y904"/>
      <c r="Z904"/>
      <c r="AA904"/>
      <c r="AB904"/>
      <c r="AC904"/>
    </row>
    <row r="905" spans="1:29">
      <c r="B905"/>
      <c r="C905"/>
      <c r="D905" s="551"/>
      <c r="E905"/>
      <c r="F905"/>
      <c r="G905"/>
      <c r="H905"/>
      <c r="I905"/>
      <c r="J905"/>
      <c r="K905"/>
      <c r="L905"/>
      <c r="M905"/>
      <c r="N905"/>
      <c r="O905"/>
      <c r="P905"/>
      <c r="Q905"/>
      <c r="R905"/>
      <c r="S905"/>
      <c r="T905"/>
      <c r="U905"/>
      <c r="V905"/>
      <c r="W905"/>
      <c r="X905"/>
      <c r="Y905"/>
      <c r="Z905"/>
      <c r="AA905"/>
      <c r="AB905"/>
      <c r="AC905"/>
    </row>
    <row r="906" spans="1:29">
      <c r="B906"/>
      <c r="C906"/>
      <c r="D906" s="551"/>
      <c r="E906"/>
      <c r="F906"/>
      <c r="G906"/>
      <c r="H906"/>
      <c r="I906"/>
      <c r="J906"/>
      <c r="K906"/>
      <c r="L906"/>
      <c r="M906"/>
      <c r="N906"/>
      <c r="O906"/>
      <c r="P906"/>
      <c r="Q906"/>
      <c r="R906"/>
      <c r="S906"/>
      <c r="T906"/>
      <c r="U906"/>
      <c r="V906"/>
      <c r="W906"/>
      <c r="X906"/>
      <c r="Y906"/>
      <c r="Z906"/>
      <c r="AA906"/>
      <c r="AB906"/>
      <c r="AC906"/>
    </row>
    <row r="907" spans="1:29">
      <c r="B907"/>
      <c r="C907"/>
      <c r="D907" s="551"/>
      <c r="E907"/>
      <c r="F907"/>
      <c r="G907"/>
      <c r="H907"/>
      <c r="I907"/>
      <c r="J907"/>
      <c r="K907"/>
      <c r="L907"/>
      <c r="M907"/>
      <c r="N907"/>
      <c r="O907"/>
      <c r="P907"/>
      <c r="Q907"/>
      <c r="R907"/>
      <c r="S907"/>
      <c r="T907"/>
      <c r="U907"/>
      <c r="V907"/>
      <c r="W907"/>
      <c r="X907"/>
      <c r="Y907"/>
      <c r="Z907"/>
      <c r="AA907"/>
      <c r="AB907"/>
      <c r="AC907"/>
    </row>
    <row r="908" spans="1:29">
      <c r="B908"/>
      <c r="C908"/>
      <c r="D908" s="551"/>
      <c r="E908"/>
      <c r="F908"/>
      <c r="G908"/>
      <c r="H908"/>
      <c r="I908"/>
      <c r="J908"/>
      <c r="K908"/>
      <c r="L908"/>
      <c r="M908"/>
      <c r="N908"/>
      <c r="O908"/>
      <c r="P908"/>
      <c r="Q908"/>
      <c r="R908"/>
      <c r="S908"/>
      <c r="T908"/>
      <c r="U908"/>
      <c r="V908"/>
      <c r="W908"/>
      <c r="X908"/>
      <c r="Y908"/>
      <c r="Z908"/>
      <c r="AA908"/>
      <c r="AB908"/>
      <c r="AC908"/>
    </row>
    <row r="909" spans="1:29">
      <c r="B909"/>
      <c r="C909"/>
      <c r="D909" s="551"/>
      <c r="E909"/>
      <c r="F909"/>
      <c r="G909"/>
      <c r="H909"/>
      <c r="I909"/>
      <c r="J909"/>
      <c r="K909"/>
      <c r="L909"/>
      <c r="M909"/>
      <c r="N909"/>
      <c r="O909"/>
      <c r="P909"/>
      <c r="Q909"/>
      <c r="R909"/>
      <c r="S909"/>
      <c r="T909"/>
      <c r="U909"/>
      <c r="V909"/>
      <c r="W909"/>
      <c r="X909"/>
      <c r="Y909"/>
      <c r="Z909"/>
      <c r="AA909"/>
      <c r="AB909"/>
      <c r="AC909"/>
    </row>
    <row r="910" spans="1:29">
      <c r="B910"/>
      <c r="C910"/>
      <c r="D910" s="551"/>
      <c r="E910"/>
      <c r="F910"/>
      <c r="G910"/>
      <c r="H910"/>
      <c r="I910"/>
      <c r="J910"/>
      <c r="K910"/>
      <c r="L910"/>
      <c r="M910"/>
      <c r="N910"/>
      <c r="O910"/>
      <c r="P910"/>
      <c r="Q910"/>
      <c r="R910"/>
      <c r="S910"/>
      <c r="T910"/>
      <c r="U910"/>
      <c r="V910"/>
      <c r="W910"/>
      <c r="X910"/>
      <c r="Y910"/>
      <c r="Z910"/>
      <c r="AA910"/>
      <c r="AB910"/>
      <c r="AC910"/>
    </row>
    <row r="911" spans="1:29">
      <c r="B911"/>
      <c r="C911"/>
      <c r="D911" s="551"/>
      <c r="E911"/>
      <c r="F911"/>
      <c r="G911"/>
      <c r="H911"/>
      <c r="I911"/>
      <c r="J911"/>
      <c r="K911"/>
      <c r="L911"/>
      <c r="M911"/>
      <c r="N911"/>
      <c r="O911"/>
      <c r="P911"/>
      <c r="Q911"/>
      <c r="R911"/>
      <c r="S911"/>
      <c r="T911"/>
      <c r="U911"/>
      <c r="V911"/>
      <c r="W911"/>
      <c r="X911"/>
      <c r="Y911"/>
      <c r="Z911"/>
      <c r="AA911"/>
      <c r="AB911"/>
      <c r="AC911"/>
    </row>
    <row r="912" spans="1:29">
      <c r="B912"/>
      <c r="C912"/>
      <c r="D912" s="551"/>
      <c r="E912"/>
      <c r="F912"/>
      <c r="G912"/>
      <c r="H912"/>
      <c r="I912"/>
      <c r="J912"/>
      <c r="K912"/>
      <c r="L912"/>
      <c r="M912"/>
      <c r="N912"/>
      <c r="O912"/>
      <c r="P912"/>
      <c r="Q912"/>
      <c r="R912"/>
      <c r="S912"/>
      <c r="T912"/>
      <c r="U912"/>
      <c r="V912"/>
      <c r="W912"/>
      <c r="X912"/>
      <c r="Y912"/>
      <c r="Z912"/>
      <c r="AA912"/>
      <c r="AB912"/>
      <c r="AC912"/>
    </row>
    <row r="913" spans="2:29">
      <c r="B913"/>
      <c r="C913"/>
      <c r="D913" s="551"/>
      <c r="E913"/>
      <c r="F913"/>
      <c r="G913"/>
      <c r="H913"/>
      <c r="I913"/>
      <c r="J913"/>
      <c r="K913"/>
      <c r="L913"/>
      <c r="M913"/>
      <c r="N913"/>
      <c r="O913"/>
      <c r="P913"/>
      <c r="Q913"/>
      <c r="R913"/>
      <c r="S913"/>
      <c r="T913"/>
      <c r="U913"/>
      <c r="V913"/>
      <c r="W913"/>
      <c r="X913"/>
      <c r="Y913"/>
      <c r="Z913"/>
      <c r="AA913"/>
      <c r="AB913"/>
      <c r="AC913"/>
    </row>
  </sheetData>
  <conditionalFormatting sqref="D1:D1048576">
    <cfRule type="duplicateValues" dxfId="244" priority="1"/>
  </conditionalFormatting>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50"/>
  </sheetPr>
  <dimension ref="A1:AT108"/>
  <sheetViews>
    <sheetView workbookViewId="0">
      <selection activeCell="E10" sqref="E10:F14"/>
    </sheetView>
  </sheetViews>
  <sheetFormatPr defaultColWidth="0" defaultRowHeight="14.25"/>
  <cols>
    <col min="1" max="1" width="10.375" customWidth="1"/>
    <col min="2" max="2" width="4.875" customWidth="1"/>
    <col min="3" max="3" width="9" customWidth="1"/>
    <col min="4" max="4" width="2.625" customWidth="1"/>
    <col min="5" max="5" width="10.75" customWidth="1"/>
    <col min="6" max="6" width="17" customWidth="1"/>
    <col min="7" max="7" width="2.625" customWidth="1"/>
    <col min="8" max="8" width="12.125" customWidth="1"/>
    <col min="9" max="9" width="2.625" customWidth="1"/>
    <col min="10" max="10" width="13.75" customWidth="1"/>
    <col min="11" max="11" width="2.5" customWidth="1"/>
    <col min="12" max="12" width="10" customWidth="1"/>
    <col min="13" max="13" width="2.625" customWidth="1"/>
    <col min="14" max="14" width="10.125" customWidth="1"/>
    <col min="15" max="15" width="2.625" customWidth="1"/>
    <col min="16" max="16" width="10.125" customWidth="1"/>
    <col min="17" max="17" width="2.625" customWidth="1"/>
    <col min="18" max="18" width="11.25" customWidth="1"/>
    <col min="19" max="19" width="2.625" customWidth="1"/>
    <col min="20" max="20" width="15.625" customWidth="1"/>
    <col min="21" max="21" width="2.625" customWidth="1"/>
    <col min="22" max="22" width="9.625" customWidth="1"/>
    <col min="23" max="23" width="2.625" customWidth="1"/>
    <col min="24" max="24" width="9.625" customWidth="1"/>
    <col min="25" max="25" width="4.25" customWidth="1"/>
    <col min="26" max="26" width="9.625" customWidth="1"/>
    <col min="27" max="27" width="2.625" customWidth="1"/>
    <col min="28" max="28" width="9" customWidth="1"/>
    <col min="29" max="29" width="7.375" customWidth="1"/>
    <col min="30" max="30" width="2.5" customWidth="1"/>
    <col min="31" max="31" width="7.375" customWidth="1"/>
    <col min="32" max="32" width="2.625" customWidth="1"/>
    <col min="33" max="33" width="9" customWidth="1"/>
    <col min="34" max="34" width="3" customWidth="1"/>
    <col min="35" max="35" width="14.75" customWidth="1"/>
    <col min="36" max="16384" width="9" hidden="1"/>
  </cols>
  <sheetData>
    <row r="1" spans="1:46" ht="15">
      <c r="A1" s="896" t="s">
        <v>1773</v>
      </c>
      <c r="B1" s="896"/>
      <c r="C1" s="896"/>
      <c r="D1" s="896"/>
      <c r="E1" s="67" t="s">
        <v>43</v>
      </c>
      <c r="F1" s="67" t="s">
        <v>1774</v>
      </c>
      <c r="G1" s="2"/>
      <c r="H1" s="67" t="s">
        <v>1775</v>
      </c>
      <c r="I1" s="2"/>
      <c r="J1" s="67" t="s">
        <v>3391</v>
      </c>
      <c r="K1" s="7"/>
      <c r="L1" s="67" t="s">
        <v>3390</v>
      </c>
      <c r="M1" s="2"/>
      <c r="N1" s="897" t="s">
        <v>4411</v>
      </c>
      <c r="O1" s="897"/>
      <c r="P1" s="897"/>
      <c r="Q1" s="2"/>
      <c r="R1" s="909" t="s">
        <v>1776</v>
      </c>
      <c r="S1" s="910"/>
      <c r="T1" s="910"/>
      <c r="U1" s="910"/>
      <c r="V1" s="910"/>
      <c r="W1" s="910"/>
      <c r="X1" s="910"/>
      <c r="Y1" s="910"/>
      <c r="Z1" s="910"/>
      <c r="AA1" s="910"/>
      <c r="AB1" s="910"/>
      <c r="AC1" s="910"/>
      <c r="AD1" s="910"/>
      <c r="AE1" s="910"/>
      <c r="AF1" s="910"/>
      <c r="AG1" s="910"/>
      <c r="AH1" s="2"/>
      <c r="AI1" s="2"/>
      <c r="AJ1" s="2"/>
      <c r="AK1" s="2"/>
      <c r="AL1" s="2"/>
      <c r="AM1" s="2"/>
      <c r="AN1" s="2"/>
      <c r="AO1" s="2"/>
      <c r="AP1" s="2"/>
      <c r="AQ1" s="2"/>
      <c r="AR1" s="2"/>
      <c r="AS1" s="2"/>
      <c r="AT1" s="2"/>
    </row>
    <row r="2" spans="1:46" ht="15" customHeight="1" thickBot="1">
      <c r="A2" s="2"/>
      <c r="B2" s="2"/>
      <c r="C2" s="2"/>
      <c r="D2" s="2"/>
      <c r="E2" s="508">
        <v>0.25</v>
      </c>
      <c r="F2" s="508">
        <v>7.0000000000000007E-2</v>
      </c>
      <c r="G2" s="2"/>
      <c r="H2" s="509" t="s">
        <v>11</v>
      </c>
      <c r="I2" s="2"/>
      <c r="J2" s="509" t="s">
        <v>11</v>
      </c>
      <c r="K2" s="2"/>
      <c r="L2" s="509" t="s">
        <v>11</v>
      </c>
      <c r="M2" s="2"/>
      <c r="N2" s="898"/>
      <c r="O2" s="898"/>
      <c r="P2" s="898"/>
      <c r="Q2" s="2"/>
      <c r="R2" s="911"/>
      <c r="S2" s="911"/>
      <c r="T2" s="911"/>
      <c r="U2" s="911"/>
      <c r="V2" s="911"/>
      <c r="W2" s="911"/>
      <c r="X2" s="911"/>
      <c r="Y2" s="911"/>
      <c r="Z2" s="911"/>
      <c r="AA2" s="911"/>
      <c r="AB2" s="911"/>
      <c r="AC2" s="911"/>
      <c r="AD2" s="911"/>
      <c r="AE2" s="911"/>
      <c r="AF2" s="911"/>
      <c r="AG2" s="911"/>
      <c r="AH2" s="2"/>
      <c r="AI2" s="2"/>
      <c r="AJ2" s="2"/>
      <c r="AK2" s="2"/>
      <c r="AL2" s="2"/>
      <c r="AM2" s="2"/>
      <c r="AN2" s="2"/>
      <c r="AO2" s="2"/>
      <c r="AP2" s="2"/>
      <c r="AQ2" s="2"/>
      <c r="AR2" s="2"/>
      <c r="AS2" s="2"/>
      <c r="AT2" s="2"/>
    </row>
    <row r="3" spans="1:46" ht="15.75" customHeight="1" thickTop="1">
      <c r="A3" s="2"/>
      <c r="B3" s="931" t="s">
        <v>1777</v>
      </c>
      <c r="C3" s="931"/>
      <c r="D3" s="932"/>
      <c r="E3" s="921"/>
      <c r="F3" s="922"/>
      <c r="G3" s="922"/>
      <c r="H3" s="922"/>
      <c r="I3" s="922"/>
      <c r="J3" s="922"/>
      <c r="K3" s="922"/>
      <c r="L3" s="922"/>
      <c r="M3" s="922"/>
      <c r="N3" s="922"/>
      <c r="O3" s="922"/>
      <c r="P3" s="923"/>
      <c r="Q3" s="2"/>
      <c r="R3" s="386" t="s">
        <v>1778</v>
      </c>
      <c r="S3" s="912"/>
      <c r="T3" s="913"/>
      <c r="U3" s="913"/>
      <c r="V3" s="913"/>
      <c r="W3" s="914"/>
      <c r="X3" s="7" t="s">
        <v>1779</v>
      </c>
      <c r="Y3" s="386"/>
      <c r="Z3" s="571"/>
      <c r="AA3" s="2"/>
      <c r="AB3" s="2"/>
      <c r="AC3" s="2"/>
      <c r="AD3" s="2"/>
      <c r="AE3" s="2"/>
      <c r="AF3" s="2"/>
      <c r="AG3" s="2"/>
      <c r="AH3" s="2"/>
      <c r="AI3" s="2"/>
      <c r="AJ3" s="2"/>
      <c r="AK3" s="2"/>
      <c r="AL3" s="2"/>
      <c r="AM3" s="2"/>
      <c r="AN3" s="2"/>
      <c r="AO3" s="2"/>
      <c r="AP3" s="2"/>
      <c r="AQ3" s="2"/>
      <c r="AR3" s="2"/>
      <c r="AS3" s="2"/>
      <c r="AT3" s="2"/>
    </row>
    <row r="4" spans="1:46" ht="15">
      <c r="A4" s="2"/>
      <c r="B4" s="931"/>
      <c r="C4" s="931"/>
      <c r="D4" s="932"/>
      <c r="E4" s="924"/>
      <c r="F4" s="925"/>
      <c r="G4" s="925"/>
      <c r="H4" s="925"/>
      <c r="I4" s="925"/>
      <c r="J4" s="925"/>
      <c r="K4" s="925"/>
      <c r="L4" s="925"/>
      <c r="M4" s="925"/>
      <c r="N4" s="925"/>
      <c r="O4" s="925"/>
      <c r="P4" s="926"/>
      <c r="Q4" s="2"/>
      <c r="R4" s="573" t="s">
        <v>1780</v>
      </c>
      <c r="S4" s="915"/>
      <c r="T4" s="916"/>
      <c r="U4" s="916"/>
      <c r="V4" s="916"/>
      <c r="W4" s="917"/>
      <c r="X4" s="918" t="s">
        <v>1781</v>
      </c>
      <c r="Y4" s="919"/>
      <c r="Z4" s="572"/>
      <c r="AA4" s="2"/>
      <c r="AB4" s="2"/>
      <c r="AC4" s="2"/>
      <c r="AD4" s="2"/>
      <c r="AE4" s="2"/>
      <c r="AF4" s="2"/>
      <c r="AG4" s="2"/>
      <c r="AH4" s="2"/>
      <c r="AI4" s="2"/>
      <c r="AJ4" s="2"/>
      <c r="AK4" s="2"/>
      <c r="AL4" s="2"/>
      <c r="AM4" s="2"/>
      <c r="AN4" s="2"/>
      <c r="AO4" s="2"/>
      <c r="AP4" s="2"/>
      <c r="AQ4" s="2"/>
      <c r="AR4" s="2"/>
      <c r="AS4" s="2"/>
      <c r="AT4" s="2"/>
    </row>
    <row r="5" spans="1:46" ht="15">
      <c r="A5" s="2"/>
      <c r="B5" s="931"/>
      <c r="C5" s="931"/>
      <c r="D5" s="932"/>
      <c r="E5" s="924"/>
      <c r="F5" s="925"/>
      <c r="G5" s="925"/>
      <c r="H5" s="925"/>
      <c r="I5" s="925"/>
      <c r="J5" s="925"/>
      <c r="K5" s="925"/>
      <c r="L5" s="925"/>
      <c r="M5" s="925"/>
      <c r="N5" s="925"/>
      <c r="O5" s="925"/>
      <c r="P5" s="926"/>
      <c r="Q5" s="2"/>
      <c r="R5" s="573" t="s">
        <v>1782</v>
      </c>
      <c r="S5" s="915"/>
      <c r="T5" s="916"/>
      <c r="U5" s="916"/>
      <c r="V5" s="916"/>
      <c r="W5" s="917"/>
      <c r="X5" s="918" t="s">
        <v>1783</v>
      </c>
      <c r="Y5" s="919"/>
      <c r="Z5" s="906"/>
      <c r="AA5" s="907"/>
      <c r="AB5" s="907"/>
      <c r="AC5" s="907"/>
      <c r="AD5" s="907"/>
      <c r="AE5" s="907"/>
      <c r="AF5" s="907"/>
      <c r="AG5" s="908"/>
      <c r="AH5" s="2"/>
      <c r="AI5" s="2"/>
      <c r="AJ5" s="2"/>
      <c r="AK5" s="2"/>
      <c r="AL5" s="2"/>
      <c r="AM5" s="2"/>
      <c r="AN5" s="2"/>
      <c r="AO5" s="2"/>
      <c r="AP5" s="2"/>
      <c r="AQ5" s="2"/>
      <c r="AR5" s="2"/>
      <c r="AS5" s="2"/>
      <c r="AT5" s="2"/>
    </row>
    <row r="6" spans="1:46" ht="15">
      <c r="A6" s="2"/>
      <c r="B6" s="931"/>
      <c r="C6" s="931"/>
      <c r="D6" s="932"/>
      <c r="E6" s="924"/>
      <c r="F6" s="925"/>
      <c r="G6" s="925"/>
      <c r="H6" s="925"/>
      <c r="I6" s="925"/>
      <c r="J6" s="925"/>
      <c r="K6" s="925"/>
      <c r="L6" s="925"/>
      <c r="M6" s="925"/>
      <c r="N6" s="925"/>
      <c r="O6" s="925"/>
      <c r="P6" s="926"/>
      <c r="Q6" s="2"/>
      <c r="R6" s="386" t="s">
        <v>1784</v>
      </c>
      <c r="S6" s="915"/>
      <c r="T6" s="916"/>
      <c r="U6" s="916"/>
      <c r="V6" s="916"/>
      <c r="W6" s="917"/>
      <c r="X6" s="386"/>
      <c r="Y6" s="386"/>
      <c r="Z6" s="920" t="s">
        <v>1785</v>
      </c>
      <c r="AA6" s="920"/>
      <c r="AB6" s="920"/>
      <c r="AC6" s="920"/>
      <c r="AD6" s="920"/>
      <c r="AE6" s="920"/>
      <c r="AF6" s="920"/>
      <c r="AG6" s="920"/>
      <c r="AH6" s="2"/>
      <c r="AI6" s="2"/>
      <c r="AJ6" s="2"/>
      <c r="AK6" s="2"/>
      <c r="AL6" s="2"/>
      <c r="AM6" s="2"/>
      <c r="AN6" s="2"/>
      <c r="AO6" s="2"/>
      <c r="AP6" s="2"/>
      <c r="AQ6" s="2"/>
      <c r="AR6" s="2"/>
      <c r="AS6" s="2"/>
      <c r="AT6" s="2"/>
    </row>
    <row r="7" spans="1:46" ht="15.75" thickBot="1">
      <c r="A7" s="2"/>
      <c r="B7" s="931"/>
      <c r="C7" s="931"/>
      <c r="D7" s="932"/>
      <c r="E7" s="927"/>
      <c r="F7" s="928"/>
      <c r="G7" s="928"/>
      <c r="H7" s="928"/>
      <c r="I7" s="928"/>
      <c r="J7" s="928"/>
      <c r="K7" s="928"/>
      <c r="L7" s="928"/>
      <c r="M7" s="928"/>
      <c r="N7" s="928"/>
      <c r="O7" s="928"/>
      <c r="P7" s="929"/>
      <c r="Q7" s="2"/>
      <c r="R7" s="386" t="s">
        <v>1786</v>
      </c>
      <c r="S7" s="915"/>
      <c r="T7" s="916"/>
      <c r="U7" s="916"/>
      <c r="V7" s="916"/>
      <c r="W7" s="917"/>
      <c r="X7" s="904" t="s">
        <v>1787</v>
      </c>
      <c r="Y7" s="905"/>
      <c r="Z7" s="906"/>
      <c r="AA7" s="907"/>
      <c r="AB7" s="907"/>
      <c r="AC7" s="907"/>
      <c r="AD7" s="907"/>
      <c r="AE7" s="907"/>
      <c r="AF7" s="907"/>
      <c r="AG7" s="908"/>
      <c r="AH7" s="2"/>
      <c r="AI7" s="2"/>
      <c r="AJ7" s="2"/>
      <c r="AK7" s="2"/>
      <c r="AL7" s="2"/>
      <c r="AM7" s="2"/>
      <c r="AN7" s="2"/>
      <c r="AO7" s="2"/>
      <c r="AP7" s="2"/>
      <c r="AQ7" s="2"/>
      <c r="AR7" s="2"/>
      <c r="AS7" s="2"/>
      <c r="AT7" s="2"/>
    </row>
    <row r="8" spans="1:46" ht="18">
      <c r="A8" s="2"/>
      <c r="B8" s="574"/>
      <c r="C8" s="574"/>
      <c r="D8" s="574"/>
      <c r="E8" s="930" t="str">
        <f>IF(E3="","COMPLETE UNDERWRITER RATING AND THOUGHT PROCESS","")</f>
        <v>COMPLETE UNDERWRITER RATING AND THOUGHT PROCESS</v>
      </c>
      <c r="F8" s="930"/>
      <c r="G8" s="930"/>
      <c r="H8" s="930"/>
      <c r="I8" s="930"/>
      <c r="J8" s="930"/>
      <c r="K8" s="930"/>
      <c r="L8" s="930"/>
      <c r="M8" s="930"/>
      <c r="N8" s="930"/>
      <c r="O8" s="574"/>
      <c r="P8" s="574"/>
      <c r="Q8" s="2"/>
      <c r="R8" s="386" t="s">
        <v>1788</v>
      </c>
      <c r="S8" s="915"/>
      <c r="T8" s="916"/>
      <c r="U8" s="916"/>
      <c r="V8" s="916"/>
      <c r="W8" s="917"/>
      <c r="X8" s="386"/>
      <c r="Y8" s="386"/>
      <c r="Z8" s="386" t="s">
        <v>1789</v>
      </c>
      <c r="AA8" s="841"/>
      <c r="AB8" s="2"/>
      <c r="AC8" s="2"/>
      <c r="AD8" s="2"/>
      <c r="AE8" s="2"/>
      <c r="AF8" s="2"/>
      <c r="AG8" s="2"/>
      <c r="AH8" s="2"/>
      <c r="AI8" s="2"/>
      <c r="AJ8" s="2"/>
      <c r="AK8" s="2"/>
      <c r="AL8" s="2"/>
      <c r="AM8" s="2"/>
      <c r="AN8" s="2"/>
      <c r="AO8" s="2"/>
      <c r="AP8" s="2"/>
      <c r="AQ8" s="2"/>
      <c r="AR8" s="2"/>
      <c r="AS8" s="2"/>
      <c r="AT8" s="2"/>
    </row>
    <row r="9" spans="1:46" ht="47.25" customHeight="1">
      <c r="A9" s="2"/>
      <c r="B9" s="2"/>
      <c r="C9" s="67" t="s">
        <v>35</v>
      </c>
      <c r="D9" s="67"/>
      <c r="E9" s="893" t="s">
        <v>52</v>
      </c>
      <c r="F9" s="893"/>
      <c r="G9" s="2"/>
      <c r="H9" s="67" t="s">
        <v>1790</v>
      </c>
      <c r="I9" s="2"/>
      <c r="J9" s="7" t="s">
        <v>1791</v>
      </c>
      <c r="K9" s="2"/>
      <c r="L9" s="106" t="s">
        <v>1792</v>
      </c>
      <c r="M9" s="2"/>
      <c r="N9" s="106" t="s">
        <v>1793</v>
      </c>
      <c r="O9" s="2"/>
      <c r="P9" s="106" t="s">
        <v>1794</v>
      </c>
      <c r="Q9" s="2"/>
      <c r="R9" s="67" t="s">
        <v>106</v>
      </c>
      <c r="S9" s="2"/>
      <c r="T9" s="7" t="s">
        <v>105</v>
      </c>
      <c r="U9" s="2"/>
      <c r="V9" s="67" t="s">
        <v>35</v>
      </c>
      <c r="W9" s="2"/>
      <c r="X9" s="106" t="s">
        <v>1795</v>
      </c>
      <c r="Y9" s="67"/>
      <c r="Z9" s="106" t="s">
        <v>1796</v>
      </c>
      <c r="AA9" s="67"/>
      <c r="AB9" s="106" t="s">
        <v>1797</v>
      </c>
      <c r="AC9" s="789" t="s">
        <v>4378</v>
      </c>
      <c r="AD9" s="789"/>
      <c r="AE9" s="816" t="s">
        <v>4401</v>
      </c>
      <c r="AF9" s="106"/>
      <c r="AG9" s="106" t="s">
        <v>1798</v>
      </c>
      <c r="AH9" s="2"/>
      <c r="AI9" s="106" t="s">
        <v>32</v>
      </c>
      <c r="AJ9" s="2"/>
      <c r="AK9" s="2"/>
      <c r="AL9" s="2"/>
      <c r="AM9" s="2"/>
      <c r="AN9" s="2"/>
      <c r="AO9" s="2"/>
      <c r="AP9" s="2"/>
      <c r="AQ9" s="2"/>
      <c r="AR9" s="2"/>
      <c r="AS9" s="2"/>
      <c r="AT9" s="2"/>
    </row>
    <row r="10" spans="1:46" ht="18">
      <c r="A10" s="513"/>
      <c r="B10" s="395">
        <v>1</v>
      </c>
      <c r="C10" s="390" t="str">
        <f>IF(Aircraft!$F4="","",IF(LEFT(Aircraft!$F4,1)="N",Aircraft!$F4,CONCATENATE("N",Aircraft!$F4)))</f>
        <v/>
      </c>
      <c r="D10" s="109"/>
      <c r="E10" s="902" t="str">
        <f>IFERROR(IF(Aircraft!N4="Y",CONCATENATE(VLOOKUP(Aircraft!$C4,Aircraftlist,29)," (FLOAT)"),VLOOKUP(Aircraft!$C4,Aircraftlist,29)),"")</f>
        <v>CESSNA 172 (FLOAT)</v>
      </c>
      <c r="F10" s="903"/>
      <c r="G10" s="2"/>
      <c r="H10" s="104" t="s">
        <v>4545</v>
      </c>
      <c r="I10" s="2"/>
      <c r="J10" s="104" t="s">
        <v>1840</v>
      </c>
      <c r="K10" s="2"/>
      <c r="L10" s="117">
        <f ca="1">Worksheet_Com!M6</f>
        <v>1121</v>
      </c>
      <c r="M10" s="2"/>
      <c r="N10" s="116">
        <f ca="1">Worksheet_Com!L6</f>
        <v>6.1044000000000001E-2</v>
      </c>
      <c r="O10" s="2"/>
      <c r="P10" s="116">
        <f ca="1">Worksheet_Com!N6</f>
        <v>6.8580000000000002E-2</v>
      </c>
      <c r="Q10" s="2"/>
      <c r="R10" s="107">
        <v>0.1</v>
      </c>
      <c r="S10" s="2"/>
      <c r="T10" s="107">
        <v>0.05</v>
      </c>
      <c r="U10" s="2"/>
      <c r="V10" s="390" t="str">
        <f>IF(Aircraft!$F4="","",IF(LEFT(Aircraft!$F4,1)="N",Aircraft!$F4,CONCATENATE("N",Aircraft!$F4)))</f>
        <v/>
      </c>
      <c r="W10" s="2"/>
      <c r="X10" s="108">
        <f ca="1">Worksheet_Com!P6</f>
        <v>1541</v>
      </c>
      <c r="Y10" s="2"/>
      <c r="Z10" s="108">
        <f ca="1">Worksheet_Com!O6</f>
        <v>6858</v>
      </c>
      <c r="AA10" s="2"/>
      <c r="AB10" s="108">
        <f>Worksheet_Com!Q6</f>
        <v>20</v>
      </c>
      <c r="AC10" s="790" t="s">
        <v>11</v>
      </c>
      <c r="AD10" s="789"/>
      <c r="AE10" s="103">
        <v>0</v>
      </c>
      <c r="AF10" s="42"/>
      <c r="AG10" s="108">
        <f ca="1">IF(J10="","",SUM(X10:AB10))</f>
        <v>8419</v>
      </c>
      <c r="AH10" s="2"/>
      <c r="AI10" s="390" t="str">
        <f>'Com Quote'!L11</f>
        <v/>
      </c>
      <c r="AJ10" s="2"/>
      <c r="AK10" s="2"/>
      <c r="AL10" s="2"/>
      <c r="AM10" s="2"/>
      <c r="AN10" s="2"/>
      <c r="AO10" s="2"/>
      <c r="AP10" s="2"/>
      <c r="AQ10" s="2"/>
      <c r="AR10" s="2"/>
      <c r="AS10" s="2"/>
      <c r="AT10" s="2"/>
    </row>
    <row r="11" spans="1:46" ht="15">
      <c r="A11" s="2"/>
      <c r="B11" s="395">
        <v>2</v>
      </c>
      <c r="C11" s="390" t="str">
        <f>IF(Aircraft!$F5="","",IF(LEFT(Aircraft!$F5,1)="N",Aircraft!$F5,CONCATENATE("N",Aircraft!$F5)))</f>
        <v/>
      </c>
      <c r="D11" s="109"/>
      <c r="E11" s="902" t="str">
        <f>IFERROR(IF(Aircraft!N5="Y",CONCATENATE(VLOOKUP(Aircraft!$C5,Aircraftlist,29)," (FLOAT)"),VLOOKUP(Aircraft!$C5,Aircraftlist,29)),"")</f>
        <v>AERO L-39</v>
      </c>
      <c r="F11" s="903"/>
      <c r="G11" s="2"/>
      <c r="H11" s="104" t="s">
        <v>4546</v>
      </c>
      <c r="I11" s="2"/>
      <c r="J11" s="104" t="s">
        <v>1852</v>
      </c>
      <c r="K11" s="2"/>
      <c r="L11" s="117">
        <f ca="1">Worksheet_Com!M7</f>
        <v>2150</v>
      </c>
      <c r="M11" s="2"/>
      <c r="N11" s="116">
        <f ca="1">Worksheet_Com!L7</f>
        <v>0.13694400000000001</v>
      </c>
      <c r="O11" s="2"/>
      <c r="P11" s="116">
        <f ca="1">Worksheet_Com!N7</f>
        <v>0.14652999999999999</v>
      </c>
      <c r="Q11" s="2"/>
      <c r="R11" s="107"/>
      <c r="S11" s="2"/>
      <c r="T11" s="107"/>
      <c r="U11" s="2"/>
      <c r="V11" s="390" t="str">
        <f>IF(Aircraft!$F5="","",IF(LEFT(Aircraft!$F5,1)="N",Aircraft!$F5,CONCATENATE("N",Aircraft!$F5)))</f>
        <v/>
      </c>
      <c r="W11" s="2"/>
      <c r="X11" s="108">
        <f ca="1">Worksheet_Com!P7</f>
        <v>2688</v>
      </c>
      <c r="Y11" s="2"/>
      <c r="Z11" s="108">
        <f ca="1">Worksheet_Com!O7</f>
        <v>14653</v>
      </c>
      <c r="AA11" s="2"/>
      <c r="AB11" s="108">
        <f>Worksheet_Com!Q7</f>
        <v>51</v>
      </c>
      <c r="AC11" s="790" t="s">
        <v>11</v>
      </c>
      <c r="AD11" s="789"/>
      <c r="AE11" s="103">
        <v>0</v>
      </c>
      <c r="AF11" s="42"/>
      <c r="AG11" s="108">
        <f t="shared" ref="AG11:AG74" ca="1" si="0">IF(J11="","",SUM(X11:AB11))</f>
        <v>17392</v>
      </c>
      <c r="AH11" s="2"/>
      <c r="AI11" s="390" t="str">
        <f>'Com Quote'!L12</f>
        <v/>
      </c>
      <c r="AJ11" s="2"/>
      <c r="AK11" s="2"/>
      <c r="AL11" s="2"/>
      <c r="AM11" s="2"/>
      <c r="AN11" s="2"/>
      <c r="AO11" s="2"/>
      <c r="AP11" s="2"/>
      <c r="AQ11" s="2"/>
      <c r="AR11" s="2"/>
      <c r="AS11" s="2"/>
      <c r="AT11" s="2"/>
    </row>
    <row r="12" spans="1:46" ht="15">
      <c r="A12" s="2"/>
      <c r="B12" s="395">
        <v>3</v>
      </c>
      <c r="C12" s="390" t="str">
        <f>IF(Aircraft!$F6="","",IF(LEFT(Aircraft!$F6,1)="N",Aircraft!$F6,CONCATENATE("N",Aircraft!$F6)))</f>
        <v/>
      </c>
      <c r="D12" s="109"/>
      <c r="E12" s="902" t="str">
        <f>IFERROR(IF(Aircraft!N6="Y",CONCATENATE(VLOOKUP(Aircraft!$C6,Aircraftlist,29)," (FLOAT)"),VLOOKUP(Aircraft!$C6,Aircraftlist,29)),"")</f>
        <v>AERO L-39</v>
      </c>
      <c r="F12" s="903"/>
      <c r="G12" s="2"/>
      <c r="H12" s="104" t="s">
        <v>4547</v>
      </c>
      <c r="I12" s="2"/>
      <c r="J12" s="104" t="s">
        <v>1873</v>
      </c>
      <c r="K12" s="2"/>
      <c r="L12" s="117">
        <f ca="1">Worksheet_Com!M8</f>
        <v>1720</v>
      </c>
      <c r="M12" s="2"/>
      <c r="N12" s="116">
        <f ca="1">Worksheet_Com!L8</f>
        <v>0.10144</v>
      </c>
      <c r="O12" s="2"/>
      <c r="P12" s="116">
        <f ca="1">Worksheet_Com!N8</f>
        <v>0.13025</v>
      </c>
      <c r="Q12" s="2"/>
      <c r="R12" s="107">
        <v>-0.19</v>
      </c>
      <c r="S12" s="2"/>
      <c r="T12" s="861">
        <v>0.2</v>
      </c>
      <c r="U12" s="2"/>
      <c r="V12" s="390" t="str">
        <f>IF(Aircraft!$F6="","",IF(LEFT(Aircraft!$F6,1)="N",Aircraft!$F6,CONCATENATE("N",Aircraft!$F6)))</f>
        <v/>
      </c>
      <c r="W12" s="2"/>
      <c r="X12" s="108">
        <f ca="1">Worksheet_Com!P8</f>
        <v>1742</v>
      </c>
      <c r="Y12" s="2"/>
      <c r="Z12" s="108">
        <f ca="1">Worksheet_Com!O8</f>
        <v>13025</v>
      </c>
      <c r="AA12" s="2"/>
      <c r="AB12" s="108">
        <f>Worksheet_Com!Q8</f>
        <v>31</v>
      </c>
      <c r="AC12" s="790" t="s">
        <v>11</v>
      </c>
      <c r="AD12" s="789"/>
      <c r="AE12" s="103">
        <v>0</v>
      </c>
      <c r="AF12" s="42"/>
      <c r="AG12" s="108">
        <f t="shared" ca="1" si="0"/>
        <v>14798</v>
      </c>
      <c r="AH12" s="2"/>
      <c r="AI12" s="390" t="str">
        <f>'Com Quote'!L13</f>
        <v/>
      </c>
      <c r="AJ12" s="2"/>
      <c r="AK12" s="2"/>
      <c r="AL12" s="2"/>
      <c r="AM12" s="2"/>
      <c r="AN12" s="2"/>
      <c r="AO12" s="2"/>
      <c r="AP12" s="2"/>
      <c r="AQ12" s="2"/>
      <c r="AR12" s="2"/>
      <c r="AS12" s="2"/>
      <c r="AT12" s="2"/>
    </row>
    <row r="13" spans="1:46" ht="15">
      <c r="A13" s="2"/>
      <c r="B13" s="395">
        <v>4</v>
      </c>
      <c r="C13" s="390" t="str">
        <f>IF(Aircraft!$F7="","",IF(LEFT(Aircraft!$F7,1)="N",Aircraft!$F7,CONCATENATE("N",Aircraft!$F7)))</f>
        <v/>
      </c>
      <c r="D13" s="109"/>
      <c r="E13" s="902" t="str">
        <f>IFERROR(IF(Aircraft!N7="Y",CONCATENATE(VLOOKUP(Aircraft!$C7,Aircraftlist,29)," (FLOAT)"),VLOOKUP(Aircraft!$C7,Aircraftlist,29)),"")</f>
        <v>BELL 407</v>
      </c>
      <c r="F13" s="903"/>
      <c r="G13" s="2"/>
      <c r="H13" s="104"/>
      <c r="I13" s="2"/>
      <c r="J13" s="104"/>
      <c r="K13" s="2"/>
      <c r="L13" s="117" t="e">
        <f>Worksheet_Com!M9</f>
        <v>#VALUE!</v>
      </c>
      <c r="M13" s="2"/>
      <c r="N13" s="116">
        <f ca="1">Worksheet_Com!L9</f>
        <v>3.3515999999999997E-2</v>
      </c>
      <c r="O13" s="2"/>
      <c r="P13" s="116">
        <f ca="1">Worksheet_Com!N9</f>
        <v>3.5860000000000003E-2</v>
      </c>
      <c r="Q13" s="2"/>
      <c r="R13" s="107"/>
      <c r="S13" s="2"/>
      <c r="T13" s="107"/>
      <c r="U13" s="2"/>
      <c r="V13" s="390" t="str">
        <f>IF(Aircraft!$F7="","",IF(LEFT(Aircraft!$F7,1)="N",Aircraft!$F7,CONCATENATE("N",Aircraft!$F7)))</f>
        <v/>
      </c>
      <c r="W13" s="2"/>
      <c r="X13" s="108" t="str">
        <f>Worksheet_Com!P9</f>
        <v/>
      </c>
      <c r="Y13" s="2"/>
      <c r="Z13" s="108">
        <f ca="1">Worksheet_Com!O9</f>
        <v>0</v>
      </c>
      <c r="AA13" s="2"/>
      <c r="AB13" s="108" t="str">
        <f>Worksheet_Com!Q9</f>
        <v/>
      </c>
      <c r="AC13" s="790" t="s">
        <v>11</v>
      </c>
      <c r="AD13" s="789"/>
      <c r="AE13" s="103">
        <v>0</v>
      </c>
      <c r="AF13" s="42"/>
      <c r="AG13" s="108" t="str">
        <f t="shared" si="0"/>
        <v/>
      </c>
      <c r="AH13" s="2"/>
      <c r="AI13" s="390" t="str">
        <f>'Com Quote'!L14</f>
        <v/>
      </c>
      <c r="AJ13" s="2"/>
      <c r="AK13" s="2"/>
      <c r="AL13" s="2"/>
      <c r="AM13" s="2"/>
      <c r="AN13" s="2"/>
      <c r="AO13" s="2"/>
      <c r="AP13" s="2"/>
      <c r="AQ13" s="2"/>
      <c r="AR13" s="2"/>
      <c r="AS13" s="2"/>
      <c r="AT13" s="2"/>
    </row>
    <row r="14" spans="1:46" ht="15">
      <c r="A14" s="2"/>
      <c r="B14" s="395">
        <v>5</v>
      </c>
      <c r="C14" s="390" t="str">
        <f>IF(Aircraft!$F8="","",IF(LEFT(Aircraft!$F8,1)="N",Aircraft!$F8,CONCATENATE("N",Aircraft!$F8)))</f>
        <v/>
      </c>
      <c r="D14" s="109"/>
      <c r="E14" s="902" t="str">
        <f>IFERROR(IF(Aircraft!N8="Y",CONCATENATE(VLOOKUP(Aircraft!$C8,Aircraftlist,29)," (FLOAT)"),VLOOKUP(Aircraft!$C8,Aircraftlist,29)),"")</f>
        <v/>
      </c>
      <c r="F14" s="903"/>
      <c r="G14" s="2"/>
      <c r="H14" s="104"/>
      <c r="I14" s="2"/>
      <c r="J14" s="104"/>
      <c r="K14" s="2"/>
      <c r="L14" s="117" t="str">
        <f>Worksheet_Com!M10</f>
        <v/>
      </c>
      <c r="M14" s="2"/>
      <c r="N14" s="116" t="str">
        <f>Worksheet_Com!L10</f>
        <v/>
      </c>
      <c r="O14" s="2"/>
      <c r="P14" s="116" t="str">
        <f>Worksheet_Com!N10</f>
        <v/>
      </c>
      <c r="Q14" s="2"/>
      <c r="R14" s="107"/>
      <c r="S14" s="2"/>
      <c r="T14" s="107"/>
      <c r="U14" s="2"/>
      <c r="V14" s="390" t="str">
        <f>IF(Aircraft!$F8="","",IF(LEFT(Aircraft!$F8,1)="N",Aircraft!$F8,CONCATENATE("N",Aircraft!$F8)))</f>
        <v/>
      </c>
      <c r="W14" s="2"/>
      <c r="X14" s="108" t="str">
        <f>Worksheet_Com!P10</f>
        <v/>
      </c>
      <c r="Y14" s="2"/>
      <c r="Z14" s="108" t="str">
        <f>Worksheet_Com!O10</f>
        <v/>
      </c>
      <c r="AA14" s="2"/>
      <c r="AB14" s="108" t="str">
        <f>Worksheet_Com!Q10</f>
        <v/>
      </c>
      <c r="AC14" s="790" t="s">
        <v>11</v>
      </c>
      <c r="AD14" s="789"/>
      <c r="AE14" s="103">
        <v>0</v>
      </c>
      <c r="AF14" s="42"/>
      <c r="AG14" s="108" t="str">
        <f t="shared" si="0"/>
        <v/>
      </c>
      <c r="AH14" s="2"/>
      <c r="AI14" s="390" t="str">
        <f>'Com Quote'!L15</f>
        <v/>
      </c>
      <c r="AJ14" s="2"/>
      <c r="AK14" s="2"/>
      <c r="AL14" s="2"/>
      <c r="AM14" s="2"/>
      <c r="AN14" s="2"/>
      <c r="AO14" s="2"/>
      <c r="AP14" s="2"/>
      <c r="AQ14" s="2"/>
      <c r="AR14" s="2"/>
      <c r="AS14" s="2"/>
      <c r="AT14" s="2"/>
    </row>
    <row r="15" spans="1:46" ht="15">
      <c r="A15" s="2"/>
      <c r="B15" s="395">
        <v>6</v>
      </c>
      <c r="C15" s="390" t="str">
        <f>IF(Aircraft!$F9="","",IF(LEFT(Aircraft!$F9,1)="N",Aircraft!$F9,CONCATENATE("N",Aircraft!$F9)))</f>
        <v/>
      </c>
      <c r="D15" s="109"/>
      <c r="E15" s="902" t="str">
        <f>IFERROR(IF(Aircraft!N9="Y",CONCATENATE(VLOOKUP(Aircraft!$C9,Aircraftlist,29)," (FLOAT)"),VLOOKUP(Aircraft!$C9,Aircraftlist,29)),"")</f>
        <v/>
      </c>
      <c r="F15" s="903"/>
      <c r="G15" s="2"/>
      <c r="H15" s="104"/>
      <c r="I15" s="2"/>
      <c r="J15" s="104"/>
      <c r="K15" s="2"/>
      <c r="L15" s="117" t="str">
        <f>Worksheet_Com!M11</f>
        <v/>
      </c>
      <c r="M15" s="2"/>
      <c r="N15" s="116" t="str">
        <f>Worksheet_Com!L11</f>
        <v/>
      </c>
      <c r="O15" s="2"/>
      <c r="P15" s="116" t="str">
        <f>Worksheet_Com!N11</f>
        <v/>
      </c>
      <c r="Q15" s="2"/>
      <c r="R15" s="107"/>
      <c r="S15" s="2"/>
      <c r="T15" s="107"/>
      <c r="U15" s="2"/>
      <c r="V15" s="390" t="str">
        <f>IF(Aircraft!$F9="","",IF(LEFT(Aircraft!$F9,1)="N",Aircraft!$F9,CONCATENATE("N",Aircraft!$F9)))</f>
        <v/>
      </c>
      <c r="W15" s="2"/>
      <c r="X15" s="108" t="str">
        <f>Worksheet_Com!P11</f>
        <v/>
      </c>
      <c r="Y15" s="2"/>
      <c r="Z15" s="108" t="str">
        <f>Worksheet_Com!O11</f>
        <v/>
      </c>
      <c r="AA15" s="2"/>
      <c r="AB15" s="108" t="str">
        <f>Worksheet_Com!Q11</f>
        <v/>
      </c>
      <c r="AC15" s="790" t="s">
        <v>11</v>
      </c>
      <c r="AD15" s="789"/>
      <c r="AE15" s="103">
        <v>0</v>
      </c>
      <c r="AF15" s="42"/>
      <c r="AG15" s="108" t="str">
        <f t="shared" si="0"/>
        <v/>
      </c>
      <c r="AH15" s="2"/>
      <c r="AI15" s="390" t="str">
        <f>'Com Quote'!L16</f>
        <v/>
      </c>
      <c r="AJ15" s="2"/>
      <c r="AK15" s="2"/>
      <c r="AL15" s="2"/>
      <c r="AM15" s="2"/>
      <c r="AN15" s="2"/>
      <c r="AO15" s="2"/>
      <c r="AP15" s="2"/>
      <c r="AQ15" s="2"/>
      <c r="AR15" s="2"/>
      <c r="AS15" s="2"/>
      <c r="AT15" s="2"/>
    </row>
    <row r="16" spans="1:46" ht="15">
      <c r="A16" s="2"/>
      <c r="B16" s="395">
        <v>7</v>
      </c>
      <c r="C16" s="390" t="str">
        <f>IF(Aircraft!$F10="","",IF(LEFT(Aircraft!$F10,1)="N",Aircraft!$F10,CONCATENATE("N",Aircraft!$F10)))</f>
        <v/>
      </c>
      <c r="D16" s="109"/>
      <c r="E16" s="902" t="str">
        <f>IFERROR(IF(Aircraft!N10="Y",CONCATENATE(VLOOKUP(Aircraft!$C10,Aircraftlist,29)," (FLOAT)"),VLOOKUP(Aircraft!$C10,Aircraftlist,29)),"")</f>
        <v/>
      </c>
      <c r="F16" s="903"/>
      <c r="G16" s="2"/>
      <c r="H16" s="104"/>
      <c r="I16" s="2"/>
      <c r="J16" s="104"/>
      <c r="K16" s="2"/>
      <c r="L16" s="117" t="str">
        <f>Worksheet_Com!M12</f>
        <v/>
      </c>
      <c r="M16" s="2"/>
      <c r="N16" s="116" t="str">
        <f>Worksheet_Com!L12</f>
        <v/>
      </c>
      <c r="O16" s="2"/>
      <c r="P16" s="116" t="str">
        <f>Worksheet_Com!N12</f>
        <v/>
      </c>
      <c r="Q16" s="2"/>
      <c r="R16" s="107"/>
      <c r="S16" s="2"/>
      <c r="T16" s="107"/>
      <c r="U16" s="2"/>
      <c r="V16" s="390" t="str">
        <f>IF(Aircraft!$F10="","",IF(LEFT(Aircraft!$F10,1)="N",Aircraft!$F10,CONCATENATE("N",Aircraft!$F10)))</f>
        <v/>
      </c>
      <c r="W16" s="2"/>
      <c r="X16" s="108" t="str">
        <f>Worksheet_Com!P12</f>
        <v/>
      </c>
      <c r="Y16" s="2"/>
      <c r="Z16" s="108" t="str">
        <f>Worksheet_Com!O12</f>
        <v/>
      </c>
      <c r="AA16" s="2"/>
      <c r="AB16" s="108" t="str">
        <f>Worksheet_Com!Q12</f>
        <v/>
      </c>
      <c r="AC16" s="790" t="s">
        <v>11</v>
      </c>
      <c r="AD16" s="789"/>
      <c r="AE16" s="103">
        <v>0</v>
      </c>
      <c r="AF16" s="42"/>
      <c r="AG16" s="108" t="str">
        <f t="shared" si="0"/>
        <v/>
      </c>
      <c r="AH16" s="2"/>
      <c r="AI16" s="390" t="str">
        <f>'Com Quote'!L17</f>
        <v/>
      </c>
      <c r="AJ16" s="2"/>
      <c r="AK16" s="2"/>
      <c r="AL16" s="2"/>
      <c r="AM16" s="2"/>
      <c r="AN16" s="2"/>
      <c r="AO16" s="2"/>
      <c r="AP16" s="2"/>
      <c r="AQ16" s="2"/>
      <c r="AR16" s="2"/>
      <c r="AS16" s="2"/>
      <c r="AT16" s="2"/>
    </row>
    <row r="17" spans="1:46" ht="15">
      <c r="A17" s="2"/>
      <c r="B17" s="395">
        <v>8</v>
      </c>
      <c r="C17" s="390" t="str">
        <f>IF(Aircraft!$F11="","",IF(LEFT(Aircraft!$F11,1)="N",Aircraft!$F11,CONCATENATE("N",Aircraft!$F11)))</f>
        <v/>
      </c>
      <c r="D17" s="109"/>
      <c r="E17" s="902" t="str">
        <f>IFERROR(IF(Aircraft!N11="Y",CONCATENATE(VLOOKUP(Aircraft!$C11,Aircraftlist,29)," (FLOAT)"),VLOOKUP(Aircraft!$C11,Aircraftlist,29)),"")</f>
        <v/>
      </c>
      <c r="F17" s="903"/>
      <c r="G17" s="2"/>
      <c r="H17" s="104"/>
      <c r="I17" s="2"/>
      <c r="J17" s="104"/>
      <c r="K17" s="2"/>
      <c r="L17" s="117" t="str">
        <f>Worksheet_Com!M13</f>
        <v/>
      </c>
      <c r="M17" s="2"/>
      <c r="N17" s="116" t="str">
        <f>Worksheet_Com!L13</f>
        <v/>
      </c>
      <c r="O17" s="2"/>
      <c r="P17" s="116" t="str">
        <f>Worksheet_Com!N13</f>
        <v/>
      </c>
      <c r="Q17" s="2"/>
      <c r="R17" s="107"/>
      <c r="S17" s="2"/>
      <c r="T17" s="107"/>
      <c r="U17" s="2"/>
      <c r="V17" s="390" t="str">
        <f>IF(Aircraft!$F11="","",IF(LEFT(Aircraft!$F11,1)="N",Aircraft!$F11,CONCATENATE("N",Aircraft!$F11)))</f>
        <v/>
      </c>
      <c r="W17" s="2"/>
      <c r="X17" s="108" t="str">
        <f>Worksheet_Com!P13</f>
        <v/>
      </c>
      <c r="Y17" s="2"/>
      <c r="Z17" s="108" t="str">
        <f>Worksheet_Com!O13</f>
        <v/>
      </c>
      <c r="AA17" s="2"/>
      <c r="AB17" s="108" t="str">
        <f>Worksheet_Com!Q13</f>
        <v/>
      </c>
      <c r="AC17" s="790" t="s">
        <v>11</v>
      </c>
      <c r="AD17" s="789"/>
      <c r="AE17" s="103">
        <v>0</v>
      </c>
      <c r="AF17" s="42"/>
      <c r="AG17" s="108" t="str">
        <f t="shared" si="0"/>
        <v/>
      </c>
      <c r="AH17" s="2"/>
      <c r="AI17" s="390" t="str">
        <f>'Com Quote'!L18</f>
        <v/>
      </c>
      <c r="AJ17" s="2"/>
      <c r="AK17" s="2"/>
      <c r="AL17" s="2"/>
      <c r="AM17" s="2"/>
      <c r="AN17" s="2"/>
      <c r="AO17" s="2"/>
      <c r="AP17" s="2"/>
      <c r="AQ17" s="2"/>
      <c r="AR17" s="2"/>
      <c r="AS17" s="2"/>
      <c r="AT17" s="2"/>
    </row>
    <row r="18" spans="1:46" ht="15">
      <c r="A18" s="2"/>
      <c r="B18" s="395">
        <v>9</v>
      </c>
      <c r="C18" s="390" t="str">
        <f>IF(Aircraft!$F12="","",IF(LEFT(Aircraft!$F12,1)="N",Aircraft!$F12,CONCATENATE("N",Aircraft!$F12)))</f>
        <v/>
      </c>
      <c r="D18" s="109"/>
      <c r="E18" s="902" t="str">
        <f>IFERROR(IF(Aircraft!N12="Y",CONCATENATE(VLOOKUP(Aircraft!$C12,Aircraftlist,29)," (FLOAT)"),VLOOKUP(Aircraft!$C12,Aircraftlist,29)),"")</f>
        <v/>
      </c>
      <c r="F18" s="903"/>
      <c r="G18" s="2"/>
      <c r="H18" s="104"/>
      <c r="I18" s="2"/>
      <c r="J18" s="104"/>
      <c r="K18" s="2"/>
      <c r="L18" s="117" t="str">
        <f>Worksheet_Com!M14</f>
        <v/>
      </c>
      <c r="M18" s="2"/>
      <c r="N18" s="116" t="str">
        <f>Worksheet_Com!L14</f>
        <v/>
      </c>
      <c r="O18" s="2"/>
      <c r="P18" s="116" t="str">
        <f>Worksheet_Com!N14</f>
        <v/>
      </c>
      <c r="Q18" s="2"/>
      <c r="R18" s="107"/>
      <c r="S18" s="2"/>
      <c r="T18" s="107"/>
      <c r="U18" s="2"/>
      <c r="V18" s="390" t="str">
        <f>IF(Aircraft!$F12="","",IF(LEFT(Aircraft!$F12,1)="N",Aircraft!$F12,CONCATENATE("N",Aircraft!$F12)))</f>
        <v/>
      </c>
      <c r="W18" s="2"/>
      <c r="X18" s="108" t="str">
        <f>Worksheet_Com!P14</f>
        <v/>
      </c>
      <c r="Y18" s="2"/>
      <c r="Z18" s="108" t="str">
        <f>Worksheet_Com!O14</f>
        <v/>
      </c>
      <c r="AA18" s="2"/>
      <c r="AB18" s="108" t="str">
        <f>Worksheet_Com!Q14</f>
        <v/>
      </c>
      <c r="AC18" s="790" t="s">
        <v>11</v>
      </c>
      <c r="AD18" s="789"/>
      <c r="AE18" s="103">
        <v>0</v>
      </c>
      <c r="AF18" s="42"/>
      <c r="AG18" s="108" t="str">
        <f t="shared" si="0"/>
        <v/>
      </c>
      <c r="AH18" s="2"/>
      <c r="AI18" s="390" t="str">
        <f>'Com Quote'!L19</f>
        <v/>
      </c>
      <c r="AJ18" s="2"/>
      <c r="AK18" s="2"/>
      <c r="AL18" s="2"/>
      <c r="AM18" s="2"/>
      <c r="AN18" s="2"/>
      <c r="AO18" s="2"/>
      <c r="AP18" s="2"/>
      <c r="AQ18" s="2"/>
      <c r="AR18" s="2"/>
      <c r="AS18" s="2"/>
      <c r="AT18" s="2"/>
    </row>
    <row r="19" spans="1:46" ht="15">
      <c r="A19" s="2"/>
      <c r="B19" s="395">
        <v>10</v>
      </c>
      <c r="C19" s="390" t="str">
        <f>IF(Aircraft!$F13="","",IF(LEFT(Aircraft!$F13,1)="N",Aircraft!$F13,CONCATENATE("N",Aircraft!$F13)))</f>
        <v/>
      </c>
      <c r="D19" s="109"/>
      <c r="E19" s="902" t="str">
        <f>IFERROR(IF(Aircraft!N13="Y",CONCATENATE(VLOOKUP(Aircraft!$C13,Aircraftlist,29)," (FLOAT)"),VLOOKUP(Aircraft!$C13,Aircraftlist,29)),"")</f>
        <v/>
      </c>
      <c r="F19" s="903"/>
      <c r="G19" s="2"/>
      <c r="H19" s="104"/>
      <c r="I19" s="2"/>
      <c r="J19" s="104"/>
      <c r="K19" s="2"/>
      <c r="L19" s="117" t="str">
        <f>Worksheet_Com!M15</f>
        <v/>
      </c>
      <c r="M19" s="2"/>
      <c r="N19" s="116" t="str">
        <f>Worksheet_Com!L15</f>
        <v/>
      </c>
      <c r="O19" s="2"/>
      <c r="P19" s="116" t="str">
        <f>Worksheet_Com!N15</f>
        <v/>
      </c>
      <c r="Q19" s="2"/>
      <c r="R19" s="107"/>
      <c r="S19" s="2"/>
      <c r="T19" s="107"/>
      <c r="U19" s="2"/>
      <c r="V19" s="390" t="str">
        <f>IF(Aircraft!$F13="","",IF(LEFT(Aircraft!$F13,1)="N",Aircraft!$F13,CONCATENATE("N",Aircraft!$F13)))</f>
        <v/>
      </c>
      <c r="W19" s="2"/>
      <c r="X19" s="108" t="str">
        <f>Worksheet_Com!P15</f>
        <v/>
      </c>
      <c r="Y19" s="2"/>
      <c r="Z19" s="108" t="str">
        <f>Worksheet_Com!O15</f>
        <v/>
      </c>
      <c r="AA19" s="2"/>
      <c r="AB19" s="108" t="str">
        <f>Worksheet_Com!Q15</f>
        <v/>
      </c>
      <c r="AC19" s="790" t="s">
        <v>11</v>
      </c>
      <c r="AD19" s="789"/>
      <c r="AE19" s="103">
        <v>0</v>
      </c>
      <c r="AF19" s="42"/>
      <c r="AG19" s="108" t="str">
        <f t="shared" si="0"/>
        <v/>
      </c>
      <c r="AH19" s="2"/>
      <c r="AI19" s="390" t="str">
        <f>'Com Quote'!L20</f>
        <v/>
      </c>
      <c r="AJ19" s="2"/>
      <c r="AK19" s="2"/>
      <c r="AL19" s="2"/>
      <c r="AM19" s="2"/>
      <c r="AN19" s="2"/>
      <c r="AO19" s="2"/>
      <c r="AP19" s="2"/>
      <c r="AQ19" s="2"/>
      <c r="AR19" s="2"/>
      <c r="AS19" s="2"/>
      <c r="AT19" s="2"/>
    </row>
    <row r="20" spans="1:46" ht="15">
      <c r="A20" s="2"/>
      <c r="B20" s="395">
        <v>11</v>
      </c>
      <c r="C20" s="390" t="str">
        <f>IF(Aircraft!$F14="","",IF(LEFT(Aircraft!$F14,1)="N",Aircraft!$F14,CONCATENATE("N",Aircraft!$F14)))</f>
        <v/>
      </c>
      <c r="D20" s="109"/>
      <c r="E20" s="902" t="str">
        <f>IFERROR(IF(Aircraft!N14="Y",CONCATENATE(VLOOKUP(Aircraft!$C14,Aircraftlist,29)," (FLOAT)"),VLOOKUP(Aircraft!$C14,Aircraftlist,29)),"")</f>
        <v/>
      </c>
      <c r="F20" s="903"/>
      <c r="G20" s="2"/>
      <c r="H20" s="104"/>
      <c r="I20" s="2"/>
      <c r="J20" s="104"/>
      <c r="K20" s="2"/>
      <c r="L20" s="117" t="str">
        <f>Worksheet_Com!M16</f>
        <v/>
      </c>
      <c r="M20" s="2"/>
      <c r="N20" s="116" t="str">
        <f>Worksheet_Com!L16</f>
        <v/>
      </c>
      <c r="O20" s="2"/>
      <c r="P20" s="116" t="str">
        <f>Worksheet_Com!N16</f>
        <v/>
      </c>
      <c r="Q20" s="2"/>
      <c r="R20" s="107"/>
      <c r="S20" s="2"/>
      <c r="T20" s="107"/>
      <c r="U20" s="2"/>
      <c r="V20" s="390" t="str">
        <f>IF(Aircraft!$F14="","",IF(LEFT(Aircraft!$F14,1)="N",Aircraft!$F14,CONCATENATE("N",Aircraft!$F14)))</f>
        <v/>
      </c>
      <c r="W20" s="2"/>
      <c r="X20" s="108" t="str">
        <f>Worksheet_Com!P16</f>
        <v/>
      </c>
      <c r="Y20" s="2"/>
      <c r="Z20" s="108" t="str">
        <f>Worksheet_Com!O16</f>
        <v/>
      </c>
      <c r="AA20" s="2"/>
      <c r="AB20" s="108" t="str">
        <f>Worksheet_Com!Q16</f>
        <v/>
      </c>
      <c r="AC20" s="790" t="s">
        <v>11</v>
      </c>
      <c r="AD20" s="789"/>
      <c r="AE20" s="103">
        <v>0</v>
      </c>
      <c r="AF20" s="42"/>
      <c r="AG20" s="108" t="str">
        <f t="shared" si="0"/>
        <v/>
      </c>
      <c r="AH20" s="2"/>
      <c r="AI20" s="390" t="str">
        <f>'Com Quote'!L21</f>
        <v/>
      </c>
      <c r="AJ20" s="2"/>
      <c r="AK20" s="2"/>
      <c r="AL20" s="2"/>
      <c r="AM20" s="2"/>
      <c r="AN20" s="2"/>
      <c r="AO20" s="2"/>
      <c r="AP20" s="2"/>
      <c r="AQ20" s="2"/>
      <c r="AR20" s="2"/>
      <c r="AS20" s="2"/>
      <c r="AT20" s="2"/>
    </row>
    <row r="21" spans="1:46" ht="15">
      <c r="A21" s="2"/>
      <c r="B21" s="395">
        <v>12</v>
      </c>
      <c r="C21" s="390" t="str">
        <f>IF(Aircraft!$F15="","",IF(LEFT(Aircraft!$F15,1)="N",Aircraft!$F15,CONCATENATE("N",Aircraft!$F15)))</f>
        <v/>
      </c>
      <c r="D21" s="109"/>
      <c r="E21" s="902" t="str">
        <f>IFERROR(IF(Aircraft!N15="Y",CONCATENATE(VLOOKUP(Aircraft!$C15,Aircraftlist,29)," (FLOAT)"),VLOOKUP(Aircraft!$C15,Aircraftlist,29)),"")</f>
        <v/>
      </c>
      <c r="F21" s="903"/>
      <c r="G21" s="2"/>
      <c r="H21" s="104"/>
      <c r="I21" s="2"/>
      <c r="J21" s="104"/>
      <c r="K21" s="2"/>
      <c r="L21" s="117" t="str">
        <f>Worksheet_Com!M17</f>
        <v/>
      </c>
      <c r="M21" s="2"/>
      <c r="N21" s="116" t="str">
        <f>Worksheet_Com!L17</f>
        <v/>
      </c>
      <c r="O21" s="2"/>
      <c r="P21" s="116" t="str">
        <f>Worksheet_Com!N17</f>
        <v/>
      </c>
      <c r="Q21" s="2"/>
      <c r="R21" s="107"/>
      <c r="S21" s="2"/>
      <c r="T21" s="107"/>
      <c r="U21" s="2"/>
      <c r="V21" s="390" t="str">
        <f>IF(Aircraft!$F15="","",IF(LEFT(Aircraft!$F15,1)="N",Aircraft!$F15,CONCATENATE("N",Aircraft!$F15)))</f>
        <v/>
      </c>
      <c r="W21" s="2"/>
      <c r="X21" s="108" t="str">
        <f>Worksheet_Com!P17</f>
        <v/>
      </c>
      <c r="Y21" s="2"/>
      <c r="Z21" s="108" t="str">
        <f>Worksheet_Com!O17</f>
        <v/>
      </c>
      <c r="AA21" s="2"/>
      <c r="AB21" s="108" t="str">
        <f>Worksheet_Com!Q17</f>
        <v/>
      </c>
      <c r="AC21" s="790" t="s">
        <v>11</v>
      </c>
      <c r="AD21" s="789"/>
      <c r="AE21" s="103">
        <v>0</v>
      </c>
      <c r="AF21" s="42"/>
      <c r="AG21" s="108" t="str">
        <f t="shared" si="0"/>
        <v/>
      </c>
      <c r="AH21" s="2"/>
      <c r="AI21" s="390" t="str">
        <f>'Com Quote'!L22</f>
        <v/>
      </c>
      <c r="AJ21" s="2"/>
      <c r="AK21" s="2"/>
      <c r="AL21" s="2"/>
      <c r="AM21" s="2"/>
      <c r="AN21" s="2"/>
      <c r="AO21" s="2"/>
      <c r="AP21" s="2"/>
      <c r="AQ21" s="2"/>
      <c r="AR21" s="2"/>
      <c r="AS21" s="2"/>
      <c r="AT21" s="2"/>
    </row>
    <row r="22" spans="1:46" ht="15">
      <c r="A22" s="2"/>
      <c r="B22" s="395">
        <v>13</v>
      </c>
      <c r="C22" s="390" t="str">
        <f>IF(Aircraft!$F16="","",IF(LEFT(Aircraft!$F16,1)="N",Aircraft!$F16,CONCATENATE("N",Aircraft!$F16)))</f>
        <v/>
      </c>
      <c r="D22" s="109"/>
      <c r="E22" s="902" t="str">
        <f>IFERROR(IF(Aircraft!N16="Y",CONCATENATE(VLOOKUP(Aircraft!$C16,Aircraftlist,29)," (FLOAT)"),VLOOKUP(Aircraft!$C16,Aircraftlist,29)),"")</f>
        <v/>
      </c>
      <c r="F22" s="903"/>
      <c r="G22" s="2"/>
      <c r="H22" s="104"/>
      <c r="I22" s="2"/>
      <c r="J22" s="104"/>
      <c r="K22" s="2"/>
      <c r="L22" s="117" t="str">
        <f>Worksheet_Com!M18</f>
        <v/>
      </c>
      <c r="M22" s="2"/>
      <c r="N22" s="116" t="str">
        <f>Worksheet_Com!L18</f>
        <v/>
      </c>
      <c r="O22" s="2"/>
      <c r="P22" s="116" t="str">
        <f>Worksheet_Com!N18</f>
        <v/>
      </c>
      <c r="Q22" s="2"/>
      <c r="R22" s="107"/>
      <c r="S22" s="2"/>
      <c r="T22" s="107"/>
      <c r="U22" s="2"/>
      <c r="V22" s="390" t="str">
        <f>IF(Aircraft!$F16="","",IF(LEFT(Aircraft!$F16,1)="N",Aircraft!$F16,CONCATENATE("N",Aircraft!$F16)))</f>
        <v/>
      </c>
      <c r="W22" s="2"/>
      <c r="X22" s="108" t="str">
        <f>Worksheet_Com!P18</f>
        <v/>
      </c>
      <c r="Y22" s="2"/>
      <c r="Z22" s="108" t="str">
        <f>Worksheet_Com!O18</f>
        <v/>
      </c>
      <c r="AA22" s="2"/>
      <c r="AB22" s="108" t="str">
        <f>Worksheet_Com!Q18</f>
        <v/>
      </c>
      <c r="AC22" s="790" t="s">
        <v>11</v>
      </c>
      <c r="AD22" s="789"/>
      <c r="AE22" s="103">
        <v>0</v>
      </c>
      <c r="AF22" s="42"/>
      <c r="AG22" s="108" t="str">
        <f t="shared" si="0"/>
        <v/>
      </c>
      <c r="AH22" s="2"/>
      <c r="AI22" s="390" t="str">
        <f>'Com Quote'!L23</f>
        <v/>
      </c>
      <c r="AJ22" s="2"/>
      <c r="AK22" s="2"/>
      <c r="AL22" s="2"/>
      <c r="AM22" s="2"/>
      <c r="AN22" s="2"/>
      <c r="AO22" s="2"/>
      <c r="AP22" s="2"/>
      <c r="AQ22" s="2"/>
      <c r="AR22" s="2"/>
      <c r="AS22" s="2"/>
      <c r="AT22" s="2"/>
    </row>
    <row r="23" spans="1:46" ht="15">
      <c r="A23" s="2"/>
      <c r="B23" s="395">
        <v>14</v>
      </c>
      <c r="C23" s="390" t="str">
        <f>IF(Aircraft!$F17="","",IF(LEFT(Aircraft!$F17,1)="N",Aircraft!$F17,CONCATENATE("N",Aircraft!$F17)))</f>
        <v/>
      </c>
      <c r="D23" s="109"/>
      <c r="E23" s="902" t="str">
        <f>IFERROR(IF(Aircraft!N17="Y",CONCATENATE(VLOOKUP(Aircraft!$C17,Aircraftlist,29)," (FLOAT)"),VLOOKUP(Aircraft!$C17,Aircraftlist,29)),"")</f>
        <v/>
      </c>
      <c r="F23" s="903"/>
      <c r="G23" s="2"/>
      <c r="H23" s="104"/>
      <c r="I23" s="2"/>
      <c r="J23" s="104"/>
      <c r="K23" s="2"/>
      <c r="L23" s="117" t="str">
        <f>Worksheet_Com!M19</f>
        <v/>
      </c>
      <c r="M23" s="2"/>
      <c r="N23" s="116" t="str">
        <f>Worksheet_Com!L19</f>
        <v/>
      </c>
      <c r="O23" s="2"/>
      <c r="P23" s="116" t="str">
        <f>Worksheet_Com!N19</f>
        <v/>
      </c>
      <c r="Q23" s="2"/>
      <c r="R23" s="107"/>
      <c r="S23" s="2"/>
      <c r="T23" s="107"/>
      <c r="U23" s="2"/>
      <c r="V23" s="390" t="str">
        <f>IF(Aircraft!$F17="","",IF(LEFT(Aircraft!$F17,1)="N",Aircraft!$F17,CONCATENATE("N",Aircraft!$F17)))</f>
        <v/>
      </c>
      <c r="W23" s="2"/>
      <c r="X23" s="108" t="str">
        <f>Worksheet_Com!P19</f>
        <v/>
      </c>
      <c r="Y23" s="2"/>
      <c r="Z23" s="108" t="str">
        <f>Worksheet_Com!O19</f>
        <v/>
      </c>
      <c r="AA23" s="2"/>
      <c r="AB23" s="108" t="str">
        <f>Worksheet_Com!Q19</f>
        <v/>
      </c>
      <c r="AC23" s="790" t="s">
        <v>11</v>
      </c>
      <c r="AD23" s="789"/>
      <c r="AE23" s="103">
        <v>0</v>
      </c>
      <c r="AF23" s="42"/>
      <c r="AG23" s="108" t="str">
        <f t="shared" si="0"/>
        <v/>
      </c>
      <c r="AH23" s="2"/>
      <c r="AI23" s="390" t="str">
        <f>'Com Quote'!L24</f>
        <v/>
      </c>
      <c r="AJ23" s="2"/>
      <c r="AK23" s="2"/>
      <c r="AL23" s="2"/>
      <c r="AM23" s="2"/>
      <c r="AN23" s="2"/>
      <c r="AO23" s="2"/>
      <c r="AP23" s="2"/>
      <c r="AQ23" s="2"/>
      <c r="AR23" s="2"/>
      <c r="AS23" s="2"/>
      <c r="AT23" s="2"/>
    </row>
    <row r="24" spans="1:46" ht="15">
      <c r="A24" s="2"/>
      <c r="B24" s="395">
        <v>15</v>
      </c>
      <c r="C24" s="390" t="str">
        <f>IF(Aircraft!$F18="","",IF(LEFT(Aircraft!$F18,1)="N",Aircraft!$F18,CONCATENATE("N",Aircraft!$F18)))</f>
        <v/>
      </c>
      <c r="D24" s="109"/>
      <c r="E24" s="902" t="str">
        <f>IFERROR(IF(Aircraft!N18="Y",CONCATENATE(VLOOKUP(Aircraft!$C18,Aircraftlist,29)," (FLOAT)"),VLOOKUP(Aircraft!$C18,Aircraftlist,29)),"")</f>
        <v/>
      </c>
      <c r="F24" s="903"/>
      <c r="G24" s="2"/>
      <c r="H24" s="104"/>
      <c r="I24" s="2"/>
      <c r="J24" s="104"/>
      <c r="K24" s="2"/>
      <c r="L24" s="117" t="str">
        <f>Worksheet_Com!M20</f>
        <v/>
      </c>
      <c r="M24" s="2"/>
      <c r="N24" s="116" t="str">
        <f>Worksheet_Com!L20</f>
        <v/>
      </c>
      <c r="O24" s="2"/>
      <c r="P24" s="116" t="str">
        <f>Worksheet_Com!N20</f>
        <v/>
      </c>
      <c r="Q24" s="2"/>
      <c r="R24" s="107"/>
      <c r="S24" s="2"/>
      <c r="T24" s="107"/>
      <c r="U24" s="2"/>
      <c r="V24" s="390" t="str">
        <f>IF(Aircraft!$F18="","",IF(LEFT(Aircraft!$F18,1)="N",Aircraft!$F18,CONCATENATE("N",Aircraft!$F18)))</f>
        <v/>
      </c>
      <c r="W24" s="2"/>
      <c r="X24" s="108" t="str">
        <f>Worksheet_Com!P20</f>
        <v/>
      </c>
      <c r="Y24" s="2"/>
      <c r="Z24" s="108" t="str">
        <f>Worksheet_Com!O20</f>
        <v/>
      </c>
      <c r="AA24" s="2"/>
      <c r="AB24" s="108" t="str">
        <f>Worksheet_Com!Q20</f>
        <v/>
      </c>
      <c r="AC24" s="790" t="s">
        <v>11</v>
      </c>
      <c r="AD24" s="789"/>
      <c r="AE24" s="103">
        <v>0</v>
      </c>
      <c r="AF24" s="42"/>
      <c r="AG24" s="108" t="str">
        <f t="shared" si="0"/>
        <v/>
      </c>
      <c r="AH24" s="2"/>
      <c r="AI24" s="390" t="str">
        <f>'Com Quote'!L25</f>
        <v/>
      </c>
      <c r="AJ24" s="2"/>
      <c r="AK24" s="2"/>
      <c r="AL24" s="2"/>
      <c r="AM24" s="2"/>
      <c r="AN24" s="2"/>
      <c r="AO24" s="2"/>
      <c r="AP24" s="2"/>
      <c r="AQ24" s="2"/>
      <c r="AR24" s="2"/>
      <c r="AS24" s="2"/>
      <c r="AT24" s="2"/>
    </row>
    <row r="25" spans="1:46" ht="15">
      <c r="A25" s="2"/>
      <c r="B25" s="395">
        <v>16</v>
      </c>
      <c r="C25" s="390" t="str">
        <f>IF(Aircraft!$F19="","",IF(LEFT(Aircraft!$F19,1)="N",Aircraft!$F19,CONCATENATE("N",Aircraft!$F19)))</f>
        <v/>
      </c>
      <c r="D25" s="109"/>
      <c r="E25" s="902" t="str">
        <f>IFERROR(IF(Aircraft!N19="Y",CONCATENATE(VLOOKUP(Aircraft!$C19,Aircraftlist,29)," (FLOAT)"),VLOOKUP(Aircraft!$C19,Aircraftlist,29)),"")</f>
        <v/>
      </c>
      <c r="F25" s="903"/>
      <c r="G25" s="2"/>
      <c r="H25" s="104"/>
      <c r="I25" s="2"/>
      <c r="J25" s="104"/>
      <c r="K25" s="2"/>
      <c r="L25" s="117" t="str">
        <f>Worksheet_Com!M21</f>
        <v/>
      </c>
      <c r="M25" s="2"/>
      <c r="N25" s="116" t="str">
        <f>Worksheet_Com!L21</f>
        <v/>
      </c>
      <c r="O25" s="2"/>
      <c r="P25" s="116" t="str">
        <f>Worksheet_Com!N21</f>
        <v/>
      </c>
      <c r="Q25" s="2"/>
      <c r="R25" s="107"/>
      <c r="S25" s="2"/>
      <c r="T25" s="107"/>
      <c r="U25" s="2"/>
      <c r="V25" s="390" t="str">
        <f>IF(Aircraft!$F19="","",IF(LEFT(Aircraft!$F19,1)="N",Aircraft!$F19,CONCATENATE("N",Aircraft!$F19)))</f>
        <v/>
      </c>
      <c r="W25" s="2"/>
      <c r="X25" s="108" t="str">
        <f>Worksheet_Com!P21</f>
        <v/>
      </c>
      <c r="Y25" s="2"/>
      <c r="Z25" s="108" t="str">
        <f>Worksheet_Com!O21</f>
        <v/>
      </c>
      <c r="AA25" s="2"/>
      <c r="AB25" s="108" t="str">
        <f>Worksheet_Com!Q21</f>
        <v/>
      </c>
      <c r="AC25" s="790" t="s">
        <v>11</v>
      </c>
      <c r="AD25" s="789"/>
      <c r="AE25" s="103">
        <v>0</v>
      </c>
      <c r="AF25" s="42"/>
      <c r="AG25" s="108" t="str">
        <f t="shared" si="0"/>
        <v/>
      </c>
      <c r="AH25" s="2"/>
      <c r="AI25" s="390" t="str">
        <f>'Com Quote'!L26</f>
        <v/>
      </c>
      <c r="AJ25" s="2"/>
      <c r="AK25" s="2"/>
      <c r="AL25" s="2"/>
      <c r="AM25" s="2"/>
      <c r="AN25" s="2"/>
      <c r="AO25" s="2"/>
      <c r="AP25" s="2"/>
      <c r="AQ25" s="2"/>
      <c r="AR25" s="2"/>
      <c r="AS25" s="2"/>
      <c r="AT25" s="2"/>
    </row>
    <row r="26" spans="1:46" ht="15">
      <c r="A26" s="2"/>
      <c r="B26" s="395">
        <v>17</v>
      </c>
      <c r="C26" s="390" t="str">
        <f>IF(Aircraft!$F20="","",IF(LEFT(Aircraft!$F20,1)="N",Aircraft!$F20,CONCATENATE("N",Aircraft!$F20)))</f>
        <v/>
      </c>
      <c r="D26" s="109"/>
      <c r="E26" s="902" t="str">
        <f>IFERROR(IF(Aircraft!N20="Y",CONCATENATE(VLOOKUP(Aircraft!$C20,Aircraftlist,29)," (FLOAT)"),VLOOKUP(Aircraft!$C20,Aircraftlist,29)),"")</f>
        <v/>
      </c>
      <c r="F26" s="903"/>
      <c r="G26" s="2"/>
      <c r="H26" s="104"/>
      <c r="I26" s="2"/>
      <c r="J26" s="104"/>
      <c r="K26" s="2"/>
      <c r="L26" s="117" t="str">
        <f>Worksheet_Com!M22</f>
        <v/>
      </c>
      <c r="M26" s="2"/>
      <c r="N26" s="116" t="str">
        <f>Worksheet_Com!L22</f>
        <v/>
      </c>
      <c r="O26" s="2"/>
      <c r="P26" s="116" t="str">
        <f>Worksheet_Com!N22</f>
        <v/>
      </c>
      <c r="Q26" s="2"/>
      <c r="R26" s="107"/>
      <c r="S26" s="2"/>
      <c r="T26" s="107"/>
      <c r="U26" s="2"/>
      <c r="V26" s="390" t="str">
        <f>IF(Aircraft!$F20="","",IF(LEFT(Aircraft!$F20,1)="N",Aircraft!$F20,CONCATENATE("N",Aircraft!$F20)))</f>
        <v/>
      </c>
      <c r="W26" s="2"/>
      <c r="X26" s="108" t="str">
        <f>Worksheet_Com!P22</f>
        <v/>
      </c>
      <c r="Y26" s="2"/>
      <c r="Z26" s="108" t="str">
        <f>Worksheet_Com!O22</f>
        <v/>
      </c>
      <c r="AA26" s="2"/>
      <c r="AB26" s="108" t="str">
        <f>Worksheet_Com!Q22</f>
        <v/>
      </c>
      <c r="AC26" s="790" t="s">
        <v>11</v>
      </c>
      <c r="AD26" s="789"/>
      <c r="AE26" s="103">
        <v>0</v>
      </c>
      <c r="AF26" s="42"/>
      <c r="AG26" s="108" t="str">
        <f t="shared" si="0"/>
        <v/>
      </c>
      <c r="AH26" s="2"/>
      <c r="AI26" s="390" t="str">
        <f>'Com Quote'!L27</f>
        <v/>
      </c>
      <c r="AJ26" s="2"/>
      <c r="AK26" s="2"/>
      <c r="AL26" s="2"/>
      <c r="AM26" s="2"/>
      <c r="AN26" s="2"/>
      <c r="AO26" s="2"/>
      <c r="AP26" s="2"/>
      <c r="AQ26" s="2"/>
      <c r="AR26" s="2"/>
      <c r="AS26" s="2"/>
      <c r="AT26" s="2"/>
    </row>
    <row r="27" spans="1:46" ht="15">
      <c r="A27" s="2"/>
      <c r="B27" s="395">
        <v>18</v>
      </c>
      <c r="C27" s="390" t="str">
        <f>IF(Aircraft!$F21="","",IF(LEFT(Aircraft!$F21,1)="N",Aircraft!$F21,CONCATENATE("N",Aircraft!$F21)))</f>
        <v/>
      </c>
      <c r="D27" s="109"/>
      <c r="E27" s="902" t="str">
        <f>IFERROR(IF(Aircraft!N21="Y",CONCATENATE(VLOOKUP(Aircraft!$C21,Aircraftlist,29)," (FLOAT)"),VLOOKUP(Aircraft!$C21,Aircraftlist,29)),"")</f>
        <v/>
      </c>
      <c r="F27" s="903"/>
      <c r="G27" s="2"/>
      <c r="H27" s="104"/>
      <c r="I27" s="2"/>
      <c r="J27" s="104"/>
      <c r="K27" s="2"/>
      <c r="L27" s="117" t="str">
        <f>Worksheet_Com!M23</f>
        <v/>
      </c>
      <c r="M27" s="2"/>
      <c r="N27" s="116" t="str">
        <f>Worksheet_Com!L23</f>
        <v/>
      </c>
      <c r="O27" s="2"/>
      <c r="P27" s="116" t="str">
        <f>Worksheet_Com!N23</f>
        <v/>
      </c>
      <c r="Q27" s="2"/>
      <c r="R27" s="107"/>
      <c r="S27" s="2"/>
      <c r="T27" s="107"/>
      <c r="U27" s="2"/>
      <c r="V27" s="390" t="str">
        <f>IF(Aircraft!$F21="","",IF(LEFT(Aircraft!$F21,1)="N",Aircraft!$F21,CONCATENATE("N",Aircraft!$F21)))</f>
        <v/>
      </c>
      <c r="W27" s="2"/>
      <c r="X27" s="108" t="str">
        <f>Worksheet_Com!P23</f>
        <v/>
      </c>
      <c r="Y27" s="2"/>
      <c r="Z27" s="108" t="str">
        <f>Worksheet_Com!O23</f>
        <v/>
      </c>
      <c r="AA27" s="2"/>
      <c r="AB27" s="108" t="str">
        <f>Worksheet_Com!Q23</f>
        <v/>
      </c>
      <c r="AC27" s="790" t="s">
        <v>11</v>
      </c>
      <c r="AD27" s="789"/>
      <c r="AE27" s="103">
        <v>0</v>
      </c>
      <c r="AF27" s="42"/>
      <c r="AG27" s="108" t="str">
        <f t="shared" si="0"/>
        <v/>
      </c>
      <c r="AH27" s="2"/>
      <c r="AI27" s="390" t="str">
        <f>'Com Quote'!L28</f>
        <v/>
      </c>
      <c r="AJ27" s="2"/>
      <c r="AK27" s="2"/>
      <c r="AL27" s="2"/>
      <c r="AM27" s="2"/>
      <c r="AN27" s="2"/>
      <c r="AO27" s="2"/>
      <c r="AP27" s="2"/>
      <c r="AQ27" s="2"/>
      <c r="AR27" s="2"/>
      <c r="AS27" s="2"/>
      <c r="AT27" s="2"/>
    </row>
    <row r="28" spans="1:46" ht="15">
      <c r="A28" s="2"/>
      <c r="B28" s="395">
        <v>19</v>
      </c>
      <c r="C28" s="390" t="str">
        <f>IF(Aircraft!$F22="","",IF(LEFT(Aircraft!$F22,1)="N",Aircraft!$F22,CONCATENATE("N",Aircraft!$F22)))</f>
        <v/>
      </c>
      <c r="D28" s="109"/>
      <c r="E28" s="902" t="str">
        <f>IFERROR(IF(Aircraft!N22="Y",CONCATENATE(VLOOKUP(Aircraft!$C22,Aircraftlist,29)," (FLOAT)"),VLOOKUP(Aircraft!$C22,Aircraftlist,29)),"")</f>
        <v/>
      </c>
      <c r="F28" s="903"/>
      <c r="G28" s="2"/>
      <c r="H28" s="104"/>
      <c r="I28" s="2"/>
      <c r="J28" s="104"/>
      <c r="K28" s="2"/>
      <c r="L28" s="117" t="str">
        <f>Worksheet_Com!M24</f>
        <v/>
      </c>
      <c r="M28" s="2"/>
      <c r="N28" s="116" t="str">
        <f>Worksheet_Com!L24</f>
        <v/>
      </c>
      <c r="O28" s="2"/>
      <c r="P28" s="116" t="str">
        <f>Worksheet_Com!N24</f>
        <v/>
      </c>
      <c r="Q28" s="2"/>
      <c r="R28" s="107"/>
      <c r="S28" s="2"/>
      <c r="T28" s="107"/>
      <c r="U28" s="2"/>
      <c r="V28" s="390" t="str">
        <f>IF(Aircraft!$F22="","",IF(LEFT(Aircraft!$F22,1)="N",Aircraft!$F22,CONCATENATE("N",Aircraft!$F22)))</f>
        <v/>
      </c>
      <c r="W28" s="2"/>
      <c r="X28" s="108" t="str">
        <f>Worksheet_Com!P24</f>
        <v/>
      </c>
      <c r="Y28" s="2"/>
      <c r="Z28" s="108" t="str">
        <f>Worksheet_Com!O24</f>
        <v/>
      </c>
      <c r="AA28" s="2"/>
      <c r="AB28" s="108" t="str">
        <f>Worksheet_Com!Q24</f>
        <v/>
      </c>
      <c r="AC28" s="790" t="s">
        <v>11</v>
      </c>
      <c r="AD28" s="789"/>
      <c r="AE28" s="103">
        <v>0</v>
      </c>
      <c r="AF28" s="42"/>
      <c r="AG28" s="108" t="str">
        <f t="shared" si="0"/>
        <v/>
      </c>
      <c r="AH28" s="2"/>
      <c r="AI28" s="390" t="str">
        <f>'Com Quote'!L29</f>
        <v/>
      </c>
      <c r="AJ28" s="2"/>
      <c r="AK28" s="2"/>
      <c r="AL28" s="2"/>
      <c r="AM28" s="2"/>
      <c r="AN28" s="2"/>
      <c r="AO28" s="2"/>
      <c r="AP28" s="2"/>
      <c r="AQ28" s="2"/>
      <c r="AR28" s="2"/>
      <c r="AS28" s="2"/>
      <c r="AT28" s="2"/>
    </row>
    <row r="29" spans="1:46" ht="15">
      <c r="A29" s="2"/>
      <c r="B29" s="395">
        <v>20</v>
      </c>
      <c r="C29" s="390" t="str">
        <f>IF(Aircraft!$F23="","",IF(LEFT(Aircraft!$F23,1)="N",Aircraft!$F23,CONCATENATE("N",Aircraft!$F23)))</f>
        <v/>
      </c>
      <c r="D29" s="109"/>
      <c r="E29" s="902" t="str">
        <f>IFERROR(IF(Aircraft!N23="Y",CONCATENATE(VLOOKUP(Aircraft!$C23,Aircraftlist,29)," (FLOAT)"),VLOOKUP(Aircraft!$C23,Aircraftlist,29)),"")</f>
        <v/>
      </c>
      <c r="F29" s="903"/>
      <c r="G29" s="2"/>
      <c r="H29" s="104"/>
      <c r="I29" s="2"/>
      <c r="J29" s="104"/>
      <c r="K29" s="2"/>
      <c r="L29" s="117" t="str">
        <f>Worksheet_Com!M25</f>
        <v/>
      </c>
      <c r="M29" s="2"/>
      <c r="N29" s="116" t="str">
        <f>Worksheet_Com!L25</f>
        <v/>
      </c>
      <c r="O29" s="2"/>
      <c r="P29" s="116" t="str">
        <f>Worksheet_Com!N25</f>
        <v/>
      </c>
      <c r="Q29" s="2"/>
      <c r="R29" s="107"/>
      <c r="S29" s="2"/>
      <c r="T29" s="107"/>
      <c r="U29" s="2"/>
      <c r="V29" s="390" t="str">
        <f>IF(Aircraft!$F23="","",IF(LEFT(Aircraft!$F23,1)="N",Aircraft!$F23,CONCATENATE("N",Aircraft!$F23)))</f>
        <v/>
      </c>
      <c r="W29" s="2"/>
      <c r="X29" s="108" t="str">
        <f>Worksheet_Com!P25</f>
        <v/>
      </c>
      <c r="Y29" s="2"/>
      <c r="Z29" s="108" t="str">
        <f>Worksheet_Com!O25</f>
        <v/>
      </c>
      <c r="AA29" s="2"/>
      <c r="AB29" s="108" t="str">
        <f>Worksheet_Com!Q25</f>
        <v/>
      </c>
      <c r="AC29" s="790" t="s">
        <v>11</v>
      </c>
      <c r="AD29" s="789"/>
      <c r="AE29" s="103">
        <v>0</v>
      </c>
      <c r="AF29" s="42"/>
      <c r="AG29" s="108" t="str">
        <f t="shared" si="0"/>
        <v/>
      </c>
      <c r="AH29" s="2"/>
      <c r="AI29" s="390" t="str">
        <f>'Com Quote'!L30</f>
        <v/>
      </c>
      <c r="AJ29" s="2"/>
      <c r="AK29" s="2"/>
      <c r="AL29" s="2"/>
      <c r="AM29" s="2"/>
      <c r="AN29" s="2"/>
      <c r="AO29" s="2"/>
      <c r="AP29" s="2"/>
      <c r="AQ29" s="2"/>
      <c r="AR29" s="2"/>
      <c r="AS29" s="2"/>
      <c r="AT29" s="2"/>
    </row>
    <row r="30" spans="1:46" ht="15">
      <c r="A30" s="2"/>
      <c r="B30" s="395">
        <v>21</v>
      </c>
      <c r="C30" s="390" t="str">
        <f>IF(Aircraft!$F24="","",IF(LEFT(Aircraft!$F24,1)="N",Aircraft!$F24,CONCATENATE("N",Aircraft!$F24)))</f>
        <v/>
      </c>
      <c r="D30" s="109"/>
      <c r="E30" s="902" t="str">
        <f>IFERROR(IF(Aircraft!N24="Y",CONCATENATE(VLOOKUP(Aircraft!$C24,Aircraftlist,29)," (FLOAT)"),VLOOKUP(Aircraft!$C24,Aircraftlist,29)),"")</f>
        <v/>
      </c>
      <c r="F30" s="903"/>
      <c r="G30" s="2"/>
      <c r="H30" s="104"/>
      <c r="I30" s="2"/>
      <c r="J30" s="104"/>
      <c r="K30" s="2"/>
      <c r="L30" s="117" t="str">
        <f>Worksheet_Com!M26</f>
        <v/>
      </c>
      <c r="M30" s="2"/>
      <c r="N30" s="116" t="str">
        <f>Worksheet_Com!L26</f>
        <v/>
      </c>
      <c r="O30" s="2"/>
      <c r="P30" s="116" t="str">
        <f>Worksheet_Com!N26</f>
        <v/>
      </c>
      <c r="Q30" s="2"/>
      <c r="R30" s="107"/>
      <c r="S30" s="2"/>
      <c r="T30" s="107"/>
      <c r="U30" s="2"/>
      <c r="V30" s="390" t="str">
        <f>IF(Aircraft!$F24="","",IF(LEFT(Aircraft!$F24,1)="N",Aircraft!$F24,CONCATENATE("N",Aircraft!$F24)))</f>
        <v/>
      </c>
      <c r="W30" s="2"/>
      <c r="X30" s="108" t="str">
        <f>Worksheet_Com!P26</f>
        <v/>
      </c>
      <c r="Y30" s="2"/>
      <c r="Z30" s="108" t="str">
        <f>Worksheet_Com!O26</f>
        <v/>
      </c>
      <c r="AA30" s="2"/>
      <c r="AB30" s="108" t="str">
        <f>Worksheet_Com!Q26</f>
        <v/>
      </c>
      <c r="AC30" s="790" t="s">
        <v>11</v>
      </c>
      <c r="AD30" s="789"/>
      <c r="AE30" s="103">
        <v>0</v>
      </c>
      <c r="AF30" s="42"/>
      <c r="AG30" s="108" t="str">
        <f t="shared" si="0"/>
        <v/>
      </c>
      <c r="AH30" s="2"/>
      <c r="AI30" s="390" t="str">
        <f>'Com Quote'!L31</f>
        <v/>
      </c>
      <c r="AJ30" s="2"/>
      <c r="AK30" s="2"/>
      <c r="AL30" s="2"/>
      <c r="AM30" s="2"/>
      <c r="AN30" s="2"/>
      <c r="AO30" s="2"/>
      <c r="AP30" s="2"/>
      <c r="AQ30" s="2"/>
      <c r="AR30" s="2"/>
      <c r="AS30" s="2"/>
      <c r="AT30" s="2"/>
    </row>
    <row r="31" spans="1:46" ht="15">
      <c r="A31" s="2"/>
      <c r="B31" s="395">
        <v>22</v>
      </c>
      <c r="C31" s="390" t="str">
        <f>IF(Aircraft!$F25="","",IF(LEFT(Aircraft!$F25,1)="N",Aircraft!$F25,CONCATENATE("N",Aircraft!$F25)))</f>
        <v/>
      </c>
      <c r="D31" s="109"/>
      <c r="E31" s="902" t="str">
        <f>IFERROR(IF(Aircraft!N25="Y",CONCATENATE(VLOOKUP(Aircraft!$C25,Aircraftlist,29)," (FLOAT)"),VLOOKUP(Aircraft!$C25,Aircraftlist,29)),"")</f>
        <v/>
      </c>
      <c r="F31" s="903"/>
      <c r="G31" s="2"/>
      <c r="H31" s="104"/>
      <c r="I31" s="2"/>
      <c r="J31" s="104"/>
      <c r="K31" s="2"/>
      <c r="L31" s="117" t="str">
        <f>Worksheet_Com!M27</f>
        <v/>
      </c>
      <c r="M31" s="2"/>
      <c r="N31" s="116" t="str">
        <f>Worksheet_Com!L27</f>
        <v/>
      </c>
      <c r="O31" s="2"/>
      <c r="P31" s="116" t="str">
        <f>Worksheet_Com!N27</f>
        <v/>
      </c>
      <c r="Q31" s="2"/>
      <c r="R31" s="107"/>
      <c r="S31" s="2"/>
      <c r="T31" s="107"/>
      <c r="U31" s="2"/>
      <c r="V31" s="390" t="str">
        <f>IF(Aircraft!$F25="","",IF(LEFT(Aircraft!$F25,1)="N",Aircraft!$F25,CONCATENATE("N",Aircraft!$F25)))</f>
        <v/>
      </c>
      <c r="W31" s="2"/>
      <c r="X31" s="108" t="str">
        <f>Worksheet_Com!P27</f>
        <v/>
      </c>
      <c r="Y31" s="2"/>
      <c r="Z31" s="108" t="str">
        <f>Worksheet_Com!O27</f>
        <v/>
      </c>
      <c r="AA31" s="2"/>
      <c r="AB31" s="108" t="str">
        <f>Worksheet_Com!Q27</f>
        <v/>
      </c>
      <c r="AC31" s="790" t="s">
        <v>11</v>
      </c>
      <c r="AD31" s="789"/>
      <c r="AE31" s="103">
        <v>0</v>
      </c>
      <c r="AF31" s="42"/>
      <c r="AG31" s="108" t="str">
        <f t="shared" si="0"/>
        <v/>
      </c>
      <c r="AH31" s="2"/>
      <c r="AI31" s="390" t="str">
        <f>'Com Quote'!L32</f>
        <v/>
      </c>
      <c r="AJ31" s="2"/>
      <c r="AK31" s="2"/>
      <c r="AL31" s="2"/>
      <c r="AM31" s="2"/>
      <c r="AN31" s="2"/>
      <c r="AO31" s="2"/>
      <c r="AP31" s="2"/>
      <c r="AQ31" s="2"/>
      <c r="AR31" s="2"/>
      <c r="AS31" s="2"/>
      <c r="AT31" s="2"/>
    </row>
    <row r="32" spans="1:46" ht="15">
      <c r="A32" s="2"/>
      <c r="B32" s="395">
        <v>23</v>
      </c>
      <c r="C32" s="390" t="str">
        <f>IF(Aircraft!$F26="","",IF(LEFT(Aircraft!$F26,1)="N",Aircraft!$F26,CONCATENATE("N",Aircraft!$F26)))</f>
        <v/>
      </c>
      <c r="D32" s="109"/>
      <c r="E32" s="902" t="str">
        <f>IFERROR(IF(Aircraft!N26="Y",CONCATENATE(VLOOKUP(Aircraft!$C26,Aircraftlist,29)," (FLOAT)"),VLOOKUP(Aircraft!$C26,Aircraftlist,29)),"")</f>
        <v/>
      </c>
      <c r="F32" s="903"/>
      <c r="G32" s="2"/>
      <c r="H32" s="104"/>
      <c r="I32" s="2"/>
      <c r="J32" s="104"/>
      <c r="K32" s="2"/>
      <c r="L32" s="117" t="str">
        <f>Worksheet_Com!M28</f>
        <v/>
      </c>
      <c r="M32" s="2"/>
      <c r="N32" s="116" t="str">
        <f>Worksheet_Com!L28</f>
        <v/>
      </c>
      <c r="O32" s="2"/>
      <c r="P32" s="116" t="str">
        <f>Worksheet_Com!N28</f>
        <v/>
      </c>
      <c r="Q32" s="2"/>
      <c r="R32" s="107"/>
      <c r="S32" s="2"/>
      <c r="T32" s="107"/>
      <c r="U32" s="2"/>
      <c r="V32" s="390" t="str">
        <f>IF(Aircraft!$F26="","",IF(LEFT(Aircraft!$F26,1)="N",Aircraft!$F26,CONCATENATE("N",Aircraft!$F26)))</f>
        <v/>
      </c>
      <c r="W32" s="2"/>
      <c r="X32" s="108" t="str">
        <f>Worksheet_Com!P28</f>
        <v/>
      </c>
      <c r="Y32" s="2"/>
      <c r="Z32" s="108" t="str">
        <f>Worksheet_Com!O28</f>
        <v/>
      </c>
      <c r="AA32" s="2"/>
      <c r="AB32" s="108" t="str">
        <f>Worksheet_Com!Q28</f>
        <v/>
      </c>
      <c r="AC32" s="790" t="s">
        <v>11</v>
      </c>
      <c r="AD32" s="789"/>
      <c r="AE32" s="103">
        <v>0</v>
      </c>
      <c r="AF32" s="42"/>
      <c r="AG32" s="108" t="str">
        <f t="shared" si="0"/>
        <v/>
      </c>
      <c r="AH32" s="2"/>
      <c r="AI32" s="390" t="str">
        <f>'Com Quote'!L33</f>
        <v/>
      </c>
      <c r="AJ32" s="2"/>
      <c r="AK32" s="2"/>
      <c r="AL32" s="2"/>
      <c r="AM32" s="2"/>
      <c r="AN32" s="2"/>
      <c r="AO32" s="2"/>
      <c r="AP32" s="2"/>
      <c r="AQ32" s="2"/>
      <c r="AR32" s="2"/>
      <c r="AS32" s="2"/>
      <c r="AT32" s="2"/>
    </row>
    <row r="33" spans="1:46" ht="15">
      <c r="A33" s="2"/>
      <c r="B33" s="395">
        <v>24</v>
      </c>
      <c r="C33" s="390" t="str">
        <f>IF(Aircraft!$F27="","",IF(LEFT(Aircraft!$F27,1)="N",Aircraft!$F27,CONCATENATE("N",Aircraft!$F27)))</f>
        <v/>
      </c>
      <c r="D33" s="109"/>
      <c r="E33" s="902" t="str">
        <f>IFERROR(IF(Aircraft!N27="Y",CONCATENATE(VLOOKUP(Aircraft!$C27,Aircraftlist,29)," (FLOAT)"),VLOOKUP(Aircraft!$C27,Aircraftlist,29)),"")</f>
        <v/>
      </c>
      <c r="F33" s="903"/>
      <c r="G33" s="2"/>
      <c r="H33" s="104"/>
      <c r="I33" s="2"/>
      <c r="J33" s="104"/>
      <c r="K33" s="2"/>
      <c r="L33" s="117" t="str">
        <f>Worksheet_Com!M29</f>
        <v/>
      </c>
      <c r="M33" s="2"/>
      <c r="N33" s="116" t="str">
        <f>Worksheet_Com!L29</f>
        <v/>
      </c>
      <c r="O33" s="2"/>
      <c r="P33" s="116" t="str">
        <f>Worksheet_Com!N29</f>
        <v/>
      </c>
      <c r="Q33" s="2"/>
      <c r="R33" s="107"/>
      <c r="S33" s="2"/>
      <c r="T33" s="107"/>
      <c r="U33" s="2"/>
      <c r="V33" s="390" t="str">
        <f>IF(Aircraft!$F27="","",IF(LEFT(Aircraft!$F27,1)="N",Aircraft!$F27,CONCATENATE("N",Aircraft!$F27)))</f>
        <v/>
      </c>
      <c r="W33" s="2"/>
      <c r="X33" s="108" t="str">
        <f>Worksheet_Com!P29</f>
        <v/>
      </c>
      <c r="Y33" s="2"/>
      <c r="Z33" s="108" t="str">
        <f>Worksheet_Com!O29</f>
        <v/>
      </c>
      <c r="AA33" s="2"/>
      <c r="AB33" s="108" t="str">
        <f>Worksheet_Com!Q29</f>
        <v/>
      </c>
      <c r="AC33" s="790" t="s">
        <v>11</v>
      </c>
      <c r="AD33" s="789"/>
      <c r="AE33" s="103">
        <v>0</v>
      </c>
      <c r="AF33" s="42"/>
      <c r="AG33" s="108" t="str">
        <f t="shared" si="0"/>
        <v/>
      </c>
      <c r="AH33" s="2"/>
      <c r="AI33" s="390" t="str">
        <f>'Com Quote'!L34</f>
        <v/>
      </c>
      <c r="AJ33" s="2"/>
      <c r="AK33" s="2"/>
      <c r="AL33" s="2"/>
      <c r="AM33" s="2"/>
      <c r="AN33" s="2"/>
      <c r="AO33" s="2"/>
      <c r="AP33" s="2"/>
      <c r="AQ33" s="2"/>
      <c r="AR33" s="2"/>
      <c r="AS33" s="2"/>
      <c r="AT33" s="2"/>
    </row>
    <row r="34" spans="1:46" ht="15">
      <c r="A34" s="2"/>
      <c r="B34" s="395">
        <v>25</v>
      </c>
      <c r="C34" s="390" t="str">
        <f>IF(Aircraft!$F28="","",IF(LEFT(Aircraft!$F28,1)="N",Aircraft!$F28,CONCATENATE("N",Aircraft!$F28)))</f>
        <v/>
      </c>
      <c r="D34" s="109"/>
      <c r="E34" s="902" t="str">
        <f>IFERROR(IF(Aircraft!N28="Y",CONCATENATE(VLOOKUP(Aircraft!$C28,Aircraftlist,29)," (FLOAT)"),VLOOKUP(Aircraft!$C28,Aircraftlist,29)),"")</f>
        <v/>
      </c>
      <c r="F34" s="903"/>
      <c r="G34" s="2"/>
      <c r="H34" s="104"/>
      <c r="I34" s="2"/>
      <c r="J34" s="104"/>
      <c r="K34" s="2"/>
      <c r="L34" s="117" t="str">
        <f>Worksheet_Com!M30</f>
        <v/>
      </c>
      <c r="M34" s="2"/>
      <c r="N34" s="116" t="str">
        <f>Worksheet_Com!L30</f>
        <v/>
      </c>
      <c r="O34" s="2"/>
      <c r="P34" s="116" t="str">
        <f>Worksheet_Com!N30</f>
        <v/>
      </c>
      <c r="Q34" s="2"/>
      <c r="R34" s="107"/>
      <c r="S34" s="2"/>
      <c r="T34" s="107"/>
      <c r="U34" s="2"/>
      <c r="V34" s="390" t="str">
        <f>IF(Aircraft!$F28="","",IF(LEFT(Aircraft!$F28,1)="N",Aircraft!$F28,CONCATENATE("N",Aircraft!$F28)))</f>
        <v/>
      </c>
      <c r="W34" s="2"/>
      <c r="X34" s="108" t="str">
        <f>Worksheet_Com!P30</f>
        <v/>
      </c>
      <c r="Y34" s="2"/>
      <c r="Z34" s="108" t="str">
        <f>Worksheet_Com!O30</f>
        <v/>
      </c>
      <c r="AA34" s="2"/>
      <c r="AB34" s="108" t="str">
        <f>Worksheet_Com!Q30</f>
        <v/>
      </c>
      <c r="AC34" s="790" t="s">
        <v>11</v>
      </c>
      <c r="AD34" s="789"/>
      <c r="AE34" s="103">
        <v>0</v>
      </c>
      <c r="AF34" s="42"/>
      <c r="AG34" s="108" t="str">
        <f t="shared" si="0"/>
        <v/>
      </c>
      <c r="AH34" s="2"/>
      <c r="AI34" s="390" t="str">
        <f>'Com Quote'!L35</f>
        <v/>
      </c>
      <c r="AJ34" s="2"/>
      <c r="AK34" s="2"/>
      <c r="AL34" s="2"/>
      <c r="AM34" s="2"/>
      <c r="AN34" s="2"/>
      <c r="AO34" s="2"/>
      <c r="AP34" s="2"/>
      <c r="AQ34" s="2"/>
      <c r="AR34" s="2"/>
      <c r="AS34" s="2"/>
      <c r="AT34" s="2"/>
    </row>
    <row r="35" spans="1:46" ht="15">
      <c r="A35" s="2"/>
      <c r="B35" s="395">
        <v>26</v>
      </c>
      <c r="C35" s="390" t="str">
        <f>IF(Aircraft!$F29="","",IF(LEFT(Aircraft!$F29,1)="N",Aircraft!$F29,CONCATENATE("N",Aircraft!$F29)))</f>
        <v/>
      </c>
      <c r="D35" s="109"/>
      <c r="E35" s="902" t="str">
        <f>IFERROR(IF(Aircraft!N29="Y",CONCATENATE(VLOOKUP(Aircraft!$C29,Aircraftlist,29)," (FLOAT)"),VLOOKUP(Aircraft!$C29,Aircraftlist,29)),"")</f>
        <v/>
      </c>
      <c r="F35" s="903"/>
      <c r="G35" s="2"/>
      <c r="H35" s="104"/>
      <c r="I35" s="2"/>
      <c r="J35" s="104"/>
      <c r="K35" s="2"/>
      <c r="L35" s="117" t="str">
        <f>Worksheet_Com!M31</f>
        <v/>
      </c>
      <c r="M35" s="2"/>
      <c r="N35" s="116" t="str">
        <f>Worksheet_Com!L31</f>
        <v/>
      </c>
      <c r="O35" s="2"/>
      <c r="P35" s="116" t="str">
        <f>Worksheet_Com!N31</f>
        <v/>
      </c>
      <c r="Q35" s="2"/>
      <c r="R35" s="107"/>
      <c r="S35" s="2"/>
      <c r="T35" s="107"/>
      <c r="U35" s="2"/>
      <c r="V35" s="390" t="str">
        <f>IF(Aircraft!$F29="","",IF(LEFT(Aircraft!$F29,1)="N",Aircraft!$F29,CONCATENATE("N",Aircraft!$F29)))</f>
        <v/>
      </c>
      <c r="W35" s="2"/>
      <c r="X35" s="108" t="str">
        <f>Worksheet_Com!P31</f>
        <v/>
      </c>
      <c r="Y35" s="2"/>
      <c r="Z35" s="108" t="str">
        <f>Worksheet_Com!O31</f>
        <v/>
      </c>
      <c r="AA35" s="2"/>
      <c r="AB35" s="108" t="str">
        <f>Worksheet_Com!Q31</f>
        <v/>
      </c>
      <c r="AC35" s="790" t="s">
        <v>11</v>
      </c>
      <c r="AD35" s="789"/>
      <c r="AE35" s="103">
        <v>0</v>
      </c>
      <c r="AF35" s="42"/>
      <c r="AG35" s="108" t="str">
        <f t="shared" si="0"/>
        <v/>
      </c>
      <c r="AH35" s="2"/>
      <c r="AI35" s="390" t="str">
        <f>'Com Quote'!L36</f>
        <v/>
      </c>
      <c r="AJ35" s="2"/>
      <c r="AK35" s="2"/>
      <c r="AL35" s="2"/>
      <c r="AM35" s="2"/>
      <c r="AN35" s="2"/>
      <c r="AO35" s="2"/>
      <c r="AP35" s="2"/>
      <c r="AQ35" s="2"/>
      <c r="AR35" s="2"/>
      <c r="AS35" s="2"/>
      <c r="AT35" s="2"/>
    </row>
    <row r="36" spans="1:46" ht="15">
      <c r="A36" s="2"/>
      <c r="B36" s="395">
        <v>27</v>
      </c>
      <c r="C36" s="390" t="str">
        <f>IF(Aircraft!$F30="","",IF(LEFT(Aircraft!$F30,1)="N",Aircraft!$F30,CONCATENATE("N",Aircraft!$F30)))</f>
        <v/>
      </c>
      <c r="D36" s="109"/>
      <c r="E36" s="902" t="str">
        <f>IFERROR(IF(Aircraft!N30="Y",CONCATENATE(VLOOKUP(Aircraft!$C30,Aircraftlist,29)," (FLOAT)"),VLOOKUP(Aircraft!$C30,Aircraftlist,29)),"")</f>
        <v/>
      </c>
      <c r="F36" s="903"/>
      <c r="G36" s="2"/>
      <c r="H36" s="104"/>
      <c r="I36" s="2"/>
      <c r="J36" s="104"/>
      <c r="K36" s="2"/>
      <c r="L36" s="117" t="str">
        <f>Worksheet_Com!M32</f>
        <v/>
      </c>
      <c r="M36" s="2"/>
      <c r="N36" s="116" t="str">
        <f>Worksheet_Com!L32</f>
        <v/>
      </c>
      <c r="O36" s="2"/>
      <c r="P36" s="116" t="str">
        <f>Worksheet_Com!N32</f>
        <v/>
      </c>
      <c r="Q36" s="2"/>
      <c r="R36" s="107"/>
      <c r="S36" s="2"/>
      <c r="T36" s="107"/>
      <c r="U36" s="2"/>
      <c r="V36" s="390" t="str">
        <f>IF(Aircraft!$F30="","",IF(LEFT(Aircraft!$F30,1)="N",Aircraft!$F30,CONCATENATE("N",Aircraft!$F30)))</f>
        <v/>
      </c>
      <c r="W36" s="2"/>
      <c r="X36" s="108" t="str">
        <f>Worksheet_Com!P32</f>
        <v/>
      </c>
      <c r="Y36" s="2"/>
      <c r="Z36" s="108" t="str">
        <f>Worksheet_Com!O32</f>
        <v/>
      </c>
      <c r="AA36" s="2"/>
      <c r="AB36" s="108" t="str">
        <f>Worksheet_Com!Q32</f>
        <v/>
      </c>
      <c r="AC36" s="790" t="s">
        <v>11</v>
      </c>
      <c r="AD36" s="789"/>
      <c r="AE36" s="103">
        <v>0</v>
      </c>
      <c r="AF36" s="42"/>
      <c r="AG36" s="108" t="str">
        <f t="shared" si="0"/>
        <v/>
      </c>
      <c r="AH36" s="2"/>
      <c r="AI36" s="390" t="str">
        <f>'Com Quote'!L37</f>
        <v/>
      </c>
      <c r="AJ36" s="2"/>
      <c r="AK36" s="2"/>
      <c r="AL36" s="2"/>
      <c r="AM36" s="2"/>
      <c r="AN36" s="2"/>
      <c r="AO36" s="2"/>
      <c r="AP36" s="2"/>
      <c r="AQ36" s="2"/>
      <c r="AR36" s="2"/>
      <c r="AS36" s="2"/>
      <c r="AT36" s="2"/>
    </row>
    <row r="37" spans="1:46" ht="15">
      <c r="A37" s="2"/>
      <c r="B37" s="395">
        <v>28</v>
      </c>
      <c r="C37" s="390" t="str">
        <f>IF(Aircraft!$F31="","",IF(LEFT(Aircraft!$F31,1)="N",Aircraft!$F31,CONCATENATE("N",Aircraft!$F31)))</f>
        <v/>
      </c>
      <c r="D37" s="109"/>
      <c r="E37" s="902" t="str">
        <f>IFERROR(IF(Aircraft!N31="Y",CONCATENATE(VLOOKUP(Aircraft!$C31,Aircraftlist,29)," (FLOAT)"),VLOOKUP(Aircraft!$C31,Aircraftlist,29)),"")</f>
        <v/>
      </c>
      <c r="F37" s="903"/>
      <c r="G37" s="2"/>
      <c r="H37" s="104"/>
      <c r="I37" s="2"/>
      <c r="J37" s="104"/>
      <c r="K37" s="2"/>
      <c r="L37" s="117" t="str">
        <f>Worksheet_Com!M33</f>
        <v/>
      </c>
      <c r="M37" s="2"/>
      <c r="N37" s="116" t="str">
        <f>Worksheet_Com!L33</f>
        <v/>
      </c>
      <c r="O37" s="2"/>
      <c r="P37" s="116" t="str">
        <f>Worksheet_Com!N33</f>
        <v/>
      </c>
      <c r="Q37" s="2"/>
      <c r="R37" s="107"/>
      <c r="S37" s="2"/>
      <c r="T37" s="107"/>
      <c r="U37" s="2"/>
      <c r="V37" s="390" t="str">
        <f>IF(Aircraft!$F31="","",IF(LEFT(Aircraft!$F31,1)="N",Aircraft!$F31,CONCATENATE("N",Aircraft!$F31)))</f>
        <v/>
      </c>
      <c r="W37" s="2"/>
      <c r="X37" s="108" t="str">
        <f>Worksheet_Com!P33</f>
        <v/>
      </c>
      <c r="Y37" s="2"/>
      <c r="Z37" s="108" t="str">
        <f>Worksheet_Com!O33</f>
        <v/>
      </c>
      <c r="AA37" s="2"/>
      <c r="AB37" s="108" t="str">
        <f>Worksheet_Com!Q33</f>
        <v/>
      </c>
      <c r="AC37" s="790" t="s">
        <v>11</v>
      </c>
      <c r="AD37" s="789"/>
      <c r="AE37" s="103">
        <v>0</v>
      </c>
      <c r="AF37" s="42"/>
      <c r="AG37" s="108" t="str">
        <f t="shared" si="0"/>
        <v/>
      </c>
      <c r="AH37" s="2"/>
      <c r="AI37" s="390" t="str">
        <f>'Com Quote'!L38</f>
        <v/>
      </c>
      <c r="AJ37" s="2"/>
      <c r="AK37" s="2"/>
      <c r="AL37" s="2"/>
      <c r="AM37" s="2"/>
      <c r="AN37" s="2"/>
      <c r="AO37" s="2"/>
      <c r="AP37" s="2"/>
      <c r="AQ37" s="2"/>
      <c r="AR37" s="2"/>
      <c r="AS37" s="2"/>
      <c r="AT37" s="2"/>
    </row>
    <row r="38" spans="1:46" ht="15">
      <c r="A38" s="2"/>
      <c r="B38" s="395">
        <v>29</v>
      </c>
      <c r="C38" s="390" t="str">
        <f>IF(Aircraft!$F32="","",IF(LEFT(Aircraft!$F32,1)="N",Aircraft!$F32,CONCATENATE("N",Aircraft!$F32)))</f>
        <v/>
      </c>
      <c r="D38" s="109"/>
      <c r="E38" s="902" t="str">
        <f>IFERROR(IF(Aircraft!N32="Y",CONCATENATE(VLOOKUP(Aircraft!$C32,Aircraftlist,29)," (FLOAT)"),VLOOKUP(Aircraft!$C32,Aircraftlist,29)),"")</f>
        <v/>
      </c>
      <c r="F38" s="903"/>
      <c r="G38" s="2"/>
      <c r="H38" s="104"/>
      <c r="I38" s="2"/>
      <c r="J38" s="104"/>
      <c r="K38" s="2"/>
      <c r="L38" s="117" t="str">
        <f>Worksheet_Com!M34</f>
        <v/>
      </c>
      <c r="M38" s="2"/>
      <c r="N38" s="116" t="str">
        <f>Worksheet_Com!L34</f>
        <v/>
      </c>
      <c r="O38" s="2"/>
      <c r="P38" s="116" t="str">
        <f>Worksheet_Com!N34</f>
        <v/>
      </c>
      <c r="Q38" s="2"/>
      <c r="R38" s="107"/>
      <c r="S38" s="2"/>
      <c r="T38" s="107"/>
      <c r="U38" s="2"/>
      <c r="V38" s="390" t="str">
        <f>IF(Aircraft!$F32="","",IF(LEFT(Aircraft!$F32,1)="N",Aircraft!$F32,CONCATENATE("N",Aircraft!$F32)))</f>
        <v/>
      </c>
      <c r="W38" s="2"/>
      <c r="X38" s="108" t="str">
        <f>Worksheet_Com!P34</f>
        <v/>
      </c>
      <c r="Y38" s="2"/>
      <c r="Z38" s="108" t="str">
        <f>Worksheet_Com!O34</f>
        <v/>
      </c>
      <c r="AA38" s="2"/>
      <c r="AB38" s="108" t="str">
        <f>Worksheet_Com!Q34</f>
        <v/>
      </c>
      <c r="AC38" s="790" t="s">
        <v>11</v>
      </c>
      <c r="AD38" s="789"/>
      <c r="AE38" s="103">
        <v>0</v>
      </c>
      <c r="AF38" s="42"/>
      <c r="AG38" s="108" t="str">
        <f t="shared" si="0"/>
        <v/>
      </c>
      <c r="AH38" s="2"/>
      <c r="AI38" s="390" t="str">
        <f>'Com Quote'!L39</f>
        <v/>
      </c>
      <c r="AJ38" s="2"/>
      <c r="AK38" s="2"/>
      <c r="AL38" s="2"/>
      <c r="AM38" s="2"/>
      <c r="AN38" s="2"/>
      <c r="AO38" s="2"/>
      <c r="AP38" s="2"/>
      <c r="AQ38" s="2"/>
      <c r="AR38" s="2"/>
      <c r="AS38" s="2"/>
      <c r="AT38" s="2"/>
    </row>
    <row r="39" spans="1:46" ht="15">
      <c r="A39" s="2"/>
      <c r="B39" s="395">
        <v>30</v>
      </c>
      <c r="C39" s="390" t="str">
        <f>IF(Aircraft!$F33="","",IF(LEFT(Aircraft!$F33,1)="N",Aircraft!$F33,CONCATENATE("N",Aircraft!$F33)))</f>
        <v/>
      </c>
      <c r="D39" s="109"/>
      <c r="E39" s="902" t="str">
        <f>IFERROR(IF(Aircraft!N33="Y",CONCATENATE(VLOOKUP(Aircraft!$C33,Aircraftlist,29)," (FLOAT)"),VLOOKUP(Aircraft!$C33,Aircraftlist,29)),"")</f>
        <v/>
      </c>
      <c r="F39" s="903"/>
      <c r="G39" s="2"/>
      <c r="H39" s="104"/>
      <c r="I39" s="2"/>
      <c r="J39" s="104"/>
      <c r="K39" s="2"/>
      <c r="L39" s="117" t="str">
        <f>Worksheet_Com!M35</f>
        <v/>
      </c>
      <c r="M39" s="2"/>
      <c r="N39" s="116" t="str">
        <f>Worksheet_Com!L35</f>
        <v/>
      </c>
      <c r="O39" s="2"/>
      <c r="P39" s="116" t="str">
        <f>Worksheet_Com!N35</f>
        <v/>
      </c>
      <c r="Q39" s="2"/>
      <c r="R39" s="107"/>
      <c r="S39" s="2"/>
      <c r="T39" s="107"/>
      <c r="U39" s="2"/>
      <c r="V39" s="390" t="str">
        <f>IF(Aircraft!$F33="","",IF(LEFT(Aircraft!$F33,1)="N",Aircraft!$F33,CONCATENATE("N",Aircraft!$F33)))</f>
        <v/>
      </c>
      <c r="W39" s="2"/>
      <c r="X39" s="108" t="str">
        <f>Worksheet_Com!P35</f>
        <v/>
      </c>
      <c r="Y39" s="2"/>
      <c r="Z39" s="108" t="str">
        <f>Worksheet_Com!O35</f>
        <v/>
      </c>
      <c r="AA39" s="2"/>
      <c r="AB39" s="108" t="str">
        <f>Worksheet_Com!Q35</f>
        <v/>
      </c>
      <c r="AC39" s="790" t="s">
        <v>11</v>
      </c>
      <c r="AD39" s="789"/>
      <c r="AE39" s="103">
        <v>0</v>
      </c>
      <c r="AF39" s="42"/>
      <c r="AG39" s="108" t="str">
        <f t="shared" si="0"/>
        <v/>
      </c>
      <c r="AH39" s="2"/>
      <c r="AI39" s="390" t="str">
        <f>'Com Quote'!L40</f>
        <v/>
      </c>
      <c r="AJ39" s="2"/>
      <c r="AK39" s="2"/>
      <c r="AL39" s="2"/>
      <c r="AM39" s="2"/>
      <c r="AN39" s="2"/>
      <c r="AO39" s="2"/>
      <c r="AP39" s="2"/>
      <c r="AQ39" s="2"/>
      <c r="AR39" s="2"/>
      <c r="AS39" s="2"/>
      <c r="AT39" s="2"/>
    </row>
    <row r="40" spans="1:46" ht="15">
      <c r="A40" s="2"/>
      <c r="B40" s="395">
        <v>31</v>
      </c>
      <c r="C40" s="390" t="str">
        <f>IF(Aircraft!$F34="","",IF(LEFT(Aircraft!$F34,1)="N",Aircraft!$F34,CONCATENATE("N",Aircraft!$F34)))</f>
        <v/>
      </c>
      <c r="D40" s="109"/>
      <c r="E40" s="902" t="str">
        <f>IFERROR(IF(Aircraft!N34="Y",CONCATENATE(VLOOKUP(Aircraft!$C34,Aircraftlist,29)," (FLOAT)"),VLOOKUP(Aircraft!$C34,Aircraftlist,29)),"")</f>
        <v/>
      </c>
      <c r="F40" s="903"/>
      <c r="G40" s="2"/>
      <c r="H40" s="104"/>
      <c r="I40" s="2"/>
      <c r="J40" s="104"/>
      <c r="K40" s="2"/>
      <c r="L40" s="117" t="str">
        <f>Worksheet_Com!M36</f>
        <v/>
      </c>
      <c r="M40" s="2"/>
      <c r="N40" s="116" t="str">
        <f>Worksheet_Com!L36</f>
        <v/>
      </c>
      <c r="O40" s="2"/>
      <c r="P40" s="116" t="str">
        <f>Worksheet_Com!N36</f>
        <v/>
      </c>
      <c r="Q40" s="2"/>
      <c r="R40" s="107"/>
      <c r="S40" s="2"/>
      <c r="T40" s="107"/>
      <c r="U40" s="2"/>
      <c r="V40" s="390" t="str">
        <f>IF(Aircraft!$F34="","",IF(LEFT(Aircraft!$F34,1)="N",Aircraft!$F34,CONCATENATE("N",Aircraft!$F34)))</f>
        <v/>
      </c>
      <c r="W40" s="2"/>
      <c r="X40" s="108" t="str">
        <f>Worksheet_Com!P36</f>
        <v/>
      </c>
      <c r="Y40" s="2"/>
      <c r="Z40" s="108" t="str">
        <f>Worksheet_Com!O36</f>
        <v/>
      </c>
      <c r="AA40" s="2"/>
      <c r="AB40" s="108" t="str">
        <f>Worksheet_Com!Q36</f>
        <v/>
      </c>
      <c r="AC40" s="790" t="s">
        <v>11</v>
      </c>
      <c r="AD40" s="789"/>
      <c r="AE40" s="103">
        <v>0</v>
      </c>
      <c r="AF40" s="42"/>
      <c r="AG40" s="108" t="str">
        <f t="shared" si="0"/>
        <v/>
      </c>
      <c r="AH40" s="2"/>
      <c r="AI40" s="390" t="str">
        <f>'Com Quote'!L41</f>
        <v/>
      </c>
      <c r="AJ40" s="2"/>
      <c r="AK40" s="2"/>
      <c r="AL40" s="2"/>
      <c r="AM40" s="2"/>
      <c r="AN40" s="2"/>
      <c r="AO40" s="2"/>
      <c r="AP40" s="2"/>
      <c r="AQ40" s="2"/>
      <c r="AR40" s="2"/>
      <c r="AS40" s="2"/>
      <c r="AT40" s="2"/>
    </row>
    <row r="41" spans="1:46" ht="15">
      <c r="A41" s="2"/>
      <c r="B41" s="395">
        <v>32</v>
      </c>
      <c r="C41" s="390" t="str">
        <f>IF(Aircraft!$F35="","",IF(LEFT(Aircraft!$F35,1)="N",Aircraft!$F35,CONCATENATE("N",Aircraft!$F35)))</f>
        <v/>
      </c>
      <c r="D41" s="109"/>
      <c r="E41" s="902" t="str">
        <f>IFERROR(IF(Aircraft!N35="Y",CONCATENATE(VLOOKUP(Aircraft!$C35,Aircraftlist,29)," (FLOAT)"),VLOOKUP(Aircraft!$C35,Aircraftlist,29)),"")</f>
        <v/>
      </c>
      <c r="F41" s="903"/>
      <c r="G41" s="2"/>
      <c r="H41" s="104"/>
      <c r="I41" s="2"/>
      <c r="J41" s="104"/>
      <c r="K41" s="2"/>
      <c r="L41" s="117" t="str">
        <f>Worksheet_Com!M37</f>
        <v/>
      </c>
      <c r="M41" s="2"/>
      <c r="N41" s="116" t="str">
        <f>Worksheet_Com!L37</f>
        <v/>
      </c>
      <c r="O41" s="2"/>
      <c r="P41" s="116" t="str">
        <f>Worksheet_Com!N37</f>
        <v/>
      </c>
      <c r="Q41" s="2"/>
      <c r="R41" s="107"/>
      <c r="S41" s="2"/>
      <c r="T41" s="107"/>
      <c r="U41" s="2"/>
      <c r="V41" s="390" t="str">
        <f>IF(Aircraft!$F35="","",IF(LEFT(Aircraft!$F35,1)="N",Aircraft!$F35,CONCATENATE("N",Aircraft!$F35)))</f>
        <v/>
      </c>
      <c r="W41" s="2"/>
      <c r="X41" s="108" t="str">
        <f>Worksheet_Com!P37</f>
        <v/>
      </c>
      <c r="Y41" s="2"/>
      <c r="Z41" s="108" t="str">
        <f>Worksheet_Com!O37</f>
        <v/>
      </c>
      <c r="AA41" s="2"/>
      <c r="AB41" s="108" t="str">
        <f>Worksheet_Com!Q37</f>
        <v/>
      </c>
      <c r="AC41" s="790" t="s">
        <v>11</v>
      </c>
      <c r="AD41" s="789"/>
      <c r="AE41" s="103">
        <v>0</v>
      </c>
      <c r="AF41" s="42"/>
      <c r="AG41" s="108" t="str">
        <f t="shared" si="0"/>
        <v/>
      </c>
      <c r="AH41" s="2"/>
      <c r="AI41" s="390" t="str">
        <f>'Com Quote'!L42</f>
        <v/>
      </c>
      <c r="AJ41" s="2"/>
      <c r="AK41" s="2"/>
      <c r="AL41" s="2"/>
      <c r="AM41" s="2"/>
      <c r="AN41" s="2"/>
      <c r="AO41" s="2"/>
      <c r="AP41" s="2"/>
      <c r="AQ41" s="2"/>
      <c r="AR41" s="2"/>
      <c r="AS41" s="2"/>
      <c r="AT41" s="2"/>
    </row>
    <row r="42" spans="1:46" ht="15">
      <c r="A42" s="2"/>
      <c r="B42" s="395">
        <v>33</v>
      </c>
      <c r="C42" s="390" t="str">
        <f>IF(Aircraft!$F36="","",IF(LEFT(Aircraft!$F36,1)="N",Aircraft!$F36,CONCATENATE("N",Aircraft!$F36)))</f>
        <v/>
      </c>
      <c r="D42" s="109"/>
      <c r="E42" s="902" t="str">
        <f>IFERROR(IF(Aircraft!N36="Y",CONCATENATE(VLOOKUP(Aircraft!$C36,Aircraftlist,29)," (FLOAT)"),VLOOKUP(Aircraft!$C36,Aircraftlist,29)),"")</f>
        <v/>
      </c>
      <c r="F42" s="903"/>
      <c r="G42" s="2"/>
      <c r="H42" s="104"/>
      <c r="I42" s="2"/>
      <c r="J42" s="104"/>
      <c r="K42" s="2"/>
      <c r="L42" s="117" t="str">
        <f>Worksheet_Com!M38</f>
        <v/>
      </c>
      <c r="M42" s="2"/>
      <c r="N42" s="116" t="str">
        <f>Worksheet_Com!L38</f>
        <v/>
      </c>
      <c r="O42" s="2"/>
      <c r="P42" s="116" t="str">
        <f>Worksheet_Com!N38</f>
        <v/>
      </c>
      <c r="Q42" s="2"/>
      <c r="R42" s="107"/>
      <c r="S42" s="2"/>
      <c r="T42" s="107"/>
      <c r="U42" s="2"/>
      <c r="V42" s="390" t="str">
        <f>IF(Aircraft!$F36="","",IF(LEFT(Aircraft!$F36,1)="N",Aircraft!$F36,CONCATENATE("N",Aircraft!$F36)))</f>
        <v/>
      </c>
      <c r="W42" s="2"/>
      <c r="X42" s="108" t="str">
        <f>Worksheet_Com!P38</f>
        <v/>
      </c>
      <c r="Y42" s="2"/>
      <c r="Z42" s="108" t="str">
        <f>Worksheet_Com!O38</f>
        <v/>
      </c>
      <c r="AA42" s="2"/>
      <c r="AB42" s="108" t="str">
        <f>Worksheet_Com!Q38</f>
        <v/>
      </c>
      <c r="AC42" s="790" t="s">
        <v>11</v>
      </c>
      <c r="AD42" s="789"/>
      <c r="AE42" s="103">
        <v>0</v>
      </c>
      <c r="AF42" s="42"/>
      <c r="AG42" s="108" t="str">
        <f t="shared" si="0"/>
        <v/>
      </c>
      <c r="AH42" s="2"/>
      <c r="AI42" s="390" t="str">
        <f>'Com Quote'!L43</f>
        <v/>
      </c>
      <c r="AJ42" s="2"/>
      <c r="AK42" s="2"/>
      <c r="AL42" s="2"/>
      <c r="AM42" s="2"/>
      <c r="AN42" s="2"/>
      <c r="AO42" s="2"/>
      <c r="AP42" s="2"/>
      <c r="AQ42" s="2"/>
      <c r="AR42" s="2"/>
      <c r="AS42" s="2"/>
      <c r="AT42" s="2"/>
    </row>
    <row r="43" spans="1:46" ht="15">
      <c r="A43" s="2"/>
      <c r="B43" s="395">
        <v>34</v>
      </c>
      <c r="C43" s="390" t="str">
        <f>IF(Aircraft!$F37="","",IF(LEFT(Aircraft!$F37,1)="N",Aircraft!$F37,CONCATENATE("N",Aircraft!$F37)))</f>
        <v/>
      </c>
      <c r="D43" s="109"/>
      <c r="E43" s="902" t="str">
        <f>IFERROR(IF(Aircraft!N37="Y",CONCATENATE(VLOOKUP(Aircraft!$C37,Aircraftlist,29)," (FLOAT)"),VLOOKUP(Aircraft!$C37,Aircraftlist,29)),"")</f>
        <v/>
      </c>
      <c r="F43" s="903"/>
      <c r="G43" s="2"/>
      <c r="H43" s="104"/>
      <c r="I43" s="2"/>
      <c r="J43" s="104"/>
      <c r="K43" s="2"/>
      <c r="L43" s="117" t="str">
        <f>Worksheet_Com!M39</f>
        <v/>
      </c>
      <c r="M43" s="2"/>
      <c r="N43" s="116" t="str">
        <f>Worksheet_Com!L39</f>
        <v/>
      </c>
      <c r="O43" s="2"/>
      <c r="P43" s="116" t="str">
        <f>Worksheet_Com!N39</f>
        <v/>
      </c>
      <c r="Q43" s="2"/>
      <c r="R43" s="107"/>
      <c r="S43" s="2"/>
      <c r="T43" s="107"/>
      <c r="U43" s="2"/>
      <c r="V43" s="390" t="str">
        <f>IF(Aircraft!$F37="","",IF(LEFT(Aircraft!$F37,1)="N",Aircraft!$F37,CONCATENATE("N",Aircraft!$F37)))</f>
        <v/>
      </c>
      <c r="W43" s="2"/>
      <c r="X43" s="108" t="str">
        <f>Worksheet_Com!P39</f>
        <v/>
      </c>
      <c r="Y43" s="2"/>
      <c r="Z43" s="108" t="str">
        <f>Worksheet_Com!O39</f>
        <v/>
      </c>
      <c r="AA43" s="2"/>
      <c r="AB43" s="108" t="str">
        <f>Worksheet_Com!Q39</f>
        <v/>
      </c>
      <c r="AC43" s="790" t="s">
        <v>11</v>
      </c>
      <c r="AD43" s="789"/>
      <c r="AE43" s="103">
        <v>0</v>
      </c>
      <c r="AF43" s="42"/>
      <c r="AG43" s="108" t="str">
        <f t="shared" si="0"/>
        <v/>
      </c>
      <c r="AH43" s="2"/>
      <c r="AI43" s="390" t="str">
        <f>'Com Quote'!L44</f>
        <v/>
      </c>
      <c r="AJ43" s="2"/>
      <c r="AK43" s="2"/>
      <c r="AL43" s="2"/>
      <c r="AM43" s="2"/>
      <c r="AN43" s="2"/>
      <c r="AO43" s="2"/>
      <c r="AP43" s="2"/>
      <c r="AQ43" s="2"/>
      <c r="AR43" s="2"/>
      <c r="AS43" s="2"/>
      <c r="AT43" s="2"/>
    </row>
    <row r="44" spans="1:46" ht="15">
      <c r="A44" s="2"/>
      <c r="B44" s="395">
        <v>35</v>
      </c>
      <c r="C44" s="390" t="str">
        <f>IF(Aircraft!$F38="","",IF(LEFT(Aircraft!$F38,1)="N",Aircraft!$F38,CONCATENATE("N",Aircraft!$F38)))</f>
        <v/>
      </c>
      <c r="D44" s="109"/>
      <c r="E44" s="902" t="str">
        <f>IFERROR(IF(Aircraft!N38="Y",CONCATENATE(VLOOKUP(Aircraft!$C38,Aircraftlist,29)," (FLOAT)"),VLOOKUP(Aircraft!$C38,Aircraftlist,29)),"")</f>
        <v/>
      </c>
      <c r="F44" s="903"/>
      <c r="G44" s="2"/>
      <c r="H44" s="104"/>
      <c r="I44" s="2"/>
      <c r="J44" s="104"/>
      <c r="K44" s="2"/>
      <c r="L44" s="117" t="str">
        <f>Worksheet_Com!M40</f>
        <v/>
      </c>
      <c r="M44" s="2"/>
      <c r="N44" s="116" t="str">
        <f>Worksheet_Com!L40</f>
        <v/>
      </c>
      <c r="O44" s="2"/>
      <c r="P44" s="116" t="str">
        <f>Worksheet_Com!N40</f>
        <v/>
      </c>
      <c r="Q44" s="2"/>
      <c r="R44" s="107"/>
      <c r="S44" s="2"/>
      <c r="T44" s="107"/>
      <c r="U44" s="2"/>
      <c r="V44" s="390" t="str">
        <f>IF(Aircraft!$F38="","",IF(LEFT(Aircraft!$F38,1)="N",Aircraft!$F38,CONCATENATE("N",Aircraft!$F38)))</f>
        <v/>
      </c>
      <c r="W44" s="2"/>
      <c r="X44" s="108" t="str">
        <f>Worksheet_Com!P40</f>
        <v/>
      </c>
      <c r="Y44" s="2"/>
      <c r="Z44" s="108" t="str">
        <f>Worksheet_Com!O40</f>
        <v/>
      </c>
      <c r="AA44" s="2"/>
      <c r="AB44" s="108" t="str">
        <f>Worksheet_Com!Q40</f>
        <v/>
      </c>
      <c r="AC44" s="790" t="s">
        <v>11</v>
      </c>
      <c r="AD44" s="789"/>
      <c r="AE44" s="103">
        <v>0</v>
      </c>
      <c r="AF44" s="42"/>
      <c r="AG44" s="108" t="str">
        <f t="shared" si="0"/>
        <v/>
      </c>
      <c r="AH44" s="2"/>
      <c r="AI44" s="390" t="str">
        <f>'Com Quote'!L45</f>
        <v/>
      </c>
      <c r="AJ44" s="2"/>
      <c r="AK44" s="2"/>
      <c r="AL44" s="2"/>
      <c r="AM44" s="2"/>
      <c r="AN44" s="2"/>
      <c r="AO44" s="2"/>
      <c r="AP44" s="2"/>
      <c r="AQ44" s="2"/>
      <c r="AR44" s="2"/>
      <c r="AS44" s="2"/>
      <c r="AT44" s="2"/>
    </row>
    <row r="45" spans="1:46" ht="15">
      <c r="A45" s="2"/>
      <c r="B45" s="395">
        <v>36</v>
      </c>
      <c r="C45" s="390" t="str">
        <f>IF(Aircraft!$F39="","",IF(LEFT(Aircraft!$F39,1)="N",Aircraft!$F39,CONCATENATE("N",Aircraft!$F39)))</f>
        <v/>
      </c>
      <c r="D45" s="109"/>
      <c r="E45" s="902" t="str">
        <f>IFERROR(IF(Aircraft!N39="Y",CONCATENATE(VLOOKUP(Aircraft!$C39,Aircraftlist,29)," (FLOAT)"),VLOOKUP(Aircraft!$C39,Aircraftlist,29)),"")</f>
        <v/>
      </c>
      <c r="F45" s="903"/>
      <c r="G45" s="2"/>
      <c r="H45" s="104"/>
      <c r="I45" s="2"/>
      <c r="J45" s="104"/>
      <c r="K45" s="2"/>
      <c r="L45" s="117" t="str">
        <f>Worksheet_Com!M41</f>
        <v/>
      </c>
      <c r="M45" s="2"/>
      <c r="N45" s="116" t="str">
        <f>Worksheet_Com!L41</f>
        <v/>
      </c>
      <c r="O45" s="2"/>
      <c r="P45" s="116" t="str">
        <f>Worksheet_Com!N41</f>
        <v/>
      </c>
      <c r="Q45" s="2"/>
      <c r="R45" s="107"/>
      <c r="S45" s="2"/>
      <c r="T45" s="107"/>
      <c r="U45" s="2"/>
      <c r="V45" s="390" t="str">
        <f>IF(Aircraft!$F39="","",IF(LEFT(Aircraft!$F39,1)="N",Aircraft!$F39,CONCATENATE("N",Aircraft!$F39)))</f>
        <v/>
      </c>
      <c r="W45" s="2"/>
      <c r="X45" s="108" t="str">
        <f>Worksheet_Com!P41</f>
        <v/>
      </c>
      <c r="Y45" s="2"/>
      <c r="Z45" s="108" t="str">
        <f>Worksheet_Com!O41</f>
        <v/>
      </c>
      <c r="AA45" s="2"/>
      <c r="AB45" s="108" t="str">
        <f>Worksheet_Com!Q41</f>
        <v/>
      </c>
      <c r="AC45" s="790" t="s">
        <v>11</v>
      </c>
      <c r="AD45" s="789"/>
      <c r="AE45" s="103">
        <v>0</v>
      </c>
      <c r="AF45" s="42"/>
      <c r="AG45" s="108" t="str">
        <f t="shared" si="0"/>
        <v/>
      </c>
      <c r="AH45" s="2"/>
      <c r="AI45" s="390" t="str">
        <f>'Com Quote'!L46</f>
        <v/>
      </c>
      <c r="AJ45" s="2"/>
      <c r="AK45" s="2"/>
      <c r="AL45" s="2"/>
      <c r="AM45" s="2"/>
      <c r="AN45" s="2"/>
      <c r="AO45" s="2"/>
      <c r="AP45" s="2"/>
      <c r="AQ45" s="2"/>
      <c r="AR45" s="2"/>
      <c r="AS45" s="2"/>
      <c r="AT45" s="2"/>
    </row>
    <row r="46" spans="1:46" ht="15">
      <c r="A46" s="2"/>
      <c r="B46" s="395">
        <v>37</v>
      </c>
      <c r="C46" s="390" t="str">
        <f>IF(Aircraft!$F40="","",IF(LEFT(Aircraft!$F40,1)="N",Aircraft!$F40,CONCATENATE("N",Aircraft!$F40)))</f>
        <v/>
      </c>
      <c r="D46" s="109"/>
      <c r="E46" s="902" t="str">
        <f>IFERROR(IF(Aircraft!N40="Y",CONCATENATE(VLOOKUP(Aircraft!$C40,Aircraftlist,29)," (FLOAT)"),VLOOKUP(Aircraft!$C40,Aircraftlist,29)),"")</f>
        <v/>
      </c>
      <c r="F46" s="903"/>
      <c r="G46" s="2"/>
      <c r="H46" s="104"/>
      <c r="I46" s="2"/>
      <c r="J46" s="104"/>
      <c r="K46" s="2"/>
      <c r="L46" s="117" t="str">
        <f>Worksheet_Com!M42</f>
        <v/>
      </c>
      <c r="M46" s="2"/>
      <c r="N46" s="116" t="str">
        <f>Worksheet_Com!L42</f>
        <v/>
      </c>
      <c r="O46" s="2"/>
      <c r="P46" s="116" t="str">
        <f>Worksheet_Com!N42</f>
        <v/>
      </c>
      <c r="Q46" s="2"/>
      <c r="R46" s="107"/>
      <c r="S46" s="2"/>
      <c r="T46" s="107"/>
      <c r="U46" s="2"/>
      <c r="V46" s="390" t="str">
        <f>IF(Aircraft!$F40="","",IF(LEFT(Aircraft!$F40,1)="N",Aircraft!$F40,CONCATENATE("N",Aircraft!$F40)))</f>
        <v/>
      </c>
      <c r="W46" s="2"/>
      <c r="X46" s="108" t="str">
        <f>Worksheet_Com!P42</f>
        <v/>
      </c>
      <c r="Y46" s="2"/>
      <c r="Z46" s="108" t="str">
        <f>Worksheet_Com!O42</f>
        <v/>
      </c>
      <c r="AA46" s="2"/>
      <c r="AB46" s="108" t="str">
        <f>Worksheet_Com!Q42</f>
        <v/>
      </c>
      <c r="AC46" s="790" t="s">
        <v>11</v>
      </c>
      <c r="AD46" s="789"/>
      <c r="AE46" s="103">
        <v>0</v>
      </c>
      <c r="AF46" s="42"/>
      <c r="AG46" s="108" t="str">
        <f t="shared" si="0"/>
        <v/>
      </c>
      <c r="AH46" s="2"/>
      <c r="AI46" s="390" t="str">
        <f>'Com Quote'!L47</f>
        <v/>
      </c>
      <c r="AJ46" s="2"/>
      <c r="AK46" s="2"/>
      <c r="AL46" s="2"/>
      <c r="AM46" s="2"/>
      <c r="AN46" s="2"/>
      <c r="AO46" s="2"/>
      <c r="AP46" s="2"/>
      <c r="AQ46" s="2"/>
      <c r="AR46" s="2"/>
      <c r="AS46" s="2"/>
      <c r="AT46" s="2"/>
    </row>
    <row r="47" spans="1:46" ht="15">
      <c r="A47" s="2"/>
      <c r="B47" s="395">
        <v>38</v>
      </c>
      <c r="C47" s="390" t="str">
        <f>IF(Aircraft!$F41="","",IF(LEFT(Aircraft!$F41,1)="N",Aircraft!$F41,CONCATENATE("N",Aircraft!$F41)))</f>
        <v/>
      </c>
      <c r="D47" s="109"/>
      <c r="E47" s="902" t="str">
        <f>IFERROR(IF(Aircraft!N41="Y",CONCATENATE(VLOOKUP(Aircraft!$C41,Aircraftlist,29)," (FLOAT)"),VLOOKUP(Aircraft!$C41,Aircraftlist,29)),"")</f>
        <v/>
      </c>
      <c r="F47" s="903"/>
      <c r="G47" s="2"/>
      <c r="H47" s="104"/>
      <c r="I47" s="2"/>
      <c r="J47" s="104"/>
      <c r="K47" s="2"/>
      <c r="L47" s="117" t="str">
        <f>Worksheet_Com!M43</f>
        <v/>
      </c>
      <c r="M47" s="2"/>
      <c r="N47" s="116" t="str">
        <f>Worksheet_Com!L43</f>
        <v/>
      </c>
      <c r="O47" s="2"/>
      <c r="P47" s="116" t="str">
        <f>Worksheet_Com!N43</f>
        <v/>
      </c>
      <c r="Q47" s="2"/>
      <c r="R47" s="107"/>
      <c r="S47" s="2"/>
      <c r="T47" s="107"/>
      <c r="U47" s="2"/>
      <c r="V47" s="390" t="str">
        <f>IF(Aircraft!$F41="","",IF(LEFT(Aircraft!$F41,1)="N",Aircraft!$F41,CONCATENATE("N",Aircraft!$F41)))</f>
        <v/>
      </c>
      <c r="W47" s="2"/>
      <c r="X47" s="108" t="str">
        <f>Worksheet_Com!P43</f>
        <v/>
      </c>
      <c r="Y47" s="2"/>
      <c r="Z47" s="108" t="str">
        <f>Worksheet_Com!O43</f>
        <v/>
      </c>
      <c r="AA47" s="2"/>
      <c r="AB47" s="108" t="str">
        <f>Worksheet_Com!Q43</f>
        <v/>
      </c>
      <c r="AC47" s="790" t="s">
        <v>11</v>
      </c>
      <c r="AD47" s="789"/>
      <c r="AE47" s="103">
        <v>0</v>
      </c>
      <c r="AF47" s="42"/>
      <c r="AG47" s="108" t="str">
        <f t="shared" si="0"/>
        <v/>
      </c>
      <c r="AH47" s="2"/>
      <c r="AI47" s="390" t="str">
        <f>'Com Quote'!L48</f>
        <v/>
      </c>
      <c r="AJ47" s="2"/>
      <c r="AK47" s="2"/>
      <c r="AL47" s="2"/>
      <c r="AM47" s="2"/>
      <c r="AN47" s="2"/>
      <c r="AO47" s="2"/>
      <c r="AP47" s="2"/>
      <c r="AQ47" s="2"/>
      <c r="AR47" s="2"/>
      <c r="AS47" s="2"/>
      <c r="AT47" s="2"/>
    </row>
    <row r="48" spans="1:46" ht="15">
      <c r="A48" s="2"/>
      <c r="B48" s="395">
        <v>39</v>
      </c>
      <c r="C48" s="390" t="str">
        <f>IF(Aircraft!$F42="","",IF(LEFT(Aircraft!$F42,1)="N",Aircraft!$F42,CONCATENATE("N",Aircraft!$F42)))</f>
        <v/>
      </c>
      <c r="D48" s="109"/>
      <c r="E48" s="902" t="str">
        <f>IFERROR(IF(Aircraft!N42="Y",CONCATENATE(VLOOKUP(Aircraft!$C42,Aircraftlist,29)," (FLOAT)"),VLOOKUP(Aircraft!$C42,Aircraftlist,29)),"")</f>
        <v/>
      </c>
      <c r="F48" s="903"/>
      <c r="G48" s="2"/>
      <c r="H48" s="104"/>
      <c r="I48" s="2"/>
      <c r="J48" s="104"/>
      <c r="K48" s="2"/>
      <c r="L48" s="117" t="str">
        <f>Worksheet_Com!M44</f>
        <v/>
      </c>
      <c r="M48" s="2"/>
      <c r="N48" s="116" t="str">
        <f>Worksheet_Com!L44</f>
        <v/>
      </c>
      <c r="O48" s="2"/>
      <c r="P48" s="116" t="str">
        <f>Worksheet_Com!N44</f>
        <v/>
      </c>
      <c r="Q48" s="2"/>
      <c r="R48" s="107"/>
      <c r="S48" s="2"/>
      <c r="T48" s="107"/>
      <c r="U48" s="2"/>
      <c r="V48" s="390" t="str">
        <f>IF(Aircraft!$F42="","",IF(LEFT(Aircraft!$F42,1)="N",Aircraft!$F42,CONCATENATE("N",Aircraft!$F42)))</f>
        <v/>
      </c>
      <c r="W48" s="2"/>
      <c r="X48" s="108" t="str">
        <f>Worksheet_Com!P44</f>
        <v/>
      </c>
      <c r="Y48" s="2"/>
      <c r="Z48" s="108" t="str">
        <f>Worksheet_Com!O44</f>
        <v/>
      </c>
      <c r="AA48" s="2"/>
      <c r="AB48" s="108" t="str">
        <f>Worksheet_Com!Q44</f>
        <v/>
      </c>
      <c r="AC48" s="790" t="s">
        <v>11</v>
      </c>
      <c r="AD48" s="789"/>
      <c r="AE48" s="103">
        <v>0</v>
      </c>
      <c r="AF48" s="42"/>
      <c r="AG48" s="108" t="str">
        <f t="shared" si="0"/>
        <v/>
      </c>
      <c r="AH48" s="2"/>
      <c r="AI48" s="390" t="str">
        <f>'Com Quote'!L49</f>
        <v/>
      </c>
      <c r="AJ48" s="2"/>
      <c r="AK48" s="2"/>
      <c r="AL48" s="2"/>
      <c r="AM48" s="2"/>
      <c r="AN48" s="2"/>
      <c r="AO48" s="2"/>
      <c r="AP48" s="2"/>
      <c r="AQ48" s="2"/>
      <c r="AR48" s="2"/>
      <c r="AS48" s="2"/>
      <c r="AT48" s="2"/>
    </row>
    <row r="49" spans="1:46" ht="15">
      <c r="A49" s="2"/>
      <c r="B49" s="395">
        <v>40</v>
      </c>
      <c r="C49" s="390" t="str">
        <f>IF(Aircraft!$F43="","",IF(LEFT(Aircraft!$F43,1)="N",Aircraft!$F43,CONCATENATE("N",Aircraft!$F43)))</f>
        <v/>
      </c>
      <c r="D49" s="109"/>
      <c r="E49" s="902" t="str">
        <f>IFERROR(IF(Aircraft!N43="Y",CONCATENATE(VLOOKUP(Aircraft!$C43,Aircraftlist,29)," (FLOAT)"),VLOOKUP(Aircraft!$C43,Aircraftlist,29)),"")</f>
        <v/>
      </c>
      <c r="F49" s="903"/>
      <c r="G49" s="2"/>
      <c r="H49" s="104"/>
      <c r="I49" s="2"/>
      <c r="J49" s="104"/>
      <c r="K49" s="2"/>
      <c r="L49" s="117" t="str">
        <f>Worksheet_Com!M45</f>
        <v/>
      </c>
      <c r="M49" s="2"/>
      <c r="N49" s="116" t="str">
        <f>Worksheet_Com!L45</f>
        <v/>
      </c>
      <c r="O49" s="2"/>
      <c r="P49" s="116" t="str">
        <f>Worksheet_Com!N45</f>
        <v/>
      </c>
      <c r="Q49" s="2"/>
      <c r="R49" s="107"/>
      <c r="S49" s="2"/>
      <c r="T49" s="107"/>
      <c r="U49" s="2"/>
      <c r="V49" s="390" t="str">
        <f>IF(Aircraft!$F43="","",IF(LEFT(Aircraft!$F43,1)="N",Aircraft!$F43,CONCATENATE("N",Aircraft!$F43)))</f>
        <v/>
      </c>
      <c r="W49" s="2"/>
      <c r="X49" s="108" t="str">
        <f>Worksheet_Com!P45</f>
        <v/>
      </c>
      <c r="Y49" s="2"/>
      <c r="Z49" s="108" t="str">
        <f>Worksheet_Com!O45</f>
        <v/>
      </c>
      <c r="AA49" s="2"/>
      <c r="AB49" s="108" t="str">
        <f>Worksheet_Com!Q45</f>
        <v/>
      </c>
      <c r="AC49" s="790" t="s">
        <v>11</v>
      </c>
      <c r="AD49" s="789"/>
      <c r="AE49" s="103">
        <v>0</v>
      </c>
      <c r="AF49" s="42"/>
      <c r="AG49" s="108" t="str">
        <f t="shared" si="0"/>
        <v/>
      </c>
      <c r="AH49" s="2"/>
      <c r="AI49" s="390" t="str">
        <f>'Com Quote'!L50</f>
        <v/>
      </c>
      <c r="AJ49" s="2"/>
      <c r="AK49" s="2"/>
      <c r="AL49" s="2"/>
      <c r="AM49" s="2"/>
      <c r="AN49" s="2"/>
      <c r="AO49" s="2"/>
      <c r="AP49" s="2"/>
      <c r="AQ49" s="2"/>
      <c r="AR49" s="2"/>
      <c r="AS49" s="2"/>
      <c r="AT49" s="2"/>
    </row>
    <row r="50" spans="1:46" ht="15">
      <c r="A50" s="2"/>
      <c r="B50" s="395">
        <v>41</v>
      </c>
      <c r="C50" s="390" t="str">
        <f>IF(Aircraft!$F44="","",IF(LEFT(Aircraft!$F44,1)="N",Aircraft!$F44,CONCATENATE("N",Aircraft!$F44)))</f>
        <v/>
      </c>
      <c r="D50" s="109"/>
      <c r="E50" s="902" t="str">
        <f>IFERROR(IF(Aircraft!N44="Y",CONCATENATE(VLOOKUP(Aircraft!$C44,Aircraftlist,29)," (FLOAT)"),VLOOKUP(Aircraft!$C44,Aircraftlist,29)),"")</f>
        <v/>
      </c>
      <c r="F50" s="903"/>
      <c r="G50" s="2"/>
      <c r="H50" s="104"/>
      <c r="I50" s="2"/>
      <c r="J50" s="104"/>
      <c r="K50" s="2"/>
      <c r="L50" s="117" t="str">
        <f>Worksheet_Com!M46</f>
        <v/>
      </c>
      <c r="M50" s="2"/>
      <c r="N50" s="116" t="str">
        <f>Worksheet_Com!L46</f>
        <v/>
      </c>
      <c r="O50" s="2"/>
      <c r="P50" s="116" t="str">
        <f>Worksheet_Com!N46</f>
        <v/>
      </c>
      <c r="Q50" s="2"/>
      <c r="R50" s="107"/>
      <c r="S50" s="2"/>
      <c r="T50" s="107"/>
      <c r="U50" s="2"/>
      <c r="V50" s="390" t="str">
        <f>IF(Aircraft!$F44="","",IF(LEFT(Aircraft!$F44,1)="N",Aircraft!$F44,CONCATENATE("N",Aircraft!$F44)))</f>
        <v/>
      </c>
      <c r="W50" s="2"/>
      <c r="X50" s="108" t="str">
        <f>Worksheet_Com!P46</f>
        <v/>
      </c>
      <c r="Y50" s="2"/>
      <c r="Z50" s="108" t="str">
        <f>Worksheet_Com!O46</f>
        <v/>
      </c>
      <c r="AA50" s="2"/>
      <c r="AB50" s="108" t="str">
        <f>Worksheet_Com!Q46</f>
        <v/>
      </c>
      <c r="AC50" s="790" t="s">
        <v>11</v>
      </c>
      <c r="AD50" s="789"/>
      <c r="AE50" s="103">
        <v>0</v>
      </c>
      <c r="AF50" s="42"/>
      <c r="AG50" s="108" t="str">
        <f t="shared" si="0"/>
        <v/>
      </c>
      <c r="AH50" s="2"/>
      <c r="AI50" s="390" t="str">
        <f>'Com Quote'!L51</f>
        <v/>
      </c>
      <c r="AJ50" s="2"/>
      <c r="AK50" s="2"/>
      <c r="AL50" s="2"/>
      <c r="AM50" s="2"/>
      <c r="AN50" s="2"/>
      <c r="AO50" s="2"/>
      <c r="AP50" s="2"/>
      <c r="AQ50" s="2"/>
      <c r="AR50" s="2"/>
      <c r="AS50" s="2"/>
      <c r="AT50" s="2"/>
    </row>
    <row r="51" spans="1:46" ht="15">
      <c r="A51" s="2"/>
      <c r="B51" s="395">
        <v>42</v>
      </c>
      <c r="C51" s="390" t="str">
        <f>IF(Aircraft!$F45="","",IF(LEFT(Aircraft!$F45,1)="N",Aircraft!$F45,CONCATENATE("N",Aircraft!$F45)))</f>
        <v/>
      </c>
      <c r="D51" s="109"/>
      <c r="E51" s="902" t="str">
        <f>IFERROR(IF(Aircraft!N45="Y",CONCATENATE(VLOOKUP(Aircraft!$C45,Aircraftlist,29)," (FLOAT)"),VLOOKUP(Aircraft!$C45,Aircraftlist,29)),"")</f>
        <v/>
      </c>
      <c r="F51" s="903"/>
      <c r="G51" s="2"/>
      <c r="H51" s="104"/>
      <c r="I51" s="2"/>
      <c r="J51" s="104"/>
      <c r="K51" s="2"/>
      <c r="L51" s="117" t="str">
        <f>Worksheet_Com!M47</f>
        <v/>
      </c>
      <c r="M51" s="2"/>
      <c r="N51" s="116" t="str">
        <f>Worksheet_Com!L47</f>
        <v/>
      </c>
      <c r="O51" s="2"/>
      <c r="P51" s="116" t="str">
        <f>Worksheet_Com!N47</f>
        <v/>
      </c>
      <c r="Q51" s="2"/>
      <c r="R51" s="107"/>
      <c r="S51" s="2"/>
      <c r="T51" s="107"/>
      <c r="U51" s="2"/>
      <c r="V51" s="390" t="str">
        <f>IF(Aircraft!$F45="","",IF(LEFT(Aircraft!$F45,1)="N",Aircraft!$F45,CONCATENATE("N",Aircraft!$F45)))</f>
        <v/>
      </c>
      <c r="W51" s="2"/>
      <c r="X51" s="108" t="str">
        <f>Worksheet_Com!P47</f>
        <v/>
      </c>
      <c r="Y51" s="2"/>
      <c r="Z51" s="108" t="str">
        <f>Worksheet_Com!O47</f>
        <v/>
      </c>
      <c r="AA51" s="2"/>
      <c r="AB51" s="108" t="str">
        <f>Worksheet_Com!Q47</f>
        <v/>
      </c>
      <c r="AC51" s="790" t="s">
        <v>11</v>
      </c>
      <c r="AD51" s="789"/>
      <c r="AE51" s="103">
        <v>0</v>
      </c>
      <c r="AF51" s="42"/>
      <c r="AG51" s="108" t="str">
        <f t="shared" si="0"/>
        <v/>
      </c>
      <c r="AH51" s="2"/>
      <c r="AI51" s="390" t="str">
        <f>'Com Quote'!L52</f>
        <v/>
      </c>
      <c r="AJ51" s="2"/>
      <c r="AK51" s="2"/>
      <c r="AL51" s="2"/>
      <c r="AM51" s="2"/>
      <c r="AN51" s="2"/>
      <c r="AO51" s="2"/>
      <c r="AP51" s="2"/>
      <c r="AQ51" s="2"/>
      <c r="AR51" s="2"/>
      <c r="AS51" s="2"/>
      <c r="AT51" s="2"/>
    </row>
    <row r="52" spans="1:46" ht="15">
      <c r="A52" s="2"/>
      <c r="B52" s="395">
        <v>43</v>
      </c>
      <c r="C52" s="390" t="str">
        <f>IF(Aircraft!$F46="","",IF(LEFT(Aircraft!$F46,1)="N",Aircraft!$F46,CONCATENATE("N",Aircraft!$F46)))</f>
        <v/>
      </c>
      <c r="D52" s="109"/>
      <c r="E52" s="902" t="str">
        <f>IFERROR(IF(Aircraft!N46="Y",CONCATENATE(VLOOKUP(Aircraft!$C46,Aircraftlist,29)," (FLOAT)"),VLOOKUP(Aircraft!$C46,Aircraftlist,29)),"")</f>
        <v/>
      </c>
      <c r="F52" s="903"/>
      <c r="G52" s="2"/>
      <c r="H52" s="104"/>
      <c r="I52" s="2"/>
      <c r="J52" s="104"/>
      <c r="K52" s="2"/>
      <c r="L52" s="117" t="str">
        <f>Worksheet_Com!M48</f>
        <v/>
      </c>
      <c r="M52" s="2"/>
      <c r="N52" s="116" t="str">
        <f>Worksheet_Com!L48</f>
        <v/>
      </c>
      <c r="O52" s="2"/>
      <c r="P52" s="116" t="str">
        <f>Worksheet_Com!N48</f>
        <v/>
      </c>
      <c r="Q52" s="2"/>
      <c r="R52" s="107"/>
      <c r="S52" s="2"/>
      <c r="T52" s="107"/>
      <c r="U52" s="2"/>
      <c r="V52" s="390" t="str">
        <f>IF(Aircraft!$F46="","",IF(LEFT(Aircraft!$F46,1)="N",Aircraft!$F46,CONCATENATE("N",Aircraft!$F46)))</f>
        <v/>
      </c>
      <c r="W52" s="2"/>
      <c r="X52" s="108" t="str">
        <f>Worksheet_Com!P48</f>
        <v/>
      </c>
      <c r="Y52" s="2"/>
      <c r="Z52" s="108" t="str">
        <f>Worksheet_Com!O48</f>
        <v/>
      </c>
      <c r="AA52" s="2"/>
      <c r="AB52" s="108" t="str">
        <f>Worksheet_Com!Q48</f>
        <v/>
      </c>
      <c r="AC52" s="790" t="s">
        <v>11</v>
      </c>
      <c r="AD52" s="789"/>
      <c r="AE52" s="103">
        <v>0</v>
      </c>
      <c r="AF52" s="42"/>
      <c r="AG52" s="108" t="str">
        <f t="shared" si="0"/>
        <v/>
      </c>
      <c r="AH52" s="2"/>
      <c r="AI52" s="390" t="str">
        <f>'Com Quote'!L53</f>
        <v/>
      </c>
      <c r="AJ52" s="2"/>
      <c r="AK52" s="2"/>
      <c r="AL52" s="2"/>
      <c r="AM52" s="2"/>
      <c r="AN52" s="2"/>
      <c r="AO52" s="2"/>
      <c r="AP52" s="2"/>
      <c r="AQ52" s="2"/>
      <c r="AR52" s="2"/>
      <c r="AS52" s="2"/>
      <c r="AT52" s="2"/>
    </row>
    <row r="53" spans="1:46" ht="15">
      <c r="A53" s="2"/>
      <c r="B53" s="395">
        <v>44</v>
      </c>
      <c r="C53" s="390" t="str">
        <f>IF(Aircraft!$F47="","",IF(LEFT(Aircraft!$F47,1)="N",Aircraft!$F47,CONCATENATE("N",Aircraft!$F47)))</f>
        <v/>
      </c>
      <c r="D53" s="109"/>
      <c r="E53" s="902" t="str">
        <f>IFERROR(IF(Aircraft!N47="Y",CONCATENATE(VLOOKUP(Aircraft!$C47,Aircraftlist,29)," (FLOAT)"),VLOOKUP(Aircraft!$C47,Aircraftlist,29)),"")</f>
        <v/>
      </c>
      <c r="F53" s="903"/>
      <c r="G53" s="2"/>
      <c r="H53" s="104"/>
      <c r="I53" s="2"/>
      <c r="J53" s="104"/>
      <c r="K53" s="2"/>
      <c r="L53" s="117" t="str">
        <f>Worksheet_Com!M49</f>
        <v/>
      </c>
      <c r="M53" s="2"/>
      <c r="N53" s="116" t="str">
        <f>Worksheet_Com!L49</f>
        <v/>
      </c>
      <c r="O53" s="2"/>
      <c r="P53" s="116" t="str">
        <f>Worksheet_Com!N49</f>
        <v/>
      </c>
      <c r="Q53" s="2"/>
      <c r="R53" s="107"/>
      <c r="S53" s="2"/>
      <c r="T53" s="107"/>
      <c r="U53" s="2"/>
      <c r="V53" s="390" t="str">
        <f>IF(Aircraft!$F47="","",IF(LEFT(Aircraft!$F47,1)="N",Aircraft!$F47,CONCATENATE("N",Aircraft!$F47)))</f>
        <v/>
      </c>
      <c r="W53" s="2"/>
      <c r="X53" s="108" t="str">
        <f>Worksheet_Com!P49</f>
        <v/>
      </c>
      <c r="Y53" s="2"/>
      <c r="Z53" s="108" t="str">
        <f>Worksheet_Com!O49</f>
        <v/>
      </c>
      <c r="AA53" s="2"/>
      <c r="AB53" s="108" t="str">
        <f>Worksheet_Com!Q49</f>
        <v/>
      </c>
      <c r="AC53" s="790" t="s">
        <v>11</v>
      </c>
      <c r="AD53" s="789"/>
      <c r="AE53" s="103">
        <v>0</v>
      </c>
      <c r="AF53" s="42"/>
      <c r="AG53" s="108" t="str">
        <f t="shared" si="0"/>
        <v/>
      </c>
      <c r="AH53" s="2"/>
      <c r="AI53" s="390" t="str">
        <f>'Com Quote'!L54</f>
        <v/>
      </c>
      <c r="AJ53" s="2"/>
      <c r="AK53" s="2"/>
      <c r="AL53" s="2"/>
      <c r="AM53" s="2"/>
      <c r="AN53" s="2"/>
      <c r="AO53" s="2"/>
      <c r="AP53" s="2"/>
      <c r="AQ53" s="2"/>
      <c r="AR53" s="2"/>
      <c r="AS53" s="2"/>
      <c r="AT53" s="2"/>
    </row>
    <row r="54" spans="1:46" ht="15">
      <c r="A54" s="2"/>
      <c r="B54" s="395">
        <v>45</v>
      </c>
      <c r="C54" s="390" t="str">
        <f>IF(Aircraft!$F48="","",IF(LEFT(Aircraft!$F48,1)="N",Aircraft!$F48,CONCATENATE("N",Aircraft!$F48)))</f>
        <v/>
      </c>
      <c r="D54" s="109"/>
      <c r="E54" s="902" t="str">
        <f>IFERROR(IF(Aircraft!N48="Y",CONCATENATE(VLOOKUP(Aircraft!$C48,Aircraftlist,29)," (FLOAT)"),VLOOKUP(Aircraft!$C48,Aircraftlist,29)),"")</f>
        <v/>
      </c>
      <c r="F54" s="903"/>
      <c r="G54" s="2"/>
      <c r="H54" s="104"/>
      <c r="I54" s="2"/>
      <c r="J54" s="104"/>
      <c r="K54" s="2"/>
      <c r="L54" s="117" t="str">
        <f>Worksheet_Com!M50</f>
        <v/>
      </c>
      <c r="M54" s="2"/>
      <c r="N54" s="116" t="str">
        <f>Worksheet_Com!L50</f>
        <v/>
      </c>
      <c r="O54" s="2"/>
      <c r="P54" s="116" t="str">
        <f>Worksheet_Com!N50</f>
        <v/>
      </c>
      <c r="Q54" s="2"/>
      <c r="R54" s="107"/>
      <c r="S54" s="2"/>
      <c r="T54" s="107"/>
      <c r="U54" s="2"/>
      <c r="V54" s="390" t="str">
        <f>IF(Aircraft!$F48="","",IF(LEFT(Aircraft!$F48,1)="N",Aircraft!$F48,CONCATENATE("N",Aircraft!$F48)))</f>
        <v/>
      </c>
      <c r="W54" s="2"/>
      <c r="X54" s="108" t="str">
        <f>Worksheet_Com!P50</f>
        <v/>
      </c>
      <c r="Y54" s="2"/>
      <c r="Z54" s="108" t="str">
        <f>Worksheet_Com!O50</f>
        <v/>
      </c>
      <c r="AA54" s="2"/>
      <c r="AB54" s="108" t="str">
        <f>Worksheet_Com!Q50</f>
        <v/>
      </c>
      <c r="AC54" s="790" t="s">
        <v>11</v>
      </c>
      <c r="AD54" s="789"/>
      <c r="AE54" s="103">
        <v>0</v>
      </c>
      <c r="AF54" s="42"/>
      <c r="AG54" s="108" t="str">
        <f t="shared" si="0"/>
        <v/>
      </c>
      <c r="AH54" s="2"/>
      <c r="AI54" s="390" t="str">
        <f>'Com Quote'!L55</f>
        <v/>
      </c>
      <c r="AJ54" s="2"/>
      <c r="AK54" s="2"/>
      <c r="AL54" s="2"/>
      <c r="AM54" s="2"/>
      <c r="AN54" s="2"/>
      <c r="AO54" s="2"/>
      <c r="AP54" s="2"/>
      <c r="AQ54" s="2"/>
      <c r="AR54" s="2"/>
      <c r="AS54" s="2"/>
      <c r="AT54" s="2"/>
    </row>
    <row r="55" spans="1:46" ht="15">
      <c r="A55" s="2"/>
      <c r="B55" s="395">
        <v>46</v>
      </c>
      <c r="C55" s="390" t="str">
        <f>IF(Aircraft!$F49="","",IF(LEFT(Aircraft!$F49,1)="N",Aircraft!$F49,CONCATENATE("N",Aircraft!$F49)))</f>
        <v/>
      </c>
      <c r="D55" s="109"/>
      <c r="E55" s="902" t="str">
        <f>IFERROR(IF(Aircraft!N49="Y",CONCATENATE(VLOOKUP(Aircraft!$C49,Aircraftlist,29)," (FLOAT)"),VLOOKUP(Aircraft!$C49,Aircraftlist,29)),"")</f>
        <v/>
      </c>
      <c r="F55" s="903"/>
      <c r="G55" s="2"/>
      <c r="H55" s="104"/>
      <c r="I55" s="2"/>
      <c r="J55" s="104"/>
      <c r="K55" s="2"/>
      <c r="L55" s="117" t="str">
        <f>Worksheet_Com!M51</f>
        <v/>
      </c>
      <c r="M55" s="2"/>
      <c r="N55" s="116" t="str">
        <f>Worksheet_Com!L51</f>
        <v/>
      </c>
      <c r="O55" s="2"/>
      <c r="P55" s="116" t="str">
        <f>Worksheet_Com!N51</f>
        <v/>
      </c>
      <c r="Q55" s="2"/>
      <c r="R55" s="107"/>
      <c r="S55" s="2"/>
      <c r="T55" s="107"/>
      <c r="U55" s="2"/>
      <c r="V55" s="390" t="str">
        <f>IF(Aircraft!$F49="","",IF(LEFT(Aircraft!$F49,1)="N",Aircraft!$F49,CONCATENATE("N",Aircraft!$F49)))</f>
        <v/>
      </c>
      <c r="W55" s="2"/>
      <c r="X55" s="108" t="str">
        <f>Worksheet_Com!P51</f>
        <v/>
      </c>
      <c r="Y55" s="2"/>
      <c r="Z55" s="108" t="str">
        <f>Worksheet_Com!O51</f>
        <v/>
      </c>
      <c r="AA55" s="2"/>
      <c r="AB55" s="108" t="str">
        <f>Worksheet_Com!Q51</f>
        <v/>
      </c>
      <c r="AC55" s="790" t="s">
        <v>11</v>
      </c>
      <c r="AD55" s="789"/>
      <c r="AE55" s="103">
        <v>0</v>
      </c>
      <c r="AF55" s="42"/>
      <c r="AG55" s="108" t="str">
        <f t="shared" si="0"/>
        <v/>
      </c>
      <c r="AH55" s="2"/>
      <c r="AI55" s="390" t="str">
        <f>'Com Quote'!L56</f>
        <v/>
      </c>
      <c r="AJ55" s="2"/>
      <c r="AK55" s="2"/>
      <c r="AL55" s="2"/>
      <c r="AM55" s="2"/>
      <c r="AN55" s="2"/>
      <c r="AO55" s="2"/>
      <c r="AP55" s="2"/>
      <c r="AQ55" s="2"/>
      <c r="AR55" s="2"/>
      <c r="AS55" s="2"/>
      <c r="AT55" s="2"/>
    </row>
    <row r="56" spans="1:46" ht="15">
      <c r="A56" s="2"/>
      <c r="B56" s="395">
        <v>47</v>
      </c>
      <c r="C56" s="390" t="str">
        <f>IF(Aircraft!$F50="","",IF(LEFT(Aircraft!$F50,1)="N",Aircraft!$F50,CONCATENATE("N",Aircraft!$F50)))</f>
        <v/>
      </c>
      <c r="D56" s="109"/>
      <c r="E56" s="902" t="str">
        <f>IFERROR(IF(Aircraft!N50="Y",CONCATENATE(VLOOKUP(Aircraft!$C50,Aircraftlist,29)," (FLOAT)"),VLOOKUP(Aircraft!$C50,Aircraftlist,29)),"")</f>
        <v/>
      </c>
      <c r="F56" s="903"/>
      <c r="G56" s="2"/>
      <c r="H56" s="104"/>
      <c r="I56" s="2"/>
      <c r="J56" s="104"/>
      <c r="K56" s="2"/>
      <c r="L56" s="117" t="str">
        <f>Worksheet_Com!M52</f>
        <v/>
      </c>
      <c r="M56" s="2"/>
      <c r="N56" s="116" t="str">
        <f>Worksheet_Com!L52</f>
        <v/>
      </c>
      <c r="O56" s="2"/>
      <c r="P56" s="116" t="str">
        <f>Worksheet_Com!N52</f>
        <v/>
      </c>
      <c r="Q56" s="2"/>
      <c r="R56" s="107"/>
      <c r="S56" s="2"/>
      <c r="T56" s="107"/>
      <c r="U56" s="2"/>
      <c r="V56" s="390" t="str">
        <f>IF(Aircraft!$F50="","",IF(LEFT(Aircraft!$F50,1)="N",Aircraft!$F50,CONCATENATE("N",Aircraft!$F50)))</f>
        <v/>
      </c>
      <c r="W56" s="2"/>
      <c r="X56" s="108" t="str">
        <f>Worksheet_Com!P52</f>
        <v/>
      </c>
      <c r="Y56" s="2"/>
      <c r="Z56" s="108" t="str">
        <f>Worksheet_Com!O52</f>
        <v/>
      </c>
      <c r="AA56" s="2"/>
      <c r="AB56" s="108" t="str">
        <f>Worksheet_Com!Q52</f>
        <v/>
      </c>
      <c r="AC56" s="790" t="s">
        <v>11</v>
      </c>
      <c r="AD56" s="789"/>
      <c r="AE56" s="103">
        <v>0</v>
      </c>
      <c r="AF56" s="42"/>
      <c r="AG56" s="108" t="str">
        <f t="shared" si="0"/>
        <v/>
      </c>
      <c r="AH56" s="2"/>
      <c r="AI56" s="390" t="str">
        <f>'Com Quote'!L57</f>
        <v/>
      </c>
      <c r="AJ56" s="2"/>
      <c r="AK56" s="2"/>
      <c r="AL56" s="2"/>
      <c r="AM56" s="2"/>
      <c r="AN56" s="2"/>
      <c r="AO56" s="2"/>
      <c r="AP56" s="2"/>
      <c r="AQ56" s="2"/>
      <c r="AR56" s="2"/>
      <c r="AS56" s="2"/>
      <c r="AT56" s="2"/>
    </row>
    <row r="57" spans="1:46" ht="15">
      <c r="A57" s="2"/>
      <c r="B57" s="395">
        <v>48</v>
      </c>
      <c r="C57" s="390" t="str">
        <f>IF(Aircraft!$F51="","",IF(LEFT(Aircraft!$F51,1)="N",Aircraft!$F51,CONCATENATE("N",Aircraft!$F51)))</f>
        <v/>
      </c>
      <c r="D57" s="109"/>
      <c r="E57" s="902" t="str">
        <f>IFERROR(IF(Aircraft!N51="Y",CONCATENATE(VLOOKUP(Aircraft!$C51,Aircraftlist,29)," (FLOAT)"),VLOOKUP(Aircraft!$C51,Aircraftlist,29)),"")</f>
        <v/>
      </c>
      <c r="F57" s="903"/>
      <c r="G57" s="2"/>
      <c r="H57" s="104"/>
      <c r="I57" s="2"/>
      <c r="J57" s="104"/>
      <c r="K57" s="2"/>
      <c r="L57" s="117" t="str">
        <f>Worksheet_Com!M53</f>
        <v/>
      </c>
      <c r="M57" s="2"/>
      <c r="N57" s="116" t="str">
        <f>Worksheet_Com!L53</f>
        <v/>
      </c>
      <c r="O57" s="2"/>
      <c r="P57" s="116" t="str">
        <f>Worksheet_Com!N53</f>
        <v/>
      </c>
      <c r="Q57" s="2"/>
      <c r="R57" s="107"/>
      <c r="S57" s="2"/>
      <c r="T57" s="107"/>
      <c r="U57" s="2"/>
      <c r="V57" s="390" t="str">
        <f>IF(Aircraft!$F51="","",IF(LEFT(Aircraft!$F51,1)="N",Aircraft!$F51,CONCATENATE("N",Aircraft!$F51)))</f>
        <v/>
      </c>
      <c r="W57" s="2"/>
      <c r="X57" s="108" t="str">
        <f>Worksheet_Com!P53</f>
        <v/>
      </c>
      <c r="Y57" s="2"/>
      <c r="Z57" s="108" t="str">
        <f>Worksheet_Com!O53</f>
        <v/>
      </c>
      <c r="AA57" s="2"/>
      <c r="AB57" s="108" t="str">
        <f>Worksheet_Com!Q53</f>
        <v/>
      </c>
      <c r="AC57" s="790" t="s">
        <v>11</v>
      </c>
      <c r="AD57" s="789"/>
      <c r="AE57" s="103">
        <v>0</v>
      </c>
      <c r="AF57" s="42"/>
      <c r="AG57" s="108" t="str">
        <f t="shared" si="0"/>
        <v/>
      </c>
      <c r="AH57" s="2"/>
      <c r="AI57" s="390" t="str">
        <f>'Com Quote'!L58</f>
        <v/>
      </c>
      <c r="AJ57" s="2"/>
      <c r="AK57" s="2"/>
      <c r="AL57" s="2"/>
      <c r="AM57" s="2"/>
      <c r="AN57" s="2"/>
      <c r="AO57" s="2"/>
      <c r="AP57" s="2"/>
      <c r="AQ57" s="2"/>
      <c r="AR57" s="2"/>
      <c r="AS57" s="2"/>
      <c r="AT57" s="2"/>
    </row>
    <row r="58" spans="1:46" ht="15">
      <c r="A58" s="2"/>
      <c r="B58" s="395">
        <v>49</v>
      </c>
      <c r="C58" s="390" t="str">
        <f>IF(Aircraft!$F52="","",IF(LEFT(Aircraft!$F52,1)="N",Aircraft!$F52,CONCATENATE("N",Aircraft!$F52)))</f>
        <v/>
      </c>
      <c r="D58" s="109"/>
      <c r="E58" s="902" t="str">
        <f>IFERROR(IF(Aircraft!N52="Y",CONCATENATE(VLOOKUP(Aircraft!$C52,Aircraftlist,29)," (FLOAT)"),VLOOKUP(Aircraft!$C52,Aircraftlist,29)),"")</f>
        <v/>
      </c>
      <c r="F58" s="903"/>
      <c r="G58" s="2"/>
      <c r="H58" s="104"/>
      <c r="I58" s="2"/>
      <c r="J58" s="104"/>
      <c r="K58" s="2"/>
      <c r="L58" s="117" t="str">
        <f>Worksheet_Com!M54</f>
        <v/>
      </c>
      <c r="M58" s="2"/>
      <c r="N58" s="116" t="str">
        <f>Worksheet_Com!L54</f>
        <v/>
      </c>
      <c r="O58" s="2"/>
      <c r="P58" s="116" t="str">
        <f>Worksheet_Com!N54</f>
        <v/>
      </c>
      <c r="Q58" s="2"/>
      <c r="R58" s="107"/>
      <c r="S58" s="2"/>
      <c r="T58" s="107"/>
      <c r="U58" s="2"/>
      <c r="V58" s="390" t="str">
        <f>IF(Aircraft!$F52="","",IF(LEFT(Aircraft!$F52,1)="N",Aircraft!$F52,CONCATENATE("N",Aircraft!$F52)))</f>
        <v/>
      </c>
      <c r="W58" s="2"/>
      <c r="X58" s="108" t="str">
        <f>Worksheet_Com!P54</f>
        <v/>
      </c>
      <c r="Y58" s="2"/>
      <c r="Z58" s="108" t="str">
        <f>Worksheet_Com!O54</f>
        <v/>
      </c>
      <c r="AA58" s="2"/>
      <c r="AB58" s="108" t="str">
        <f>Worksheet_Com!Q54</f>
        <v/>
      </c>
      <c r="AC58" s="790" t="s">
        <v>11</v>
      </c>
      <c r="AD58" s="789"/>
      <c r="AE58" s="103">
        <v>0</v>
      </c>
      <c r="AF58" s="42"/>
      <c r="AG58" s="108" t="str">
        <f t="shared" si="0"/>
        <v/>
      </c>
      <c r="AH58" s="2"/>
      <c r="AI58" s="390" t="str">
        <f>'Com Quote'!L59</f>
        <v/>
      </c>
      <c r="AJ58" s="2"/>
      <c r="AK58" s="2"/>
      <c r="AL58" s="2"/>
      <c r="AM58" s="2"/>
      <c r="AN58" s="2"/>
      <c r="AO58" s="2"/>
      <c r="AP58" s="2"/>
      <c r="AQ58" s="2"/>
      <c r="AR58" s="2"/>
      <c r="AS58" s="2"/>
      <c r="AT58" s="2"/>
    </row>
    <row r="59" spans="1:46" ht="15">
      <c r="A59" s="2"/>
      <c r="B59" s="395">
        <v>50</v>
      </c>
      <c r="C59" s="390" t="str">
        <f>IF(Aircraft!$F53="","",IF(LEFT(Aircraft!$F53,1)="N",Aircraft!$F53,CONCATENATE("N",Aircraft!$F53)))</f>
        <v/>
      </c>
      <c r="D59" s="109"/>
      <c r="E59" s="902" t="str">
        <f>IFERROR(IF(Aircraft!N53="Y",CONCATENATE(VLOOKUP(Aircraft!$C53,Aircraftlist,29)," (FLOAT)"),VLOOKUP(Aircraft!$C53,Aircraftlist,29)),"")</f>
        <v/>
      </c>
      <c r="F59" s="903"/>
      <c r="G59" s="2"/>
      <c r="H59" s="104"/>
      <c r="I59" s="2"/>
      <c r="J59" s="104"/>
      <c r="K59" s="2"/>
      <c r="L59" s="117" t="str">
        <f>Worksheet_Com!M55</f>
        <v/>
      </c>
      <c r="M59" s="2"/>
      <c r="N59" s="116" t="str">
        <f>Worksheet_Com!L55</f>
        <v/>
      </c>
      <c r="O59" s="2"/>
      <c r="P59" s="116" t="str">
        <f>Worksheet_Com!N55</f>
        <v/>
      </c>
      <c r="Q59" s="2"/>
      <c r="R59" s="107"/>
      <c r="S59" s="2"/>
      <c r="T59" s="107"/>
      <c r="U59" s="2"/>
      <c r="V59" s="390" t="str">
        <f>IF(Aircraft!$F53="","",IF(LEFT(Aircraft!$F53,1)="N",Aircraft!$F53,CONCATENATE("N",Aircraft!$F53)))</f>
        <v/>
      </c>
      <c r="W59" s="2"/>
      <c r="X59" s="108" t="str">
        <f>Worksheet_Com!P55</f>
        <v/>
      </c>
      <c r="Y59" s="2"/>
      <c r="Z59" s="108" t="str">
        <f>Worksheet_Com!O55</f>
        <v/>
      </c>
      <c r="AA59" s="2"/>
      <c r="AB59" s="108" t="str">
        <f>Worksheet_Com!Q55</f>
        <v/>
      </c>
      <c r="AC59" s="790" t="s">
        <v>11</v>
      </c>
      <c r="AD59" s="789"/>
      <c r="AE59" s="103">
        <v>0</v>
      </c>
      <c r="AF59" s="42"/>
      <c r="AG59" s="108" t="str">
        <f t="shared" si="0"/>
        <v/>
      </c>
      <c r="AH59" s="2"/>
      <c r="AI59" s="390" t="str">
        <f>'Com Quote'!L60</f>
        <v/>
      </c>
      <c r="AJ59" s="2"/>
      <c r="AK59" s="2"/>
      <c r="AL59" s="2"/>
      <c r="AM59" s="2"/>
      <c r="AN59" s="2"/>
      <c r="AO59" s="2"/>
      <c r="AP59" s="2"/>
      <c r="AQ59" s="2"/>
      <c r="AR59" s="2"/>
      <c r="AS59" s="2"/>
      <c r="AT59" s="2"/>
    </row>
    <row r="60" spans="1:46" ht="15">
      <c r="A60" s="2"/>
      <c r="B60" s="395">
        <v>51</v>
      </c>
      <c r="C60" s="390" t="str">
        <f>IF(Aircraft!$F54="","",IF(LEFT(Aircraft!$F54,1)="N",Aircraft!$F54,CONCATENATE("N",Aircraft!$F54)))</f>
        <v/>
      </c>
      <c r="D60" s="109"/>
      <c r="E60" s="902" t="str">
        <f>IFERROR(IF(Aircraft!N54="Y",CONCATENATE(VLOOKUP(Aircraft!$C54,Aircraftlist,29)," (FLOAT)"),VLOOKUP(Aircraft!$C54,Aircraftlist,29)),"")</f>
        <v/>
      </c>
      <c r="F60" s="903"/>
      <c r="G60" s="2"/>
      <c r="H60" s="104"/>
      <c r="I60" s="2"/>
      <c r="J60" s="104"/>
      <c r="K60" s="2"/>
      <c r="L60" s="117" t="str">
        <f>Worksheet_Com!M56</f>
        <v/>
      </c>
      <c r="M60" s="2"/>
      <c r="N60" s="116" t="str">
        <f>Worksheet_Com!L56</f>
        <v/>
      </c>
      <c r="O60" s="2"/>
      <c r="P60" s="116" t="str">
        <f>Worksheet_Com!N56</f>
        <v/>
      </c>
      <c r="Q60" s="2"/>
      <c r="R60" s="107"/>
      <c r="S60" s="2"/>
      <c r="T60" s="107"/>
      <c r="U60" s="2"/>
      <c r="V60" s="390" t="str">
        <f>IF(Aircraft!$F54="","",IF(LEFT(Aircraft!$F54,1)="N",Aircraft!$F54,CONCATENATE("N",Aircraft!$F54)))</f>
        <v/>
      </c>
      <c r="W60" s="2"/>
      <c r="X60" s="108" t="str">
        <f>Worksheet_Com!P56</f>
        <v/>
      </c>
      <c r="Y60" s="2"/>
      <c r="Z60" s="108" t="str">
        <f>Worksheet_Com!O56</f>
        <v/>
      </c>
      <c r="AA60" s="2"/>
      <c r="AB60" s="108" t="str">
        <f>Worksheet_Com!Q56</f>
        <v/>
      </c>
      <c r="AC60" s="790" t="s">
        <v>11</v>
      </c>
      <c r="AD60" s="789"/>
      <c r="AE60" s="103">
        <v>0</v>
      </c>
      <c r="AF60" s="42"/>
      <c r="AG60" s="108" t="str">
        <f t="shared" si="0"/>
        <v/>
      </c>
      <c r="AH60" s="2"/>
      <c r="AI60" s="390" t="str">
        <f>'Com Quote'!L61</f>
        <v/>
      </c>
      <c r="AJ60" s="2"/>
      <c r="AK60" s="2"/>
      <c r="AL60" s="2"/>
      <c r="AM60" s="2"/>
      <c r="AN60" s="2"/>
      <c r="AO60" s="2"/>
      <c r="AP60" s="2"/>
      <c r="AQ60" s="2"/>
      <c r="AR60" s="2"/>
      <c r="AS60" s="2"/>
      <c r="AT60" s="2"/>
    </row>
    <row r="61" spans="1:46" ht="15">
      <c r="A61" s="2"/>
      <c r="B61" s="395">
        <v>52</v>
      </c>
      <c r="C61" s="390" t="str">
        <f>IF(Aircraft!$F55="","",IF(LEFT(Aircraft!$F55,1)="N",Aircraft!$F55,CONCATENATE("N",Aircraft!$F55)))</f>
        <v/>
      </c>
      <c r="D61" s="109"/>
      <c r="E61" s="902" t="str">
        <f>IFERROR(IF(Aircraft!N55="Y",CONCATENATE(VLOOKUP(Aircraft!$C55,Aircraftlist,29)," (FLOAT)"),VLOOKUP(Aircraft!$C55,Aircraftlist,29)),"")</f>
        <v/>
      </c>
      <c r="F61" s="903"/>
      <c r="G61" s="2"/>
      <c r="H61" s="104"/>
      <c r="I61" s="2"/>
      <c r="J61" s="104"/>
      <c r="K61" s="2"/>
      <c r="L61" s="117" t="str">
        <f>Worksheet_Com!M57</f>
        <v/>
      </c>
      <c r="M61" s="2"/>
      <c r="N61" s="116" t="str">
        <f>Worksheet_Com!L57</f>
        <v/>
      </c>
      <c r="O61" s="2"/>
      <c r="P61" s="116" t="str">
        <f>Worksheet_Com!N57</f>
        <v/>
      </c>
      <c r="Q61" s="2"/>
      <c r="R61" s="107"/>
      <c r="S61" s="2"/>
      <c r="T61" s="107"/>
      <c r="U61" s="2"/>
      <c r="V61" s="390" t="str">
        <f>IF(Aircraft!$F55="","",IF(LEFT(Aircraft!$F55,1)="N",Aircraft!$F55,CONCATENATE("N",Aircraft!$F55)))</f>
        <v/>
      </c>
      <c r="W61" s="2"/>
      <c r="X61" s="108" t="str">
        <f>Worksheet_Com!P57</f>
        <v/>
      </c>
      <c r="Y61" s="2"/>
      <c r="Z61" s="108" t="str">
        <f>Worksheet_Com!O57</f>
        <v/>
      </c>
      <c r="AA61" s="2"/>
      <c r="AB61" s="108" t="str">
        <f>Worksheet_Com!Q57</f>
        <v/>
      </c>
      <c r="AC61" s="790" t="s">
        <v>11</v>
      </c>
      <c r="AD61" s="789"/>
      <c r="AE61" s="103">
        <v>0</v>
      </c>
      <c r="AF61" s="42"/>
      <c r="AG61" s="108" t="str">
        <f t="shared" si="0"/>
        <v/>
      </c>
      <c r="AH61" s="2"/>
      <c r="AI61" s="390" t="str">
        <f>'Com Quote'!L62</f>
        <v/>
      </c>
      <c r="AJ61" s="2"/>
      <c r="AK61" s="2"/>
      <c r="AL61" s="2"/>
      <c r="AM61" s="2"/>
      <c r="AN61" s="2"/>
      <c r="AO61" s="2"/>
      <c r="AP61" s="2"/>
      <c r="AQ61" s="2"/>
      <c r="AR61" s="2"/>
      <c r="AS61" s="2"/>
      <c r="AT61" s="2"/>
    </row>
    <row r="62" spans="1:46" ht="15">
      <c r="A62" s="2"/>
      <c r="B62" s="395">
        <v>53</v>
      </c>
      <c r="C62" s="390" t="str">
        <f>IF(Aircraft!$F56="","",IF(LEFT(Aircraft!$F56,1)="N",Aircraft!$F56,CONCATENATE("N",Aircraft!$F56)))</f>
        <v/>
      </c>
      <c r="D62" s="109"/>
      <c r="E62" s="902" t="str">
        <f>IFERROR(IF(Aircraft!N56="Y",CONCATENATE(VLOOKUP(Aircraft!$C56,Aircraftlist,29)," (FLOAT)"),VLOOKUP(Aircraft!$C56,Aircraftlist,29)),"")</f>
        <v/>
      </c>
      <c r="F62" s="903"/>
      <c r="G62" s="2"/>
      <c r="H62" s="104"/>
      <c r="I62" s="2"/>
      <c r="J62" s="104"/>
      <c r="K62" s="2"/>
      <c r="L62" s="117" t="str">
        <f>Worksheet_Com!M58</f>
        <v/>
      </c>
      <c r="M62" s="2"/>
      <c r="N62" s="116" t="str">
        <f>Worksheet_Com!L58</f>
        <v/>
      </c>
      <c r="O62" s="2"/>
      <c r="P62" s="116" t="str">
        <f>Worksheet_Com!N58</f>
        <v/>
      </c>
      <c r="Q62" s="2"/>
      <c r="R62" s="107"/>
      <c r="S62" s="2"/>
      <c r="T62" s="107"/>
      <c r="U62" s="2"/>
      <c r="V62" s="390" t="str">
        <f>IF(Aircraft!$F56="","",IF(LEFT(Aircraft!$F56,1)="N",Aircraft!$F56,CONCATENATE("N",Aircraft!$F56)))</f>
        <v/>
      </c>
      <c r="W62" s="2"/>
      <c r="X62" s="108" t="str">
        <f>Worksheet_Com!P58</f>
        <v/>
      </c>
      <c r="Y62" s="2"/>
      <c r="Z62" s="108" t="str">
        <f>Worksheet_Com!O58</f>
        <v/>
      </c>
      <c r="AA62" s="2"/>
      <c r="AB62" s="108" t="str">
        <f>Worksheet_Com!Q58</f>
        <v/>
      </c>
      <c r="AC62" s="790" t="s">
        <v>11</v>
      </c>
      <c r="AD62" s="789"/>
      <c r="AE62" s="103">
        <v>0</v>
      </c>
      <c r="AF62" s="42"/>
      <c r="AG62" s="108" t="str">
        <f t="shared" si="0"/>
        <v/>
      </c>
      <c r="AH62" s="2"/>
      <c r="AI62" s="390" t="str">
        <f>'Com Quote'!L63</f>
        <v/>
      </c>
      <c r="AJ62" s="2"/>
      <c r="AK62" s="2"/>
      <c r="AL62" s="2"/>
      <c r="AM62" s="2"/>
      <c r="AN62" s="2"/>
      <c r="AO62" s="2"/>
      <c r="AP62" s="2"/>
      <c r="AQ62" s="2"/>
      <c r="AR62" s="2"/>
      <c r="AS62" s="2"/>
      <c r="AT62" s="2"/>
    </row>
    <row r="63" spans="1:46" ht="15">
      <c r="A63" s="2"/>
      <c r="B63" s="395">
        <v>54</v>
      </c>
      <c r="C63" s="390" t="str">
        <f>IF(Aircraft!$F57="","",IF(LEFT(Aircraft!$F57,1)="N",Aircraft!$F57,CONCATENATE("N",Aircraft!$F57)))</f>
        <v/>
      </c>
      <c r="D63" s="109"/>
      <c r="E63" s="902" t="str">
        <f>IFERROR(IF(Aircraft!N57="Y",CONCATENATE(VLOOKUP(Aircraft!$C57,Aircraftlist,29)," (FLOAT)"),VLOOKUP(Aircraft!$C57,Aircraftlist,29)),"")</f>
        <v/>
      </c>
      <c r="F63" s="903"/>
      <c r="G63" s="2"/>
      <c r="H63" s="104"/>
      <c r="I63" s="2"/>
      <c r="J63" s="104"/>
      <c r="K63" s="2"/>
      <c r="L63" s="117" t="str">
        <f>Worksheet_Com!M59</f>
        <v/>
      </c>
      <c r="M63" s="2"/>
      <c r="N63" s="116" t="str">
        <f>Worksheet_Com!L59</f>
        <v/>
      </c>
      <c r="O63" s="2"/>
      <c r="P63" s="116" t="str">
        <f>Worksheet_Com!N59</f>
        <v/>
      </c>
      <c r="Q63" s="2"/>
      <c r="R63" s="107"/>
      <c r="S63" s="2"/>
      <c r="T63" s="107"/>
      <c r="U63" s="2"/>
      <c r="V63" s="390" t="str">
        <f>IF(Aircraft!$F57="","",IF(LEFT(Aircraft!$F57,1)="N",Aircraft!$F57,CONCATENATE("N",Aircraft!$F57)))</f>
        <v/>
      </c>
      <c r="W63" s="2"/>
      <c r="X63" s="108" t="str">
        <f>Worksheet_Com!P59</f>
        <v/>
      </c>
      <c r="Y63" s="2"/>
      <c r="Z63" s="108" t="str">
        <f>Worksheet_Com!O59</f>
        <v/>
      </c>
      <c r="AA63" s="2"/>
      <c r="AB63" s="108" t="str">
        <f>Worksheet_Com!Q59</f>
        <v/>
      </c>
      <c r="AC63" s="790" t="s">
        <v>11</v>
      </c>
      <c r="AD63" s="789"/>
      <c r="AE63" s="103">
        <v>0</v>
      </c>
      <c r="AF63" s="42"/>
      <c r="AG63" s="108" t="str">
        <f t="shared" si="0"/>
        <v/>
      </c>
      <c r="AH63" s="2"/>
      <c r="AI63" s="390" t="str">
        <f>'Com Quote'!L64</f>
        <v/>
      </c>
      <c r="AJ63" s="2"/>
      <c r="AK63" s="2"/>
      <c r="AL63" s="2"/>
      <c r="AM63" s="2"/>
      <c r="AN63" s="2"/>
      <c r="AO63" s="2"/>
      <c r="AP63" s="2"/>
      <c r="AQ63" s="2"/>
      <c r="AR63" s="2"/>
      <c r="AS63" s="2"/>
      <c r="AT63" s="2"/>
    </row>
    <row r="64" spans="1:46" ht="15">
      <c r="A64" s="2"/>
      <c r="B64" s="395">
        <v>55</v>
      </c>
      <c r="C64" s="390" t="str">
        <f>IF(Aircraft!$F58="","",IF(LEFT(Aircraft!$F58,1)="N",Aircraft!$F58,CONCATENATE("N",Aircraft!$F58)))</f>
        <v/>
      </c>
      <c r="D64" s="109"/>
      <c r="E64" s="902" t="str">
        <f>IFERROR(IF(Aircraft!N58="Y",CONCATENATE(VLOOKUP(Aircraft!$C58,Aircraftlist,29)," (FLOAT)"),VLOOKUP(Aircraft!$C58,Aircraftlist,29)),"")</f>
        <v/>
      </c>
      <c r="F64" s="903"/>
      <c r="G64" s="2"/>
      <c r="H64" s="104"/>
      <c r="I64" s="2"/>
      <c r="J64" s="104"/>
      <c r="K64" s="2"/>
      <c r="L64" s="117" t="str">
        <f>Worksheet_Com!M60</f>
        <v/>
      </c>
      <c r="M64" s="2"/>
      <c r="N64" s="116" t="str">
        <f>Worksheet_Com!L60</f>
        <v/>
      </c>
      <c r="O64" s="2"/>
      <c r="P64" s="116" t="str">
        <f>Worksheet_Com!N60</f>
        <v/>
      </c>
      <c r="Q64" s="2"/>
      <c r="R64" s="107"/>
      <c r="S64" s="2"/>
      <c r="T64" s="107"/>
      <c r="U64" s="2"/>
      <c r="V64" s="390" t="str">
        <f>IF(Aircraft!$F58="","",IF(LEFT(Aircraft!$F58,1)="N",Aircraft!$F58,CONCATENATE("N",Aircraft!$F58)))</f>
        <v/>
      </c>
      <c r="W64" s="2"/>
      <c r="X64" s="108" t="str">
        <f>Worksheet_Com!P60</f>
        <v/>
      </c>
      <c r="Y64" s="2"/>
      <c r="Z64" s="108" t="str">
        <f>Worksheet_Com!O60</f>
        <v/>
      </c>
      <c r="AA64" s="2"/>
      <c r="AB64" s="108" t="str">
        <f>Worksheet_Com!Q60</f>
        <v/>
      </c>
      <c r="AC64" s="790" t="s">
        <v>11</v>
      </c>
      <c r="AD64" s="789"/>
      <c r="AE64" s="103">
        <v>0</v>
      </c>
      <c r="AF64" s="42"/>
      <c r="AG64" s="108" t="str">
        <f t="shared" si="0"/>
        <v/>
      </c>
      <c r="AH64" s="2"/>
      <c r="AI64" s="390" t="str">
        <f>'Com Quote'!L65</f>
        <v/>
      </c>
      <c r="AJ64" s="2"/>
      <c r="AK64" s="2"/>
      <c r="AL64" s="2"/>
      <c r="AM64" s="2"/>
      <c r="AN64" s="2"/>
      <c r="AO64" s="2"/>
      <c r="AP64" s="2"/>
      <c r="AQ64" s="2"/>
      <c r="AR64" s="2"/>
      <c r="AS64" s="2"/>
      <c r="AT64" s="2"/>
    </row>
    <row r="65" spans="1:46" ht="15">
      <c r="A65" s="2"/>
      <c r="B65" s="395">
        <v>56</v>
      </c>
      <c r="C65" s="390" t="str">
        <f>IF(Aircraft!$F59="","",IF(LEFT(Aircraft!$F59,1)="N",Aircraft!$F59,CONCATENATE("N",Aircraft!$F59)))</f>
        <v/>
      </c>
      <c r="D65" s="109"/>
      <c r="E65" s="902" t="str">
        <f>IFERROR(IF(Aircraft!N59="Y",CONCATENATE(VLOOKUP(Aircraft!$C59,Aircraftlist,29)," (FLOAT)"),VLOOKUP(Aircraft!$C59,Aircraftlist,29)),"")</f>
        <v/>
      </c>
      <c r="F65" s="903"/>
      <c r="G65" s="2"/>
      <c r="H65" s="104"/>
      <c r="I65" s="2"/>
      <c r="J65" s="104"/>
      <c r="K65" s="2"/>
      <c r="L65" s="117" t="str">
        <f>Worksheet_Com!M61</f>
        <v/>
      </c>
      <c r="M65" s="2"/>
      <c r="N65" s="116" t="str">
        <f>Worksheet_Com!L61</f>
        <v/>
      </c>
      <c r="O65" s="2"/>
      <c r="P65" s="116" t="str">
        <f>Worksheet_Com!N61</f>
        <v/>
      </c>
      <c r="Q65" s="2"/>
      <c r="R65" s="107"/>
      <c r="S65" s="2"/>
      <c r="T65" s="107"/>
      <c r="U65" s="2"/>
      <c r="V65" s="390" t="str">
        <f>IF(Aircraft!$F59="","",IF(LEFT(Aircraft!$F59,1)="N",Aircraft!$F59,CONCATENATE("N",Aircraft!$F59)))</f>
        <v/>
      </c>
      <c r="W65" s="2"/>
      <c r="X65" s="108" t="str">
        <f>Worksheet_Com!P61</f>
        <v/>
      </c>
      <c r="Y65" s="2"/>
      <c r="Z65" s="108" t="str">
        <f>Worksheet_Com!O61</f>
        <v/>
      </c>
      <c r="AA65" s="2"/>
      <c r="AB65" s="108" t="str">
        <f>Worksheet_Com!Q61</f>
        <v/>
      </c>
      <c r="AC65" s="790" t="s">
        <v>11</v>
      </c>
      <c r="AD65" s="789"/>
      <c r="AE65" s="103">
        <v>0</v>
      </c>
      <c r="AF65" s="42"/>
      <c r="AG65" s="108" t="str">
        <f t="shared" si="0"/>
        <v/>
      </c>
      <c r="AH65" s="2"/>
      <c r="AI65" s="390" t="str">
        <f>'Com Quote'!L66</f>
        <v/>
      </c>
      <c r="AJ65" s="2"/>
      <c r="AK65" s="2"/>
      <c r="AL65" s="2"/>
      <c r="AM65" s="2"/>
      <c r="AN65" s="2"/>
      <c r="AO65" s="2"/>
      <c r="AP65" s="2"/>
      <c r="AQ65" s="2"/>
      <c r="AR65" s="2"/>
      <c r="AS65" s="2"/>
      <c r="AT65" s="2"/>
    </row>
    <row r="66" spans="1:46" ht="15">
      <c r="A66" s="2"/>
      <c r="B66" s="395">
        <v>57</v>
      </c>
      <c r="C66" s="390" t="str">
        <f>IF(Aircraft!$F60="","",IF(LEFT(Aircraft!$F60,1)="N",Aircraft!$F60,CONCATENATE("N",Aircraft!$F60)))</f>
        <v/>
      </c>
      <c r="D66" s="109"/>
      <c r="E66" s="902" t="str">
        <f>IFERROR(IF(Aircraft!N60="Y",CONCATENATE(VLOOKUP(Aircraft!$C60,Aircraftlist,29)," (FLOAT)"),VLOOKUP(Aircraft!$C60,Aircraftlist,29)),"")</f>
        <v/>
      </c>
      <c r="F66" s="903"/>
      <c r="G66" s="2"/>
      <c r="H66" s="104"/>
      <c r="I66" s="2"/>
      <c r="J66" s="104"/>
      <c r="K66" s="2"/>
      <c r="L66" s="117" t="str">
        <f>Worksheet_Com!M62</f>
        <v/>
      </c>
      <c r="M66" s="2"/>
      <c r="N66" s="116" t="str">
        <f>Worksheet_Com!L62</f>
        <v/>
      </c>
      <c r="O66" s="2"/>
      <c r="P66" s="116" t="str">
        <f>Worksheet_Com!N62</f>
        <v/>
      </c>
      <c r="Q66" s="2"/>
      <c r="R66" s="107"/>
      <c r="S66" s="2"/>
      <c r="T66" s="107"/>
      <c r="U66" s="2"/>
      <c r="V66" s="390" t="str">
        <f>IF(Aircraft!$F60="","",IF(LEFT(Aircraft!$F60,1)="N",Aircraft!$F60,CONCATENATE("N",Aircraft!$F60)))</f>
        <v/>
      </c>
      <c r="W66" s="2"/>
      <c r="X66" s="108" t="str">
        <f>Worksheet_Com!P62</f>
        <v/>
      </c>
      <c r="Y66" s="2"/>
      <c r="Z66" s="108" t="str">
        <f>Worksheet_Com!O62</f>
        <v/>
      </c>
      <c r="AA66" s="2"/>
      <c r="AB66" s="108" t="str">
        <f>Worksheet_Com!Q62</f>
        <v/>
      </c>
      <c r="AC66" s="790" t="s">
        <v>11</v>
      </c>
      <c r="AD66" s="789"/>
      <c r="AE66" s="103">
        <v>0</v>
      </c>
      <c r="AF66" s="42"/>
      <c r="AG66" s="108" t="str">
        <f t="shared" si="0"/>
        <v/>
      </c>
      <c r="AH66" s="2"/>
      <c r="AI66" s="390" t="str">
        <f>'Com Quote'!L67</f>
        <v/>
      </c>
      <c r="AJ66" s="2"/>
      <c r="AK66" s="2"/>
      <c r="AL66" s="2"/>
      <c r="AM66" s="2"/>
      <c r="AN66" s="2"/>
      <c r="AO66" s="2"/>
      <c r="AP66" s="2"/>
      <c r="AQ66" s="2"/>
      <c r="AR66" s="2"/>
      <c r="AS66" s="2"/>
      <c r="AT66" s="2"/>
    </row>
    <row r="67" spans="1:46" ht="15">
      <c r="A67" s="2"/>
      <c r="B67" s="395">
        <v>58</v>
      </c>
      <c r="C67" s="390" t="str">
        <f>IF(Aircraft!$F61="","",IF(LEFT(Aircraft!$F61,1)="N",Aircraft!$F61,CONCATENATE("N",Aircraft!$F61)))</f>
        <v/>
      </c>
      <c r="D67" s="109"/>
      <c r="E67" s="902" t="str">
        <f>IFERROR(IF(Aircraft!N61="Y",CONCATENATE(VLOOKUP(Aircraft!$C61,Aircraftlist,29)," (FLOAT)"),VLOOKUP(Aircraft!$C61,Aircraftlist,29)),"")</f>
        <v/>
      </c>
      <c r="F67" s="903"/>
      <c r="G67" s="2"/>
      <c r="H67" s="104"/>
      <c r="I67" s="2"/>
      <c r="J67" s="104"/>
      <c r="K67" s="2"/>
      <c r="L67" s="117" t="str">
        <f>Worksheet_Com!M63</f>
        <v/>
      </c>
      <c r="M67" s="2"/>
      <c r="N67" s="116" t="str">
        <f>Worksheet_Com!L63</f>
        <v/>
      </c>
      <c r="O67" s="2"/>
      <c r="P67" s="116" t="str">
        <f>Worksheet_Com!N63</f>
        <v/>
      </c>
      <c r="Q67" s="2"/>
      <c r="R67" s="107"/>
      <c r="S67" s="2"/>
      <c r="T67" s="107"/>
      <c r="U67" s="2"/>
      <c r="V67" s="390" t="str">
        <f>IF(Aircraft!$F61="","",IF(LEFT(Aircraft!$F61,1)="N",Aircraft!$F61,CONCATENATE("N",Aircraft!$F61)))</f>
        <v/>
      </c>
      <c r="W67" s="2"/>
      <c r="X67" s="108" t="str">
        <f>Worksheet_Com!P63</f>
        <v/>
      </c>
      <c r="Y67" s="2"/>
      <c r="Z67" s="108" t="str">
        <f>Worksheet_Com!O63</f>
        <v/>
      </c>
      <c r="AA67" s="2"/>
      <c r="AB67" s="108" t="str">
        <f>Worksheet_Com!Q63</f>
        <v/>
      </c>
      <c r="AC67" s="790" t="s">
        <v>11</v>
      </c>
      <c r="AD67" s="789"/>
      <c r="AE67" s="103">
        <v>0</v>
      </c>
      <c r="AF67" s="42"/>
      <c r="AG67" s="108" t="str">
        <f t="shared" si="0"/>
        <v/>
      </c>
      <c r="AH67" s="2"/>
      <c r="AI67" s="390" t="str">
        <f>'Com Quote'!L68</f>
        <v/>
      </c>
      <c r="AJ67" s="2"/>
      <c r="AK67" s="2"/>
      <c r="AL67" s="2"/>
      <c r="AM67" s="2"/>
      <c r="AN67" s="2"/>
      <c r="AO67" s="2"/>
      <c r="AP67" s="2"/>
      <c r="AQ67" s="2"/>
      <c r="AR67" s="2"/>
      <c r="AS67" s="2"/>
      <c r="AT67" s="2"/>
    </row>
    <row r="68" spans="1:46" ht="15">
      <c r="A68" s="2"/>
      <c r="B68" s="395">
        <v>59</v>
      </c>
      <c r="C68" s="390" t="str">
        <f>IF(Aircraft!$F62="","",IF(LEFT(Aircraft!$F62,1)="N",Aircraft!$F62,CONCATENATE("N",Aircraft!$F62)))</f>
        <v/>
      </c>
      <c r="D68" s="109"/>
      <c r="E68" s="902" t="str">
        <f>IFERROR(IF(Aircraft!N62="Y",CONCATENATE(VLOOKUP(Aircraft!$C62,Aircraftlist,29)," (FLOAT)"),VLOOKUP(Aircraft!$C62,Aircraftlist,29)),"")</f>
        <v/>
      </c>
      <c r="F68" s="903"/>
      <c r="G68" s="2"/>
      <c r="H68" s="104"/>
      <c r="I68" s="2"/>
      <c r="J68" s="104"/>
      <c r="K68" s="2"/>
      <c r="L68" s="117" t="str">
        <f>Worksheet_Com!M64</f>
        <v/>
      </c>
      <c r="M68" s="2"/>
      <c r="N68" s="116" t="str">
        <f>Worksheet_Com!L64</f>
        <v/>
      </c>
      <c r="O68" s="2"/>
      <c r="P68" s="116" t="str">
        <f>Worksheet_Com!N64</f>
        <v/>
      </c>
      <c r="Q68" s="2"/>
      <c r="R68" s="107"/>
      <c r="S68" s="2"/>
      <c r="T68" s="107"/>
      <c r="U68" s="2"/>
      <c r="V68" s="390" t="str">
        <f>IF(Aircraft!$F62="","",IF(LEFT(Aircraft!$F62,1)="N",Aircraft!$F62,CONCATENATE("N",Aircraft!$F62)))</f>
        <v/>
      </c>
      <c r="W68" s="2"/>
      <c r="X68" s="108" t="str">
        <f>Worksheet_Com!P64</f>
        <v/>
      </c>
      <c r="Y68" s="2"/>
      <c r="Z68" s="108" t="str">
        <f>Worksheet_Com!O64</f>
        <v/>
      </c>
      <c r="AA68" s="2"/>
      <c r="AB68" s="108" t="str">
        <f>Worksheet_Com!Q64</f>
        <v/>
      </c>
      <c r="AC68" s="790" t="s">
        <v>11</v>
      </c>
      <c r="AD68" s="789"/>
      <c r="AE68" s="103">
        <v>0</v>
      </c>
      <c r="AF68" s="42"/>
      <c r="AG68" s="108" t="str">
        <f t="shared" si="0"/>
        <v/>
      </c>
      <c r="AH68" s="2"/>
      <c r="AI68" s="390" t="str">
        <f>'Com Quote'!L69</f>
        <v/>
      </c>
      <c r="AJ68" s="2"/>
      <c r="AK68" s="2"/>
      <c r="AL68" s="2"/>
      <c r="AM68" s="2"/>
      <c r="AN68" s="2"/>
      <c r="AO68" s="2"/>
      <c r="AP68" s="2"/>
      <c r="AQ68" s="2"/>
      <c r="AR68" s="2"/>
      <c r="AS68" s="2"/>
      <c r="AT68" s="2"/>
    </row>
    <row r="69" spans="1:46" ht="15">
      <c r="A69" s="2"/>
      <c r="B69" s="395">
        <v>60</v>
      </c>
      <c r="C69" s="390" t="str">
        <f>IF(Aircraft!$F63="","",IF(LEFT(Aircraft!$F63,1)="N",Aircraft!$F63,CONCATENATE("N",Aircraft!$F63)))</f>
        <v/>
      </c>
      <c r="D69" s="109"/>
      <c r="E69" s="902" t="str">
        <f>IFERROR(IF(Aircraft!N63="Y",CONCATENATE(VLOOKUP(Aircraft!$C63,Aircraftlist,29)," (FLOAT)"),VLOOKUP(Aircraft!$C63,Aircraftlist,29)),"")</f>
        <v/>
      </c>
      <c r="F69" s="903"/>
      <c r="G69" s="2"/>
      <c r="H69" s="104"/>
      <c r="I69" s="2"/>
      <c r="J69" s="104"/>
      <c r="K69" s="2"/>
      <c r="L69" s="117" t="str">
        <f>Worksheet_Com!M65</f>
        <v/>
      </c>
      <c r="M69" s="2"/>
      <c r="N69" s="116" t="str">
        <f>Worksheet_Com!L65</f>
        <v/>
      </c>
      <c r="O69" s="2"/>
      <c r="P69" s="116" t="str">
        <f>Worksheet_Com!N65</f>
        <v/>
      </c>
      <c r="Q69" s="2"/>
      <c r="R69" s="107"/>
      <c r="S69" s="2"/>
      <c r="T69" s="107"/>
      <c r="U69" s="2"/>
      <c r="V69" s="390" t="str">
        <f>IF(Aircraft!$F63="","",IF(LEFT(Aircraft!$F63,1)="N",Aircraft!$F63,CONCATENATE("N",Aircraft!$F63)))</f>
        <v/>
      </c>
      <c r="W69" s="2"/>
      <c r="X69" s="108" t="str">
        <f>Worksheet_Com!P65</f>
        <v/>
      </c>
      <c r="Y69" s="2"/>
      <c r="Z69" s="108" t="str">
        <f>Worksheet_Com!O65</f>
        <v/>
      </c>
      <c r="AA69" s="2"/>
      <c r="AB69" s="108" t="str">
        <f>Worksheet_Com!Q65</f>
        <v/>
      </c>
      <c r="AC69" s="790" t="s">
        <v>11</v>
      </c>
      <c r="AD69" s="789"/>
      <c r="AE69" s="103">
        <v>0</v>
      </c>
      <c r="AF69" s="42"/>
      <c r="AG69" s="108" t="str">
        <f t="shared" si="0"/>
        <v/>
      </c>
      <c r="AH69" s="2"/>
      <c r="AI69" s="390" t="str">
        <f>'Com Quote'!L70</f>
        <v/>
      </c>
      <c r="AJ69" s="2"/>
      <c r="AK69" s="2"/>
      <c r="AL69" s="2"/>
      <c r="AM69" s="2"/>
      <c r="AN69" s="2"/>
      <c r="AO69" s="2"/>
      <c r="AP69" s="2"/>
      <c r="AQ69" s="2"/>
      <c r="AR69" s="2"/>
      <c r="AS69" s="2"/>
      <c r="AT69" s="2"/>
    </row>
    <row r="70" spans="1:46" ht="15">
      <c r="A70" s="2"/>
      <c r="B70" s="395">
        <v>61</v>
      </c>
      <c r="C70" s="390" t="str">
        <f>IF(Aircraft!$F64="","",IF(LEFT(Aircraft!$F64,1)="N",Aircraft!$F64,CONCATENATE("N",Aircraft!$F64)))</f>
        <v/>
      </c>
      <c r="D70" s="109"/>
      <c r="E70" s="902" t="str">
        <f>IFERROR(IF(Aircraft!N64="Y",CONCATENATE(VLOOKUP(Aircraft!$C64,Aircraftlist,29)," (FLOAT)"),VLOOKUP(Aircraft!$C64,Aircraftlist,29)),"")</f>
        <v/>
      </c>
      <c r="F70" s="903"/>
      <c r="G70" s="2"/>
      <c r="H70" s="104"/>
      <c r="I70" s="2"/>
      <c r="J70" s="104"/>
      <c r="K70" s="2"/>
      <c r="L70" s="117" t="str">
        <f>Worksheet_Com!M66</f>
        <v/>
      </c>
      <c r="M70" s="2"/>
      <c r="N70" s="116" t="str">
        <f>Worksheet_Com!L66</f>
        <v/>
      </c>
      <c r="O70" s="2"/>
      <c r="P70" s="116" t="str">
        <f>Worksheet_Com!N66</f>
        <v/>
      </c>
      <c r="Q70" s="2"/>
      <c r="R70" s="107"/>
      <c r="S70" s="2"/>
      <c r="T70" s="107"/>
      <c r="U70" s="2"/>
      <c r="V70" s="390" t="str">
        <f>IF(Aircraft!$F64="","",IF(LEFT(Aircraft!$F64,1)="N",Aircraft!$F64,CONCATENATE("N",Aircraft!$F64)))</f>
        <v/>
      </c>
      <c r="W70" s="2"/>
      <c r="X70" s="108" t="str">
        <f>Worksheet_Com!P66</f>
        <v/>
      </c>
      <c r="Y70" s="2"/>
      <c r="Z70" s="108" t="str">
        <f>Worksheet_Com!O66</f>
        <v/>
      </c>
      <c r="AA70" s="2"/>
      <c r="AB70" s="108" t="str">
        <f>Worksheet_Com!Q66</f>
        <v/>
      </c>
      <c r="AC70" s="790" t="s">
        <v>11</v>
      </c>
      <c r="AD70" s="789"/>
      <c r="AE70" s="103">
        <v>0</v>
      </c>
      <c r="AF70" s="42"/>
      <c r="AG70" s="108" t="str">
        <f t="shared" si="0"/>
        <v/>
      </c>
      <c r="AH70" s="2"/>
      <c r="AI70" s="390" t="str">
        <f>'Com Quote'!L71</f>
        <v/>
      </c>
      <c r="AJ70" s="2"/>
      <c r="AK70" s="2"/>
      <c r="AL70" s="2"/>
      <c r="AM70" s="2"/>
      <c r="AN70" s="2"/>
      <c r="AO70" s="2"/>
      <c r="AP70" s="2"/>
      <c r="AQ70" s="2"/>
      <c r="AR70" s="2"/>
      <c r="AS70" s="2"/>
      <c r="AT70" s="2"/>
    </row>
    <row r="71" spans="1:46" ht="15">
      <c r="A71" s="2"/>
      <c r="B71" s="395">
        <v>62</v>
      </c>
      <c r="C71" s="390" t="str">
        <f>IF(Aircraft!$F65="","",IF(LEFT(Aircraft!$F65,1)="N",Aircraft!$F65,CONCATENATE("N",Aircraft!$F65)))</f>
        <v/>
      </c>
      <c r="D71" s="109"/>
      <c r="E71" s="902" t="str">
        <f>IFERROR(IF(Aircraft!N65="Y",CONCATENATE(VLOOKUP(Aircraft!$C65,Aircraftlist,29)," (FLOAT)"),VLOOKUP(Aircraft!$C65,Aircraftlist,29)),"")</f>
        <v/>
      </c>
      <c r="F71" s="903"/>
      <c r="G71" s="2"/>
      <c r="H71" s="104"/>
      <c r="I71" s="2"/>
      <c r="J71" s="104"/>
      <c r="K71" s="2"/>
      <c r="L71" s="117" t="str">
        <f>Worksheet_Com!M67</f>
        <v/>
      </c>
      <c r="M71" s="2"/>
      <c r="N71" s="116" t="str">
        <f>Worksheet_Com!L67</f>
        <v/>
      </c>
      <c r="O71" s="2"/>
      <c r="P71" s="116" t="str">
        <f>Worksheet_Com!N67</f>
        <v/>
      </c>
      <c r="Q71" s="2"/>
      <c r="R71" s="107"/>
      <c r="S71" s="2"/>
      <c r="T71" s="107"/>
      <c r="U71" s="2"/>
      <c r="V71" s="390" t="str">
        <f>IF(Aircraft!$F65="","",IF(LEFT(Aircraft!$F65,1)="N",Aircraft!$F65,CONCATENATE("N",Aircraft!$F65)))</f>
        <v/>
      </c>
      <c r="W71" s="2"/>
      <c r="X71" s="108" t="str">
        <f>Worksheet_Com!P67</f>
        <v/>
      </c>
      <c r="Y71" s="2"/>
      <c r="Z71" s="108" t="str">
        <f>Worksheet_Com!O67</f>
        <v/>
      </c>
      <c r="AA71" s="2"/>
      <c r="AB71" s="108" t="str">
        <f>Worksheet_Com!Q67</f>
        <v/>
      </c>
      <c r="AC71" s="790" t="s">
        <v>11</v>
      </c>
      <c r="AD71" s="789"/>
      <c r="AE71" s="103">
        <v>0</v>
      </c>
      <c r="AF71" s="42"/>
      <c r="AG71" s="108" t="str">
        <f t="shared" si="0"/>
        <v/>
      </c>
      <c r="AH71" s="2"/>
      <c r="AI71" s="390" t="str">
        <f>'Com Quote'!L72</f>
        <v/>
      </c>
      <c r="AJ71" s="2"/>
      <c r="AK71" s="2"/>
      <c r="AL71" s="2"/>
      <c r="AM71" s="2"/>
      <c r="AN71" s="2"/>
      <c r="AO71" s="2"/>
      <c r="AP71" s="2"/>
      <c r="AQ71" s="2"/>
      <c r="AR71" s="2"/>
      <c r="AS71" s="2"/>
      <c r="AT71" s="2"/>
    </row>
    <row r="72" spans="1:46" ht="15">
      <c r="A72" s="2"/>
      <c r="B72" s="395">
        <v>63</v>
      </c>
      <c r="C72" s="390" t="str">
        <f>IF(Aircraft!$F66="","",IF(LEFT(Aircraft!$F66,1)="N",Aircraft!$F66,CONCATENATE("N",Aircraft!$F66)))</f>
        <v/>
      </c>
      <c r="D72" s="109"/>
      <c r="E72" s="902" t="str">
        <f>IFERROR(IF(Aircraft!N66="Y",CONCATENATE(VLOOKUP(Aircraft!$C66,Aircraftlist,29)," (FLOAT)"),VLOOKUP(Aircraft!$C66,Aircraftlist,29)),"")</f>
        <v/>
      </c>
      <c r="F72" s="903"/>
      <c r="G72" s="2"/>
      <c r="H72" s="104"/>
      <c r="I72" s="2"/>
      <c r="J72" s="104"/>
      <c r="K72" s="2"/>
      <c r="L72" s="117" t="str">
        <f>Worksheet_Com!M68</f>
        <v/>
      </c>
      <c r="M72" s="2"/>
      <c r="N72" s="116" t="str">
        <f>Worksheet_Com!L68</f>
        <v/>
      </c>
      <c r="O72" s="2"/>
      <c r="P72" s="116" t="str">
        <f>Worksheet_Com!N68</f>
        <v/>
      </c>
      <c r="Q72" s="2"/>
      <c r="R72" s="107"/>
      <c r="S72" s="2"/>
      <c r="T72" s="107"/>
      <c r="U72" s="2"/>
      <c r="V72" s="390" t="str">
        <f>IF(Aircraft!$F66="","",IF(LEFT(Aircraft!$F66,1)="N",Aircraft!$F66,CONCATENATE("N",Aircraft!$F66)))</f>
        <v/>
      </c>
      <c r="W72" s="2"/>
      <c r="X72" s="108" t="str">
        <f>Worksheet_Com!P68</f>
        <v/>
      </c>
      <c r="Y72" s="2"/>
      <c r="Z72" s="108" t="str">
        <f>Worksheet_Com!O68</f>
        <v/>
      </c>
      <c r="AA72" s="2"/>
      <c r="AB72" s="108" t="str">
        <f>Worksheet_Com!Q68</f>
        <v/>
      </c>
      <c r="AC72" s="790" t="s">
        <v>11</v>
      </c>
      <c r="AD72" s="789"/>
      <c r="AE72" s="103">
        <v>0</v>
      </c>
      <c r="AF72" s="42"/>
      <c r="AG72" s="108" t="str">
        <f t="shared" si="0"/>
        <v/>
      </c>
      <c r="AH72" s="2"/>
      <c r="AI72" s="390" t="str">
        <f>'Com Quote'!L73</f>
        <v/>
      </c>
      <c r="AJ72" s="2"/>
      <c r="AK72" s="2"/>
      <c r="AL72" s="2"/>
      <c r="AM72" s="2"/>
      <c r="AN72" s="2"/>
      <c r="AO72" s="2"/>
      <c r="AP72" s="2"/>
      <c r="AQ72" s="2"/>
      <c r="AR72" s="2"/>
      <c r="AS72" s="2"/>
      <c r="AT72" s="2"/>
    </row>
    <row r="73" spans="1:46" ht="15">
      <c r="A73" s="2"/>
      <c r="B73" s="395">
        <v>64</v>
      </c>
      <c r="C73" s="390" t="str">
        <f>IF(Aircraft!$F67="","",IF(LEFT(Aircraft!$F67,1)="N",Aircraft!$F67,CONCATENATE("N",Aircraft!$F67)))</f>
        <v/>
      </c>
      <c r="D73" s="109"/>
      <c r="E73" s="902" t="str">
        <f>IFERROR(IF(Aircraft!N67="Y",CONCATENATE(VLOOKUP(Aircraft!$C67,Aircraftlist,29)," (FLOAT)"),VLOOKUP(Aircraft!$C67,Aircraftlist,29)),"")</f>
        <v/>
      </c>
      <c r="F73" s="903"/>
      <c r="G73" s="2"/>
      <c r="H73" s="104"/>
      <c r="I73" s="2"/>
      <c r="J73" s="104"/>
      <c r="K73" s="2"/>
      <c r="L73" s="117" t="str">
        <f>Worksheet_Com!M69</f>
        <v/>
      </c>
      <c r="M73" s="2"/>
      <c r="N73" s="116" t="str">
        <f>Worksheet_Com!L69</f>
        <v/>
      </c>
      <c r="O73" s="2"/>
      <c r="P73" s="116" t="str">
        <f>Worksheet_Com!N69</f>
        <v/>
      </c>
      <c r="Q73" s="2"/>
      <c r="R73" s="107"/>
      <c r="S73" s="2"/>
      <c r="T73" s="107"/>
      <c r="U73" s="2"/>
      <c r="V73" s="390" t="str">
        <f>IF(Aircraft!$F67="","",IF(LEFT(Aircraft!$F67,1)="N",Aircraft!$F67,CONCATENATE("N",Aircraft!$F67)))</f>
        <v/>
      </c>
      <c r="W73" s="2"/>
      <c r="X73" s="108" t="str">
        <f>Worksheet_Com!P69</f>
        <v/>
      </c>
      <c r="Y73" s="2"/>
      <c r="Z73" s="108" t="str">
        <f>Worksheet_Com!O69</f>
        <v/>
      </c>
      <c r="AA73" s="2"/>
      <c r="AB73" s="108" t="str">
        <f>Worksheet_Com!Q69</f>
        <v/>
      </c>
      <c r="AC73" s="790" t="s">
        <v>11</v>
      </c>
      <c r="AD73" s="789"/>
      <c r="AE73" s="103">
        <v>0</v>
      </c>
      <c r="AF73" s="42"/>
      <c r="AG73" s="108" t="str">
        <f t="shared" si="0"/>
        <v/>
      </c>
      <c r="AH73" s="2"/>
      <c r="AI73" s="390" t="str">
        <f>'Com Quote'!L74</f>
        <v/>
      </c>
      <c r="AJ73" s="2"/>
      <c r="AK73" s="2"/>
      <c r="AL73" s="2"/>
      <c r="AM73" s="2"/>
      <c r="AN73" s="2"/>
      <c r="AO73" s="2"/>
      <c r="AP73" s="2"/>
      <c r="AQ73" s="2"/>
      <c r="AR73" s="2"/>
      <c r="AS73" s="2"/>
      <c r="AT73" s="2"/>
    </row>
    <row r="74" spans="1:46" ht="15">
      <c r="A74" s="2"/>
      <c r="B74" s="395">
        <v>65</v>
      </c>
      <c r="C74" s="390" t="str">
        <f>IF(Aircraft!$F68="","",IF(LEFT(Aircraft!$F68,1)="N",Aircraft!$F68,CONCATENATE("N",Aircraft!$F68)))</f>
        <v/>
      </c>
      <c r="D74" s="109"/>
      <c r="E74" s="902" t="str">
        <f>IFERROR(IF(Aircraft!N68="Y",CONCATENATE(VLOOKUP(Aircraft!$C68,Aircraftlist,29)," (FLOAT)"),VLOOKUP(Aircraft!$C68,Aircraftlist,29)),"")</f>
        <v/>
      </c>
      <c r="F74" s="903"/>
      <c r="G74" s="2"/>
      <c r="H74" s="104"/>
      <c r="I74" s="2"/>
      <c r="J74" s="104"/>
      <c r="K74" s="2"/>
      <c r="L74" s="117" t="str">
        <f>Worksheet_Com!M70</f>
        <v/>
      </c>
      <c r="M74" s="2"/>
      <c r="N74" s="116" t="str">
        <f>Worksheet_Com!L70</f>
        <v/>
      </c>
      <c r="O74" s="2"/>
      <c r="P74" s="116" t="str">
        <f>Worksheet_Com!N70</f>
        <v/>
      </c>
      <c r="Q74" s="2"/>
      <c r="R74" s="107"/>
      <c r="S74" s="2"/>
      <c r="T74" s="107"/>
      <c r="U74" s="2"/>
      <c r="V74" s="390" t="str">
        <f>IF(Aircraft!$F68="","",IF(LEFT(Aircraft!$F68,1)="N",Aircraft!$F68,CONCATENATE("N",Aircraft!$F68)))</f>
        <v/>
      </c>
      <c r="W74" s="2"/>
      <c r="X74" s="108" t="str">
        <f>Worksheet_Com!P70</f>
        <v/>
      </c>
      <c r="Y74" s="2"/>
      <c r="Z74" s="108" t="str">
        <f>Worksheet_Com!O70</f>
        <v/>
      </c>
      <c r="AA74" s="2"/>
      <c r="AB74" s="108" t="str">
        <f>Worksheet_Com!Q70</f>
        <v/>
      </c>
      <c r="AC74" s="790" t="s">
        <v>11</v>
      </c>
      <c r="AD74" s="789"/>
      <c r="AE74" s="103">
        <v>0</v>
      </c>
      <c r="AF74" s="42"/>
      <c r="AG74" s="108" t="str">
        <f t="shared" si="0"/>
        <v/>
      </c>
      <c r="AH74" s="2"/>
      <c r="AI74" s="390" t="str">
        <f>'Com Quote'!L75</f>
        <v/>
      </c>
      <c r="AJ74" s="2"/>
      <c r="AK74" s="2"/>
      <c r="AL74" s="2"/>
      <c r="AM74" s="2"/>
      <c r="AN74" s="2"/>
      <c r="AO74" s="2"/>
      <c r="AP74" s="2"/>
      <c r="AQ74" s="2"/>
      <c r="AR74" s="2"/>
      <c r="AS74" s="2"/>
      <c r="AT74" s="2"/>
    </row>
    <row r="75" spans="1:46" ht="15">
      <c r="A75" s="2"/>
      <c r="B75" s="395">
        <v>66</v>
      </c>
      <c r="C75" s="390" t="str">
        <f>IF(Aircraft!$F69="","",IF(LEFT(Aircraft!$F69,1)="N",Aircraft!$F69,CONCATENATE("N",Aircraft!$F69)))</f>
        <v/>
      </c>
      <c r="D75" s="109"/>
      <c r="E75" s="902" t="str">
        <f>IFERROR(IF(Aircraft!N69="Y",CONCATENATE(VLOOKUP(Aircraft!$C69,Aircraftlist,29)," (FLOAT)"),VLOOKUP(Aircraft!$C69,Aircraftlist,29)),"")</f>
        <v/>
      </c>
      <c r="F75" s="903"/>
      <c r="G75" s="2"/>
      <c r="H75" s="104"/>
      <c r="I75" s="2"/>
      <c r="J75" s="104"/>
      <c r="K75" s="2"/>
      <c r="L75" s="117" t="str">
        <f>Worksheet_Com!M71</f>
        <v/>
      </c>
      <c r="M75" s="2"/>
      <c r="N75" s="116" t="str">
        <f>Worksheet_Com!L71</f>
        <v/>
      </c>
      <c r="O75" s="2"/>
      <c r="P75" s="116" t="str">
        <f>Worksheet_Com!N71</f>
        <v/>
      </c>
      <c r="Q75" s="2"/>
      <c r="R75" s="107"/>
      <c r="S75" s="2"/>
      <c r="T75" s="107"/>
      <c r="U75" s="2"/>
      <c r="V75" s="390" t="str">
        <f>IF(Aircraft!$F69="","",IF(LEFT(Aircraft!$F69,1)="N",Aircraft!$F69,CONCATENATE("N",Aircraft!$F69)))</f>
        <v/>
      </c>
      <c r="W75" s="2"/>
      <c r="X75" s="108" t="str">
        <f>Worksheet_Com!P71</f>
        <v/>
      </c>
      <c r="Y75" s="2"/>
      <c r="Z75" s="108" t="str">
        <f>Worksheet_Com!O71</f>
        <v/>
      </c>
      <c r="AA75" s="2"/>
      <c r="AB75" s="108" t="str">
        <f>Worksheet_Com!Q71</f>
        <v/>
      </c>
      <c r="AC75" s="790" t="s">
        <v>11</v>
      </c>
      <c r="AD75" s="789"/>
      <c r="AE75" s="103">
        <v>0</v>
      </c>
      <c r="AF75" s="42"/>
      <c r="AG75" s="108" t="str">
        <f t="shared" ref="AG75:AG89" si="1">IF(J75="","",SUM(X75:AB75))</f>
        <v/>
      </c>
      <c r="AH75" s="2"/>
      <c r="AI75" s="390" t="str">
        <f>'Com Quote'!L76</f>
        <v/>
      </c>
      <c r="AJ75" s="2"/>
      <c r="AK75" s="2"/>
      <c r="AL75" s="2"/>
      <c r="AM75" s="2"/>
      <c r="AN75" s="2"/>
      <c r="AO75" s="2"/>
      <c r="AP75" s="2"/>
      <c r="AQ75" s="2"/>
      <c r="AR75" s="2"/>
      <c r="AS75" s="2"/>
      <c r="AT75" s="2"/>
    </row>
    <row r="76" spans="1:46" ht="15">
      <c r="A76" s="2"/>
      <c r="B76" s="395">
        <v>67</v>
      </c>
      <c r="C76" s="390" t="str">
        <f>IF(Aircraft!$F70="","",IF(LEFT(Aircraft!$F70,1)="N",Aircraft!$F70,CONCATENATE("N",Aircraft!$F70)))</f>
        <v/>
      </c>
      <c r="D76" s="109"/>
      <c r="E76" s="902" t="str">
        <f>IFERROR(IF(Aircraft!N70="Y",CONCATENATE(VLOOKUP(Aircraft!$C70,Aircraftlist,29)," (FLOAT)"),VLOOKUP(Aircraft!$C70,Aircraftlist,29)),"")</f>
        <v/>
      </c>
      <c r="F76" s="903"/>
      <c r="G76" s="2"/>
      <c r="H76" s="104"/>
      <c r="I76" s="2"/>
      <c r="J76" s="104"/>
      <c r="K76" s="2"/>
      <c r="L76" s="117" t="str">
        <f>Worksheet_Com!M72</f>
        <v/>
      </c>
      <c r="M76" s="2"/>
      <c r="N76" s="116" t="str">
        <f>Worksheet_Com!L72</f>
        <v/>
      </c>
      <c r="O76" s="2"/>
      <c r="P76" s="116" t="str">
        <f>Worksheet_Com!N72</f>
        <v/>
      </c>
      <c r="Q76" s="2"/>
      <c r="R76" s="107"/>
      <c r="S76" s="2"/>
      <c r="T76" s="107"/>
      <c r="U76" s="2"/>
      <c r="V76" s="390" t="str">
        <f>IF(Aircraft!$F70="","",IF(LEFT(Aircraft!$F70,1)="N",Aircraft!$F70,CONCATENATE("N",Aircraft!$F70)))</f>
        <v/>
      </c>
      <c r="W76" s="2"/>
      <c r="X76" s="108" t="str">
        <f>Worksheet_Com!P72</f>
        <v/>
      </c>
      <c r="Y76" s="2"/>
      <c r="Z76" s="108" t="str">
        <f>Worksheet_Com!O72</f>
        <v/>
      </c>
      <c r="AA76" s="2"/>
      <c r="AB76" s="108" t="str">
        <f>Worksheet_Com!Q72</f>
        <v/>
      </c>
      <c r="AC76" s="790" t="s">
        <v>11</v>
      </c>
      <c r="AD76" s="789"/>
      <c r="AE76" s="103">
        <v>0</v>
      </c>
      <c r="AF76" s="42"/>
      <c r="AG76" s="108" t="str">
        <f t="shared" si="1"/>
        <v/>
      </c>
      <c r="AH76" s="2"/>
      <c r="AI76" s="390" t="str">
        <f>'Com Quote'!L77</f>
        <v/>
      </c>
      <c r="AJ76" s="2"/>
      <c r="AK76" s="2"/>
      <c r="AL76" s="2"/>
      <c r="AM76" s="2"/>
      <c r="AN76" s="2"/>
      <c r="AO76" s="2"/>
      <c r="AP76" s="2"/>
      <c r="AQ76" s="2"/>
      <c r="AR76" s="2"/>
      <c r="AS76" s="2"/>
      <c r="AT76" s="2"/>
    </row>
    <row r="77" spans="1:46" ht="15">
      <c r="A77" s="2"/>
      <c r="B77" s="395">
        <v>68</v>
      </c>
      <c r="C77" s="390" t="str">
        <f>IF(Aircraft!$F71="","",IF(LEFT(Aircraft!$F71,1)="N",Aircraft!$F71,CONCATENATE("N",Aircraft!$F71)))</f>
        <v/>
      </c>
      <c r="D77" s="109"/>
      <c r="E77" s="902" t="str">
        <f>IFERROR(IF(Aircraft!N71="Y",CONCATENATE(VLOOKUP(Aircraft!$C71,Aircraftlist,29)," (FLOAT)"),VLOOKUP(Aircraft!$C71,Aircraftlist,29)),"")</f>
        <v/>
      </c>
      <c r="F77" s="903"/>
      <c r="G77" s="2"/>
      <c r="H77" s="104"/>
      <c r="I77" s="2"/>
      <c r="J77" s="104"/>
      <c r="K77" s="2"/>
      <c r="L77" s="117" t="str">
        <f>Worksheet_Com!M73</f>
        <v/>
      </c>
      <c r="M77" s="2"/>
      <c r="N77" s="116" t="str">
        <f>Worksheet_Com!L73</f>
        <v/>
      </c>
      <c r="O77" s="2"/>
      <c r="P77" s="116" t="str">
        <f>Worksheet_Com!N73</f>
        <v/>
      </c>
      <c r="Q77" s="2"/>
      <c r="R77" s="107"/>
      <c r="S77" s="2"/>
      <c r="T77" s="107"/>
      <c r="U77" s="2"/>
      <c r="V77" s="390" t="str">
        <f>IF(Aircraft!$F71="","",IF(LEFT(Aircraft!$F71,1)="N",Aircraft!$F71,CONCATENATE("N",Aircraft!$F71)))</f>
        <v/>
      </c>
      <c r="W77" s="2"/>
      <c r="X77" s="108" t="str">
        <f>Worksheet_Com!P73</f>
        <v/>
      </c>
      <c r="Y77" s="2"/>
      <c r="Z77" s="108" t="str">
        <f>Worksheet_Com!O73</f>
        <v/>
      </c>
      <c r="AA77" s="2"/>
      <c r="AB77" s="108" t="str">
        <f>Worksheet_Com!Q73</f>
        <v/>
      </c>
      <c r="AC77" s="790" t="s">
        <v>11</v>
      </c>
      <c r="AD77" s="789"/>
      <c r="AE77" s="103">
        <v>0</v>
      </c>
      <c r="AF77" s="42"/>
      <c r="AG77" s="108" t="str">
        <f t="shared" si="1"/>
        <v/>
      </c>
      <c r="AH77" s="2"/>
      <c r="AI77" s="390" t="str">
        <f>'Com Quote'!L78</f>
        <v/>
      </c>
      <c r="AJ77" s="2"/>
      <c r="AK77" s="2"/>
      <c r="AL77" s="2"/>
      <c r="AM77" s="2"/>
      <c r="AN77" s="2"/>
      <c r="AO77" s="2"/>
      <c r="AP77" s="2"/>
      <c r="AQ77" s="2"/>
      <c r="AR77" s="2"/>
      <c r="AS77" s="2"/>
      <c r="AT77" s="2"/>
    </row>
    <row r="78" spans="1:46" ht="15">
      <c r="A78" s="2"/>
      <c r="B78" s="395">
        <v>69</v>
      </c>
      <c r="C78" s="390" t="str">
        <f>IF(Aircraft!$F72="","",IF(LEFT(Aircraft!$F72,1)="N",Aircraft!$F72,CONCATENATE("N",Aircraft!$F72)))</f>
        <v/>
      </c>
      <c r="D78" s="109"/>
      <c r="E78" s="902" t="str">
        <f>IFERROR(IF(Aircraft!N72="Y",CONCATENATE(VLOOKUP(Aircraft!$C72,Aircraftlist,29)," (FLOAT)"),VLOOKUP(Aircraft!$C72,Aircraftlist,29)),"")</f>
        <v/>
      </c>
      <c r="F78" s="903"/>
      <c r="G78" s="2"/>
      <c r="H78" s="104"/>
      <c r="I78" s="2"/>
      <c r="J78" s="104"/>
      <c r="K78" s="2"/>
      <c r="L78" s="117" t="str">
        <f>Worksheet_Com!M74</f>
        <v/>
      </c>
      <c r="M78" s="2"/>
      <c r="N78" s="116" t="str">
        <f>Worksheet_Com!L74</f>
        <v/>
      </c>
      <c r="O78" s="2"/>
      <c r="P78" s="116" t="str">
        <f>Worksheet_Com!N74</f>
        <v/>
      </c>
      <c r="Q78" s="2"/>
      <c r="R78" s="107"/>
      <c r="S78" s="2"/>
      <c r="T78" s="107"/>
      <c r="U78" s="2"/>
      <c r="V78" s="390" t="str">
        <f>IF(Aircraft!$F72="","",IF(LEFT(Aircraft!$F72,1)="N",Aircraft!$F72,CONCATENATE("N",Aircraft!$F72)))</f>
        <v/>
      </c>
      <c r="W78" s="2"/>
      <c r="X78" s="108" t="str">
        <f>Worksheet_Com!P74</f>
        <v/>
      </c>
      <c r="Y78" s="2"/>
      <c r="Z78" s="108" t="str">
        <f>Worksheet_Com!O74</f>
        <v/>
      </c>
      <c r="AA78" s="2"/>
      <c r="AB78" s="108" t="str">
        <f>Worksheet_Com!Q74</f>
        <v/>
      </c>
      <c r="AC78" s="790" t="s">
        <v>11</v>
      </c>
      <c r="AD78" s="789"/>
      <c r="AE78" s="103">
        <v>0</v>
      </c>
      <c r="AF78" s="42"/>
      <c r="AG78" s="108" t="str">
        <f t="shared" si="1"/>
        <v/>
      </c>
      <c r="AH78" s="2"/>
      <c r="AI78" s="390" t="str">
        <f>'Com Quote'!L79</f>
        <v/>
      </c>
      <c r="AJ78" s="2"/>
      <c r="AK78" s="2"/>
      <c r="AL78" s="2"/>
      <c r="AM78" s="2"/>
      <c r="AN78" s="2"/>
      <c r="AO78" s="2"/>
      <c r="AP78" s="2"/>
      <c r="AQ78" s="2"/>
      <c r="AR78" s="2"/>
      <c r="AS78" s="2"/>
      <c r="AT78" s="2"/>
    </row>
    <row r="79" spans="1:46" ht="15">
      <c r="A79" s="2"/>
      <c r="B79" s="395">
        <v>70</v>
      </c>
      <c r="C79" s="390" t="str">
        <f>IF(Aircraft!$F73="","",IF(LEFT(Aircraft!$F73,1)="N",Aircraft!$F73,CONCATENATE("N",Aircraft!$F73)))</f>
        <v/>
      </c>
      <c r="D79" s="109"/>
      <c r="E79" s="902" t="str">
        <f>IFERROR(IF(Aircraft!N73="Y",CONCATENATE(VLOOKUP(Aircraft!$C73,Aircraftlist,29)," (FLOAT)"),VLOOKUP(Aircraft!$C73,Aircraftlist,29)),"")</f>
        <v/>
      </c>
      <c r="F79" s="903"/>
      <c r="G79" s="2"/>
      <c r="H79" s="104"/>
      <c r="I79" s="2"/>
      <c r="J79" s="104"/>
      <c r="K79" s="2"/>
      <c r="L79" s="117" t="str">
        <f>Worksheet_Com!M75</f>
        <v/>
      </c>
      <c r="M79" s="2"/>
      <c r="N79" s="116" t="str">
        <f>Worksheet_Com!L75</f>
        <v/>
      </c>
      <c r="O79" s="2"/>
      <c r="P79" s="116" t="str">
        <f>Worksheet_Com!N75</f>
        <v/>
      </c>
      <c r="Q79" s="2"/>
      <c r="R79" s="107"/>
      <c r="S79" s="2"/>
      <c r="T79" s="107"/>
      <c r="U79" s="2"/>
      <c r="V79" s="390" t="str">
        <f>IF(Aircraft!$F73="","",IF(LEFT(Aircraft!$F73,1)="N",Aircraft!$F73,CONCATENATE("N",Aircraft!$F73)))</f>
        <v/>
      </c>
      <c r="W79" s="2"/>
      <c r="X79" s="108" t="str">
        <f>Worksheet_Com!P75</f>
        <v/>
      </c>
      <c r="Y79" s="2"/>
      <c r="Z79" s="108" t="str">
        <f>Worksheet_Com!O75</f>
        <v/>
      </c>
      <c r="AA79" s="2"/>
      <c r="AB79" s="108" t="str">
        <f>Worksheet_Com!Q75</f>
        <v/>
      </c>
      <c r="AC79" s="790" t="s">
        <v>11</v>
      </c>
      <c r="AD79" s="789"/>
      <c r="AE79" s="103">
        <v>0</v>
      </c>
      <c r="AF79" s="42"/>
      <c r="AG79" s="108" t="str">
        <f t="shared" si="1"/>
        <v/>
      </c>
      <c r="AH79" s="2"/>
      <c r="AI79" s="390" t="str">
        <f>'Com Quote'!L80</f>
        <v/>
      </c>
      <c r="AJ79" s="2"/>
      <c r="AK79" s="2"/>
      <c r="AL79" s="2"/>
      <c r="AM79" s="2"/>
      <c r="AN79" s="2"/>
      <c r="AO79" s="2"/>
      <c r="AP79" s="2"/>
      <c r="AQ79" s="2"/>
      <c r="AR79" s="2"/>
      <c r="AS79" s="2"/>
      <c r="AT79" s="2"/>
    </row>
    <row r="80" spans="1:46" ht="15">
      <c r="A80" s="2"/>
      <c r="B80" s="395">
        <v>71</v>
      </c>
      <c r="C80" s="390" t="str">
        <f>IF(Aircraft!$F74="","",IF(LEFT(Aircraft!$F74,1)="N",Aircraft!$F74,CONCATENATE("N",Aircraft!$F74)))</f>
        <v/>
      </c>
      <c r="D80" s="109"/>
      <c r="E80" s="902" t="str">
        <f>IFERROR(IF(Aircraft!N74="Y",CONCATENATE(VLOOKUP(Aircraft!$C74,Aircraftlist,29)," (FLOAT)"),VLOOKUP(Aircraft!$C74,Aircraftlist,29)),"")</f>
        <v/>
      </c>
      <c r="F80" s="903"/>
      <c r="G80" s="2"/>
      <c r="H80" s="104"/>
      <c r="I80" s="2"/>
      <c r="J80" s="104"/>
      <c r="K80" s="2"/>
      <c r="L80" s="117" t="str">
        <f>Worksheet_Com!M76</f>
        <v/>
      </c>
      <c r="M80" s="2"/>
      <c r="N80" s="116" t="str">
        <f>Worksheet_Com!L76</f>
        <v/>
      </c>
      <c r="O80" s="2"/>
      <c r="P80" s="116" t="str">
        <f>Worksheet_Com!N76</f>
        <v/>
      </c>
      <c r="Q80" s="2"/>
      <c r="R80" s="107"/>
      <c r="S80" s="2"/>
      <c r="T80" s="107"/>
      <c r="U80" s="2"/>
      <c r="V80" s="390" t="str">
        <f>IF(Aircraft!$F74="","",IF(LEFT(Aircraft!$F74,1)="N",Aircraft!$F74,CONCATENATE("N",Aircraft!$F74)))</f>
        <v/>
      </c>
      <c r="W80" s="2"/>
      <c r="X80" s="108" t="str">
        <f>Worksheet_Com!P76</f>
        <v/>
      </c>
      <c r="Y80" s="2"/>
      <c r="Z80" s="108" t="str">
        <f>Worksheet_Com!O76</f>
        <v/>
      </c>
      <c r="AA80" s="2"/>
      <c r="AB80" s="108" t="str">
        <f>Worksheet_Com!Q76</f>
        <v/>
      </c>
      <c r="AC80" s="790" t="s">
        <v>11</v>
      </c>
      <c r="AD80" s="789"/>
      <c r="AE80" s="103">
        <v>0</v>
      </c>
      <c r="AF80" s="42"/>
      <c r="AG80" s="108" t="str">
        <f t="shared" si="1"/>
        <v/>
      </c>
      <c r="AH80" s="2"/>
      <c r="AI80" s="390" t="str">
        <f>'Com Quote'!L81</f>
        <v/>
      </c>
      <c r="AJ80" s="2"/>
      <c r="AK80" s="2"/>
      <c r="AL80" s="2"/>
      <c r="AM80" s="2"/>
      <c r="AN80" s="2"/>
      <c r="AO80" s="2"/>
      <c r="AP80" s="2"/>
      <c r="AQ80" s="2"/>
      <c r="AR80" s="2"/>
      <c r="AS80" s="2"/>
      <c r="AT80" s="2"/>
    </row>
    <row r="81" spans="1:46" ht="15">
      <c r="A81" s="2"/>
      <c r="B81" s="395">
        <v>72</v>
      </c>
      <c r="C81" s="390" t="str">
        <f>IF(Aircraft!$F75="","",IF(LEFT(Aircraft!$F75,1)="N",Aircraft!$F75,CONCATENATE("N",Aircraft!$F75)))</f>
        <v/>
      </c>
      <c r="D81" s="109"/>
      <c r="E81" s="902" t="str">
        <f>IFERROR(IF(Aircraft!N75="Y",CONCATENATE(VLOOKUP(Aircraft!$C75,Aircraftlist,29)," (FLOAT)"),VLOOKUP(Aircraft!$C75,Aircraftlist,29)),"")</f>
        <v/>
      </c>
      <c r="F81" s="903"/>
      <c r="G81" s="2"/>
      <c r="H81" s="104"/>
      <c r="I81" s="2"/>
      <c r="J81" s="104"/>
      <c r="K81" s="2"/>
      <c r="L81" s="117" t="str">
        <f>Worksheet_Com!M77</f>
        <v/>
      </c>
      <c r="M81" s="2"/>
      <c r="N81" s="116" t="str">
        <f>Worksheet_Com!L77</f>
        <v/>
      </c>
      <c r="O81" s="2"/>
      <c r="P81" s="116" t="str">
        <f>Worksheet_Com!N77</f>
        <v/>
      </c>
      <c r="Q81" s="2"/>
      <c r="R81" s="107"/>
      <c r="S81" s="2"/>
      <c r="T81" s="107"/>
      <c r="U81" s="2"/>
      <c r="V81" s="390" t="str">
        <f>IF(Aircraft!$F75="","",IF(LEFT(Aircraft!$F75,1)="N",Aircraft!$F75,CONCATENATE("N",Aircraft!$F75)))</f>
        <v/>
      </c>
      <c r="W81" s="2"/>
      <c r="X81" s="108" t="str">
        <f>Worksheet_Com!P77</f>
        <v/>
      </c>
      <c r="Y81" s="2"/>
      <c r="Z81" s="108" t="str">
        <f>Worksheet_Com!O77</f>
        <v/>
      </c>
      <c r="AA81" s="2"/>
      <c r="AB81" s="108" t="str">
        <f>Worksheet_Com!Q77</f>
        <v/>
      </c>
      <c r="AC81" s="790" t="s">
        <v>11</v>
      </c>
      <c r="AD81" s="789"/>
      <c r="AE81" s="103">
        <v>0</v>
      </c>
      <c r="AF81" s="42"/>
      <c r="AG81" s="108" t="str">
        <f t="shared" si="1"/>
        <v/>
      </c>
      <c r="AH81" s="2"/>
      <c r="AI81" s="390" t="str">
        <f>'Com Quote'!L82</f>
        <v/>
      </c>
      <c r="AJ81" s="2"/>
      <c r="AK81" s="2"/>
      <c r="AL81" s="2"/>
      <c r="AM81" s="2"/>
      <c r="AN81" s="2"/>
      <c r="AO81" s="2"/>
      <c r="AP81" s="2"/>
      <c r="AQ81" s="2"/>
      <c r="AR81" s="2"/>
      <c r="AS81" s="2"/>
      <c r="AT81" s="2"/>
    </row>
    <row r="82" spans="1:46" ht="15">
      <c r="A82" s="2"/>
      <c r="B82" s="395">
        <v>73</v>
      </c>
      <c r="C82" s="390" t="str">
        <f>IF(Aircraft!$F76="","",IF(LEFT(Aircraft!$F76,1)="N",Aircraft!$F76,CONCATENATE("N",Aircraft!$F76)))</f>
        <v/>
      </c>
      <c r="D82" s="109"/>
      <c r="E82" s="902" t="str">
        <f>IFERROR(IF(Aircraft!N76="Y",CONCATENATE(VLOOKUP(Aircraft!$C76,Aircraftlist,29)," (FLOAT)"),VLOOKUP(Aircraft!$C76,Aircraftlist,29)),"")</f>
        <v/>
      </c>
      <c r="F82" s="903"/>
      <c r="G82" s="2"/>
      <c r="H82" s="104"/>
      <c r="I82" s="2"/>
      <c r="J82" s="104"/>
      <c r="K82" s="2"/>
      <c r="L82" s="117" t="str">
        <f>Worksheet_Com!M78</f>
        <v/>
      </c>
      <c r="M82" s="2"/>
      <c r="N82" s="116" t="str">
        <f>Worksheet_Com!L78</f>
        <v/>
      </c>
      <c r="O82" s="2"/>
      <c r="P82" s="116" t="str">
        <f>Worksheet_Com!N78</f>
        <v/>
      </c>
      <c r="Q82" s="2"/>
      <c r="R82" s="107"/>
      <c r="S82" s="2"/>
      <c r="T82" s="107"/>
      <c r="U82" s="2"/>
      <c r="V82" s="390" t="str">
        <f>IF(Aircraft!$F76="","",IF(LEFT(Aircraft!$F76,1)="N",Aircraft!$F76,CONCATENATE("N",Aircraft!$F76)))</f>
        <v/>
      </c>
      <c r="W82" s="2"/>
      <c r="X82" s="108" t="str">
        <f>Worksheet_Com!P78</f>
        <v/>
      </c>
      <c r="Y82" s="2"/>
      <c r="Z82" s="108" t="str">
        <f>Worksheet_Com!O78</f>
        <v/>
      </c>
      <c r="AA82" s="2"/>
      <c r="AB82" s="108" t="str">
        <f>Worksheet_Com!Q78</f>
        <v/>
      </c>
      <c r="AC82" s="790" t="s">
        <v>11</v>
      </c>
      <c r="AD82" s="789"/>
      <c r="AE82" s="103">
        <v>0</v>
      </c>
      <c r="AF82" s="42"/>
      <c r="AG82" s="108" t="str">
        <f t="shared" si="1"/>
        <v/>
      </c>
      <c r="AH82" s="2"/>
      <c r="AI82" s="390" t="str">
        <f>'Com Quote'!L83</f>
        <v/>
      </c>
      <c r="AJ82" s="2"/>
      <c r="AK82" s="2"/>
      <c r="AL82" s="2"/>
      <c r="AM82" s="2"/>
      <c r="AN82" s="2"/>
      <c r="AO82" s="2"/>
      <c r="AP82" s="2"/>
      <c r="AQ82" s="2"/>
      <c r="AR82" s="2"/>
      <c r="AS82" s="2"/>
      <c r="AT82" s="2"/>
    </row>
    <row r="83" spans="1:46" ht="15">
      <c r="A83" s="2"/>
      <c r="B83" s="395">
        <v>74</v>
      </c>
      <c r="C83" s="390" t="str">
        <f>IF(Aircraft!$F77="","",IF(LEFT(Aircraft!$F77,1)="N",Aircraft!$F77,CONCATENATE("N",Aircraft!$F77)))</f>
        <v/>
      </c>
      <c r="D83" s="109"/>
      <c r="E83" s="902" t="str">
        <f>IFERROR(IF(Aircraft!N77="Y",CONCATENATE(VLOOKUP(Aircraft!$C77,Aircraftlist,29)," (FLOAT)"),VLOOKUP(Aircraft!$C77,Aircraftlist,29)),"")</f>
        <v/>
      </c>
      <c r="F83" s="903"/>
      <c r="G83" s="2"/>
      <c r="H83" s="104"/>
      <c r="I83" s="2"/>
      <c r="J83" s="104"/>
      <c r="K83" s="2"/>
      <c r="L83" s="117" t="str">
        <f>Worksheet_Com!M79</f>
        <v/>
      </c>
      <c r="M83" s="2"/>
      <c r="N83" s="116" t="str">
        <f>Worksheet_Com!L79</f>
        <v/>
      </c>
      <c r="O83" s="2"/>
      <c r="P83" s="116" t="str">
        <f>Worksheet_Com!N79</f>
        <v/>
      </c>
      <c r="Q83" s="2"/>
      <c r="R83" s="107"/>
      <c r="S83" s="2"/>
      <c r="T83" s="107"/>
      <c r="U83" s="2"/>
      <c r="V83" s="390" t="str">
        <f>IF(Aircraft!$F77="","",IF(LEFT(Aircraft!$F77,1)="N",Aircraft!$F77,CONCATENATE("N",Aircraft!$F77)))</f>
        <v/>
      </c>
      <c r="W83" s="2"/>
      <c r="X83" s="108" t="str">
        <f>Worksheet_Com!P79</f>
        <v/>
      </c>
      <c r="Y83" s="2"/>
      <c r="Z83" s="108" t="str">
        <f>Worksheet_Com!O79</f>
        <v/>
      </c>
      <c r="AA83" s="2"/>
      <c r="AB83" s="108" t="str">
        <f>Worksheet_Com!Q79</f>
        <v/>
      </c>
      <c r="AC83" s="790" t="s">
        <v>11</v>
      </c>
      <c r="AD83" s="789"/>
      <c r="AE83" s="103">
        <v>0</v>
      </c>
      <c r="AF83" s="42"/>
      <c r="AG83" s="108" t="str">
        <f t="shared" si="1"/>
        <v/>
      </c>
      <c r="AH83" s="2"/>
      <c r="AI83" s="390" t="str">
        <f>'Com Quote'!L84</f>
        <v/>
      </c>
      <c r="AJ83" s="2"/>
      <c r="AK83" s="2"/>
      <c r="AL83" s="2"/>
      <c r="AM83" s="2"/>
      <c r="AN83" s="2"/>
      <c r="AO83" s="2"/>
      <c r="AP83" s="2"/>
      <c r="AQ83" s="2"/>
      <c r="AR83" s="2"/>
      <c r="AS83" s="2"/>
      <c r="AT83" s="2"/>
    </row>
    <row r="84" spans="1:46" ht="15">
      <c r="A84" s="2"/>
      <c r="B84" s="395">
        <v>75</v>
      </c>
      <c r="C84" s="390" t="str">
        <f>IF(Aircraft!$F78="","",IF(LEFT(Aircraft!$F78,1)="N",Aircraft!$F78,CONCATENATE("N",Aircraft!$F78)))</f>
        <v/>
      </c>
      <c r="D84" s="109"/>
      <c r="E84" s="902" t="str">
        <f>IFERROR(IF(Aircraft!N78="Y",CONCATENATE(VLOOKUP(Aircraft!$C78,Aircraftlist,29)," (FLOAT)"),VLOOKUP(Aircraft!$C78,Aircraftlist,29)),"")</f>
        <v/>
      </c>
      <c r="F84" s="903"/>
      <c r="G84" s="2"/>
      <c r="H84" s="104"/>
      <c r="I84" s="2"/>
      <c r="J84" s="104"/>
      <c r="K84" s="2"/>
      <c r="L84" s="117" t="str">
        <f>Worksheet_Com!M80</f>
        <v/>
      </c>
      <c r="M84" s="2"/>
      <c r="N84" s="116" t="str">
        <f>Worksheet_Com!L80</f>
        <v/>
      </c>
      <c r="O84" s="2"/>
      <c r="P84" s="116" t="str">
        <f>Worksheet_Com!N80</f>
        <v/>
      </c>
      <c r="Q84" s="2"/>
      <c r="R84" s="107"/>
      <c r="S84" s="2"/>
      <c r="T84" s="107"/>
      <c r="U84" s="2"/>
      <c r="V84" s="390" t="str">
        <f>IF(Aircraft!$F78="","",IF(LEFT(Aircraft!$F78,1)="N",Aircraft!$F78,CONCATENATE("N",Aircraft!$F78)))</f>
        <v/>
      </c>
      <c r="W84" s="2"/>
      <c r="X84" s="108" t="str">
        <f>Worksheet_Com!P80</f>
        <v/>
      </c>
      <c r="Y84" s="2"/>
      <c r="Z84" s="108" t="str">
        <f>Worksheet_Com!O80</f>
        <v/>
      </c>
      <c r="AA84" s="2"/>
      <c r="AB84" s="108" t="str">
        <f>Worksheet_Com!Q80</f>
        <v/>
      </c>
      <c r="AC84" s="790" t="s">
        <v>11</v>
      </c>
      <c r="AD84" s="789"/>
      <c r="AE84" s="103">
        <v>0</v>
      </c>
      <c r="AF84" s="42"/>
      <c r="AG84" s="108" t="str">
        <f t="shared" si="1"/>
        <v/>
      </c>
      <c r="AH84" s="2"/>
      <c r="AI84" s="390" t="str">
        <f>'Com Quote'!L85</f>
        <v/>
      </c>
      <c r="AJ84" s="2"/>
      <c r="AK84" s="2"/>
      <c r="AL84" s="2"/>
      <c r="AM84" s="2"/>
      <c r="AN84" s="2"/>
      <c r="AO84" s="2"/>
      <c r="AP84" s="2"/>
      <c r="AQ84" s="2"/>
      <c r="AR84" s="2"/>
      <c r="AS84" s="2"/>
      <c r="AT84" s="2"/>
    </row>
    <row r="85" spans="1:46" ht="15">
      <c r="A85" s="2"/>
      <c r="B85" s="395">
        <v>76</v>
      </c>
      <c r="C85" s="390" t="str">
        <f>IF(Aircraft!$F79="","",IF(LEFT(Aircraft!$F79,1)="N",Aircraft!$F79,CONCATENATE("N",Aircraft!$F79)))</f>
        <v/>
      </c>
      <c r="D85" s="109"/>
      <c r="E85" s="902" t="str">
        <f>IFERROR(IF(Aircraft!N79="Y",CONCATENATE(VLOOKUP(Aircraft!$C79,Aircraftlist,29)," (FLOAT)"),VLOOKUP(Aircraft!$C79,Aircraftlist,29)),"")</f>
        <v/>
      </c>
      <c r="F85" s="903"/>
      <c r="G85" s="2"/>
      <c r="H85" s="104"/>
      <c r="I85" s="2"/>
      <c r="J85" s="104"/>
      <c r="K85" s="2"/>
      <c r="L85" s="117" t="str">
        <f>Worksheet_Com!M81</f>
        <v/>
      </c>
      <c r="M85" s="2"/>
      <c r="N85" s="116" t="str">
        <f>Worksheet_Com!L81</f>
        <v/>
      </c>
      <c r="O85" s="2"/>
      <c r="P85" s="116" t="str">
        <f>Worksheet_Com!N81</f>
        <v/>
      </c>
      <c r="Q85" s="2"/>
      <c r="R85" s="107"/>
      <c r="S85" s="2"/>
      <c r="T85" s="107"/>
      <c r="U85" s="2"/>
      <c r="V85" s="390" t="str">
        <f>IF(Aircraft!$F79="","",IF(LEFT(Aircraft!$F79,1)="N",Aircraft!$F79,CONCATENATE("N",Aircraft!$F79)))</f>
        <v/>
      </c>
      <c r="W85" s="2"/>
      <c r="X85" s="108" t="str">
        <f>Worksheet_Com!P81</f>
        <v/>
      </c>
      <c r="Y85" s="2"/>
      <c r="Z85" s="108" t="str">
        <f>Worksheet_Com!O81</f>
        <v/>
      </c>
      <c r="AA85" s="2"/>
      <c r="AB85" s="108" t="str">
        <f>Worksheet_Com!Q81</f>
        <v/>
      </c>
      <c r="AC85" s="790" t="s">
        <v>11</v>
      </c>
      <c r="AD85" s="789"/>
      <c r="AE85" s="103">
        <v>0</v>
      </c>
      <c r="AF85" s="42"/>
      <c r="AG85" s="108" t="str">
        <f t="shared" si="1"/>
        <v/>
      </c>
      <c r="AH85" s="2"/>
      <c r="AI85" s="390" t="str">
        <f>'Com Quote'!L86</f>
        <v/>
      </c>
      <c r="AJ85" s="2"/>
      <c r="AK85" s="2"/>
      <c r="AL85" s="2"/>
      <c r="AM85" s="2"/>
      <c r="AN85" s="2"/>
      <c r="AO85" s="2"/>
      <c r="AP85" s="2"/>
      <c r="AQ85" s="2"/>
      <c r="AR85" s="2"/>
      <c r="AS85" s="2"/>
      <c r="AT85" s="2"/>
    </row>
    <row r="86" spans="1:46" ht="15">
      <c r="A86" s="2"/>
      <c r="B86" s="395">
        <v>77</v>
      </c>
      <c r="C86" s="390" t="str">
        <f>IF(Aircraft!$F80="","",IF(LEFT(Aircraft!$F80,1)="N",Aircraft!$F80,CONCATENATE("N",Aircraft!$F80)))</f>
        <v/>
      </c>
      <c r="D86" s="109"/>
      <c r="E86" s="902" t="str">
        <f>IFERROR(IF(Aircraft!N80="Y",CONCATENATE(VLOOKUP(Aircraft!$C80,Aircraftlist,29)," (FLOAT)"),VLOOKUP(Aircraft!$C80,Aircraftlist,29)),"")</f>
        <v/>
      </c>
      <c r="F86" s="903"/>
      <c r="G86" s="2"/>
      <c r="H86" s="104"/>
      <c r="I86" s="2"/>
      <c r="J86" s="104"/>
      <c r="K86" s="2"/>
      <c r="L86" s="117" t="str">
        <f>Worksheet_Com!M82</f>
        <v/>
      </c>
      <c r="M86" s="2"/>
      <c r="N86" s="116" t="str">
        <f>Worksheet_Com!L82</f>
        <v/>
      </c>
      <c r="O86" s="2"/>
      <c r="P86" s="116" t="str">
        <f>Worksheet_Com!N82</f>
        <v/>
      </c>
      <c r="Q86" s="2"/>
      <c r="R86" s="107"/>
      <c r="S86" s="2"/>
      <c r="T86" s="107"/>
      <c r="U86" s="2"/>
      <c r="V86" s="390" t="str">
        <f>IF(Aircraft!$F80="","",IF(LEFT(Aircraft!$F80,1)="N",Aircraft!$F80,CONCATENATE("N",Aircraft!$F80)))</f>
        <v/>
      </c>
      <c r="W86" s="2"/>
      <c r="X86" s="108" t="str">
        <f>Worksheet_Com!P82</f>
        <v/>
      </c>
      <c r="Y86" s="2"/>
      <c r="Z86" s="108" t="str">
        <f>Worksheet_Com!O82</f>
        <v/>
      </c>
      <c r="AA86" s="2"/>
      <c r="AB86" s="108" t="str">
        <f>Worksheet_Com!Q82</f>
        <v/>
      </c>
      <c r="AC86" s="790" t="s">
        <v>11</v>
      </c>
      <c r="AD86" s="789"/>
      <c r="AE86" s="103">
        <v>0</v>
      </c>
      <c r="AF86" s="42"/>
      <c r="AG86" s="108" t="str">
        <f t="shared" si="1"/>
        <v/>
      </c>
      <c r="AH86" s="2"/>
      <c r="AI86" s="390" t="str">
        <f>'Com Quote'!L87</f>
        <v/>
      </c>
      <c r="AJ86" s="2"/>
      <c r="AK86" s="2"/>
      <c r="AL86" s="2"/>
      <c r="AM86" s="2"/>
      <c r="AN86" s="2"/>
      <c r="AO86" s="2"/>
      <c r="AP86" s="2"/>
      <c r="AQ86" s="2"/>
      <c r="AR86" s="2"/>
      <c r="AS86" s="2"/>
      <c r="AT86" s="2"/>
    </row>
    <row r="87" spans="1:46" ht="15">
      <c r="A87" s="2"/>
      <c r="B87" s="395">
        <v>78</v>
      </c>
      <c r="C87" s="390" t="str">
        <f>IF(Aircraft!$F81="","",IF(LEFT(Aircraft!$F81,1)="N",Aircraft!$F81,CONCATENATE("N",Aircraft!$F81)))</f>
        <v/>
      </c>
      <c r="D87" s="109"/>
      <c r="E87" s="902" t="str">
        <f>IFERROR(IF(Aircraft!N81="Y",CONCATENATE(VLOOKUP(Aircraft!$C81,Aircraftlist,29)," (FLOAT)"),VLOOKUP(Aircraft!$C81,Aircraftlist,29)),"")</f>
        <v/>
      </c>
      <c r="F87" s="903"/>
      <c r="G87" s="2"/>
      <c r="H87" s="104"/>
      <c r="I87" s="2"/>
      <c r="J87" s="104"/>
      <c r="K87" s="2"/>
      <c r="L87" s="117" t="str">
        <f>Worksheet_Com!M83</f>
        <v/>
      </c>
      <c r="M87" s="2"/>
      <c r="N87" s="116" t="str">
        <f>Worksheet_Com!L83</f>
        <v/>
      </c>
      <c r="O87" s="2"/>
      <c r="P87" s="116" t="str">
        <f>Worksheet_Com!N83</f>
        <v/>
      </c>
      <c r="Q87" s="2"/>
      <c r="R87" s="107"/>
      <c r="S87" s="2"/>
      <c r="T87" s="107"/>
      <c r="U87" s="2"/>
      <c r="V87" s="390" t="str">
        <f>IF(Aircraft!$F81="","",IF(LEFT(Aircraft!$F81,1)="N",Aircraft!$F81,CONCATENATE("N",Aircraft!$F81)))</f>
        <v/>
      </c>
      <c r="W87" s="2"/>
      <c r="X87" s="108" t="str">
        <f>Worksheet_Com!P83</f>
        <v/>
      </c>
      <c r="Y87" s="2"/>
      <c r="Z87" s="108" t="str">
        <f>Worksheet_Com!O83</f>
        <v/>
      </c>
      <c r="AA87" s="2"/>
      <c r="AB87" s="108" t="str">
        <f>Worksheet_Com!Q83</f>
        <v/>
      </c>
      <c r="AC87" s="790" t="s">
        <v>11</v>
      </c>
      <c r="AD87" s="789"/>
      <c r="AE87" s="103">
        <v>0</v>
      </c>
      <c r="AF87" s="42"/>
      <c r="AG87" s="108" t="str">
        <f t="shared" si="1"/>
        <v/>
      </c>
      <c r="AH87" s="2"/>
      <c r="AI87" s="390" t="str">
        <f>'Com Quote'!L88</f>
        <v/>
      </c>
      <c r="AJ87" s="2"/>
      <c r="AK87" s="2"/>
      <c r="AL87" s="2"/>
      <c r="AM87" s="2"/>
      <c r="AN87" s="2"/>
      <c r="AO87" s="2"/>
      <c r="AP87" s="2"/>
      <c r="AQ87" s="2"/>
      <c r="AR87" s="2"/>
      <c r="AS87" s="2"/>
      <c r="AT87" s="2"/>
    </row>
    <row r="88" spans="1:46" ht="15">
      <c r="A88" s="2"/>
      <c r="B88" s="395">
        <v>79</v>
      </c>
      <c r="C88" s="390" t="str">
        <f>IF(Aircraft!$F82="","",IF(LEFT(Aircraft!$F82,1)="N",Aircraft!$F82,CONCATENATE("N",Aircraft!$F82)))</f>
        <v/>
      </c>
      <c r="D88" s="109"/>
      <c r="E88" s="902" t="str">
        <f>IFERROR(IF(Aircraft!N82="Y",CONCATENATE(VLOOKUP(Aircraft!$C82,Aircraftlist,29)," (FLOAT)"),VLOOKUP(Aircraft!$C82,Aircraftlist,29)),"")</f>
        <v/>
      </c>
      <c r="F88" s="903"/>
      <c r="G88" s="2"/>
      <c r="H88" s="104"/>
      <c r="I88" s="2"/>
      <c r="J88" s="104"/>
      <c r="K88" s="2"/>
      <c r="L88" s="117" t="str">
        <f>Worksheet_Com!M84</f>
        <v/>
      </c>
      <c r="M88" s="2"/>
      <c r="N88" s="116" t="str">
        <f>Worksheet_Com!L84</f>
        <v/>
      </c>
      <c r="O88" s="2"/>
      <c r="P88" s="116" t="str">
        <f>Worksheet_Com!N84</f>
        <v/>
      </c>
      <c r="Q88" s="2"/>
      <c r="R88" s="107"/>
      <c r="S88" s="2"/>
      <c r="T88" s="107"/>
      <c r="U88" s="2"/>
      <c r="V88" s="390" t="str">
        <f>IF(Aircraft!$F82="","",IF(LEFT(Aircraft!$F82,1)="N",Aircraft!$F82,CONCATENATE("N",Aircraft!$F82)))</f>
        <v/>
      </c>
      <c r="W88" s="2"/>
      <c r="X88" s="108" t="str">
        <f>Worksheet_Com!P84</f>
        <v/>
      </c>
      <c r="Y88" s="2"/>
      <c r="Z88" s="108" t="str">
        <f>Worksheet_Com!O84</f>
        <v/>
      </c>
      <c r="AA88" s="2"/>
      <c r="AB88" s="108" t="str">
        <f>Worksheet_Com!Q84</f>
        <v/>
      </c>
      <c r="AC88" s="790" t="s">
        <v>11</v>
      </c>
      <c r="AD88" s="789"/>
      <c r="AE88" s="103">
        <v>0</v>
      </c>
      <c r="AF88" s="42"/>
      <c r="AG88" s="108" t="str">
        <f t="shared" si="1"/>
        <v/>
      </c>
      <c r="AH88" s="2"/>
      <c r="AI88" s="390" t="str">
        <f>'Com Quote'!L89</f>
        <v/>
      </c>
      <c r="AJ88" s="2"/>
      <c r="AK88" s="2"/>
      <c r="AL88" s="2"/>
      <c r="AM88" s="2"/>
      <c r="AN88" s="2"/>
      <c r="AO88" s="2"/>
      <c r="AP88" s="2"/>
      <c r="AQ88" s="2"/>
      <c r="AR88" s="2"/>
      <c r="AS88" s="2"/>
      <c r="AT88" s="2"/>
    </row>
    <row r="89" spans="1:46" ht="15">
      <c r="A89" s="2"/>
      <c r="B89" s="395">
        <v>80</v>
      </c>
      <c r="C89" s="390" t="str">
        <f>IF(Aircraft!$F83="","",IF(LEFT(Aircraft!$F83,1)="N",Aircraft!$F83,CONCATENATE("N",Aircraft!$F83)))</f>
        <v/>
      </c>
      <c r="D89" s="109"/>
      <c r="E89" s="902" t="str">
        <f>IFERROR(IF(Aircraft!N83="Y",CONCATENATE(VLOOKUP(Aircraft!$C83,Aircraftlist,29)," (FLOAT)"),VLOOKUP(Aircraft!$C83,Aircraftlist,29)),"")</f>
        <v/>
      </c>
      <c r="F89" s="903"/>
      <c r="G89" s="2"/>
      <c r="H89" s="104"/>
      <c r="I89" s="2"/>
      <c r="J89" s="104"/>
      <c r="K89" s="2"/>
      <c r="L89" s="117" t="str">
        <f>Worksheet_Com!M85</f>
        <v/>
      </c>
      <c r="M89" s="2"/>
      <c r="N89" s="116" t="str">
        <f>Worksheet_Com!L85</f>
        <v/>
      </c>
      <c r="O89" s="2"/>
      <c r="P89" s="116" t="str">
        <f>Worksheet_Com!N85</f>
        <v/>
      </c>
      <c r="Q89" s="2"/>
      <c r="R89" s="107"/>
      <c r="S89" s="2"/>
      <c r="T89" s="107"/>
      <c r="U89" s="2"/>
      <c r="V89" s="390" t="str">
        <f>IF(Aircraft!$F83="","",IF(LEFT(Aircraft!$F83,1)="N",Aircraft!$F83,CONCATENATE("N",Aircraft!$F83)))</f>
        <v/>
      </c>
      <c r="W89" s="2"/>
      <c r="X89" s="108" t="str">
        <f>Worksheet_Com!P85</f>
        <v/>
      </c>
      <c r="Y89" s="2"/>
      <c r="Z89" s="108" t="str">
        <f>Worksheet_Com!O85</f>
        <v/>
      </c>
      <c r="AA89" s="2"/>
      <c r="AB89" s="108" t="str">
        <f>Worksheet_Com!Q85</f>
        <v/>
      </c>
      <c r="AC89" s="790" t="s">
        <v>11</v>
      </c>
      <c r="AD89" s="789"/>
      <c r="AE89" s="103">
        <v>0</v>
      </c>
      <c r="AF89" s="42"/>
      <c r="AG89" s="108" t="str">
        <f t="shared" si="1"/>
        <v/>
      </c>
      <c r="AH89" s="2"/>
      <c r="AI89" s="390" t="str">
        <f>'Com Quote'!L90</f>
        <v/>
      </c>
      <c r="AJ89" s="2"/>
      <c r="AK89" s="2"/>
      <c r="AL89" s="2"/>
      <c r="AM89" s="2"/>
      <c r="AN89" s="2"/>
      <c r="AO89" s="2"/>
      <c r="AP89" s="2"/>
      <c r="AQ89" s="2"/>
      <c r="AR89" s="2"/>
      <c r="AS89" s="2"/>
      <c r="AT89" s="2"/>
    </row>
    <row r="90" spans="1:46" ht="15">
      <c r="A90" s="2"/>
      <c r="B90" s="2"/>
      <c r="C90" s="2"/>
      <c r="D90" s="2"/>
      <c r="E90" s="2"/>
      <c r="F90" s="2"/>
      <c r="G90" s="2"/>
      <c r="H90" s="2"/>
      <c r="I90" s="2"/>
      <c r="J90" s="69">
        <f>COUNTIF(J10:J39,Worksheet_Com!AF6)</f>
        <v>1</v>
      </c>
      <c r="K90" s="2"/>
      <c r="L90" s="2"/>
      <c r="M90" s="2"/>
      <c r="N90" s="2"/>
      <c r="O90" s="2"/>
      <c r="P90" s="2"/>
      <c r="Q90" s="2"/>
      <c r="R90" s="2"/>
      <c r="S90" s="2"/>
      <c r="T90" s="2"/>
      <c r="U90" s="2"/>
      <c r="V90" s="2"/>
      <c r="W90" s="2"/>
      <c r="X90" s="42">
        <f ca="1">SUM(X10:X39)</f>
        <v>5971</v>
      </c>
      <c r="Y90" s="2"/>
      <c r="Z90" s="42">
        <f ca="1">SUM(Z10:Z39)</f>
        <v>34536</v>
      </c>
      <c r="AA90" s="2"/>
      <c r="AB90" s="42">
        <f>SUM(AB10:AB39)</f>
        <v>102</v>
      </c>
      <c r="AC90" s="42"/>
      <c r="AD90" s="789"/>
      <c r="AE90" s="42">
        <f>SUM(AE10:AE89)</f>
        <v>0</v>
      </c>
      <c r="AF90" s="2"/>
      <c r="AG90" s="42">
        <f ca="1">SUM(AG10:AG89)</f>
        <v>40609</v>
      </c>
      <c r="AH90" s="2"/>
      <c r="AI90" s="2"/>
      <c r="AJ90" s="2"/>
      <c r="AK90" s="2"/>
      <c r="AL90" s="2"/>
      <c r="AM90" s="2"/>
      <c r="AN90" s="2"/>
      <c r="AO90" s="2"/>
      <c r="AP90" s="2"/>
      <c r="AQ90" s="2"/>
      <c r="AR90" s="2"/>
      <c r="AS90" s="2"/>
      <c r="AT90" s="2"/>
    </row>
    <row r="91" spans="1:46" ht="15">
      <c r="A91" s="2"/>
      <c r="B91" s="2"/>
      <c r="C91" s="901" t="s">
        <v>1799</v>
      </c>
      <c r="D91" s="901"/>
      <c r="E91" s="901"/>
      <c r="F91" s="901"/>
      <c r="G91" s="901"/>
      <c r="H91" s="901"/>
      <c r="I91" s="2"/>
      <c r="J91" s="69">
        <f>COUNTIF(J10:J39,Worksheet_Com!AF7)</f>
        <v>0</v>
      </c>
      <c r="K91" s="2"/>
      <c r="L91" s="2"/>
      <c r="M91" s="2"/>
      <c r="N91" s="2"/>
      <c r="O91" s="2"/>
      <c r="P91" s="2"/>
      <c r="Q91" s="2"/>
      <c r="R91" s="2"/>
      <c r="S91" s="2"/>
      <c r="T91" s="2"/>
      <c r="U91" s="2"/>
      <c r="V91" s="2"/>
      <c r="W91" s="2"/>
      <c r="X91" s="2"/>
      <c r="Y91" s="2"/>
      <c r="Z91" s="2"/>
      <c r="AA91" s="2"/>
      <c r="AB91" s="2"/>
      <c r="AC91" s="2"/>
      <c r="AD91" s="789"/>
      <c r="AE91" s="2"/>
      <c r="AF91" s="2"/>
      <c r="AG91" s="2"/>
      <c r="AH91" s="2"/>
      <c r="AI91" s="2"/>
      <c r="AJ91" s="2"/>
      <c r="AK91" s="2"/>
      <c r="AL91" s="2"/>
      <c r="AM91" s="2"/>
      <c r="AN91" s="2"/>
      <c r="AO91" s="2"/>
      <c r="AP91" s="2"/>
      <c r="AQ91" s="2"/>
      <c r="AR91" s="2"/>
      <c r="AS91" s="2"/>
      <c r="AT91" s="2"/>
    </row>
    <row r="92" spans="1:46">
      <c r="A92" s="2"/>
      <c r="B92" s="2"/>
      <c r="C92" s="899" t="s">
        <v>1800</v>
      </c>
      <c r="D92" s="900"/>
      <c r="E92" s="900"/>
      <c r="F92" s="900"/>
      <c r="G92" s="900"/>
      <c r="H92" s="900"/>
      <c r="I92" s="2"/>
      <c r="J92" s="69">
        <f>COUNTIF(J10:J39,Worksheet_Com!AF8)</f>
        <v>1</v>
      </c>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row>
    <row r="93" spans="1:46">
      <c r="A93" s="2"/>
      <c r="B93" s="2"/>
      <c r="C93" s="900"/>
      <c r="D93" s="900"/>
      <c r="E93" s="900"/>
      <c r="F93" s="900"/>
      <c r="G93" s="900"/>
      <c r="H93" s="900"/>
      <c r="I93" s="2"/>
      <c r="J93" s="69">
        <f>COUNTIF(J10:J39,Worksheet_Com!AF9)</f>
        <v>0</v>
      </c>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row>
    <row r="94" spans="1:46">
      <c r="A94" s="2"/>
      <c r="B94" s="2"/>
      <c r="C94" s="900"/>
      <c r="D94" s="900"/>
      <c r="E94" s="900"/>
      <c r="F94" s="900"/>
      <c r="G94" s="900"/>
      <c r="H94" s="900"/>
      <c r="I94" s="2"/>
      <c r="J94" s="69">
        <f>COUNTIF(J10:J39,Worksheet_Com!AF10)</f>
        <v>0</v>
      </c>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row>
    <row r="95" spans="1:46">
      <c r="A95" s="2"/>
      <c r="B95" s="2"/>
      <c r="C95" s="900"/>
      <c r="D95" s="900"/>
      <c r="E95" s="900"/>
      <c r="F95" s="900"/>
      <c r="G95" s="900"/>
      <c r="H95" s="900"/>
      <c r="I95" s="2"/>
      <c r="J95" s="69">
        <f>SUM(J90:J94)</f>
        <v>2</v>
      </c>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row>
    <row r="96" spans="1:46">
      <c r="A96" s="2"/>
      <c r="B96" s="2"/>
      <c r="C96" s="900"/>
      <c r="D96" s="900"/>
      <c r="E96" s="900"/>
      <c r="F96" s="900"/>
      <c r="G96" s="900"/>
      <c r="H96" s="900"/>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row>
    <row r="97" spans="1:46">
      <c r="A97" s="2"/>
      <c r="B97" s="2"/>
      <c r="C97" s="900"/>
      <c r="D97" s="900"/>
      <c r="E97" s="900"/>
      <c r="F97" s="900"/>
      <c r="G97" s="900"/>
      <c r="H97" s="900"/>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row>
    <row r="98" spans="1:46" ht="2.25" customHeight="1">
      <c r="A98" s="2"/>
      <c r="B98" s="2"/>
      <c r="C98" s="900"/>
      <c r="D98" s="900"/>
      <c r="E98" s="900"/>
      <c r="F98" s="900"/>
      <c r="G98" s="900"/>
      <c r="H98" s="900"/>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row>
    <row r="99" spans="1:46">
      <c r="A99" s="2"/>
      <c r="B99" s="2"/>
      <c r="C99" s="900"/>
      <c r="D99" s="900"/>
      <c r="E99" s="900"/>
      <c r="F99" s="900"/>
      <c r="G99" s="900"/>
      <c r="H99" s="900"/>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row>
    <row r="100" spans="1:46">
      <c r="A100" s="2"/>
      <c r="B100" s="2"/>
      <c r="C100" s="900"/>
      <c r="D100" s="900"/>
      <c r="E100" s="900"/>
      <c r="F100" s="900"/>
      <c r="G100" s="900"/>
      <c r="H100" s="900"/>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row>
    <row r="101" spans="1:46">
      <c r="A101" s="2"/>
      <c r="B101" s="2"/>
      <c r="C101" s="900"/>
      <c r="D101" s="900"/>
      <c r="E101" s="900"/>
      <c r="F101" s="900"/>
      <c r="G101" s="900"/>
      <c r="H101" s="900"/>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row>
    <row r="102" spans="1:46">
      <c r="A102" s="2"/>
      <c r="B102" s="2"/>
      <c r="C102" s="900"/>
      <c r="D102" s="900"/>
      <c r="E102" s="900"/>
      <c r="F102" s="900"/>
      <c r="G102" s="900"/>
      <c r="H102" s="900"/>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row>
    <row r="103" spans="1:46">
      <c r="A103" s="2"/>
      <c r="B103" s="2"/>
      <c r="C103" s="900"/>
      <c r="D103" s="900"/>
      <c r="E103" s="900"/>
      <c r="F103" s="900"/>
      <c r="G103" s="900"/>
      <c r="H103" s="900"/>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row>
    <row r="104" spans="1:46">
      <c r="A104" s="2"/>
      <c r="B104" s="2"/>
      <c r="C104" s="900"/>
      <c r="D104" s="900"/>
      <c r="E104" s="900"/>
      <c r="F104" s="900"/>
      <c r="G104" s="900"/>
      <c r="H104" s="900"/>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row>
    <row r="105" spans="1:46">
      <c r="A105" s="2"/>
      <c r="B105" s="2"/>
      <c r="C105" s="900"/>
      <c r="D105" s="900"/>
      <c r="E105" s="900"/>
      <c r="F105" s="900"/>
      <c r="G105" s="900"/>
      <c r="H105" s="900"/>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row>
    <row r="106" spans="1:46">
      <c r="A106" s="2"/>
      <c r="B106" s="2"/>
      <c r="C106" s="900"/>
      <c r="D106" s="900"/>
      <c r="E106" s="900"/>
      <c r="F106" s="900"/>
      <c r="G106" s="900"/>
      <c r="H106" s="900"/>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row>
    <row r="107" spans="1:46">
      <c r="A107" s="2"/>
      <c r="B107" s="2"/>
      <c r="C107" s="900"/>
      <c r="D107" s="900"/>
      <c r="E107" s="900"/>
      <c r="F107" s="900"/>
      <c r="G107" s="900"/>
      <c r="H107" s="900"/>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row>
    <row r="108" spans="1:46">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row>
  </sheetData>
  <sheetProtection formatRows="0"/>
  <mergeCells count="101">
    <mergeCell ref="E88:F88"/>
    <mergeCell ref="E89:F89"/>
    <mergeCell ref="E81:F81"/>
    <mergeCell ref="E82:F82"/>
    <mergeCell ref="E83:F83"/>
    <mergeCell ref="E84:F84"/>
    <mergeCell ref="E85:F85"/>
    <mergeCell ref="E79:F79"/>
    <mergeCell ref="E80:F80"/>
    <mergeCell ref="E71:F71"/>
    <mergeCell ref="E72:F72"/>
    <mergeCell ref="E73:F73"/>
    <mergeCell ref="E74:F74"/>
    <mergeCell ref="E75:F75"/>
    <mergeCell ref="E86:F86"/>
    <mergeCell ref="E87:F87"/>
    <mergeCell ref="E70:F70"/>
    <mergeCell ref="E61:F61"/>
    <mergeCell ref="E62:F62"/>
    <mergeCell ref="E63:F63"/>
    <mergeCell ref="E64:F64"/>
    <mergeCell ref="E65:F65"/>
    <mergeCell ref="E76:F76"/>
    <mergeCell ref="E77:F77"/>
    <mergeCell ref="E78:F78"/>
    <mergeCell ref="E68:F68"/>
    <mergeCell ref="E69:F69"/>
    <mergeCell ref="E23:F23"/>
    <mergeCell ref="E56:F56"/>
    <mergeCell ref="E57:F57"/>
    <mergeCell ref="E58:F58"/>
    <mergeCell ref="E59:F59"/>
    <mergeCell ref="E60:F60"/>
    <mergeCell ref="E51:F51"/>
    <mergeCell ref="E52:F52"/>
    <mergeCell ref="E53:F53"/>
    <mergeCell ref="E54:F54"/>
    <mergeCell ref="E55:F55"/>
    <mergeCell ref="E24:F24"/>
    <mergeCell ref="E25:F25"/>
    <mergeCell ref="E26:F26"/>
    <mergeCell ref="E27:F27"/>
    <mergeCell ref="E28:F28"/>
    <mergeCell ref="E29:F29"/>
    <mergeCell ref="E30:F30"/>
    <mergeCell ref="E31:F31"/>
    <mergeCell ref="E32:F32"/>
    <mergeCell ref="E14:F14"/>
    <mergeCell ref="E15:F15"/>
    <mergeCell ref="E16:F16"/>
    <mergeCell ref="E17:F17"/>
    <mergeCell ref="E18:F18"/>
    <mergeCell ref="E19:F19"/>
    <mergeCell ref="E20:F20"/>
    <mergeCell ref="E21:F21"/>
    <mergeCell ref="E22:F22"/>
    <mergeCell ref="S8:W8"/>
    <mergeCell ref="E3:P7"/>
    <mergeCell ref="E9:F9"/>
    <mergeCell ref="E10:F10"/>
    <mergeCell ref="E11:F11"/>
    <mergeCell ref="E12:F12"/>
    <mergeCell ref="E13:F13"/>
    <mergeCell ref="E8:N8"/>
    <mergeCell ref="B3:D7"/>
    <mergeCell ref="X7:Y7"/>
    <mergeCell ref="Z7:AG7"/>
    <mergeCell ref="R1:AG2"/>
    <mergeCell ref="S3:W3"/>
    <mergeCell ref="S4:W4"/>
    <mergeCell ref="S5:W5"/>
    <mergeCell ref="S7:W7"/>
    <mergeCell ref="Z5:AG5"/>
    <mergeCell ref="X5:Y5"/>
    <mergeCell ref="X4:Y4"/>
    <mergeCell ref="Z6:AG6"/>
    <mergeCell ref="S6:W6"/>
    <mergeCell ref="A1:D1"/>
    <mergeCell ref="N1:P2"/>
    <mergeCell ref="C92:H107"/>
    <mergeCell ref="C91:H91"/>
    <mergeCell ref="E38:F38"/>
    <mergeCell ref="E39:F39"/>
    <mergeCell ref="E33:F33"/>
    <mergeCell ref="E34:F34"/>
    <mergeCell ref="E35:F35"/>
    <mergeCell ref="E36:F36"/>
    <mergeCell ref="E37:F37"/>
    <mergeCell ref="E40:F40"/>
    <mergeCell ref="E41:F41"/>
    <mergeCell ref="E42:F42"/>
    <mergeCell ref="E43:F43"/>
    <mergeCell ref="E44:F44"/>
    <mergeCell ref="E45:F45"/>
    <mergeCell ref="E46:F46"/>
    <mergeCell ref="E47:F47"/>
    <mergeCell ref="E48:F48"/>
    <mergeCell ref="E49:F49"/>
    <mergeCell ref="E50:F50"/>
    <mergeCell ref="E66:F66"/>
    <mergeCell ref="E67:F67"/>
  </mergeCells>
  <conditionalFormatting sqref="E8:N8">
    <cfRule type="expression" dxfId="243" priority="2">
      <formula>$E$8&gt;""</formula>
    </cfRule>
  </conditionalFormatting>
  <conditionalFormatting sqref="E3:P7">
    <cfRule type="expression" dxfId="242" priority="3">
      <formula>$E$3=""</formula>
    </cfRule>
  </conditionalFormatting>
  <conditionalFormatting sqref="L2">
    <cfRule type="expression" dxfId="241" priority="1">
      <formula>AND($J$2="No",$L$2="yes")</formula>
    </cfRule>
  </conditionalFormatting>
  <dataValidations count="2">
    <dataValidation type="list" allowBlank="1" showInputMessage="1" showErrorMessage="1" sqref="J10:J89" xr:uid="{00000000-0002-0000-0200-000000000000}">
      <formula1>Uses</formula1>
    </dataValidation>
    <dataValidation type="list" allowBlank="1" showInputMessage="1" showErrorMessage="1" sqref="H2 AC10:AC89 J2 L2" xr:uid="{11495CDC-34DB-44D0-A2D6-44E2F8ED391E}">
      <formula1>"No, Yes"</formula1>
    </dataValidation>
  </dataValidations>
  <hyperlinks>
    <hyperlink ref="R4" r:id="rId1" xr:uid="{EDF6570F-5F4E-4F99-A021-BAFEF8F62306}"/>
    <hyperlink ref="R5" r:id="rId2" xr:uid="{C6E079D5-52B2-4A04-BC69-8559AF62D0A0}"/>
  </hyperlinks>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3:BN408"/>
  <sheetViews>
    <sheetView zoomScaleNormal="100" workbookViewId="0">
      <selection activeCell="D6" sqref="D6"/>
    </sheetView>
  </sheetViews>
  <sheetFormatPr defaultRowHeight="14.25"/>
  <cols>
    <col min="4" max="4" width="11.5" bestFit="1" customWidth="1"/>
    <col min="5" max="5" width="11.75" bestFit="1" customWidth="1"/>
    <col min="6" max="7" width="11.375" customWidth="1"/>
    <col min="8" max="8" width="11" customWidth="1"/>
    <col min="12" max="12" width="10" bestFit="1" customWidth="1"/>
    <col min="13" max="13" width="12" bestFit="1" customWidth="1"/>
    <col min="20" max="21" width="12.875" customWidth="1"/>
    <col min="23" max="24" width="12.125" bestFit="1" customWidth="1"/>
    <col min="26" max="26" width="8" bestFit="1" customWidth="1"/>
    <col min="27" max="27" width="8" customWidth="1"/>
    <col min="32" max="32" width="14.625" customWidth="1"/>
    <col min="47" max="48" width="12" customWidth="1"/>
    <col min="49" max="50" width="10.75" customWidth="1"/>
    <col min="57" max="57" width="30.375" bestFit="1" customWidth="1"/>
    <col min="58" max="58" width="14.875" bestFit="1" customWidth="1"/>
    <col min="64" max="64" width="21.625" bestFit="1" customWidth="1"/>
  </cols>
  <sheetData>
    <row r="3" spans="2:65">
      <c r="E3" s="387" t="s">
        <v>18</v>
      </c>
      <c r="L3" t="str">
        <f>IF('Data-UW'!I13="","",CONCATENATE(IF('Data-UW'!F4="","",'Data-UW'!F4),CHAR(10),IF('Data-UW'!F11="","",'Data-UW'!F11),IF('Data-UW'!F12="","",CONCATENATE(", ",'Data-UW'!F12)),", ",'Data-UW'!F13,", ",'Data-UW'!I13," ",IF('Data-UW'!K13="","",'Data-UW'!K13)))</f>
        <v/>
      </c>
      <c r="M3" s="763"/>
    </row>
    <row r="4" spans="2:65" ht="29.25" customHeight="1">
      <c r="D4" s="29"/>
      <c r="E4" s="765">
        <f>IF((1-'Data-UW'!$B$4)&lt;0.85,0.85,(1-'Data-UW'!$B$4))</f>
        <v>0.85</v>
      </c>
      <c r="J4" s="10"/>
      <c r="L4" s="29"/>
      <c r="M4" s="29"/>
      <c r="BD4" t="s">
        <v>1801</v>
      </c>
      <c r="BE4" t="s">
        <v>1802</v>
      </c>
      <c r="BF4" t="s">
        <v>1803</v>
      </c>
    </row>
    <row r="5" spans="2:65" ht="30" customHeight="1">
      <c r="C5" s="112" t="s">
        <v>1804</v>
      </c>
      <c r="D5" s="387" t="s">
        <v>1805</v>
      </c>
      <c r="E5" s="387" t="s">
        <v>1806</v>
      </c>
      <c r="F5" s="112" t="s">
        <v>1807</v>
      </c>
      <c r="G5" s="112" t="s">
        <v>1808</v>
      </c>
      <c r="H5" s="112" t="s">
        <v>1809</v>
      </c>
      <c r="I5" s="112" t="s">
        <v>1810</v>
      </c>
      <c r="J5" s="112" t="s">
        <v>1811</v>
      </c>
      <c r="K5" s="112" t="s">
        <v>1812</v>
      </c>
      <c r="L5" s="1" t="s">
        <v>1813</v>
      </c>
      <c r="M5" s="1" t="s">
        <v>1814</v>
      </c>
      <c r="N5" s="112" t="s">
        <v>1815</v>
      </c>
      <c r="O5" s="112" t="s">
        <v>1816</v>
      </c>
      <c r="P5" s="112" t="s">
        <v>1817</v>
      </c>
      <c r="Q5" s="112" t="s">
        <v>1818</v>
      </c>
      <c r="S5" t="s">
        <v>1819</v>
      </c>
      <c r="T5" t="s">
        <v>1820</v>
      </c>
      <c r="U5" s="328" t="s">
        <v>1821</v>
      </c>
      <c r="V5" s="1" t="s">
        <v>1822</v>
      </c>
      <c r="W5" t="s">
        <v>1823</v>
      </c>
      <c r="X5" t="s">
        <v>1824</v>
      </c>
      <c r="Y5" s="387" t="s">
        <v>1825</v>
      </c>
      <c r="Z5" s="112" t="s">
        <v>1826</v>
      </c>
      <c r="AA5" s="112" t="s">
        <v>1827</v>
      </c>
      <c r="AB5" s="387" t="s">
        <v>41</v>
      </c>
      <c r="AC5" t="s">
        <v>1828</v>
      </c>
      <c r="AF5" t="s">
        <v>1829</v>
      </c>
      <c r="AJ5" t="s">
        <v>1830</v>
      </c>
      <c r="AN5" t="s">
        <v>1831</v>
      </c>
      <c r="AR5" t="s">
        <v>1832</v>
      </c>
      <c r="AT5" s="387" t="s">
        <v>1833</v>
      </c>
      <c r="AU5" s="387" t="s">
        <v>1802</v>
      </c>
      <c r="AV5" s="387"/>
      <c r="AW5" t="s">
        <v>1834</v>
      </c>
      <c r="AY5" t="s">
        <v>1835</v>
      </c>
      <c r="BC5">
        <v>1</v>
      </c>
      <c r="BD5" s="387" t="s">
        <v>1836</v>
      </c>
      <c r="BE5" t="s">
        <v>1837</v>
      </c>
      <c r="BF5" t="s">
        <v>1838</v>
      </c>
      <c r="BK5">
        <v>1</v>
      </c>
      <c r="BL5" s="157" t="s">
        <v>1839</v>
      </c>
      <c r="BM5" s="159">
        <v>0.1</v>
      </c>
    </row>
    <row r="6" spans="2:65">
      <c r="B6">
        <v>1</v>
      </c>
      <c r="C6" s="10">
        <f ca="1">IFERROR(IF(Aircraft!C4="","",IF(Aircraft!C4=0,VLOOKUP(Aircraft!P4,SE_p,2),VLOOKUP(Aircraft!P4,INDIRECT(Aircraft!AO4),2))),"")</f>
        <v>1.269E-2</v>
      </c>
      <c r="D6" s="15">
        <f>IFERROR(IF(LEFT(Aircraft!AO4,2)="RW",HLOOKUP(IF(Aircraft!BB4&gt;0,Aircraft!BB4,Aircraft!AE4),PistonRWLiabRate,SUM(MATCH(Aircraft!W4,PistonLiabLocMatch,0)+1)),IF(LEFT(Aircraft!AO4,2)="ME",HLOOKUP(IF(Aircraft!BB4&gt;0,Aircraft!BB4,Aircraft!AE4),PistonMELFWLiabRates,SUM(MATCH(Aircraft!W4,PistonLiabLocMatch,0)+1)),HLOOKUP(IF(Aircraft!BB4&gt;0,Aircraft!BB4,Aircraft!AE4),PistonFWLiabRate,SUM(MATCH(Aircraft!W4,PistonLiabLocMatch,0)+1)))),"")</f>
        <v>166</v>
      </c>
      <c r="E6" s="15">
        <f>IFERROR(IF(Rating!AC10="Yes",0,PRODUCT(VLOOKUP(MATCH(Aircraft!$Y4,MedLimits,0),MedRate,3),Aircraft!$BB4)),"")</f>
        <v>20</v>
      </c>
      <c r="F6" s="9">
        <f ca="1">ROUND(PRODUCT(T6,U6,W6,Y6,Z6,AC6),2)</f>
        <v>6.75</v>
      </c>
      <c r="G6" s="9">
        <f ca="1">ROUND(PRODUCT(T6,V6,X6,Y6,AA6,AB6),2)</f>
        <v>4.8099999999999996</v>
      </c>
      <c r="H6" s="9">
        <f>IF(OR(Rating!$E$2=0,Rating!$E$2=""),1+$AG$14,Rating!$E$2+$AG$14+1)</f>
        <v>1.25</v>
      </c>
      <c r="I6" s="9">
        <f>IF(OR(Rating!$F$2=0,Rating!$F$2=""),1+$AG$14,Rating!$F$2+$AG$14+1)</f>
        <v>1.07</v>
      </c>
      <c r="J6" s="9">
        <f>IF(OR(Rating!$R10=0,Rating!$R10=""),1,Rating!$R10+1)</f>
        <v>1.1000000000000001</v>
      </c>
      <c r="K6" s="9">
        <f>IF(OR(Rating!$T10=0,Rating!$T10=""),1,Rating!$T10+1)</f>
        <v>1.05</v>
      </c>
      <c r="L6" s="13">
        <f ca="1">IF(Aircraft!J4="","",ROUND(PRODUCT(ROUND(ROUND(C6*85%,6)/$E$4,6),G6),6))</f>
        <v>6.1044000000000001E-2</v>
      </c>
      <c r="M6" s="15">
        <f ca="1">IF(Aircraft!J4="","",ROUND(PRODUCT(ROUND(ROUND(D6*85%,0)/$E$4,0),F6),0))</f>
        <v>1121</v>
      </c>
      <c r="N6" s="13">
        <f ca="1">IF(Aircraft!J4="","",ROUND(PRODUCT(I6,K6,L6),5))</f>
        <v>6.8580000000000002E-2</v>
      </c>
      <c r="O6" s="11">
        <f ca="1">IF(Aircraft!J4="","",IFERROR(ROUND(PRODUCT(N6,Aircraft!P4),0),0))</f>
        <v>6858</v>
      </c>
      <c r="P6" s="11">
        <f ca="1">IF(Aircraft!J4="","",IFERROR(ROUND(PRODUCT(H6,M6,J6),0),""))</f>
        <v>1541</v>
      </c>
      <c r="Q6" s="11">
        <f>IF(Aircraft!J4="","",IFERROR(ROUND(PRODUCT(ROUND(ROUND(E6*85%,0)/$E$4,0),AC6),0),""))</f>
        <v>20</v>
      </c>
      <c r="S6" t="str">
        <f>IFERROR(IF(VLOOKUP(Aircraft!C4,Aircraftlist,17)="M","Medium",IF(VLOOKUP(Aircraft!C4,Aircraftlist,17)="L","Light",IF(VLOOKUP(Aircraft!C4,Aircraftlist,17)="H","Heavy",""))),"")</f>
        <v>Light</v>
      </c>
      <c r="T6" s="9">
        <f ca="1">IFERROR(1+VLOOKUP(MATCH(S6,ACCATCHART,0),INDIRECT(CONCATENATE(Aircraft!AO4,"CATMOD")),5),1)</f>
        <v>1</v>
      </c>
      <c r="U6" s="9">
        <f ca="1">IFERROR(IF(Rating!J10=Worksheet_Com!$AF$11,1,IF(LEFT(Aircraft!C4,2)="RW",1,IF(AND(Aircraft!AO4="SETP",Aircraft!AX4="R"),1+VLOOKUP(MATCH(Aircraft!AY4,ACGearType,0),INDIRECT(CONCATENATE("SE_P","GearMod")),5),1+VLOOKUP(MATCH(Aircraft!AY4,ACGearType,0),INDIRECT(CONCATENATE(Aircraft!AO4,"GearMod")),5)))),1)</f>
        <v>2.25</v>
      </c>
      <c r="V6" s="9">
        <f ca="1">IFERROR(IF(Rating!J10=Worksheet_Com!$AF$11,1,IF(LEFT(Aircraft!C4,2)="RW",1,IF(AND(Aircraft!AO4="SETP",Aircraft!AX4="R"),1+VLOOKUP(MATCH(Aircraft!AY4,ACGearType,0),INDIRECT(CONCATENATE("SE_P","GearMod")),7),1+VLOOKUP(MATCH(Aircraft!AY4,ACGearType,0),INDIRECT(CONCATENATE(Aircraft!AO4,"GearMod")),7)))),1)</f>
        <v>2.75</v>
      </c>
      <c r="W6" s="9">
        <f>IFERROR(IF(VLOOKUP(Aircraft!C4,Aircraftlist,19)="",0,VLOOKUP(Aircraft!C4,Aircraftlist,19))+1,1)</f>
        <v>1</v>
      </c>
      <c r="X6" s="9">
        <f>IFERROR(VLOOKUP(Aircraft!C4,Aircraftlist,18)+1,1)</f>
        <v>1</v>
      </c>
      <c r="Y6" s="9">
        <f>IFERROR(1+(VLOOKUP(MATCH(Aircraft!AK4,AWtypes,0),AWCertChart,5)),1)</f>
        <v>1</v>
      </c>
      <c r="Z6" s="9">
        <f ca="1">IFERROR(1+(VLOOKUP(IF(LEFT(Aircraft!$AO4,2)="RW",2,1),INDIRECT(Rating!$J10),2)),1)</f>
        <v>3</v>
      </c>
      <c r="AA6" s="9">
        <f ca="1">IFERROR(1+(VLOOKUP(IF(LEFT(Aircraft!$AO4,2)="RW",2,1),INDIRECT(Rating!$J10),3)),1)</f>
        <v>1.75</v>
      </c>
      <c r="AB6" s="9">
        <f>IF(OR(Aircraft!S4="N",Aircraft!S4=""),1,'MGR Adjustment'!$AF$23+1)</f>
        <v>1</v>
      </c>
      <c r="AC6" s="9">
        <f>IFERROR(IF(AND(Aircraft!J4&gt;"",OR(Aircraft!P4="",Aircraft!P4=0)),'MGR Adjustment'!$AM$23)+1,1)</f>
        <v>1</v>
      </c>
      <c r="AF6" t="s">
        <v>1840</v>
      </c>
      <c r="AG6">
        <v>1</v>
      </c>
      <c r="AJ6" t="s">
        <v>1841</v>
      </c>
      <c r="AK6" t="s">
        <v>1774</v>
      </c>
      <c r="AN6" t="s">
        <v>1842</v>
      </c>
      <c r="AO6" s="9">
        <f>'GL Quote Sheet'!M37</f>
        <v>3.0000000000000001E-3</v>
      </c>
      <c r="AS6">
        <v>1</v>
      </c>
      <c r="AT6" t="str">
        <f>IFERROR(IF(MATCH(Aircraft!U4,KYAIRPORT,0),"Yes","No"),"")</f>
        <v/>
      </c>
      <c r="AU6" t="b">
        <f>IFERROR(IF(AT6="Yes",VLOOKUP(MATCH(Aircraft!U4,KYAIRPORT,0),KYCOuntyCity,3)),"")</f>
        <v>0</v>
      </c>
      <c r="AV6" s="9" t="str">
        <f t="shared" ref="AV6:AV35" si="0">IFERROR(IF(AU6=FALSE,"",VLOOKUP(MATCH(AU6,KYTAXLOC,0),KYMUNITAXTABLE,3)),"No Tax")</f>
        <v/>
      </c>
      <c r="AW6" t="b">
        <f>IFERROR(IF(AT6="Yes",VLOOKUP(MATCH(Aircraft!U4,KYAIRPORT,0),KYCOuntyCity,4)),"")</f>
        <v>0</v>
      </c>
      <c r="AX6" s="9" t="str">
        <f t="shared" ref="AX6:AX35" si="1">IFERROR(IF(AW6=FALSE,"",VLOOKUP(MATCH(AW6,KYTAXLOC,0),KYMUNITAXTABLE,3)),"No Tax")</f>
        <v/>
      </c>
      <c r="AY6" s="9">
        <f>SUM(AV6,AX6,$AP$11)</f>
        <v>1.7999999999999999E-2</v>
      </c>
      <c r="AZ6" s="155">
        <f ca="1">ROUND(PRODUCT(SUM(O6:Q6,'Com Quote'!Q91),AY6),2)</f>
        <v>154.78</v>
      </c>
      <c r="BC6">
        <v>2</v>
      </c>
      <c r="BD6" s="387" t="s">
        <v>1843</v>
      </c>
      <c r="BE6" t="s">
        <v>1837</v>
      </c>
      <c r="BF6" t="s">
        <v>1844</v>
      </c>
      <c r="BG6" t="str">
        <f t="shared" ref="BG6:BG69" si="2">IFERROR(IF(AU7=FALSE,"",VLOOKUP(MATCH(AU7,KYTAXLOC,0),KYMUNITAXTABLE,3)),"No Tax")</f>
        <v/>
      </c>
      <c r="BH6" t="str">
        <f t="shared" ref="BH6:BH69" si="3">IFERROR(IF(AW7=FALSE,"",VLOOKUP(MATCH(AW7,KYTAXLOC,0),KYMUNITAXTABLE,3)),"No Tax")</f>
        <v/>
      </c>
      <c r="BK6">
        <v>2</v>
      </c>
      <c r="BL6" s="157" t="s">
        <v>1845</v>
      </c>
      <c r="BM6" s="159">
        <v>0.1</v>
      </c>
    </row>
    <row r="7" spans="2:65">
      <c r="B7">
        <v>2</v>
      </c>
      <c r="C7" s="10">
        <f ca="1">IFERROR(IF(Aircraft!C5="","",IF(Aircraft!C5=0,VLOOKUP(Aircraft!P5,SE_p,2),VLOOKUP(Aircraft!P5,INDIRECT(Aircraft!AO5),2))),"")</f>
        <v>2.5360000000000001E-2</v>
      </c>
      <c r="D7" s="15">
        <f>IFERROR(IF(LEFT(Aircraft!AO5,2)="RW",HLOOKUP(IF(Aircraft!AI5&gt;0,Aircraft!AI5,Aircraft!AE5),PistonRWLiabRate,SUM(MATCH(Aircraft!W5,PistonLiabLocMatch,0)+1)),IF(LEFT(Aircraft!AO5,2)="ME",HLOOKUP(IF(Aircraft!AI5&gt;0,Aircraft!AI5,Aircraft!AE5),PistonMELFWLiabRates,SUM(MATCH(Aircraft!W5,PistonLiabLocMatch,0)+1)),HLOOKUP(IF(Aircraft!AI5&gt;0,Aircraft!AI5,Aircraft!AE5),PistonFWLiabRate,SUM(MATCH(Aircraft!W5,PistonLiabLocMatch,0)+1)))),"")</f>
        <v>215</v>
      </c>
      <c r="E7" s="15">
        <f>IFERROR(IF(Rating!AC11="Yes",0,PRODUCT(VLOOKUP(MATCH(Aircraft!$Y5,MedLimits,0),MedRate,3),Aircraft!$BB5)),"")</f>
        <v>50</v>
      </c>
      <c r="F7" s="9">
        <f t="shared" ref="F7:F35" ca="1" si="4">ROUND(PRODUCT(T7,U7,W7,Y7,Z7,AC7),2)</f>
        <v>10</v>
      </c>
      <c r="G7" s="9">
        <f t="shared" ref="G7:G35" ca="1" si="5">ROUND(PRODUCT(T7,V7,X7,Y7,AA7,AB7),2)</f>
        <v>5.4</v>
      </c>
      <c r="H7" s="9">
        <f>IF(OR(Rating!$E$2=0,Rating!$E$2=""),1+$AG$14,Rating!$E$2+$AG$14+1)</f>
        <v>1.25</v>
      </c>
      <c r="I7" s="9">
        <f>IF(OR(Rating!$F$2=0,Rating!$F$2=""),1+$AG$14,Rating!$F$2+$AG$14+1)</f>
        <v>1.07</v>
      </c>
      <c r="J7" s="9">
        <f>IF(OR(Rating!$R11=0,Rating!$R11=""),1,Rating!$R11+1)</f>
        <v>1</v>
      </c>
      <c r="K7" s="9">
        <f>IF(OR(Rating!$T11=0,Rating!$T11=""),1,Rating!$T11+1)</f>
        <v>1</v>
      </c>
      <c r="L7" s="13">
        <f ca="1">IF(Aircraft!J5="","",ROUND(PRODUCT(ROUND(ROUND(C7*85%,6)/$E$4,6),G7),6))</f>
        <v>0.13694400000000001</v>
      </c>
      <c r="M7" s="15">
        <f ca="1">IF(Aircraft!J5="","",ROUND(PRODUCT(ROUND(ROUND(D7*85%,0)/$E$4,0),F7),0))</f>
        <v>2150</v>
      </c>
      <c r="N7" s="13">
        <f ca="1">IF(Aircraft!J5="","",ROUND(PRODUCT(I7,K7,L7),5))</f>
        <v>0.14652999999999999</v>
      </c>
      <c r="O7" s="11">
        <f ca="1">IF(Aircraft!J5="","",IFERROR(ROUND(PRODUCT(N7,Aircraft!P5),0),0))</f>
        <v>14653</v>
      </c>
      <c r="P7" s="11">
        <f ca="1">IF(Aircraft!J5="","",IFERROR(ROUND(PRODUCT(H7,M7,J7),0),""))</f>
        <v>2688</v>
      </c>
      <c r="Q7" s="11">
        <f>IF(Aircraft!J5="","",IFERROR(ROUND(PRODUCT(ROUND(ROUND(E7*85%,0)/$E$4,0),AC7),0),""))</f>
        <v>51</v>
      </c>
      <c r="S7" t="str">
        <f>IFERROR(IF(VLOOKUP(Aircraft!C5,Aircraftlist,17)="M","Medium",IF(VLOOKUP(Aircraft!C5,Aircraftlist,17)="L","Light",IF(VLOOKUP(Aircraft!C5,Aircraftlist,17)="H","Heavy",""))),"")</f>
        <v>Heavy</v>
      </c>
      <c r="T7" s="9">
        <f ca="1">IFERROR(1+VLOOKUP(MATCH(S7,ACCATCHART,0),INDIRECT(CONCATENATE(Aircraft!AO5,"CATMOD")),5),1)</f>
        <v>1</v>
      </c>
      <c r="U7" s="9">
        <f ca="1">IFERROR(IF(Rating!J11=Worksheet_Com!$AF$11,1,IF(LEFT(Aircraft!C5,2)="RW",1,IF(AND(Aircraft!AO5="SETP",Aircraft!AX5="R"),1+VLOOKUP(MATCH(Aircraft!AY5,ACGearType,0),INDIRECT(CONCATENATE("SE_P","GearMod")),5),1+VLOOKUP(MATCH(Aircraft!AY5,ACGearType,0),INDIRECT(CONCATENATE(Aircraft!AO5,"GearMod")),5)))),1)</f>
        <v>1</v>
      </c>
      <c r="V7" s="9">
        <f ca="1">IFERROR(IF(Rating!J11=Worksheet_Com!$AF$11,1,IF(LEFT(Aircraft!C5,2)="RW",1,IF(AND(Aircraft!AO5="SETP",Aircraft!AX5="R"),1+VLOOKUP(MATCH(Aircraft!AY5,ACGearType,0),INDIRECT(CONCATENATE("SE_P","GearMod")),7),1+VLOOKUP(MATCH(Aircraft!AY5,ACGearType,0),INDIRECT(CONCATENATE(Aircraft!AO5,"GearMod")),7)))),1)</f>
        <v>1</v>
      </c>
      <c r="W7" s="9">
        <f>IFERROR(IF(VLOOKUP(Aircraft!C5,Aircraftlist,19)="",0,VLOOKUP(Aircraft!C5,Aircraftlist,19))+1,1)</f>
        <v>2</v>
      </c>
      <c r="X7" s="9">
        <f>IFERROR(VLOOKUP(Aircraft!C5,Aircraftlist,18)+1,1)</f>
        <v>1</v>
      </c>
      <c r="Y7" s="9">
        <f>IFERROR(1+(VLOOKUP(MATCH(Aircraft!AK5,AWtypes,0),AWCertChart,5)),1)</f>
        <v>4</v>
      </c>
      <c r="Z7" s="9">
        <f ca="1">IFERROR(1+(VLOOKUP(IF(LEFT(Aircraft!$AO5,2)="RW",2,1),INDIRECT(Rating!$J11),2)),1)</f>
        <v>1.25</v>
      </c>
      <c r="AA7" s="9">
        <f ca="1">IFERROR(1+(VLOOKUP(IF(LEFT(Aircraft!$AO5,2)="RW",2,1),INDIRECT(Rating!$J11),3)),1)</f>
        <v>1.35</v>
      </c>
      <c r="AB7" s="9">
        <f>IF(OR(Aircraft!S5="N",Aircraft!S5=""),1,'MGR Adjustment'!$AF$23+1)</f>
        <v>1</v>
      </c>
      <c r="AC7" s="9">
        <f>IFERROR(IF(AND(Aircraft!J5&gt;"",OR(Aircraft!P5="",Aircraft!P5=0)),'MGR Adjustment'!$AM$23)+1,1)</f>
        <v>1</v>
      </c>
      <c r="AF7" t="s">
        <v>1846</v>
      </c>
      <c r="AG7">
        <v>2</v>
      </c>
      <c r="AI7">
        <v>1</v>
      </c>
      <c r="AJ7" s="9">
        <f>'MGR Adjustment'!G57</f>
        <v>2</v>
      </c>
      <c r="AK7" s="9">
        <f>'MGR Adjustment'!J57</f>
        <v>0.75</v>
      </c>
      <c r="AN7" t="s">
        <v>1847</v>
      </c>
      <c r="AO7" s="9">
        <f>'GL Quote Sheet'!M38</f>
        <v>5.4999999999999997E-3</v>
      </c>
      <c r="AS7">
        <v>2</v>
      </c>
      <c r="AT7" t="str">
        <f>IFERROR(IF(MATCH(Aircraft!U5,KYAIRPORT,0),"Yes","No"),"")</f>
        <v/>
      </c>
      <c r="AU7" t="b">
        <f>IFERROR(IF(AT7="Yes",VLOOKUP(MATCH(Aircraft!U5,KYAIRPORT,0),KYCOuntyCity,3)),"")</f>
        <v>0</v>
      </c>
      <c r="AV7" s="9" t="str">
        <f t="shared" si="0"/>
        <v/>
      </c>
      <c r="AW7" t="b">
        <f>IFERROR(IF(AT7="Yes",VLOOKUP(MATCH(Aircraft!U5,KYAIRPORT,0),KYCOuntyCity,4)),"")</f>
        <v>0</v>
      </c>
      <c r="AX7" s="9" t="str">
        <f t="shared" si="1"/>
        <v/>
      </c>
      <c r="AY7" s="9">
        <f t="shared" ref="AY7:AY35" si="6">SUM(AV7,AX7,$AP$11)</f>
        <v>1.7999999999999999E-2</v>
      </c>
      <c r="AZ7" s="155">
        <f t="shared" ref="AZ7:AZ35" ca="1" si="7">ROUND(PRODUCT(SUM(O7:Q7),AY7),2)</f>
        <v>313.06</v>
      </c>
      <c r="BC7">
        <v>3</v>
      </c>
      <c r="BD7" s="387" t="s">
        <v>1848</v>
      </c>
      <c r="BE7" t="s">
        <v>1849</v>
      </c>
      <c r="BF7" t="s">
        <v>1850</v>
      </c>
      <c r="BG7" t="str">
        <f t="shared" si="2"/>
        <v/>
      </c>
      <c r="BH7" t="str">
        <f t="shared" si="3"/>
        <v/>
      </c>
      <c r="BK7">
        <v>3</v>
      </c>
      <c r="BL7" s="157" t="s">
        <v>1851</v>
      </c>
      <c r="BM7" s="159">
        <v>0.1</v>
      </c>
    </row>
    <row r="8" spans="2:65">
      <c r="B8">
        <v>3</v>
      </c>
      <c r="C8" s="10">
        <f ca="1">IFERROR(IF(Aircraft!C6="","",IF(Aircraft!C6=0,VLOOKUP(Aircraft!P6,SE_p,2),VLOOKUP(Aircraft!P6,INDIRECT(Aircraft!AO6),2))),"")</f>
        <v>2.5360000000000001E-2</v>
      </c>
      <c r="D8" s="15">
        <f>IFERROR(IF(LEFT(Aircraft!AO6,2)="RW",HLOOKUP(IF(Aircraft!AI6&gt;0,Aircraft!AI6,Aircraft!AE6),PistonRWLiabRate,SUM(MATCH(Aircraft!W6,PistonLiabLocMatch,0)+1)),IF(LEFT(Aircraft!AO6,2)="ME",HLOOKUP(IF(Aircraft!AI6&gt;0,Aircraft!AI6,Aircraft!AE6),PistonMELFWLiabRates,SUM(MATCH(Aircraft!W6,PistonLiabLocMatch,0)+1)),HLOOKUP(IF(Aircraft!AI6&gt;0,Aircraft!AI6,Aircraft!AE6),PistonFWLiabRate,SUM(MATCH(Aircraft!W6,PistonLiabLocMatch,0)+1)))),"")</f>
        <v>215</v>
      </c>
      <c r="E8" s="15">
        <f>IFERROR(IF(Rating!AC12="Yes",0,PRODUCT(VLOOKUP(MATCH(Aircraft!$Y6,MedLimits,0),MedRate,3),Aircraft!$BB6)),"")</f>
        <v>30</v>
      </c>
      <c r="F8" s="9">
        <f t="shared" ca="1" si="4"/>
        <v>8</v>
      </c>
      <c r="G8" s="9">
        <f t="shared" ca="1" si="5"/>
        <v>4</v>
      </c>
      <c r="H8" s="9">
        <f>IF(OR(Rating!$E$2=0,Rating!$E$2=""),1+$AG$14,Rating!$E$2+$AG$14+1)</f>
        <v>1.25</v>
      </c>
      <c r="I8" s="9">
        <f>IF(OR(Rating!$F$2=0,Rating!$F$2=""),1+$AG$14,Rating!$F$2+$AG$14+1)</f>
        <v>1.07</v>
      </c>
      <c r="J8" s="9">
        <f>IF(OR(Rating!$R12=0,Rating!$R12=""),1,Rating!$R12+1)</f>
        <v>0.81</v>
      </c>
      <c r="K8" s="9">
        <f>IF(OR(Rating!$T12=0,Rating!$T12=""),1,Rating!$T12+1)</f>
        <v>1.2</v>
      </c>
      <c r="L8" s="13">
        <f ca="1">IF(Aircraft!J6="","",ROUND(PRODUCT(ROUND(ROUND(C8*85%,6)/$E$4,6),G8),6))</f>
        <v>0.10144</v>
      </c>
      <c r="M8" s="15">
        <f ca="1">IF(Aircraft!J6="","",ROUND(PRODUCT(ROUND(ROUND(D8*85%,0)/$E$4,0),F8),0))</f>
        <v>1720</v>
      </c>
      <c r="N8" s="13">
        <f ca="1">IF(Aircraft!J6="","",ROUND(PRODUCT(I8,K8,L8),5))</f>
        <v>0.13025</v>
      </c>
      <c r="O8" s="11">
        <f ca="1">IF(Aircraft!J6="","",IFERROR(ROUND(PRODUCT(N8,Aircraft!P6),0),0))</f>
        <v>13025</v>
      </c>
      <c r="P8" s="11">
        <f ca="1">IF(Aircraft!J6="","",IFERROR(ROUND(PRODUCT(H8,M8,J8),0),""))</f>
        <v>1742</v>
      </c>
      <c r="Q8" s="11">
        <f>IF(Aircraft!J6="","",IFERROR(ROUND(PRODUCT(ROUND(ROUND(E8*85%,0)/$E$4,0),AC8),0),""))</f>
        <v>31</v>
      </c>
      <c r="S8" t="str">
        <f>IFERROR(IF(VLOOKUP(Aircraft!C6,Aircraftlist,17)="M","Medium",IF(VLOOKUP(Aircraft!C6,Aircraftlist,17)="L","Light",IF(VLOOKUP(Aircraft!C6,Aircraftlist,17)="H","Heavy",""))),"")</f>
        <v>Heavy</v>
      </c>
      <c r="T8" s="9">
        <f ca="1">IFERROR(1+VLOOKUP(MATCH(S8,ACCATCHART,0),INDIRECT(CONCATENATE(Aircraft!AO6,"CATMOD")),5),1)</f>
        <v>1</v>
      </c>
      <c r="U8" s="9">
        <f ca="1">IFERROR(IF(Rating!J12=Worksheet_Com!$AF$11,1,IF(LEFT(Aircraft!C6,2)="RW",1,IF(AND(Aircraft!AO6="SETP",Aircraft!AX6="R"),1+VLOOKUP(MATCH(Aircraft!AY6,ACGearType,0),INDIRECT(CONCATENATE("SE_P","GearMod")),5),1+VLOOKUP(MATCH(Aircraft!AY6,ACGearType,0),INDIRECT(CONCATENATE(Aircraft!AO6,"GearMod")),5)))),1)</f>
        <v>1</v>
      </c>
      <c r="V8" s="9">
        <f ca="1">IFERROR(IF(Rating!J12=Worksheet_Com!$AF$11,1,IF(LEFT(Aircraft!C6,2)="RW",1,IF(AND(Aircraft!AO6="SETP",Aircraft!AX6="R"),1+VLOOKUP(MATCH(Aircraft!AY6,ACGearType,0),INDIRECT(CONCATENATE("SE_P","GearMod")),7),1+VLOOKUP(MATCH(Aircraft!AY6,ACGearType,0),INDIRECT(CONCATENATE(Aircraft!AO6,"GearMod")),7)))),1)</f>
        <v>1</v>
      </c>
      <c r="W8" s="9">
        <f>IFERROR(IF(VLOOKUP(Aircraft!C6,Aircraftlist,19)="",0,VLOOKUP(Aircraft!C6,Aircraftlist,19))+1,1)</f>
        <v>2</v>
      </c>
      <c r="X8" s="9">
        <f>IFERROR(VLOOKUP(Aircraft!C6,Aircraftlist,18)+1,1)</f>
        <v>1</v>
      </c>
      <c r="Y8" s="9">
        <f>IFERROR(1+(VLOOKUP(MATCH(Aircraft!AK6,AWtypes,0),AWCertChart,5)),1)</f>
        <v>4</v>
      </c>
      <c r="Z8" s="9">
        <f ca="1">IFERROR(1+(VLOOKUP(IF(LEFT(Aircraft!$AO6,2)="RW",2,1),INDIRECT(Rating!$J12),2)),1)</f>
        <v>1</v>
      </c>
      <c r="AA8" s="9">
        <f ca="1">IFERROR(1+(VLOOKUP(IF(LEFT(Aircraft!$AO6,2)="RW",2,1),INDIRECT(Rating!$J12),3)),1)</f>
        <v>1</v>
      </c>
      <c r="AB8" s="9">
        <f>IF(OR(Aircraft!S6="N",Aircraft!S6=""),1,'MGR Adjustment'!$AF$23+1)</f>
        <v>1</v>
      </c>
      <c r="AC8" s="9">
        <f>IFERROR(IF(AND(Aircraft!J6&gt;"",OR(Aircraft!P6="",Aircraft!P6=0)),'MGR Adjustment'!$AM$23)+1,1)</f>
        <v>1</v>
      </c>
      <c r="AF8" t="s">
        <v>1852</v>
      </c>
      <c r="AG8">
        <v>3</v>
      </c>
      <c r="AI8">
        <v>2</v>
      </c>
      <c r="AJ8" s="9">
        <f>'MGR Adjustment'!G58</f>
        <v>4.25</v>
      </c>
      <c r="AK8" s="9">
        <f>'MGR Adjustment'!J58</f>
        <v>1.5</v>
      </c>
      <c r="AN8" t="s">
        <v>1853</v>
      </c>
      <c r="AS8">
        <v>3</v>
      </c>
      <c r="AT8" t="str">
        <f>IFERROR(IF(MATCH(Aircraft!U6,KYAIRPORT,0),"Yes","No"),"")</f>
        <v/>
      </c>
      <c r="AU8" t="b">
        <f>IFERROR(IF(AT8="Yes",VLOOKUP(MATCH(Aircraft!U6,KYAIRPORT,0),KYCOuntyCity,3)),"")</f>
        <v>0</v>
      </c>
      <c r="AV8" s="9" t="str">
        <f t="shared" si="0"/>
        <v/>
      </c>
      <c r="AW8" t="b">
        <f>IFERROR(IF(AT8="Yes",VLOOKUP(MATCH(Aircraft!U6,KYAIRPORT,0),KYCOuntyCity,4)),"")</f>
        <v>0</v>
      </c>
      <c r="AX8" s="9" t="str">
        <f t="shared" si="1"/>
        <v/>
      </c>
      <c r="AY8" s="9">
        <f t="shared" si="6"/>
        <v>1.7999999999999999E-2</v>
      </c>
      <c r="AZ8" s="155">
        <f t="shared" ca="1" si="7"/>
        <v>266.36</v>
      </c>
      <c r="BC8">
        <v>4</v>
      </c>
      <c r="BD8" s="387" t="s">
        <v>1854</v>
      </c>
      <c r="BE8" t="s">
        <v>1855</v>
      </c>
      <c r="BF8" t="s">
        <v>1856</v>
      </c>
      <c r="BG8" t="str">
        <f t="shared" si="2"/>
        <v/>
      </c>
      <c r="BH8" t="str">
        <f t="shared" si="3"/>
        <v/>
      </c>
      <c r="BK8">
        <v>4</v>
      </c>
      <c r="BL8" s="157" t="s">
        <v>1857</v>
      </c>
      <c r="BM8" s="159">
        <v>0.06</v>
      </c>
    </row>
    <row r="9" spans="2:65">
      <c r="B9">
        <v>4</v>
      </c>
      <c r="C9" s="10">
        <f ca="1">IFERROR(IF(Aircraft!C7="","",IF(Aircraft!C7=0,VLOOKUP(Aircraft!P7,SE_p,2),VLOOKUP(Aircraft!P7,INDIRECT(Aircraft!AO7),2))),"")</f>
        <v>3.3515999999999997E-2</v>
      </c>
      <c r="D9" s="15" t="str">
        <f>IFERROR(IF(LEFT(Aircraft!AO7,2)="RW",HLOOKUP(IF(Aircraft!AI7&gt;0,Aircraft!AI7,Aircraft!AE7),PistonRWLiabRate,SUM(MATCH(Aircraft!W7,PistonLiabLocMatch,0)+1)),IF(LEFT(Aircraft!AO7,2)="ME",HLOOKUP(IF(Aircraft!AI7&gt;0,Aircraft!AI7,Aircraft!AE7),PistonMELFWLiabRates,SUM(MATCH(Aircraft!W7,PistonLiabLocMatch,0)+1)),HLOOKUP(IF(Aircraft!AI7&gt;0,Aircraft!AI7,Aircraft!AE7),PistonFWLiabRate,SUM(MATCH(Aircraft!W7,PistonLiabLocMatch,0)+1)))),"")</f>
        <v/>
      </c>
      <c r="E9" s="15" t="str">
        <f>IFERROR(IF(Rating!AC13="Yes",0,PRODUCT(VLOOKUP(MATCH(Aircraft!$Y7,MedLimits,0),MedRate,3),Aircraft!$BB7)),"")</f>
        <v/>
      </c>
      <c r="F9" s="9">
        <f t="shared" ca="1" si="4"/>
        <v>1.5</v>
      </c>
      <c r="G9" s="9">
        <f t="shared" ca="1" si="5"/>
        <v>1</v>
      </c>
      <c r="H9" s="9">
        <f>IF(OR(Rating!$E$2=0,Rating!$E$2=""),1+$AG$14,Rating!$E$2+$AG$14+1)</f>
        <v>1.25</v>
      </c>
      <c r="I9" s="9">
        <f>IF(OR(Rating!$F$2=0,Rating!$F$2=""),1+$AG$14,Rating!$F$2+$AG$14+1)</f>
        <v>1.07</v>
      </c>
      <c r="J9" s="9">
        <f>IF(OR(Rating!$R13=0,Rating!$R13=""),1,Rating!$R13+1)</f>
        <v>1</v>
      </c>
      <c r="K9" s="9">
        <f>IF(OR(Rating!$T13=0,Rating!$T13=""),1,Rating!$T13+1)</f>
        <v>1</v>
      </c>
      <c r="L9" s="13">
        <f ca="1">IF(Aircraft!J7="","",ROUND(PRODUCT(ROUND(ROUND(C9*85%,6)/$E$4,6),G9),6))</f>
        <v>3.3515999999999997E-2</v>
      </c>
      <c r="M9" s="15" t="e">
        <f>IF(Aircraft!J7="","",ROUND(PRODUCT(ROUND(ROUND(D9*85%,0)/$E$4,0),F9),0))</f>
        <v>#VALUE!</v>
      </c>
      <c r="N9" s="13">
        <f ca="1">IF(Aircraft!J7="","",ROUND(PRODUCT(I9,K9,L9),5))</f>
        <v>3.5860000000000003E-2</v>
      </c>
      <c r="O9" s="11">
        <f ca="1">IF(Aircraft!J7="","",IFERROR(ROUND(PRODUCT(N9,Aircraft!P7),0),0))</f>
        <v>0</v>
      </c>
      <c r="P9" s="11" t="str">
        <f>IF(Aircraft!J7="","",IFERROR(ROUND(PRODUCT(H9,M9,J9),0),""))</f>
        <v/>
      </c>
      <c r="Q9" s="11" t="str">
        <f>IF(Aircraft!J7="","",IFERROR(ROUND(PRODUCT(ROUND(ROUND(E9*85%,0)/$E$4,0),AC9),0),""))</f>
        <v/>
      </c>
      <c r="S9" t="str">
        <f>IFERROR(IF(VLOOKUP(Aircraft!C7,Aircraftlist,17)="M","Medium",IF(VLOOKUP(Aircraft!C7,Aircraftlist,17)="L","Light",IF(VLOOKUP(Aircraft!C7,Aircraftlist,17)="H","Heavy",""))),"")</f>
        <v>Medium</v>
      </c>
      <c r="T9" s="9">
        <f ca="1">IFERROR(1+VLOOKUP(MATCH(S9,ACCATCHART,0),INDIRECT(CONCATENATE(Aircraft!AO7,"CATMOD")),5),1)</f>
        <v>1</v>
      </c>
      <c r="U9" s="9">
        <f ca="1">IFERROR(IF(Rating!J13=Worksheet_Com!$AF$11,1,IF(LEFT(Aircraft!C7,2)="RW",1,IF(AND(Aircraft!AO7="SETP",Aircraft!AX7="R"),1+VLOOKUP(MATCH(Aircraft!AY7,ACGearType,0),INDIRECT(CONCATENATE("SE_P","GearMod")),5),1+VLOOKUP(MATCH(Aircraft!AY7,ACGearType,0),INDIRECT(CONCATENATE(Aircraft!AO7,"GearMod")),5)))),1)</f>
        <v>1</v>
      </c>
      <c r="V9" s="9">
        <f ca="1">IFERROR(IF(Rating!J13=Worksheet_Com!$AF$11,1,IF(LEFT(Aircraft!C7,2)="RW",1,IF(AND(Aircraft!AO7="SETP",Aircraft!AX7="R"),1+VLOOKUP(MATCH(Aircraft!AY7,ACGearType,0),INDIRECT(CONCATENATE("SE_P","GearMod")),7),1+VLOOKUP(MATCH(Aircraft!AY7,ACGearType,0),INDIRECT(CONCATENATE(Aircraft!AO7,"GearMod")),7)))),1)</f>
        <v>1</v>
      </c>
      <c r="W9" s="9">
        <f>IFERROR(IF(VLOOKUP(Aircraft!C7,Aircraftlist,19)="",0,VLOOKUP(Aircraft!C7,Aircraftlist,19))+1,1)</f>
        <v>1</v>
      </c>
      <c r="X9" s="9">
        <f>IFERROR(VLOOKUP(Aircraft!C7,Aircraftlist,18)+1,1)</f>
        <v>1</v>
      </c>
      <c r="Y9" s="9">
        <f>IFERROR(1+(VLOOKUP(MATCH(Aircraft!AK7,AWtypes,0),AWCertChart,5)),1)</f>
        <v>1</v>
      </c>
      <c r="Z9" s="9">
        <f ca="1">IFERROR(1+(VLOOKUP(IF(LEFT(Aircraft!$AO7,2)="RW",2,1),INDIRECT(Rating!$J13),2)),1)</f>
        <v>1</v>
      </c>
      <c r="AA9" s="9">
        <f ca="1">IFERROR(1+(VLOOKUP(IF(LEFT(Aircraft!$AO7,2)="RW",2,1),INDIRECT(Rating!$J13),3)),1)</f>
        <v>1</v>
      </c>
      <c r="AB9" s="9">
        <f>IF(OR(Aircraft!S7="N",Aircraft!S7=""),1,'MGR Adjustment'!$AF$23+1)</f>
        <v>1</v>
      </c>
      <c r="AC9" s="9">
        <f>IFERROR(IF(AND(Aircraft!J7&gt;"",OR(Aircraft!P7="",Aircraft!P7=0)),'MGR Adjustment'!$AM$23)+1,1)</f>
        <v>1.5</v>
      </c>
      <c r="AF9" t="s">
        <v>1858</v>
      </c>
      <c r="AG9">
        <v>4</v>
      </c>
      <c r="AS9">
        <v>4</v>
      </c>
      <c r="AT9" t="str">
        <f>IFERROR(IF(MATCH(Aircraft!U7,KYAIRPORT,0),"Yes","No"),"")</f>
        <v/>
      </c>
      <c r="AU9" t="b">
        <f>IFERROR(IF(AT9="Yes",VLOOKUP(MATCH(Aircraft!U7,KYAIRPORT,0),KYCOuntyCity,3)),"")</f>
        <v>0</v>
      </c>
      <c r="AV9" s="9" t="str">
        <f t="shared" si="0"/>
        <v/>
      </c>
      <c r="AW9" t="b">
        <f>IFERROR(IF(AT9="Yes",VLOOKUP(MATCH(Aircraft!U7,KYAIRPORT,0),KYCOuntyCity,4)),"")</f>
        <v>0</v>
      </c>
      <c r="AX9" s="9" t="str">
        <f t="shared" si="1"/>
        <v/>
      </c>
      <c r="AY9" s="9">
        <f t="shared" si="6"/>
        <v>1.7999999999999999E-2</v>
      </c>
      <c r="AZ9" s="155">
        <f t="shared" ca="1" si="7"/>
        <v>0</v>
      </c>
      <c r="BC9">
        <v>5</v>
      </c>
      <c r="BD9" s="387" t="s">
        <v>1859</v>
      </c>
      <c r="BE9" t="s">
        <v>1860</v>
      </c>
      <c r="BF9" t="s">
        <v>1861</v>
      </c>
      <c r="BG9" t="str">
        <f t="shared" si="2"/>
        <v/>
      </c>
      <c r="BH9" t="str">
        <f t="shared" si="3"/>
        <v/>
      </c>
      <c r="BK9">
        <v>5</v>
      </c>
      <c r="BL9" s="158" t="s">
        <v>1862</v>
      </c>
      <c r="BM9" s="159">
        <v>0.1</v>
      </c>
    </row>
    <row r="10" spans="2:65">
      <c r="B10">
        <v>5</v>
      </c>
      <c r="C10" s="10" t="str">
        <f ca="1">IFERROR(IF(Aircraft!C8="","",IF(Aircraft!C8=0,VLOOKUP(Aircraft!P8,SE_p,2),VLOOKUP(Aircraft!P8,INDIRECT(Aircraft!AO8),2))),"")</f>
        <v/>
      </c>
      <c r="D10" s="15" t="str">
        <f>IFERROR(IF(LEFT(Aircraft!AO8,2)="RW",HLOOKUP(IF(Aircraft!AI8&gt;0,Aircraft!AI8,Aircraft!AE8),PistonRWLiabRate,SUM(MATCH(Aircraft!W8,PistonLiabLocMatch,0)+1)),IF(LEFT(Aircraft!AO8,2)="ME",HLOOKUP(IF(Aircraft!AI8&gt;0,Aircraft!AI8,Aircraft!AE8),PistonMELFWLiabRates,SUM(MATCH(Aircraft!W8,PistonLiabLocMatch,0)+1)),HLOOKUP(IF(Aircraft!AI8&gt;0,Aircraft!AI8,Aircraft!AE8),PistonFWLiabRate,SUM(MATCH(Aircraft!W8,PistonLiabLocMatch,0)+1)))),"")</f>
        <v/>
      </c>
      <c r="E10" s="15" t="str">
        <f>IFERROR(IF(Rating!AC14="Yes",0,PRODUCT(VLOOKUP(MATCH(Aircraft!$Y8,MedLimits,0),MedRate,3),Aircraft!$BB8)),"")</f>
        <v/>
      </c>
      <c r="F10" s="9">
        <f t="shared" ca="1" si="4"/>
        <v>1</v>
      </c>
      <c r="G10" s="9">
        <f t="shared" ca="1" si="5"/>
        <v>1</v>
      </c>
      <c r="H10" s="9">
        <f>IF(OR(Rating!$E$2=0,Rating!$E$2=""),1+$AG$14,Rating!$E$2+$AG$14+1)</f>
        <v>1.25</v>
      </c>
      <c r="I10" s="9">
        <f>IF(OR(Rating!$F$2=0,Rating!$F$2=""),1+$AG$14,Rating!$F$2+$AG$14+1)</f>
        <v>1.07</v>
      </c>
      <c r="J10" s="9">
        <f>IF(OR(Rating!$R14=0,Rating!$R14=""),1,Rating!$R14+1)</f>
        <v>1</v>
      </c>
      <c r="K10" s="9">
        <f>IF(OR(Rating!$T14=0,Rating!$T14=""),1,Rating!$T14+1)</f>
        <v>1</v>
      </c>
      <c r="L10" s="13" t="str">
        <f>IF(Aircraft!J8="","",ROUND(PRODUCT(ROUND(ROUND(C10*85%,6)/$E$4,6),G10),6))</f>
        <v/>
      </c>
      <c r="M10" s="15" t="str">
        <f>IF(Aircraft!J8="","",ROUND(PRODUCT(ROUND(ROUND(D10*85%,0)/$E$4,0),F10),0))</f>
        <v/>
      </c>
      <c r="N10" s="13" t="str">
        <f>IF(Aircraft!J8="","",ROUND(PRODUCT(I10,K10,L10),5))</f>
        <v/>
      </c>
      <c r="O10" s="11" t="str">
        <f>IF(Aircraft!J8="","",IFERROR(ROUND(PRODUCT(N10,Aircraft!P8),0),0))</f>
        <v/>
      </c>
      <c r="P10" s="11" t="str">
        <f>IF(Aircraft!J8="","",IFERROR(ROUND(PRODUCT(H10,M10,J10),0),""))</f>
        <v/>
      </c>
      <c r="Q10" s="11" t="str">
        <f>IF(Aircraft!J8="","",IFERROR(ROUND(PRODUCT(ROUND(ROUND(E10*85%,0)/$E$4,0),AC10),0),""))</f>
        <v/>
      </c>
      <c r="S10" t="str">
        <f>IFERROR(IF(VLOOKUP(Aircraft!C8,Aircraftlist,17)="M","Medium",IF(VLOOKUP(Aircraft!C8,Aircraftlist,17)="L","Light",IF(VLOOKUP(Aircraft!C8,Aircraftlist,17)="H","Heavy",""))),"")</f>
        <v/>
      </c>
      <c r="T10" s="9">
        <f ca="1">IFERROR(1+VLOOKUP(MATCH(S10,ACCATCHART,0),INDIRECT(CONCATENATE(Aircraft!AO8,"CATMOD")),5),1)</f>
        <v>1</v>
      </c>
      <c r="U10" s="9">
        <f ca="1">IFERROR(IF(Rating!J14=Worksheet_Com!$AF$11,1,IF(LEFT(Aircraft!C8,2)="RW",1,IF(AND(Aircraft!AO8="SETP",Aircraft!AX8="R"),1+VLOOKUP(MATCH(Aircraft!AY8,ACGearType,0),INDIRECT(CONCATENATE("SE_P","GearMod")),5),1+VLOOKUP(MATCH(Aircraft!AY8,ACGearType,0),INDIRECT(CONCATENATE(Aircraft!AO8,"GearMod")),5)))),1)</f>
        <v>1</v>
      </c>
      <c r="V10" s="9">
        <f ca="1">IFERROR(IF(Rating!J14=Worksheet_Com!$AF$11,1,IF(LEFT(Aircraft!C8,2)="RW",1,IF(AND(Aircraft!AO8="SETP",Aircraft!AX8="R"),1+VLOOKUP(MATCH(Aircraft!AY8,ACGearType,0),INDIRECT(CONCATENATE("SE_P","GearMod")),7),1+VLOOKUP(MATCH(Aircraft!AY8,ACGearType,0),INDIRECT(CONCATENATE(Aircraft!AO8,"GearMod")),7)))),1)</f>
        <v>1</v>
      </c>
      <c r="W10" s="9">
        <f>IFERROR(IF(VLOOKUP(Aircraft!C8,Aircraftlist,19)="",0,VLOOKUP(Aircraft!C8,Aircraftlist,19))+1,1)</f>
        <v>1</v>
      </c>
      <c r="X10" s="9">
        <f>IFERROR(VLOOKUP(Aircraft!C8,Aircraftlist,18)+1,1)</f>
        <v>1</v>
      </c>
      <c r="Y10" s="9">
        <f>IFERROR(1+(VLOOKUP(MATCH(Aircraft!AK8,AWtypes,0),AWCertChart,5)),1)</f>
        <v>1</v>
      </c>
      <c r="Z10" s="9">
        <f ca="1">IFERROR(1+(VLOOKUP(IF(LEFT(Aircraft!$AO8,2)="RW",2,1),INDIRECT(Rating!$J14),2)),1)</f>
        <v>1</v>
      </c>
      <c r="AA10" s="9">
        <f ca="1">IFERROR(1+(VLOOKUP(IF(LEFT(Aircraft!$AO8,2)="RW",2,1),INDIRECT(Rating!$J14),3)),1)</f>
        <v>1</v>
      </c>
      <c r="AB10" s="9">
        <f>IF(OR(Aircraft!S8="N",Aircraft!S8=""),1,'MGR Adjustment'!$AF$23+1)</f>
        <v>1</v>
      </c>
      <c r="AC10" s="9">
        <f>IFERROR(IF(AND(Aircraft!J8&gt;"",OR(Aircraft!P8="",Aircraft!P8=0)),'MGR Adjustment'!$AM$23)+1,1)</f>
        <v>1</v>
      </c>
      <c r="AF10" t="s">
        <v>1863</v>
      </c>
      <c r="AG10">
        <v>5</v>
      </c>
      <c r="AN10" t="s">
        <v>1853</v>
      </c>
      <c r="AS10">
        <v>5</v>
      </c>
      <c r="AT10" t="str">
        <f>IFERROR(IF(MATCH(Aircraft!U8,KYAIRPORT,0),"Yes","No"),"")</f>
        <v/>
      </c>
      <c r="AU10" t="b">
        <f>IFERROR(IF(AT10="Yes",VLOOKUP(MATCH(Aircraft!U8,KYAIRPORT,0),KYCOuntyCity,3)),"")</f>
        <v>0</v>
      </c>
      <c r="AV10" s="9" t="str">
        <f t="shared" si="0"/>
        <v/>
      </c>
      <c r="AW10" t="b">
        <f>IFERROR(IF(AT10="Yes",VLOOKUP(MATCH(Aircraft!U8,KYAIRPORT,0),KYCOuntyCity,4)),"")</f>
        <v>0</v>
      </c>
      <c r="AX10" s="9" t="str">
        <f t="shared" si="1"/>
        <v/>
      </c>
      <c r="AY10" s="9">
        <f t="shared" si="6"/>
        <v>1.7999999999999999E-2</v>
      </c>
      <c r="AZ10" s="155">
        <f t="shared" si="7"/>
        <v>0</v>
      </c>
      <c r="BC10">
        <v>6</v>
      </c>
      <c r="BD10" s="387" t="s">
        <v>1864</v>
      </c>
      <c r="BE10" t="s">
        <v>1865</v>
      </c>
      <c r="BF10" t="s">
        <v>1866</v>
      </c>
      <c r="BG10" t="str">
        <f t="shared" si="2"/>
        <v/>
      </c>
      <c r="BH10" t="str">
        <f t="shared" si="3"/>
        <v/>
      </c>
      <c r="BK10">
        <v>6</v>
      </c>
      <c r="BL10" s="157" t="s">
        <v>1867</v>
      </c>
      <c r="BM10" s="159">
        <v>0.04</v>
      </c>
    </row>
    <row r="11" spans="2:65">
      <c r="B11">
        <v>6</v>
      </c>
      <c r="C11" s="10" t="str">
        <f ca="1">IFERROR(IF(Aircraft!C9="","",IF(Aircraft!C9=0,VLOOKUP(Aircraft!P9,SE_p,2),VLOOKUP(Aircraft!P9,INDIRECT(Aircraft!AO9),2))),"")</f>
        <v/>
      </c>
      <c r="D11" s="15" t="str">
        <f>IFERROR(IF(LEFT(Aircraft!AO9,2)="RW",HLOOKUP(IF(Aircraft!AI9&gt;0,Aircraft!AI9,Aircraft!AE9),PistonRWLiabRate,SUM(MATCH(Aircraft!W9,PistonLiabLocMatch,0)+1)),IF(LEFT(Aircraft!AO9,2)="ME",HLOOKUP(IF(Aircraft!AI9&gt;0,Aircraft!AI9,Aircraft!AE9),PistonMELFWLiabRates,SUM(MATCH(Aircraft!W9,PistonLiabLocMatch,0)+1)),HLOOKUP(IF(Aircraft!AI9&gt;0,Aircraft!AI9,Aircraft!AE9),PistonFWLiabRate,SUM(MATCH(Aircraft!W9,PistonLiabLocMatch,0)+1)))),"")</f>
        <v/>
      </c>
      <c r="E11" s="15" t="str">
        <f>IFERROR(IF(Rating!AC15="Yes",0,PRODUCT(VLOOKUP(MATCH(Aircraft!$Y9,MedLimits,0),MedRate,3),Aircraft!$BB9)),"")</f>
        <v/>
      </c>
      <c r="F11" s="9">
        <f t="shared" ca="1" si="4"/>
        <v>1</v>
      </c>
      <c r="G11" s="9">
        <f t="shared" ca="1" si="5"/>
        <v>1</v>
      </c>
      <c r="H11" s="9">
        <f>IF(OR(Rating!$E$2=0,Rating!$E$2=""),1+$AG$14,Rating!$E$2+$AG$14+1)</f>
        <v>1.25</v>
      </c>
      <c r="I11" s="9">
        <f>IF(OR(Rating!$F$2=0,Rating!$F$2=""),1+$AG$14,Rating!$F$2+$AG$14+1)</f>
        <v>1.07</v>
      </c>
      <c r="J11" s="9">
        <f>IF(OR(Rating!$R15=0,Rating!$R15=""),1,Rating!$R15+1)</f>
        <v>1</v>
      </c>
      <c r="K11" s="9">
        <f>IF(OR(Rating!$T15=0,Rating!$T15=""),1,Rating!$T15+1)</f>
        <v>1</v>
      </c>
      <c r="L11" s="13" t="str">
        <f>IF(Aircraft!J9="","",ROUND(PRODUCT(ROUND(ROUND(C11*85%,6)/$E$4,6),G11),6))</f>
        <v/>
      </c>
      <c r="M11" s="15" t="str">
        <f>IF(Aircraft!J9="","",ROUND(PRODUCT(ROUND(ROUND(D11*85%,0)/$E$4,0),F11),0))</f>
        <v/>
      </c>
      <c r="N11" s="13" t="str">
        <f>IF(Aircraft!J9="","",ROUND(PRODUCT(I11,K11,L11),5))</f>
        <v/>
      </c>
      <c r="O11" s="11" t="str">
        <f>IF(Aircraft!J9="","",IFERROR(ROUND(PRODUCT(N11,Aircraft!P9),0),0))</f>
        <v/>
      </c>
      <c r="P11" s="11" t="str">
        <f>IF(Aircraft!J9="","",IFERROR(ROUND(PRODUCT(H11,M11,J11),0),""))</f>
        <v/>
      </c>
      <c r="Q11" s="11" t="str">
        <f>IF(Aircraft!J9="","",IFERROR(ROUND(PRODUCT(ROUND(ROUND(E11*85%,0)/$E$4,0),AC11),0),""))</f>
        <v/>
      </c>
      <c r="S11" t="str">
        <f>IFERROR(IF(VLOOKUP(Aircraft!C9,Aircraftlist,17)="M","Medium",IF(VLOOKUP(Aircraft!C9,Aircraftlist,17)="L","Light",IF(VLOOKUP(Aircraft!C9,Aircraftlist,17)="H","Heavy",""))),"")</f>
        <v/>
      </c>
      <c r="T11" s="9">
        <f ca="1">IFERROR(1+VLOOKUP(MATCH(S11,ACCATCHART,0),INDIRECT(CONCATENATE(Aircraft!AO9,"CATMOD")),5),1)</f>
        <v>1</v>
      </c>
      <c r="U11" s="9">
        <f ca="1">IFERROR(IF(Rating!J15=Worksheet_Com!$AF$11,1,IF(LEFT(Aircraft!C9,2)="RW",1,IF(AND(Aircraft!AO9="SETP",Aircraft!AX9="R"),1+VLOOKUP(MATCH(Aircraft!AY9,ACGearType,0),INDIRECT(CONCATENATE("SE_P","GearMod")),5),1+VLOOKUP(MATCH(Aircraft!AY9,ACGearType,0),INDIRECT(CONCATENATE(Aircraft!AO9,"GearMod")),5)))),1)</f>
        <v>1</v>
      </c>
      <c r="V11" s="9">
        <f ca="1">IFERROR(IF(Rating!J15=Worksheet_Com!$AF$11,1,IF(LEFT(Aircraft!C9,2)="RW",1,IF(AND(Aircraft!AO9="SETP",Aircraft!AX9="R"),1+VLOOKUP(MATCH(Aircraft!AY9,ACGearType,0),INDIRECT(CONCATENATE("SE_P","GearMod")),7),1+VLOOKUP(MATCH(Aircraft!AY9,ACGearType,0),INDIRECT(CONCATENATE(Aircraft!AO9,"GearMod")),7)))),1)</f>
        <v>1</v>
      </c>
      <c r="W11" s="9">
        <f>IFERROR(IF(VLOOKUP(Aircraft!C9,Aircraftlist,19)="",0,VLOOKUP(Aircraft!C9,Aircraftlist,19))+1,1)</f>
        <v>1</v>
      </c>
      <c r="X11" s="9">
        <f>IFERROR(VLOOKUP(Aircraft!C9,Aircraftlist,18)+1,1)</f>
        <v>1</v>
      </c>
      <c r="Y11" s="9">
        <f>IFERROR(1+(VLOOKUP(MATCH(Aircraft!AK9,AWtypes,0),AWCertChart,5)),1)</f>
        <v>1</v>
      </c>
      <c r="Z11" s="9">
        <f ca="1">IFERROR(1+(VLOOKUP(IF(LEFT(Aircraft!$AO9,2)="RW",2,1),INDIRECT(Rating!$J15),2)),1)</f>
        <v>1</v>
      </c>
      <c r="AA11" s="9">
        <f ca="1">IFERROR(1+(VLOOKUP(IF(LEFT(Aircraft!$AO9,2)="RW",2,1),INDIRECT(Rating!$J15),3)),1)</f>
        <v>1</v>
      </c>
      <c r="AB11" s="9">
        <f>IF(OR(Aircraft!S9="N",Aircraft!S9=""),1,'MGR Adjustment'!$AF$23+1)</f>
        <v>1</v>
      </c>
      <c r="AC11" s="9">
        <f>IFERROR(IF(AND(Aircraft!J9&gt;"",OR(Aircraft!P9="",Aircraft!P9=0)),'MGR Adjustment'!$AM$23)+1,1)</f>
        <v>1</v>
      </c>
      <c r="AF11" t="s">
        <v>1868</v>
      </c>
      <c r="AG11">
        <v>6</v>
      </c>
      <c r="AJ11" t="s">
        <v>1846</v>
      </c>
      <c r="AO11" t="s">
        <v>1869</v>
      </c>
      <c r="AP11" s="9">
        <v>1.7999999999999999E-2</v>
      </c>
      <c r="AS11">
        <v>6</v>
      </c>
      <c r="AT11" t="str">
        <f>IFERROR(IF(MATCH(Aircraft!U9,KYAIRPORT,0),"Yes","No"),"")</f>
        <v/>
      </c>
      <c r="AU11" t="b">
        <f>IFERROR(IF(AT11="Yes",VLOOKUP(MATCH(Aircraft!U9,KYAIRPORT,0),KYCOuntyCity,3)),"")</f>
        <v>0</v>
      </c>
      <c r="AV11" s="9" t="str">
        <f t="shared" si="0"/>
        <v/>
      </c>
      <c r="AW11" t="b">
        <f>IFERROR(IF(AT11="Yes",VLOOKUP(MATCH(Aircraft!U9,KYAIRPORT,0),KYCOuntyCity,4)),"")</f>
        <v>0</v>
      </c>
      <c r="AX11" s="9" t="str">
        <f t="shared" si="1"/>
        <v/>
      </c>
      <c r="AY11" s="9">
        <f t="shared" si="6"/>
        <v>1.7999999999999999E-2</v>
      </c>
      <c r="AZ11" s="155">
        <f t="shared" si="7"/>
        <v>0</v>
      </c>
      <c r="BC11">
        <v>7</v>
      </c>
      <c r="BD11" s="387" t="s">
        <v>1870</v>
      </c>
      <c r="BE11" t="s">
        <v>1865</v>
      </c>
      <c r="BF11" t="s">
        <v>1871</v>
      </c>
      <c r="BG11" t="str">
        <f t="shared" si="2"/>
        <v/>
      </c>
      <c r="BH11" t="str">
        <f t="shared" si="3"/>
        <v/>
      </c>
      <c r="BK11">
        <v>7</v>
      </c>
      <c r="BL11" s="157" t="s">
        <v>1872</v>
      </c>
      <c r="BM11" s="159">
        <v>0.08</v>
      </c>
    </row>
    <row r="12" spans="2:65">
      <c r="B12">
        <v>7</v>
      </c>
      <c r="C12" s="10" t="str">
        <f ca="1">IFERROR(IF(Aircraft!C10="","",IF(Aircraft!C10=0,VLOOKUP(Aircraft!P10,SE_p,2),VLOOKUP(Aircraft!P10,INDIRECT(Aircraft!AO10),2))),"")</f>
        <v/>
      </c>
      <c r="D12" s="15" t="str">
        <f>IFERROR(IF(LEFT(Aircraft!AO10,2)="RW",HLOOKUP(IF(Aircraft!AI10&gt;0,Aircraft!AI10,Aircraft!AE10),PistonRWLiabRate,SUM(MATCH(Aircraft!W10,PistonLiabLocMatch,0)+1)),IF(LEFT(Aircraft!AO10,2)="ME",HLOOKUP(IF(Aircraft!AI10&gt;0,Aircraft!AI10,Aircraft!AE10),PistonMELFWLiabRates,SUM(MATCH(Aircraft!W10,PistonLiabLocMatch,0)+1)),HLOOKUP(IF(Aircraft!AI10&gt;0,Aircraft!AI10,Aircraft!AE10),PistonFWLiabRate,SUM(MATCH(Aircraft!W10,PistonLiabLocMatch,0)+1)))),"")</f>
        <v/>
      </c>
      <c r="E12" s="15" t="str">
        <f>IFERROR(IF(Rating!AC16="Yes",0,PRODUCT(VLOOKUP(MATCH(Aircraft!$Y10,MedLimits,0),MedRate,3),Aircraft!$BB10)),"")</f>
        <v/>
      </c>
      <c r="F12" s="9">
        <f t="shared" ca="1" si="4"/>
        <v>1</v>
      </c>
      <c r="G12" s="9">
        <f t="shared" ca="1" si="5"/>
        <v>1</v>
      </c>
      <c r="H12" s="9">
        <f>IF(OR(Rating!$E$2=0,Rating!$E$2=""),1+$AG$14,Rating!$E$2+$AG$14+1)</f>
        <v>1.25</v>
      </c>
      <c r="I12" s="9">
        <f>IF(OR(Rating!$F$2=0,Rating!$F$2=""),1+$AG$14,Rating!$F$2+$AG$14+1)</f>
        <v>1.07</v>
      </c>
      <c r="J12" s="9">
        <f>IF(OR(Rating!$R16=0,Rating!$R16=""),1,Rating!$R16+1)</f>
        <v>1</v>
      </c>
      <c r="K12" s="9">
        <f>IF(OR(Rating!$T16=0,Rating!$T16=""),1,Rating!$T16+1)</f>
        <v>1</v>
      </c>
      <c r="L12" s="13" t="str">
        <f>IF(Aircraft!J10="","",ROUND(PRODUCT(ROUND(ROUND(C12*85%,6)/$E$4,6),G12),6))</f>
        <v/>
      </c>
      <c r="M12" s="15" t="str">
        <f>IF(Aircraft!J10="","",ROUND(PRODUCT(ROUND(ROUND(D12*85%,0)/$E$4,0),F12),0))</f>
        <v/>
      </c>
      <c r="N12" s="13" t="str">
        <f>IF(Aircraft!J10="","",ROUND(PRODUCT(I12,K12,L12),5))</f>
        <v/>
      </c>
      <c r="O12" s="11" t="str">
        <f>IF(Aircraft!J10="","",IFERROR(ROUND(PRODUCT(N12,Aircraft!P10),0),0))</f>
        <v/>
      </c>
      <c r="P12" s="11" t="str">
        <f>IF(Aircraft!J10="","",IFERROR(ROUND(PRODUCT(H12,M12,J12),0),""))</f>
        <v/>
      </c>
      <c r="Q12" s="11" t="str">
        <f>IF(Aircraft!J10="","",IFERROR(ROUND(PRODUCT(ROUND(ROUND(E12*85%,0)/$E$4,0),AC12),0),""))</f>
        <v/>
      </c>
      <c r="S12" t="str">
        <f>IFERROR(IF(VLOOKUP(Aircraft!C10,Aircraftlist,17)="M","Medium",IF(VLOOKUP(Aircraft!C10,Aircraftlist,17)="L","Light",IF(VLOOKUP(Aircraft!C10,Aircraftlist,17)="H","Heavy",""))),"")</f>
        <v/>
      </c>
      <c r="T12" s="9">
        <f ca="1">IFERROR(1+VLOOKUP(MATCH(S12,ACCATCHART,0),INDIRECT(CONCATENATE(Aircraft!AO10,"CATMOD")),5),1)</f>
        <v>1</v>
      </c>
      <c r="U12" s="9">
        <f ca="1">IFERROR(IF(Rating!J16=Worksheet_Com!$AF$11,1,IF(LEFT(Aircraft!C10,2)="RW",1,IF(AND(Aircraft!AO10="SETP",Aircraft!AX10="R"),1+VLOOKUP(MATCH(Aircraft!AY10,ACGearType,0),INDIRECT(CONCATENATE("SE_P","GearMod")),5),1+VLOOKUP(MATCH(Aircraft!AY10,ACGearType,0),INDIRECT(CONCATENATE(Aircraft!AO10,"GearMod")),5)))),1)</f>
        <v>1</v>
      </c>
      <c r="V12" s="9">
        <f ca="1">IFERROR(IF(Rating!J16=Worksheet_Com!$AF$11,1,IF(LEFT(Aircraft!C10,2)="RW",1,IF(AND(Aircraft!AO10="SETP",Aircraft!AX10="R"),1+VLOOKUP(MATCH(Aircraft!AY10,ACGearType,0),INDIRECT(CONCATENATE("SE_P","GearMod")),7),1+VLOOKUP(MATCH(Aircraft!AY10,ACGearType,0),INDIRECT(CONCATENATE(Aircraft!AO10,"GearMod")),7)))),1)</f>
        <v>1</v>
      </c>
      <c r="W12" s="9">
        <f>IFERROR(IF(VLOOKUP(Aircraft!C10,Aircraftlist,19)="",0,VLOOKUP(Aircraft!C10,Aircraftlist,19))+1,1)</f>
        <v>1</v>
      </c>
      <c r="X12" s="9">
        <f>IFERROR(VLOOKUP(Aircraft!C10,Aircraftlist,18)+1,1)</f>
        <v>1</v>
      </c>
      <c r="Y12" s="9">
        <f>IFERROR(1+(VLOOKUP(MATCH(Aircraft!AK10,AWtypes,0),AWCertChart,5)),1)</f>
        <v>1</v>
      </c>
      <c r="Z12" s="9">
        <f ca="1">IFERROR(1+(VLOOKUP(IF(LEFT(Aircraft!$AO10,2)="RW",2,1),INDIRECT(Rating!$J16),2)),1)</f>
        <v>1</v>
      </c>
      <c r="AA12" s="9">
        <f ca="1">IFERROR(1+(VLOOKUP(IF(LEFT(Aircraft!$AO10,2)="RW",2,1),INDIRECT(Rating!$J16),3)),1)</f>
        <v>1</v>
      </c>
      <c r="AB12" s="9">
        <f>IF(OR(Aircraft!S10="N",Aircraft!S10=""),1,'MGR Adjustment'!$AF$23+1)</f>
        <v>1</v>
      </c>
      <c r="AC12" s="9">
        <f>IFERROR(IF(AND(Aircraft!J10&gt;"",OR(Aircraft!P10="",Aircraft!P10=0)),'MGR Adjustment'!$AM$23)+1,1)</f>
        <v>1</v>
      </c>
      <c r="AF12" t="s">
        <v>1873</v>
      </c>
      <c r="AJ12" t="s">
        <v>1841</v>
      </c>
      <c r="AK12" t="s">
        <v>1774</v>
      </c>
      <c r="AO12" t="s">
        <v>1834</v>
      </c>
      <c r="AS12">
        <v>7</v>
      </c>
      <c r="AT12" t="str">
        <f>IFERROR(IF(MATCH(Aircraft!U10,KYAIRPORT,0),"Yes","No"),"")</f>
        <v/>
      </c>
      <c r="AU12" t="b">
        <f>IFERROR(IF(AT12="Yes",VLOOKUP(MATCH(Aircraft!U10,KYAIRPORT,0),KYCOuntyCity,3)),"")</f>
        <v>0</v>
      </c>
      <c r="AV12" s="9" t="str">
        <f t="shared" si="0"/>
        <v/>
      </c>
      <c r="AW12" t="b">
        <f>IFERROR(IF(AT12="Yes",VLOOKUP(MATCH(Aircraft!U10,KYAIRPORT,0),KYCOuntyCity,4)),"")</f>
        <v>0</v>
      </c>
      <c r="AX12" s="9" t="str">
        <f t="shared" si="1"/>
        <v/>
      </c>
      <c r="AY12" s="9">
        <f t="shared" si="6"/>
        <v>1.7999999999999999E-2</v>
      </c>
      <c r="AZ12" s="155">
        <f t="shared" si="7"/>
        <v>0</v>
      </c>
      <c r="BC12">
        <v>8</v>
      </c>
      <c r="BD12" s="387" t="s">
        <v>1874</v>
      </c>
      <c r="BE12" t="s">
        <v>1875</v>
      </c>
      <c r="BF12" t="s">
        <v>1876</v>
      </c>
      <c r="BG12" t="str">
        <f t="shared" si="2"/>
        <v/>
      </c>
      <c r="BH12" t="str">
        <f t="shared" si="3"/>
        <v/>
      </c>
      <c r="BK12">
        <v>8</v>
      </c>
      <c r="BL12" s="157" t="s">
        <v>1877</v>
      </c>
      <c r="BM12" s="159">
        <v>0.1</v>
      </c>
    </row>
    <row r="13" spans="2:65">
      <c r="B13">
        <v>8</v>
      </c>
      <c r="C13" s="10" t="str">
        <f ca="1">IFERROR(IF(Aircraft!C11="","",IF(Aircraft!C11=0,VLOOKUP(Aircraft!P11,SE_p,2),VLOOKUP(Aircraft!P11,INDIRECT(Aircraft!AO11),2))),"")</f>
        <v/>
      </c>
      <c r="D13" s="15" t="str">
        <f>IFERROR(IF(LEFT(Aircraft!AO11,2)="RW",HLOOKUP(IF(Aircraft!AI11&gt;0,Aircraft!AI11,Aircraft!AE11),PistonRWLiabRate,SUM(MATCH(Aircraft!W11,PistonLiabLocMatch,0)+1)),IF(LEFT(Aircraft!AO11,2)="ME",HLOOKUP(IF(Aircraft!AI11&gt;0,Aircraft!AI11,Aircraft!AE11),PistonMELFWLiabRates,SUM(MATCH(Aircraft!W11,PistonLiabLocMatch,0)+1)),HLOOKUP(IF(Aircraft!AI11&gt;0,Aircraft!AI11,Aircraft!AE11),PistonFWLiabRate,SUM(MATCH(Aircraft!W11,PistonLiabLocMatch,0)+1)))),"")</f>
        <v/>
      </c>
      <c r="E13" s="15" t="str">
        <f>IFERROR(IF(Rating!AC17="Yes",0,PRODUCT(VLOOKUP(MATCH(Aircraft!$Y11,MedLimits,0),MedRate,3),Aircraft!$BB11)),"")</f>
        <v/>
      </c>
      <c r="F13" s="9">
        <f t="shared" ca="1" si="4"/>
        <v>1</v>
      </c>
      <c r="G13" s="9">
        <f t="shared" ca="1" si="5"/>
        <v>1</v>
      </c>
      <c r="H13" s="9">
        <f>IF(OR(Rating!$E$2=0,Rating!$E$2=""),1+$AG$14,Rating!$E$2+$AG$14+1)</f>
        <v>1.25</v>
      </c>
      <c r="I13" s="9">
        <f>IF(OR(Rating!$F$2=0,Rating!$F$2=""),1+$AG$14,Rating!$F$2+$AG$14+1)</f>
        <v>1.07</v>
      </c>
      <c r="J13" s="9">
        <f>IF(OR(Rating!$R17=0,Rating!$R17=""),1,Rating!$R17+1)</f>
        <v>1</v>
      </c>
      <c r="K13" s="9">
        <f>IF(OR(Rating!$T17=0,Rating!$T17=""),1,Rating!$T17+1)</f>
        <v>1</v>
      </c>
      <c r="L13" s="13" t="str">
        <f>IF(Aircraft!J11="","",ROUND(PRODUCT(ROUND(ROUND(C13*85%,6)/$E$4,6),G13),6))</f>
        <v/>
      </c>
      <c r="M13" s="15" t="str">
        <f>IF(Aircraft!J11="","",ROUND(PRODUCT(ROUND(ROUND(D13*85%,0)/$E$4,0),F13),0))</f>
        <v/>
      </c>
      <c r="N13" s="13" t="str">
        <f>IF(Aircraft!J11="","",ROUND(PRODUCT(I13,K13,L13),5))</f>
        <v/>
      </c>
      <c r="O13" s="11" t="str">
        <f>IF(Aircraft!J11="","",IFERROR(ROUND(PRODUCT(N13,Aircraft!P11),0),0))</f>
        <v/>
      </c>
      <c r="P13" s="11" t="str">
        <f>IF(Aircraft!J11="","",IFERROR(ROUND(PRODUCT(H13,M13,J13),0),""))</f>
        <v/>
      </c>
      <c r="Q13" s="11" t="str">
        <f>IF(Aircraft!J11="","",IFERROR(ROUND(PRODUCT(ROUND(ROUND(E13*85%,0)/$E$4,0),AC13),0),""))</f>
        <v/>
      </c>
      <c r="S13" t="str">
        <f>IFERROR(IF(VLOOKUP(Aircraft!C11,Aircraftlist,17)="M","Medium",IF(VLOOKUP(Aircraft!C11,Aircraftlist,17)="L","Light",IF(VLOOKUP(Aircraft!C11,Aircraftlist,17)="H","Heavy",""))),"")</f>
        <v/>
      </c>
      <c r="T13" s="9">
        <f ca="1">IFERROR(1+VLOOKUP(MATCH(S13,ACCATCHART,0),INDIRECT(CONCATENATE(Aircraft!AO11,"CATMOD")),5),1)</f>
        <v>1</v>
      </c>
      <c r="U13" s="9">
        <f ca="1">IFERROR(IF(Rating!J17=Worksheet_Com!$AF$11,1,IF(LEFT(Aircraft!C11,2)="RW",1,IF(AND(Aircraft!AO11="SETP",Aircraft!AX11="R"),1+VLOOKUP(MATCH(Aircraft!AY11,ACGearType,0),INDIRECT(CONCATENATE("SE_P","GearMod")),5),1+VLOOKUP(MATCH(Aircraft!AY11,ACGearType,0),INDIRECT(CONCATENATE(Aircraft!AO11,"GearMod")),5)))),1)</f>
        <v>1</v>
      </c>
      <c r="V13" s="9">
        <f ca="1">IFERROR(IF(Rating!J17=Worksheet_Com!$AF$11,1,IF(LEFT(Aircraft!C11,2)="RW",1,IF(AND(Aircraft!AO11="SETP",Aircraft!AX11="R"),1+VLOOKUP(MATCH(Aircraft!AY11,ACGearType,0),INDIRECT(CONCATENATE("SE_P","GearMod")),7),1+VLOOKUP(MATCH(Aircraft!AY11,ACGearType,0),INDIRECT(CONCATENATE(Aircraft!AO11,"GearMod")),7)))),1)</f>
        <v>1</v>
      </c>
      <c r="W13" s="9">
        <f>IFERROR(IF(VLOOKUP(Aircraft!C11,Aircraftlist,19)="",0,VLOOKUP(Aircraft!C11,Aircraftlist,19))+1,1)</f>
        <v>1</v>
      </c>
      <c r="X13" s="9">
        <f>IFERROR(VLOOKUP(Aircraft!C11,Aircraftlist,18)+1,1)</f>
        <v>1</v>
      </c>
      <c r="Y13" s="9">
        <f>IFERROR(1+(VLOOKUP(MATCH(Aircraft!AK11,AWtypes,0),AWCertChart,5)),1)</f>
        <v>1</v>
      </c>
      <c r="Z13" s="9">
        <f ca="1">IFERROR(1+(VLOOKUP(IF(LEFT(Aircraft!$AO11,2)="RW",2,1),INDIRECT(Rating!$J17),2)),1)</f>
        <v>1</v>
      </c>
      <c r="AA13" s="9">
        <f ca="1">IFERROR(1+(VLOOKUP(IF(LEFT(Aircraft!$AO11,2)="RW",2,1),INDIRECT(Rating!$J17),3)),1)</f>
        <v>1</v>
      </c>
      <c r="AB13" s="9">
        <f>IF(OR(Aircraft!S11="N",Aircraft!S11=""),1,'MGR Adjustment'!$AF$23+1)</f>
        <v>1</v>
      </c>
      <c r="AC13" s="9">
        <f>IFERROR(IF(AND(Aircraft!J11&gt;"",OR(Aircraft!P11="",Aircraft!P11=0)),'MGR Adjustment'!$AM$23)+1,1)</f>
        <v>1</v>
      </c>
      <c r="AI13">
        <v>1</v>
      </c>
      <c r="AJ13" s="9">
        <f>'MGR Adjustment'!Q57</f>
        <v>1.25</v>
      </c>
      <c r="AK13" s="9">
        <f>'MGR Adjustment'!T57</f>
        <v>0.35</v>
      </c>
      <c r="AO13" t="s">
        <v>1802</v>
      </c>
      <c r="AS13">
        <v>8</v>
      </c>
      <c r="AT13" t="str">
        <f>IFERROR(IF(MATCH(Aircraft!U11,KYAIRPORT,0),"Yes","No"),"")</f>
        <v/>
      </c>
      <c r="AU13" t="b">
        <f>IFERROR(IF(AT13="Yes",VLOOKUP(MATCH(Aircraft!U11,KYAIRPORT,0),KYCOuntyCity,3)),"")</f>
        <v>0</v>
      </c>
      <c r="AV13" s="9" t="str">
        <f t="shared" si="0"/>
        <v/>
      </c>
      <c r="AW13" t="b">
        <f>IFERROR(IF(AT13="Yes",VLOOKUP(MATCH(Aircraft!U11,KYAIRPORT,0),KYCOuntyCity,4)),"")</f>
        <v>0</v>
      </c>
      <c r="AX13" s="9" t="str">
        <f t="shared" si="1"/>
        <v/>
      </c>
      <c r="AY13" s="9">
        <f t="shared" si="6"/>
        <v>1.7999999999999999E-2</v>
      </c>
      <c r="AZ13" s="155">
        <f t="shared" si="7"/>
        <v>0</v>
      </c>
      <c r="BC13">
        <v>9</v>
      </c>
      <c r="BD13" s="387" t="s">
        <v>1878</v>
      </c>
      <c r="BE13" t="s">
        <v>1879</v>
      </c>
      <c r="BF13" t="s">
        <v>1880</v>
      </c>
      <c r="BG13" t="str">
        <f t="shared" si="2"/>
        <v/>
      </c>
      <c r="BH13" t="str">
        <f t="shared" si="3"/>
        <v/>
      </c>
      <c r="BK13">
        <v>9</v>
      </c>
      <c r="BL13" s="157" t="s">
        <v>1881</v>
      </c>
      <c r="BM13" s="159">
        <v>0.06</v>
      </c>
    </row>
    <row r="14" spans="2:65">
      <c r="B14">
        <v>9</v>
      </c>
      <c r="C14" s="10" t="str">
        <f ca="1">IFERROR(IF(Aircraft!C12="","",IF(Aircraft!C12=0,VLOOKUP(Aircraft!P12,SE_p,2),VLOOKUP(Aircraft!P12,INDIRECT(Aircraft!AO12),2))),"")</f>
        <v/>
      </c>
      <c r="D14" s="15" t="str">
        <f>IFERROR(IF(LEFT(Aircraft!AO12,2)="RW",HLOOKUP(IF(Aircraft!AI12&gt;0,Aircraft!AI12,Aircraft!AE12),PistonRWLiabRate,SUM(MATCH(Aircraft!W12,PistonLiabLocMatch,0)+1)),IF(LEFT(Aircraft!AO12,2)="ME",HLOOKUP(IF(Aircraft!AI12&gt;0,Aircraft!AI12,Aircraft!AE12),PistonMELFWLiabRates,SUM(MATCH(Aircraft!W12,PistonLiabLocMatch,0)+1)),HLOOKUP(IF(Aircraft!AI12&gt;0,Aircraft!AI12,Aircraft!AE12),PistonFWLiabRate,SUM(MATCH(Aircraft!W12,PistonLiabLocMatch,0)+1)))),"")</f>
        <v/>
      </c>
      <c r="E14" s="15" t="str">
        <f>IFERROR(IF(Rating!AC18="Yes",0,PRODUCT(VLOOKUP(MATCH(Aircraft!$Y12,MedLimits,0),MedRate,3),Aircraft!$BB12)),"")</f>
        <v/>
      </c>
      <c r="F14" s="9">
        <f t="shared" ca="1" si="4"/>
        <v>1</v>
      </c>
      <c r="G14" s="9">
        <f t="shared" ca="1" si="5"/>
        <v>1</v>
      </c>
      <c r="H14" s="9">
        <f>IF(OR(Rating!$E$2=0,Rating!$E$2=""),1+$AG$14,Rating!$E$2+$AG$14+1)</f>
        <v>1.25</v>
      </c>
      <c r="I14" s="9">
        <f>IF(OR(Rating!$F$2=0,Rating!$F$2=""),1+$AG$14,Rating!$F$2+$AG$14+1)</f>
        <v>1.07</v>
      </c>
      <c r="J14" s="9">
        <f>IF(OR(Rating!$R18=0,Rating!$R18=""),1,Rating!$R18+1)</f>
        <v>1</v>
      </c>
      <c r="K14" s="9">
        <f>IF(OR(Rating!$T18=0,Rating!$T18=""),1,Rating!$T18+1)</f>
        <v>1</v>
      </c>
      <c r="L14" s="13" t="str">
        <f>IF(Aircraft!J12="","",ROUND(PRODUCT(ROUND(ROUND(C14*85%,6)/$E$4,6),G14),6))</f>
        <v/>
      </c>
      <c r="M14" s="15" t="str">
        <f>IF(Aircraft!J12="","",ROUND(PRODUCT(ROUND(ROUND(D14*85%,0)/$E$4,0),F14),0))</f>
        <v/>
      </c>
      <c r="N14" s="13" t="str">
        <f>IF(Aircraft!J12="","",ROUND(PRODUCT(I14,K14,L14),5))</f>
        <v/>
      </c>
      <c r="O14" s="11" t="str">
        <f>IF(Aircraft!J12="","",IFERROR(ROUND(PRODUCT(N14,Aircraft!P12),0),0))</f>
        <v/>
      </c>
      <c r="P14" s="11" t="str">
        <f>IF(Aircraft!J12="","",IFERROR(ROUND(PRODUCT(H14,M14,J14),0),""))</f>
        <v/>
      </c>
      <c r="Q14" s="11" t="str">
        <f>IF(Aircraft!J12="","",IFERROR(ROUND(PRODUCT(ROUND(ROUND(E14*85%,0)/$E$4,0),AC14),0),""))</f>
        <v/>
      </c>
      <c r="S14" t="str">
        <f>IFERROR(IF(VLOOKUP(Aircraft!C12,Aircraftlist,17)="M","Medium",IF(VLOOKUP(Aircraft!C12,Aircraftlist,17)="L","Light",IF(VLOOKUP(Aircraft!C12,Aircraftlist,17)="H","Heavy",""))),"")</f>
        <v/>
      </c>
      <c r="T14" s="9">
        <f ca="1">IFERROR(1+VLOOKUP(MATCH(S14,ACCATCHART,0),INDIRECT(CONCATENATE(Aircraft!AO12,"CATMOD")),5),1)</f>
        <v>1</v>
      </c>
      <c r="U14" s="9">
        <f ca="1">IFERROR(IF(Rating!J18=Worksheet_Com!$AF$11,1,IF(LEFT(Aircraft!C12,2)="RW",1,IF(AND(Aircraft!AO12="SETP",Aircraft!AX12="R"),1+VLOOKUP(MATCH(Aircraft!AY12,ACGearType,0),INDIRECT(CONCATENATE("SE_P","GearMod")),5),1+VLOOKUP(MATCH(Aircraft!AY12,ACGearType,0),INDIRECT(CONCATENATE(Aircraft!AO12,"GearMod")),5)))),1)</f>
        <v>1</v>
      </c>
      <c r="V14" s="9">
        <f ca="1">IFERROR(IF(Rating!J18=Worksheet_Com!$AF$11,1,IF(LEFT(Aircraft!C12,2)="RW",1,IF(AND(Aircraft!AO12="SETP",Aircraft!AX12="R"),1+VLOOKUP(MATCH(Aircraft!AY12,ACGearType,0),INDIRECT(CONCATENATE("SE_P","GearMod")),7),1+VLOOKUP(MATCH(Aircraft!AY12,ACGearType,0),INDIRECT(CONCATENATE(Aircraft!AO12,"GearMod")),7)))),1)</f>
        <v>1</v>
      </c>
      <c r="W14" s="9">
        <f>IFERROR(IF(VLOOKUP(Aircraft!C12,Aircraftlist,19)="",0,VLOOKUP(Aircraft!C12,Aircraftlist,19))+1,1)</f>
        <v>1</v>
      </c>
      <c r="X14" s="9">
        <f>IFERROR(VLOOKUP(Aircraft!C12,Aircraftlist,18)+1,1)</f>
        <v>1</v>
      </c>
      <c r="Y14" s="9">
        <f>IFERROR(1+(VLOOKUP(MATCH(Aircraft!AK12,AWtypes,0),AWCertChart,5)),1)</f>
        <v>1</v>
      </c>
      <c r="Z14" s="9">
        <f ca="1">IFERROR(1+(VLOOKUP(IF(LEFT(Aircraft!$AO12,2)="RW",2,1),INDIRECT(Rating!$J18),2)),1)</f>
        <v>1</v>
      </c>
      <c r="AA14" s="9">
        <f ca="1">IFERROR(1+(VLOOKUP(IF(LEFT(Aircraft!$AO12,2)="RW",2,1),INDIRECT(Rating!$J18),3)),1)</f>
        <v>1</v>
      </c>
      <c r="AB14" s="9">
        <f>IF(OR(Aircraft!S12="N",Aircraft!S12=""),1,'MGR Adjustment'!$AF$23+1)</f>
        <v>1</v>
      </c>
      <c r="AC14" s="9">
        <f>IFERROR(IF(AND(Aircraft!J12&gt;"",OR(Aircraft!P12="",Aircraft!P12=0)),'MGR Adjustment'!$AM$23)+1,1)</f>
        <v>1</v>
      </c>
      <c r="AF14" t="s">
        <v>1775</v>
      </c>
      <c r="AG14">
        <f>IF(Rating!H2="Yes",'MGR Adjustment'!AA62,0)</f>
        <v>0</v>
      </c>
      <c r="AI14">
        <v>2</v>
      </c>
      <c r="AJ14" s="9">
        <f>'MGR Adjustment'!Q58</f>
        <v>2.25</v>
      </c>
      <c r="AK14" s="9">
        <f>'MGR Adjustment'!T58</f>
        <v>0.45</v>
      </c>
      <c r="AP14" s="9"/>
      <c r="AS14">
        <v>9</v>
      </c>
      <c r="AT14" t="str">
        <f>IFERROR(IF(MATCH(Aircraft!U12,KYAIRPORT,0),"Yes","No"),"")</f>
        <v/>
      </c>
      <c r="AU14" t="b">
        <f>IFERROR(IF(AT14="Yes",VLOOKUP(MATCH(Aircraft!U12,KYAIRPORT,0),KYCOuntyCity,3)),"")</f>
        <v>0</v>
      </c>
      <c r="AV14" s="9" t="str">
        <f t="shared" si="0"/>
        <v/>
      </c>
      <c r="AW14" t="b">
        <f>IFERROR(IF(AT14="Yes",VLOOKUP(MATCH(Aircraft!U12,KYAIRPORT,0),KYCOuntyCity,4)),"")</f>
        <v>0</v>
      </c>
      <c r="AX14" s="9" t="str">
        <f t="shared" si="1"/>
        <v/>
      </c>
      <c r="AY14" s="9">
        <f t="shared" si="6"/>
        <v>1.7999999999999999E-2</v>
      </c>
      <c r="AZ14" s="155">
        <f t="shared" si="7"/>
        <v>0</v>
      </c>
      <c r="BC14">
        <v>10</v>
      </c>
      <c r="BD14" s="387" t="s">
        <v>1882</v>
      </c>
      <c r="BE14" t="s">
        <v>1883</v>
      </c>
      <c r="BF14" t="s">
        <v>1884</v>
      </c>
      <c r="BG14" t="str">
        <f t="shared" si="2"/>
        <v/>
      </c>
      <c r="BH14" t="str">
        <f t="shared" si="3"/>
        <v/>
      </c>
      <c r="BK14">
        <v>10</v>
      </c>
      <c r="BL14" s="157" t="s">
        <v>1885</v>
      </c>
      <c r="BM14" s="159">
        <v>0.09</v>
      </c>
    </row>
    <row r="15" spans="2:65">
      <c r="B15">
        <v>10</v>
      </c>
      <c r="C15" s="10" t="str">
        <f ca="1">IFERROR(IF(Aircraft!C13="","",IF(Aircraft!C13=0,VLOOKUP(Aircraft!P13,SE_p,2),VLOOKUP(Aircraft!P13,INDIRECT(Aircraft!AO13),2))),"")</f>
        <v/>
      </c>
      <c r="D15" s="15" t="str">
        <f>IFERROR(IF(LEFT(Aircraft!AO13,2)="RW",HLOOKUP(IF(Aircraft!AI13&gt;0,Aircraft!AI13,Aircraft!AE13),PistonRWLiabRate,SUM(MATCH(Aircraft!W13,PistonLiabLocMatch,0)+1)),IF(LEFT(Aircraft!AO13,2)="ME",HLOOKUP(IF(Aircraft!AI13&gt;0,Aircraft!AI13,Aircraft!AE13),PistonMELFWLiabRates,SUM(MATCH(Aircraft!W13,PistonLiabLocMatch,0)+1)),HLOOKUP(IF(Aircraft!AI13&gt;0,Aircraft!AI13,Aircraft!AE13),PistonFWLiabRate,SUM(MATCH(Aircraft!W13,PistonLiabLocMatch,0)+1)))),"")</f>
        <v/>
      </c>
      <c r="E15" s="15" t="str">
        <f>IFERROR(IF(Rating!AC19="Yes",0,PRODUCT(VLOOKUP(MATCH(Aircraft!$Y13,MedLimits,0),MedRate,3),Aircraft!$BB13)),"")</f>
        <v/>
      </c>
      <c r="F15" s="9">
        <f t="shared" ca="1" si="4"/>
        <v>1</v>
      </c>
      <c r="G15" s="9">
        <f t="shared" ca="1" si="5"/>
        <v>1</v>
      </c>
      <c r="H15" s="9">
        <f>IF(OR(Rating!$E$2=0,Rating!$E$2=""),1+$AG$14,Rating!$E$2+$AG$14+1)</f>
        <v>1.25</v>
      </c>
      <c r="I15" s="9">
        <f>IF(OR(Rating!$F$2=0,Rating!$F$2=""),1+$AG$14,Rating!$F$2+$AG$14+1)</f>
        <v>1.07</v>
      </c>
      <c r="J15" s="9">
        <f>IF(OR(Rating!$R19=0,Rating!$R19=""),1,Rating!$R19+1)</f>
        <v>1</v>
      </c>
      <c r="K15" s="9">
        <f>IF(OR(Rating!$T19=0,Rating!$T19=""),1,Rating!$T19+1)</f>
        <v>1</v>
      </c>
      <c r="L15" s="13" t="str">
        <f>IF(Aircraft!J13="","",ROUND(PRODUCT(ROUND(ROUND(C15*85%,6)/$E$4,6),G15),6))</f>
        <v/>
      </c>
      <c r="M15" s="15" t="str">
        <f>IF(Aircraft!J13="","",ROUND(PRODUCT(ROUND(ROUND(D15*85%,0)/$E$4,0),F15),0))</f>
        <v/>
      </c>
      <c r="N15" s="13" t="str">
        <f>IF(Aircraft!J13="","",ROUND(PRODUCT(I15,K15,L15),5))</f>
        <v/>
      </c>
      <c r="O15" s="11" t="str">
        <f>IF(Aircraft!J13="","",IFERROR(ROUND(PRODUCT(N15,Aircraft!P13),0),0))</f>
        <v/>
      </c>
      <c r="P15" s="11" t="str">
        <f>IF(Aircraft!J13="","",IFERROR(ROUND(PRODUCT(H15,M15,J15),0),""))</f>
        <v/>
      </c>
      <c r="Q15" s="11" t="str">
        <f>IF(Aircraft!J13="","",IFERROR(ROUND(PRODUCT(ROUND(ROUND(E15*85%,0)/$E$4,0),AC15),0),""))</f>
        <v/>
      </c>
      <c r="S15" t="str">
        <f>IFERROR(IF(VLOOKUP(Aircraft!C13,Aircraftlist,17)="M","Medium",IF(VLOOKUP(Aircraft!C13,Aircraftlist,17)="L","Light",IF(VLOOKUP(Aircraft!C13,Aircraftlist,17)="H","Heavy",""))),"")</f>
        <v/>
      </c>
      <c r="T15" s="9">
        <f ca="1">IFERROR(1+VLOOKUP(MATCH(S15,ACCATCHART,0),INDIRECT(CONCATENATE(Aircraft!AO13,"CATMOD")),5),1)</f>
        <v>1</v>
      </c>
      <c r="U15" s="9">
        <f ca="1">IFERROR(IF(Rating!J19=Worksheet_Com!$AF$11,1,IF(LEFT(Aircraft!C13,2)="RW",1,IF(AND(Aircraft!AO13="SETP",Aircraft!AX13="R"),1+VLOOKUP(MATCH(Aircraft!AY13,ACGearType,0),INDIRECT(CONCATENATE("SE_P","GearMod")),5),1+VLOOKUP(MATCH(Aircraft!AY13,ACGearType,0),INDIRECT(CONCATENATE(Aircraft!AO13,"GearMod")),5)))),1)</f>
        <v>1</v>
      </c>
      <c r="V15" s="9">
        <f ca="1">IFERROR(IF(Rating!J19=Worksheet_Com!$AF$11,1,IF(LEFT(Aircraft!C13,2)="RW",1,IF(AND(Aircraft!AO13="SETP",Aircraft!AX13="R"),1+VLOOKUP(MATCH(Aircraft!AY13,ACGearType,0),INDIRECT(CONCATENATE("SE_P","GearMod")),7),1+VLOOKUP(MATCH(Aircraft!AY13,ACGearType,0),INDIRECT(CONCATENATE(Aircraft!AO13,"GearMod")),7)))),1)</f>
        <v>1</v>
      </c>
      <c r="W15" s="9">
        <f>IFERROR(IF(VLOOKUP(Aircraft!C13,Aircraftlist,19)="",0,VLOOKUP(Aircraft!C13,Aircraftlist,19))+1,1)</f>
        <v>1</v>
      </c>
      <c r="X15" s="9">
        <f>IFERROR(VLOOKUP(Aircraft!C13,Aircraftlist,18)+1,1)</f>
        <v>1</v>
      </c>
      <c r="Y15" s="9">
        <f>IFERROR(1+(VLOOKUP(MATCH(Aircraft!AK13,AWtypes,0),AWCertChart,5)),1)</f>
        <v>1</v>
      </c>
      <c r="Z15" s="9">
        <f ca="1">IFERROR(1+(VLOOKUP(IF(LEFT(Aircraft!$AO13,2)="RW",2,1),INDIRECT(Rating!$J19),2)),1)</f>
        <v>1</v>
      </c>
      <c r="AA15" s="9">
        <f ca="1">IFERROR(1+(VLOOKUP(IF(LEFT(Aircraft!$AO13,2)="RW",2,1),INDIRECT(Rating!$J19),3)),1)</f>
        <v>1</v>
      </c>
      <c r="AB15" s="9">
        <f>IF(OR(Aircraft!S13="N",Aircraft!S13=""),1,'MGR Adjustment'!$AF$23+1)</f>
        <v>1</v>
      </c>
      <c r="AC15" s="9">
        <f>IFERROR(IF(AND(Aircraft!J13&gt;"",OR(Aircraft!P13="",Aircraft!P13=0)),'MGR Adjustment'!$AM$23)+1,1)</f>
        <v>1</v>
      </c>
      <c r="AS15">
        <v>10</v>
      </c>
      <c r="AT15" t="str">
        <f>IFERROR(IF(MATCH(Aircraft!U13,KYAIRPORT,0),"Yes","No"),"")</f>
        <v/>
      </c>
      <c r="AU15" t="b">
        <f>IFERROR(IF(AT15="Yes",VLOOKUP(MATCH(Aircraft!U13,KYAIRPORT,0),KYCOuntyCity,3)),"")</f>
        <v>0</v>
      </c>
      <c r="AV15" s="9" t="str">
        <f t="shared" si="0"/>
        <v/>
      </c>
      <c r="AW15" t="b">
        <f>IFERROR(IF(AT15="Yes",VLOOKUP(MATCH(Aircraft!U13,KYAIRPORT,0),KYCOuntyCity,4)),"")</f>
        <v>0</v>
      </c>
      <c r="AX15" s="9" t="str">
        <f t="shared" si="1"/>
        <v/>
      </c>
      <c r="AY15" s="9">
        <f t="shared" si="6"/>
        <v>1.7999999999999999E-2</v>
      </c>
      <c r="AZ15" s="155">
        <f t="shared" si="7"/>
        <v>0</v>
      </c>
      <c r="BC15">
        <v>11</v>
      </c>
      <c r="BD15" s="387" t="s">
        <v>1886</v>
      </c>
      <c r="BE15" t="s">
        <v>1883</v>
      </c>
      <c r="BF15" t="s">
        <v>1884</v>
      </c>
      <c r="BG15" t="str">
        <f t="shared" si="2"/>
        <v/>
      </c>
      <c r="BH15" t="str">
        <f t="shared" si="3"/>
        <v/>
      </c>
      <c r="BK15">
        <v>11</v>
      </c>
      <c r="BL15" s="158" t="s">
        <v>1887</v>
      </c>
      <c r="BM15" s="159">
        <v>0.08</v>
      </c>
    </row>
    <row r="16" spans="2:65">
      <c r="B16">
        <v>11</v>
      </c>
      <c r="C16" s="10" t="str">
        <f ca="1">IFERROR(IF(Aircraft!C14="","",IF(Aircraft!C14=0,VLOOKUP(Aircraft!P14,SE_p,2),VLOOKUP(Aircraft!P14,INDIRECT(Aircraft!AO14),2))),"")</f>
        <v/>
      </c>
      <c r="D16" s="15" t="str">
        <f>IFERROR(IF(LEFT(Aircraft!AO14,2)="RW",HLOOKUP(IF(Aircraft!AI14&gt;0,Aircraft!AI14,Aircraft!AE14),PistonRWLiabRate,SUM(MATCH(Aircraft!W14,PistonLiabLocMatch,0)+1)),IF(LEFT(Aircraft!AO14,2)="ME",HLOOKUP(IF(Aircraft!AI14&gt;0,Aircraft!AI14,Aircraft!AE14),PistonMELFWLiabRates,SUM(MATCH(Aircraft!W14,PistonLiabLocMatch,0)+1)),HLOOKUP(IF(Aircraft!AI14&gt;0,Aircraft!AI14,Aircraft!AE14),PistonFWLiabRate,SUM(MATCH(Aircraft!W14,PistonLiabLocMatch,0)+1)))),"")</f>
        <v/>
      </c>
      <c r="E16" s="15" t="str">
        <f>IFERROR(IF(Rating!AC20="Yes",0,PRODUCT(VLOOKUP(MATCH(Aircraft!$Y14,MedLimits,0),MedRate,3),Aircraft!$BB14)),"")</f>
        <v/>
      </c>
      <c r="F16" s="9">
        <f t="shared" ca="1" si="4"/>
        <v>1</v>
      </c>
      <c r="G16" s="9">
        <f t="shared" ca="1" si="5"/>
        <v>1</v>
      </c>
      <c r="H16" s="9">
        <f>IF(OR(Rating!$E$2=0,Rating!$E$2=""),1+$AG$14,Rating!$E$2+$AG$14+1)</f>
        <v>1.25</v>
      </c>
      <c r="I16" s="9">
        <f>IF(OR(Rating!$F$2=0,Rating!$F$2=""),1+$AG$14,Rating!$F$2+$AG$14+1)</f>
        <v>1.07</v>
      </c>
      <c r="J16" s="9">
        <f>IF(OR(Rating!$R20=0,Rating!$R20=""),1,Rating!$R20+1)</f>
        <v>1</v>
      </c>
      <c r="K16" s="9">
        <f>IF(OR(Rating!$T20=0,Rating!$T20=""),1,Rating!$T20+1)</f>
        <v>1</v>
      </c>
      <c r="L16" s="13" t="str">
        <f>IF(Aircraft!J14="","",ROUND(PRODUCT(ROUND(ROUND(C16*85%,6)/$E$4,6),G16),6))</f>
        <v/>
      </c>
      <c r="M16" s="15" t="str">
        <f>IF(Aircraft!J14="","",ROUND(PRODUCT(ROUND(ROUND(D16*85%,0)/$E$4,0),F16),0))</f>
        <v/>
      </c>
      <c r="N16" s="13" t="str">
        <f>IF(Aircraft!J14="","",ROUND(PRODUCT(I16,K16,L16),5))</f>
        <v/>
      </c>
      <c r="O16" s="11" t="str">
        <f>IF(Aircraft!J14="","",IFERROR(ROUND(PRODUCT(N16,Aircraft!P14),0),0))</f>
        <v/>
      </c>
      <c r="P16" s="11" t="str">
        <f>IF(Aircraft!J14="","",IFERROR(ROUND(PRODUCT(H16,M16,J16),0),""))</f>
        <v/>
      </c>
      <c r="Q16" s="11" t="str">
        <f>IF(Aircraft!J14="","",IFERROR(ROUND(PRODUCT(ROUND(ROUND(E16*85%,0)/$E$4,0),AC16),0),""))</f>
        <v/>
      </c>
      <c r="S16" t="str">
        <f>IFERROR(IF(VLOOKUP(Aircraft!C14,Aircraftlist,17)="M","Medium",IF(VLOOKUP(Aircraft!C14,Aircraftlist,17)="L","Light",IF(VLOOKUP(Aircraft!C14,Aircraftlist,17)="H","Heavy",""))),"")</f>
        <v/>
      </c>
      <c r="T16" s="9">
        <f ca="1">IFERROR(1+VLOOKUP(MATCH(S16,ACCATCHART,0),INDIRECT(CONCATENATE(Aircraft!AO14,"CATMOD")),5),1)</f>
        <v>1</v>
      </c>
      <c r="U16" s="9">
        <f ca="1">IFERROR(IF(Rating!J20=Worksheet_Com!$AF$11,1,IF(LEFT(Aircraft!C14,2)="RW",1,IF(AND(Aircraft!AO14="SETP",Aircraft!AX14="R"),1+VLOOKUP(MATCH(Aircraft!AY14,ACGearType,0),INDIRECT(CONCATENATE("SE_P","GearMod")),5),1+VLOOKUP(MATCH(Aircraft!AY14,ACGearType,0),INDIRECT(CONCATENATE(Aircraft!AO14,"GearMod")),5)))),1)</f>
        <v>1</v>
      </c>
      <c r="V16" s="9">
        <f ca="1">IFERROR(IF(Rating!J20=Worksheet_Com!$AF$11,1,IF(LEFT(Aircraft!C14,2)="RW",1,IF(AND(Aircraft!AO14="SETP",Aircraft!AX14="R"),1+VLOOKUP(MATCH(Aircraft!AY14,ACGearType,0),INDIRECT(CONCATENATE("SE_P","GearMod")),7),1+VLOOKUP(MATCH(Aircraft!AY14,ACGearType,0),INDIRECT(CONCATENATE(Aircraft!AO14,"GearMod")),7)))),1)</f>
        <v>1</v>
      </c>
      <c r="W16" s="9">
        <f>IFERROR(IF(VLOOKUP(Aircraft!C14,Aircraftlist,19)="",0,VLOOKUP(Aircraft!C14,Aircraftlist,19))+1,1)</f>
        <v>1</v>
      </c>
      <c r="X16" s="9">
        <f>IFERROR(VLOOKUP(Aircraft!C14,Aircraftlist,18)+1,1)</f>
        <v>1</v>
      </c>
      <c r="Y16" s="9">
        <f>IFERROR(1+(VLOOKUP(MATCH(Aircraft!AK14,AWtypes,0),AWCertChart,5)),1)</f>
        <v>1</v>
      </c>
      <c r="Z16" s="9">
        <f ca="1">IFERROR(1+(VLOOKUP(IF(LEFT(Aircraft!$AO14,2)="RW",2,1),INDIRECT(Rating!$J20),2)),1)</f>
        <v>1</v>
      </c>
      <c r="AA16" s="9">
        <f ca="1">IFERROR(1+(VLOOKUP(IF(LEFT(Aircraft!$AO14,2)="RW",2,1),INDIRECT(Rating!$J20),3)),1)</f>
        <v>1</v>
      </c>
      <c r="AB16" s="9">
        <f>IF(OR(Aircraft!S14="N",Aircraft!S14=""),1,'MGR Adjustment'!$AF$23+1)</f>
        <v>1</v>
      </c>
      <c r="AC16" s="9">
        <f>IFERROR(IF(AND(Aircraft!J14&gt;"",OR(Aircraft!P14="",Aircraft!P14=0)),'MGR Adjustment'!$AM$23)+1,1)</f>
        <v>1</v>
      </c>
      <c r="AS16">
        <v>11</v>
      </c>
      <c r="AT16" t="str">
        <f>IFERROR(IF(MATCH(Aircraft!U14,KYAIRPORT,0),"Yes","No"),"")</f>
        <v/>
      </c>
      <c r="AU16" t="b">
        <f>IFERROR(IF(AT16="Yes",VLOOKUP(MATCH(Aircraft!U14,KYAIRPORT,0),KYCOuntyCity,3)),"")</f>
        <v>0</v>
      </c>
      <c r="AV16" s="9" t="str">
        <f t="shared" si="0"/>
        <v/>
      </c>
      <c r="AW16" t="b">
        <f>IFERROR(IF(AT16="Yes",VLOOKUP(MATCH(Aircraft!U14,KYAIRPORT,0),KYCOuntyCity,4)),"")</f>
        <v>0</v>
      </c>
      <c r="AX16" s="9" t="str">
        <f t="shared" si="1"/>
        <v/>
      </c>
      <c r="AY16" s="9">
        <f t="shared" si="6"/>
        <v>1.7999999999999999E-2</v>
      </c>
      <c r="AZ16" s="155">
        <f t="shared" si="7"/>
        <v>0</v>
      </c>
      <c r="BC16">
        <v>12</v>
      </c>
      <c r="BD16" s="387" t="s">
        <v>1888</v>
      </c>
      <c r="BE16" t="s">
        <v>1889</v>
      </c>
      <c r="BF16" t="s">
        <v>1890</v>
      </c>
      <c r="BG16" t="str">
        <f t="shared" si="2"/>
        <v/>
      </c>
      <c r="BH16" t="str">
        <f t="shared" si="3"/>
        <v/>
      </c>
      <c r="BK16">
        <v>12</v>
      </c>
      <c r="BL16" s="157" t="s">
        <v>1891</v>
      </c>
      <c r="BM16" s="159">
        <v>0.05</v>
      </c>
    </row>
    <row r="17" spans="2:65">
      <c r="B17">
        <v>12</v>
      </c>
      <c r="C17" s="10" t="str">
        <f ca="1">IFERROR(IF(Aircraft!C15="","",IF(Aircraft!C15=0,VLOOKUP(Aircraft!P15,SE_p,2),VLOOKUP(Aircraft!P15,INDIRECT(Aircraft!AO15),2))),"")</f>
        <v/>
      </c>
      <c r="D17" s="15" t="str">
        <f>IFERROR(IF(LEFT(Aircraft!AO15,2)="RW",HLOOKUP(IF(Aircraft!AI15&gt;0,Aircraft!AI15,Aircraft!AE15),PistonRWLiabRate,SUM(MATCH(Aircraft!W15,PistonLiabLocMatch,0)+1)),IF(LEFT(Aircraft!AO15,2)="ME",HLOOKUP(IF(Aircraft!AI15&gt;0,Aircraft!AI15,Aircraft!AE15),PistonMELFWLiabRates,SUM(MATCH(Aircraft!W15,PistonLiabLocMatch,0)+1)),HLOOKUP(IF(Aircraft!AI15&gt;0,Aircraft!AI15,Aircraft!AE15),PistonFWLiabRate,SUM(MATCH(Aircraft!W15,PistonLiabLocMatch,0)+1)))),"")</f>
        <v/>
      </c>
      <c r="E17" s="15" t="str">
        <f>IFERROR(IF(Rating!AC21="Yes",0,PRODUCT(VLOOKUP(MATCH(Aircraft!$Y15,MedLimits,0),MedRate,3),Aircraft!$BB15)),"")</f>
        <v/>
      </c>
      <c r="F17" s="9">
        <f t="shared" ca="1" si="4"/>
        <v>1</v>
      </c>
      <c r="G17" s="9">
        <f t="shared" ca="1" si="5"/>
        <v>1</v>
      </c>
      <c r="H17" s="9">
        <f>IF(OR(Rating!$E$2=0,Rating!$E$2=""),1+$AG$14,Rating!$E$2+$AG$14+1)</f>
        <v>1.25</v>
      </c>
      <c r="I17" s="9">
        <f>IF(OR(Rating!$F$2=0,Rating!$F$2=""),1+$AG$14,Rating!$F$2+$AG$14+1)</f>
        <v>1.07</v>
      </c>
      <c r="J17" s="9">
        <f>IF(OR(Rating!$R21=0,Rating!$R21=""),1,Rating!$R21+1)</f>
        <v>1</v>
      </c>
      <c r="K17" s="9">
        <f>IF(OR(Rating!$T21=0,Rating!$T21=""),1,Rating!$T21+1)</f>
        <v>1</v>
      </c>
      <c r="L17" s="13" t="str">
        <f>IF(Aircraft!J15="","",ROUND(PRODUCT(ROUND(ROUND(C17*85%,6)/$E$4,6),G17),6))</f>
        <v/>
      </c>
      <c r="M17" s="15" t="str">
        <f>IF(Aircraft!J15="","",ROUND(PRODUCT(ROUND(ROUND(D17*85%,0)/$E$4,0),F17),0))</f>
        <v/>
      </c>
      <c r="N17" s="13" t="str">
        <f>IF(Aircraft!J15="","",ROUND(PRODUCT(I17,K17,L17),5))</f>
        <v/>
      </c>
      <c r="O17" s="11" t="str">
        <f>IF(Aircraft!J15="","",IFERROR(ROUND(PRODUCT(N17,Aircraft!P15),0),0))</f>
        <v/>
      </c>
      <c r="P17" s="11" t="str">
        <f>IF(Aircraft!J15="","",IFERROR(ROUND(PRODUCT(H17,M17,J17),0),""))</f>
        <v/>
      </c>
      <c r="Q17" s="11" t="str">
        <f>IF(Aircraft!J15="","",IFERROR(ROUND(PRODUCT(ROUND(ROUND(E17*85%,0)/$E$4,0),AC17),0),""))</f>
        <v/>
      </c>
      <c r="S17" t="str">
        <f>IFERROR(IF(VLOOKUP(Aircraft!C15,Aircraftlist,17)="M","Medium",IF(VLOOKUP(Aircraft!C15,Aircraftlist,17)="L","Light",IF(VLOOKUP(Aircraft!C15,Aircraftlist,17)="H","Heavy",""))),"")</f>
        <v/>
      </c>
      <c r="T17" s="9">
        <f ca="1">IFERROR(1+VLOOKUP(MATCH(S17,ACCATCHART,0),INDIRECT(CONCATENATE(Aircraft!AO15,"CATMOD")),5),1)</f>
        <v>1</v>
      </c>
      <c r="U17" s="9">
        <f ca="1">IFERROR(IF(Rating!J21=Worksheet_Com!$AF$11,1,IF(LEFT(Aircraft!C15,2)="RW",1,IF(AND(Aircraft!AO15="SETP",Aircraft!AX15="R"),1+VLOOKUP(MATCH(Aircraft!AY15,ACGearType,0),INDIRECT(CONCATENATE("SE_P","GearMod")),5),1+VLOOKUP(MATCH(Aircraft!AY15,ACGearType,0),INDIRECT(CONCATENATE(Aircraft!AO15,"GearMod")),5)))),1)</f>
        <v>1</v>
      </c>
      <c r="V17" s="9">
        <f ca="1">IFERROR(IF(Rating!J21=Worksheet_Com!$AF$11,1,IF(LEFT(Aircraft!C15,2)="RW",1,IF(AND(Aircraft!AO15="SETP",Aircraft!AX15="R"),1+VLOOKUP(MATCH(Aircraft!AY15,ACGearType,0),INDIRECT(CONCATENATE("SE_P","GearMod")),7),1+VLOOKUP(MATCH(Aircraft!AY15,ACGearType,0),INDIRECT(CONCATENATE(Aircraft!AO15,"GearMod")),7)))),1)</f>
        <v>1</v>
      </c>
      <c r="W17" s="9">
        <f>IFERROR(IF(VLOOKUP(Aircraft!C15,Aircraftlist,19)="",0,VLOOKUP(Aircraft!C15,Aircraftlist,19))+1,1)</f>
        <v>1</v>
      </c>
      <c r="X17" s="9">
        <f>IFERROR(VLOOKUP(Aircraft!C15,Aircraftlist,18)+1,1)</f>
        <v>1</v>
      </c>
      <c r="Y17" s="9">
        <f>IFERROR(1+(VLOOKUP(MATCH(Aircraft!AK15,AWtypes,0),AWCertChart,5)),1)</f>
        <v>1</v>
      </c>
      <c r="Z17" s="9">
        <f ca="1">IFERROR(1+(VLOOKUP(IF(LEFT(Aircraft!$AO15,2)="RW",2,1),INDIRECT(Rating!$J21),2)),1)</f>
        <v>1</v>
      </c>
      <c r="AA17" s="9">
        <f ca="1">IFERROR(1+(VLOOKUP(IF(LEFT(Aircraft!$AO15,2)="RW",2,1),INDIRECT(Rating!$J21),3)),1)</f>
        <v>1</v>
      </c>
      <c r="AB17" s="9">
        <f>IF(OR(Aircraft!S15="N",Aircraft!S15=""),1,'MGR Adjustment'!$AF$23+1)</f>
        <v>1</v>
      </c>
      <c r="AC17" s="9">
        <f>IFERROR(IF(AND(Aircraft!J15&gt;"",OR(Aircraft!P15="",Aircraft!P15=0)),'MGR Adjustment'!$AM$23)+1,1)</f>
        <v>1</v>
      </c>
      <c r="AJ17" t="s">
        <v>1892</v>
      </c>
      <c r="AS17">
        <v>12</v>
      </c>
      <c r="AT17" t="str">
        <f>IFERROR(IF(MATCH(Aircraft!U15,KYAIRPORT,0),"Yes","No"),"")</f>
        <v/>
      </c>
      <c r="AU17" t="b">
        <f>IFERROR(IF(AT17="Yes",VLOOKUP(MATCH(Aircraft!U15,KYAIRPORT,0),KYCOuntyCity,3)),"")</f>
        <v>0</v>
      </c>
      <c r="AV17" s="9" t="str">
        <f t="shared" si="0"/>
        <v/>
      </c>
      <c r="AW17" t="b">
        <f>IFERROR(IF(AT17="Yes",VLOOKUP(MATCH(Aircraft!U15,KYAIRPORT,0),KYCOuntyCity,4)),"")</f>
        <v>0</v>
      </c>
      <c r="AX17" s="9" t="str">
        <f t="shared" si="1"/>
        <v/>
      </c>
      <c r="AY17" s="9">
        <f t="shared" si="6"/>
        <v>1.7999999999999999E-2</v>
      </c>
      <c r="AZ17" s="155">
        <f t="shared" si="7"/>
        <v>0</v>
      </c>
      <c r="BC17">
        <v>13</v>
      </c>
      <c r="BD17" s="387" t="s">
        <v>1893</v>
      </c>
      <c r="BE17" t="s">
        <v>1894</v>
      </c>
      <c r="BF17" t="s">
        <v>1861</v>
      </c>
      <c r="BG17" t="str">
        <f t="shared" si="2"/>
        <v/>
      </c>
      <c r="BH17" t="str">
        <f t="shared" si="3"/>
        <v/>
      </c>
      <c r="BK17">
        <v>13</v>
      </c>
      <c r="BL17" s="157" t="s">
        <v>1895</v>
      </c>
      <c r="BM17" s="159">
        <v>0.05</v>
      </c>
    </row>
    <row r="18" spans="2:65">
      <c r="B18">
        <v>13</v>
      </c>
      <c r="C18" s="10" t="str">
        <f ca="1">IFERROR(IF(Aircraft!C16="","",IF(Aircraft!C16=0,VLOOKUP(Aircraft!P16,SE_p,2),VLOOKUP(Aircraft!P16,INDIRECT(Aircraft!AO16),2))),"")</f>
        <v/>
      </c>
      <c r="D18" s="15" t="str">
        <f>IFERROR(IF(LEFT(Aircraft!AO16,2)="RW",HLOOKUP(IF(Aircraft!AI16&gt;0,Aircraft!AI16,Aircraft!AE16),PistonRWLiabRate,SUM(MATCH(Aircraft!W16,PistonLiabLocMatch,0)+1)),IF(LEFT(Aircraft!AO16,2)="ME",HLOOKUP(IF(Aircraft!AI16&gt;0,Aircraft!AI16,Aircraft!AE16),PistonMELFWLiabRates,SUM(MATCH(Aircraft!W16,PistonLiabLocMatch,0)+1)),HLOOKUP(IF(Aircraft!AI16&gt;0,Aircraft!AI16,Aircraft!AE16),PistonFWLiabRate,SUM(MATCH(Aircraft!W16,PistonLiabLocMatch,0)+1)))),"")</f>
        <v/>
      </c>
      <c r="E18" s="15" t="str">
        <f>IFERROR(IF(Rating!AC22="Yes",0,PRODUCT(VLOOKUP(MATCH(Aircraft!$Y16,MedLimits,0),MedRate,3),Aircraft!$BB16)),"")</f>
        <v/>
      </c>
      <c r="F18" s="9">
        <f t="shared" ca="1" si="4"/>
        <v>1</v>
      </c>
      <c r="G18" s="9">
        <f t="shared" ca="1" si="5"/>
        <v>1</v>
      </c>
      <c r="H18" s="9">
        <f>IF(OR(Rating!$E$2=0,Rating!$E$2=""),1+$AG$14,Rating!$E$2+$AG$14+1)</f>
        <v>1.25</v>
      </c>
      <c r="I18" s="9">
        <f>IF(OR(Rating!$F$2=0,Rating!$F$2=""),1+$AG$14,Rating!$F$2+$AG$14+1)</f>
        <v>1.07</v>
      </c>
      <c r="J18" s="9">
        <f>IF(OR(Rating!$R22=0,Rating!$R22=""),1,Rating!$R22+1)</f>
        <v>1</v>
      </c>
      <c r="K18" s="9">
        <f>IF(OR(Rating!$T22=0,Rating!$T22=""),1,Rating!$T22+1)</f>
        <v>1</v>
      </c>
      <c r="L18" s="13" t="str">
        <f>IF(Aircraft!J16="","",ROUND(PRODUCT(ROUND(ROUND(C18*85%,6)/$E$4,6),G18),6))</f>
        <v/>
      </c>
      <c r="M18" s="15" t="str">
        <f>IF(Aircraft!J16="","",ROUND(PRODUCT(ROUND(ROUND(D18*85%,0)/$E$4,0),F18),0))</f>
        <v/>
      </c>
      <c r="N18" s="13" t="str">
        <f>IF(Aircraft!J16="","",ROUND(PRODUCT(I18,K18,L18),5))</f>
        <v/>
      </c>
      <c r="O18" s="11" t="str">
        <f>IF(Aircraft!J16="","",IFERROR(ROUND(PRODUCT(N18,Aircraft!P16),0),0))</f>
        <v/>
      </c>
      <c r="P18" s="11" t="str">
        <f>IF(Aircraft!J16="","",IFERROR(ROUND(PRODUCT(H18,M18,J18),0),""))</f>
        <v/>
      </c>
      <c r="Q18" s="11" t="str">
        <f>IF(Aircraft!J16="","",IFERROR(ROUND(PRODUCT(ROUND(ROUND(E18*85%,0)/$E$4,0),AC18),0),""))</f>
        <v/>
      </c>
      <c r="S18" t="str">
        <f>IFERROR(IF(VLOOKUP(Aircraft!C16,Aircraftlist,17)="M","Medium",IF(VLOOKUP(Aircraft!C16,Aircraftlist,17)="L","Light",IF(VLOOKUP(Aircraft!C16,Aircraftlist,17)="H","Heavy",""))),"")</f>
        <v/>
      </c>
      <c r="T18" s="9">
        <f ca="1">IFERROR(1+VLOOKUP(MATCH(S18,ACCATCHART,0),INDIRECT(CONCATENATE(Aircraft!AO16,"CATMOD")),5),1)</f>
        <v>1</v>
      </c>
      <c r="U18" s="9">
        <f ca="1">IFERROR(IF(Rating!J22=Worksheet_Com!$AF$11,1,IF(LEFT(Aircraft!C16,2)="RW",1,IF(AND(Aircraft!AO16="SETP",Aircraft!AX16="R"),1+VLOOKUP(MATCH(Aircraft!AY16,ACGearType,0),INDIRECT(CONCATENATE("SE_P","GearMod")),5),1+VLOOKUP(MATCH(Aircraft!AY16,ACGearType,0),INDIRECT(CONCATENATE(Aircraft!AO16,"GearMod")),5)))),1)</f>
        <v>1</v>
      </c>
      <c r="V18" s="9">
        <f ca="1">IFERROR(IF(Rating!J22=Worksheet_Com!$AF$11,1,IF(LEFT(Aircraft!C16,2)="RW",1,IF(AND(Aircraft!AO16="SETP",Aircraft!AX16="R"),1+VLOOKUP(MATCH(Aircraft!AY16,ACGearType,0),INDIRECT(CONCATENATE("SE_P","GearMod")),7),1+VLOOKUP(MATCH(Aircraft!AY16,ACGearType,0),INDIRECT(CONCATENATE(Aircraft!AO16,"GearMod")),7)))),1)</f>
        <v>1</v>
      </c>
      <c r="W18" s="9">
        <f>IFERROR(IF(VLOOKUP(Aircraft!C16,Aircraftlist,19)="",0,VLOOKUP(Aircraft!C16,Aircraftlist,19))+1,1)</f>
        <v>1</v>
      </c>
      <c r="X18" s="9">
        <f>IFERROR(VLOOKUP(Aircraft!C16,Aircraftlist,18)+1,1)</f>
        <v>1</v>
      </c>
      <c r="Y18" s="9">
        <f>IFERROR(1+(VLOOKUP(MATCH(Aircraft!AK16,AWtypes,0),AWCertChart,5)),1)</f>
        <v>1</v>
      </c>
      <c r="Z18" s="9">
        <f ca="1">IFERROR(1+(VLOOKUP(IF(LEFT(Aircraft!$AO16,2)="RW",2,1),INDIRECT(Rating!$J22),2)),1)</f>
        <v>1</v>
      </c>
      <c r="AA18" s="9">
        <f ca="1">IFERROR(1+(VLOOKUP(IF(LEFT(Aircraft!$AO16,2)="RW",2,1),INDIRECT(Rating!$J22),3)),1)</f>
        <v>1</v>
      </c>
      <c r="AB18" s="9">
        <f>IF(OR(Aircraft!S16="N",Aircraft!S16=""),1,'MGR Adjustment'!$AF$23+1)</f>
        <v>1</v>
      </c>
      <c r="AC18" s="9">
        <f>IFERROR(IF(AND(Aircraft!J16&gt;"",OR(Aircraft!P16="",Aircraft!P16=0)),'MGR Adjustment'!$AM$23)+1,1)</f>
        <v>1</v>
      </c>
      <c r="AJ18" t="s">
        <v>1841</v>
      </c>
      <c r="AK18" t="s">
        <v>1774</v>
      </c>
      <c r="AS18">
        <v>13</v>
      </c>
      <c r="AT18" t="str">
        <f>IFERROR(IF(MATCH(Aircraft!U16,KYAIRPORT,0),"Yes","No"),"")</f>
        <v/>
      </c>
      <c r="AU18" t="b">
        <f>IFERROR(IF(AT18="Yes",VLOOKUP(MATCH(Aircraft!U16,KYAIRPORT,0),KYCOuntyCity,3)),"")</f>
        <v>0</v>
      </c>
      <c r="AV18" s="9" t="str">
        <f t="shared" si="0"/>
        <v/>
      </c>
      <c r="AW18" t="b">
        <f>IFERROR(IF(AT18="Yes",VLOOKUP(MATCH(Aircraft!U16,KYAIRPORT,0),KYCOuntyCity,4)),"")</f>
        <v>0</v>
      </c>
      <c r="AX18" s="9" t="str">
        <f t="shared" si="1"/>
        <v/>
      </c>
      <c r="AY18" s="9">
        <f t="shared" si="6"/>
        <v>1.7999999999999999E-2</v>
      </c>
      <c r="AZ18" s="155">
        <f t="shared" si="7"/>
        <v>0</v>
      </c>
      <c r="BC18">
        <v>14</v>
      </c>
      <c r="BD18" s="387" t="s">
        <v>1896</v>
      </c>
      <c r="BE18" t="s">
        <v>1897</v>
      </c>
      <c r="BF18" t="s">
        <v>1898</v>
      </c>
      <c r="BG18" t="str">
        <f t="shared" si="2"/>
        <v/>
      </c>
      <c r="BH18" t="str">
        <f t="shared" si="3"/>
        <v/>
      </c>
      <c r="BK18">
        <v>14</v>
      </c>
      <c r="BL18" s="157" t="s">
        <v>1899</v>
      </c>
      <c r="BM18" s="159">
        <v>0.09</v>
      </c>
    </row>
    <row r="19" spans="2:65">
      <c r="B19">
        <v>14</v>
      </c>
      <c r="C19" s="10" t="str">
        <f ca="1">IFERROR(IF(Aircraft!C17="","",IF(Aircraft!C17=0,VLOOKUP(Aircraft!P17,SE_p,2),VLOOKUP(Aircraft!P17,INDIRECT(Aircraft!AO17),2))),"")</f>
        <v/>
      </c>
      <c r="D19" s="15" t="str">
        <f>IFERROR(IF(LEFT(Aircraft!AO17,2)="RW",HLOOKUP(IF(Aircraft!AI17&gt;0,Aircraft!AI17,Aircraft!AE17),PistonRWLiabRate,SUM(MATCH(Aircraft!W17,PistonLiabLocMatch,0)+1)),IF(LEFT(Aircraft!AO17,2)="ME",HLOOKUP(IF(Aircraft!AI17&gt;0,Aircraft!AI17,Aircraft!AE17),PistonMELFWLiabRates,SUM(MATCH(Aircraft!W17,PistonLiabLocMatch,0)+1)),HLOOKUP(IF(Aircraft!AI17&gt;0,Aircraft!AI17,Aircraft!AE17),PistonFWLiabRate,SUM(MATCH(Aircraft!W17,PistonLiabLocMatch,0)+1)))),"")</f>
        <v/>
      </c>
      <c r="E19" s="15" t="str">
        <f>IFERROR(IF(Rating!AC23="Yes",0,PRODUCT(VLOOKUP(MATCH(Aircraft!$Y17,MedLimits,0),MedRate,3),Aircraft!$BB17)),"")</f>
        <v/>
      </c>
      <c r="F19" s="9">
        <f t="shared" ca="1" si="4"/>
        <v>1</v>
      </c>
      <c r="G19" s="9">
        <f t="shared" ca="1" si="5"/>
        <v>1</v>
      </c>
      <c r="H19" s="9">
        <f>IF(OR(Rating!$E$2=0,Rating!$E$2=""),1+$AG$14,Rating!$E$2+$AG$14+1)</f>
        <v>1.25</v>
      </c>
      <c r="I19" s="9">
        <f>IF(OR(Rating!$F$2=0,Rating!$F$2=""),1+$AG$14,Rating!$F$2+$AG$14+1)</f>
        <v>1.07</v>
      </c>
      <c r="J19" s="9">
        <f>IF(OR(Rating!$R23=0,Rating!$R23=""),1,Rating!$R23+1)</f>
        <v>1</v>
      </c>
      <c r="K19" s="9">
        <f>IF(OR(Rating!$T23=0,Rating!$T23=""),1,Rating!$T23+1)</f>
        <v>1</v>
      </c>
      <c r="L19" s="13" t="str">
        <f>IF(Aircraft!J17="","",ROUND(PRODUCT(ROUND(ROUND(C19*85%,6)/$E$4,6),G19),6))</f>
        <v/>
      </c>
      <c r="M19" s="15" t="str">
        <f>IF(Aircraft!J17="","",ROUND(PRODUCT(ROUND(ROUND(D19*85%,0)/$E$4,0),F19),0))</f>
        <v/>
      </c>
      <c r="N19" s="13" t="str">
        <f>IF(Aircraft!J17="","",ROUND(PRODUCT(I19,K19,L19),5))</f>
        <v/>
      </c>
      <c r="O19" s="11" t="str">
        <f>IF(Aircraft!J17="","",IFERROR(ROUND(PRODUCT(N19,Aircraft!P17),0),0))</f>
        <v/>
      </c>
      <c r="P19" s="11" t="str">
        <f>IF(Aircraft!J17="","",IFERROR(ROUND(PRODUCT(H19,M19,J19),0),""))</f>
        <v/>
      </c>
      <c r="Q19" s="11" t="str">
        <f>IF(Aircraft!J17="","",IFERROR(ROUND(PRODUCT(ROUND(ROUND(E19*85%,0)/$E$4,0),AC19),0),""))</f>
        <v/>
      </c>
      <c r="S19" t="str">
        <f>IFERROR(IF(VLOOKUP(Aircraft!C17,Aircraftlist,17)="M","Medium",IF(VLOOKUP(Aircraft!C17,Aircraftlist,17)="L","Light",IF(VLOOKUP(Aircraft!C17,Aircraftlist,17)="H","Heavy",""))),"")</f>
        <v/>
      </c>
      <c r="T19" s="9">
        <f ca="1">IFERROR(1+VLOOKUP(MATCH(S19,ACCATCHART,0),INDIRECT(CONCATENATE(Aircraft!AO17,"CATMOD")),5),1)</f>
        <v>1</v>
      </c>
      <c r="U19" s="9">
        <f ca="1">IFERROR(IF(Rating!J23=Worksheet_Com!$AF$11,1,IF(LEFT(Aircraft!C17,2)="RW",1,IF(AND(Aircraft!AO17="SETP",Aircraft!AX17="R"),1+VLOOKUP(MATCH(Aircraft!AY17,ACGearType,0),INDIRECT(CONCATENATE("SE_P","GearMod")),5),1+VLOOKUP(MATCH(Aircraft!AY17,ACGearType,0),INDIRECT(CONCATENATE(Aircraft!AO17,"GearMod")),5)))),1)</f>
        <v>1</v>
      </c>
      <c r="V19" s="9">
        <f ca="1">IFERROR(IF(Rating!J23=Worksheet_Com!$AF$11,1,IF(LEFT(Aircraft!C17,2)="RW",1,IF(AND(Aircraft!AO17="SETP",Aircraft!AX17="R"),1+VLOOKUP(MATCH(Aircraft!AY17,ACGearType,0),INDIRECT(CONCATENATE("SE_P","GearMod")),7),1+VLOOKUP(MATCH(Aircraft!AY17,ACGearType,0),INDIRECT(CONCATENATE(Aircraft!AO17,"GearMod")),7)))),1)</f>
        <v>1</v>
      </c>
      <c r="W19" s="9">
        <f>IFERROR(IF(VLOOKUP(Aircraft!C17,Aircraftlist,19)="",0,VLOOKUP(Aircraft!C17,Aircraftlist,19))+1,1)</f>
        <v>1</v>
      </c>
      <c r="X19" s="9">
        <f>IFERROR(VLOOKUP(Aircraft!C17,Aircraftlist,18)+1,1)</f>
        <v>1</v>
      </c>
      <c r="Y19" s="9">
        <f>IFERROR(1+(VLOOKUP(MATCH(Aircraft!AK17,AWtypes,0),AWCertChart,5)),1)</f>
        <v>1</v>
      </c>
      <c r="Z19" s="9">
        <f ca="1">IFERROR(1+(VLOOKUP(IF(LEFT(Aircraft!$AO17,2)="RW",2,1),INDIRECT(Rating!$J23),2)),1)</f>
        <v>1</v>
      </c>
      <c r="AA19" s="9">
        <f ca="1">IFERROR(1+(VLOOKUP(IF(LEFT(Aircraft!$AO17,2)="RW",2,1),INDIRECT(Rating!$J23),3)),1)</f>
        <v>1</v>
      </c>
      <c r="AB19" s="9">
        <f>IF(OR(Aircraft!S17="N",Aircraft!S17=""),1,'MGR Adjustment'!$AF$23+1)</f>
        <v>1</v>
      </c>
      <c r="AC19" s="9">
        <f>IFERROR(IF(AND(Aircraft!J17&gt;"",OR(Aircraft!P17="",Aircraft!P17=0)),'MGR Adjustment'!$AM$23)+1,1)</f>
        <v>1</v>
      </c>
      <c r="AI19">
        <v>1</v>
      </c>
      <c r="AJ19" s="9">
        <f>'MGR Adjustment'!AA57</f>
        <v>0.25</v>
      </c>
      <c r="AK19" s="9">
        <f>'MGR Adjustment'!AD57</f>
        <v>0.35</v>
      </c>
      <c r="AS19">
        <v>14</v>
      </c>
      <c r="AT19" t="str">
        <f>IFERROR(IF(MATCH(Aircraft!U17,KYAIRPORT,0),"Yes","No"),"")</f>
        <v/>
      </c>
      <c r="AU19" t="b">
        <f>IFERROR(IF(AT19="Yes",VLOOKUP(MATCH(Aircraft!U17,KYAIRPORT,0),KYCOuntyCity,3)),"")</f>
        <v>0</v>
      </c>
      <c r="AV19" s="9" t="str">
        <f t="shared" si="0"/>
        <v/>
      </c>
      <c r="AW19" t="b">
        <f>IFERROR(IF(AT19="Yes",VLOOKUP(MATCH(Aircraft!U17,KYAIRPORT,0),KYCOuntyCity,4)),"")</f>
        <v>0</v>
      </c>
      <c r="AX19" s="9" t="str">
        <f t="shared" si="1"/>
        <v/>
      </c>
      <c r="AY19" s="9">
        <f t="shared" si="6"/>
        <v>1.7999999999999999E-2</v>
      </c>
      <c r="AZ19" s="155">
        <f t="shared" si="7"/>
        <v>0</v>
      </c>
      <c r="BC19">
        <v>15</v>
      </c>
      <c r="BD19" s="387" t="s">
        <v>1900</v>
      </c>
      <c r="BE19" t="s">
        <v>1897</v>
      </c>
      <c r="BF19" t="s">
        <v>1898</v>
      </c>
      <c r="BG19" t="str">
        <f t="shared" si="2"/>
        <v/>
      </c>
      <c r="BH19" t="str">
        <f t="shared" si="3"/>
        <v/>
      </c>
      <c r="BK19">
        <v>15</v>
      </c>
      <c r="BL19" s="157" t="s">
        <v>1901</v>
      </c>
      <c r="BM19" s="159">
        <v>0.09</v>
      </c>
    </row>
    <row r="20" spans="2:65">
      <c r="B20">
        <v>15</v>
      </c>
      <c r="C20" s="10" t="str">
        <f ca="1">IFERROR(IF(Aircraft!C18="","",IF(Aircraft!C18=0,VLOOKUP(Aircraft!P18,SE_p,2),VLOOKUP(Aircraft!P18,INDIRECT(Aircraft!AO18),2))),"")</f>
        <v/>
      </c>
      <c r="D20" s="15" t="str">
        <f>IFERROR(IF(LEFT(Aircraft!AO18,2)="RW",HLOOKUP(IF(Aircraft!AI18&gt;0,Aircraft!AI18,Aircraft!AE18),PistonRWLiabRate,SUM(MATCH(Aircraft!W18,PistonLiabLocMatch,0)+1)),IF(LEFT(Aircraft!AO18,2)="ME",HLOOKUP(IF(Aircraft!AI18&gt;0,Aircraft!AI18,Aircraft!AE18),PistonMELFWLiabRates,SUM(MATCH(Aircraft!W18,PistonLiabLocMatch,0)+1)),HLOOKUP(IF(Aircraft!AI18&gt;0,Aircraft!AI18,Aircraft!AE18),PistonFWLiabRate,SUM(MATCH(Aircraft!W18,PistonLiabLocMatch,0)+1)))),"")</f>
        <v/>
      </c>
      <c r="E20" s="15" t="str">
        <f>IFERROR(IF(Rating!AC24="Yes",0,PRODUCT(VLOOKUP(MATCH(Aircraft!$Y18,MedLimits,0),MedRate,3),Aircraft!$BB18)),"")</f>
        <v/>
      </c>
      <c r="F20" s="9">
        <f t="shared" ca="1" si="4"/>
        <v>1</v>
      </c>
      <c r="G20" s="9">
        <f t="shared" ca="1" si="5"/>
        <v>1</v>
      </c>
      <c r="H20" s="9">
        <f>IF(OR(Rating!$E$2=0,Rating!$E$2=""),1+$AG$14,Rating!$E$2+$AG$14+1)</f>
        <v>1.25</v>
      </c>
      <c r="I20" s="9">
        <f>IF(OR(Rating!$F$2=0,Rating!$F$2=""),1+$AG$14,Rating!$F$2+$AG$14+1)</f>
        <v>1.07</v>
      </c>
      <c r="J20" s="9">
        <f>IF(OR(Rating!$R24=0,Rating!$R24=""),1,Rating!$R24+1)</f>
        <v>1</v>
      </c>
      <c r="K20" s="9">
        <f>IF(OR(Rating!$T24=0,Rating!$T24=""),1,Rating!$T24+1)</f>
        <v>1</v>
      </c>
      <c r="L20" s="13" t="str">
        <f>IF(Aircraft!J18="","",ROUND(PRODUCT(ROUND(ROUND(C20*85%,6)/$E$4,6),G20),6))</f>
        <v/>
      </c>
      <c r="M20" s="15" t="str">
        <f>IF(Aircraft!J18="","",ROUND(PRODUCT(ROUND(ROUND(D20*85%,0)/$E$4,0),F20),0))</f>
        <v/>
      </c>
      <c r="N20" s="13" t="str">
        <f>IF(Aircraft!J18="","",ROUND(PRODUCT(I20,K20,L20),5))</f>
        <v/>
      </c>
      <c r="O20" s="11" t="str">
        <f>IF(Aircraft!J18="","",IFERROR(ROUND(PRODUCT(N20,Aircraft!P18),0),0))</f>
        <v/>
      </c>
      <c r="P20" s="11" t="str">
        <f>IF(Aircraft!J18="","",IFERROR(ROUND(PRODUCT(H20,M20,J20),0),""))</f>
        <v/>
      </c>
      <c r="Q20" s="11" t="str">
        <f>IF(Aircraft!J18="","",IFERROR(ROUND(PRODUCT(ROUND(ROUND(E20*85%,0)/$E$4,0),AC20),0),""))</f>
        <v/>
      </c>
      <c r="S20" t="str">
        <f>IFERROR(IF(VLOOKUP(Aircraft!C18,Aircraftlist,17)="M","Medium",IF(VLOOKUP(Aircraft!C18,Aircraftlist,17)="L","Light",IF(VLOOKUP(Aircraft!C18,Aircraftlist,17)="H","Heavy",""))),"")</f>
        <v/>
      </c>
      <c r="T20" s="9">
        <f ca="1">IFERROR(1+VLOOKUP(MATCH(S20,ACCATCHART,0),INDIRECT(CONCATENATE(Aircraft!AO18,"CATMOD")),5),1)</f>
        <v>1</v>
      </c>
      <c r="U20" s="9">
        <f ca="1">IFERROR(IF(Rating!J24=Worksheet_Com!$AF$11,1,IF(LEFT(Aircraft!C18,2)="RW",1,IF(AND(Aircraft!AO18="SETP",Aircraft!AX18="R"),1+VLOOKUP(MATCH(Aircraft!AY18,ACGearType,0),INDIRECT(CONCATENATE("SE_P","GearMod")),5),1+VLOOKUP(MATCH(Aircraft!AY18,ACGearType,0),INDIRECT(CONCATENATE(Aircraft!AO18,"GearMod")),5)))),1)</f>
        <v>1</v>
      </c>
      <c r="V20" s="9">
        <f ca="1">IFERROR(IF(Rating!J24=Worksheet_Com!$AF$11,1,IF(LEFT(Aircraft!C18,2)="RW",1,IF(AND(Aircraft!AO18="SETP",Aircraft!AX18="R"),1+VLOOKUP(MATCH(Aircraft!AY18,ACGearType,0),INDIRECT(CONCATENATE("SE_P","GearMod")),7),1+VLOOKUP(MATCH(Aircraft!AY18,ACGearType,0),INDIRECT(CONCATENATE(Aircraft!AO18,"GearMod")),7)))),1)</f>
        <v>1</v>
      </c>
      <c r="W20" s="9">
        <f>IFERROR(IF(VLOOKUP(Aircraft!C18,Aircraftlist,19)="",0,VLOOKUP(Aircraft!C18,Aircraftlist,19))+1,1)</f>
        <v>1</v>
      </c>
      <c r="X20" s="9">
        <f>IFERROR(VLOOKUP(Aircraft!C18,Aircraftlist,18)+1,1)</f>
        <v>1</v>
      </c>
      <c r="Y20" s="9">
        <f>IFERROR(1+(VLOOKUP(MATCH(Aircraft!AK18,AWtypes,0),AWCertChart,5)),1)</f>
        <v>1</v>
      </c>
      <c r="Z20" s="9">
        <f ca="1">IFERROR(1+(VLOOKUP(IF(LEFT(Aircraft!$AO18,2)="RW",2,1),INDIRECT(Rating!$J24),2)),1)</f>
        <v>1</v>
      </c>
      <c r="AA20" s="9">
        <f ca="1">IFERROR(1+(VLOOKUP(IF(LEFT(Aircraft!$AO18,2)="RW",2,1),INDIRECT(Rating!$J24),3)),1)</f>
        <v>1</v>
      </c>
      <c r="AB20" s="9">
        <f>IF(OR(Aircraft!S18="N",Aircraft!S18=""),1,'MGR Adjustment'!$AF$23+1)</f>
        <v>1</v>
      </c>
      <c r="AC20" s="9">
        <f>IFERROR(IF(AND(Aircraft!J18&gt;"",OR(Aircraft!P18="",Aircraft!P18=0)),'MGR Adjustment'!$AM$23)+1,1)</f>
        <v>1</v>
      </c>
      <c r="AI20">
        <v>2</v>
      </c>
      <c r="AJ20" s="9">
        <f>'MGR Adjustment'!AA58</f>
        <v>0.5</v>
      </c>
      <c r="AK20" s="9">
        <f>'MGR Adjustment'!AD58</f>
        <v>0.5</v>
      </c>
      <c r="AS20">
        <v>15</v>
      </c>
      <c r="AT20" t="str">
        <f>IFERROR(IF(MATCH(Aircraft!U18,KYAIRPORT,0),"Yes","No"),"")</f>
        <v/>
      </c>
      <c r="AU20" t="b">
        <f>IFERROR(IF(AT20="Yes",VLOOKUP(MATCH(Aircraft!U18,KYAIRPORT,0),KYCOuntyCity,3)),"")</f>
        <v>0</v>
      </c>
      <c r="AV20" s="9" t="str">
        <f t="shared" si="0"/>
        <v/>
      </c>
      <c r="AW20" t="b">
        <f>IFERROR(IF(AT20="Yes",VLOOKUP(MATCH(Aircraft!U18,KYAIRPORT,0),KYCOuntyCity,4)),"")</f>
        <v>0</v>
      </c>
      <c r="AX20" s="9" t="str">
        <f t="shared" si="1"/>
        <v/>
      </c>
      <c r="AY20" s="9">
        <f t="shared" si="6"/>
        <v>1.7999999999999999E-2</v>
      </c>
      <c r="AZ20" s="155">
        <f t="shared" si="7"/>
        <v>0</v>
      </c>
      <c r="BC20">
        <v>16</v>
      </c>
      <c r="BD20" s="387" t="s">
        <v>1902</v>
      </c>
      <c r="BE20" t="s">
        <v>1903</v>
      </c>
      <c r="BF20" t="s">
        <v>1904</v>
      </c>
      <c r="BG20" t="str">
        <f t="shared" si="2"/>
        <v/>
      </c>
      <c r="BH20" t="str">
        <f t="shared" si="3"/>
        <v/>
      </c>
      <c r="BK20">
        <v>16</v>
      </c>
      <c r="BL20" s="157" t="s">
        <v>1905</v>
      </c>
      <c r="BM20" s="159" t="s">
        <v>1906</v>
      </c>
    </row>
    <row r="21" spans="2:65">
      <c r="B21">
        <v>16</v>
      </c>
      <c r="C21" s="10" t="str">
        <f ca="1">IFERROR(IF(Aircraft!C19="","",IF(Aircraft!C19=0,VLOOKUP(Aircraft!P19,SE_p,2),VLOOKUP(Aircraft!P19,INDIRECT(Aircraft!AO19),2))),"")</f>
        <v/>
      </c>
      <c r="D21" s="15" t="str">
        <f>IFERROR(IF(LEFT(Aircraft!AO19,2)="RW",HLOOKUP(IF(Aircraft!AI19&gt;0,Aircraft!AI19,Aircraft!AE19),PistonRWLiabRate,SUM(MATCH(Aircraft!W19,PistonLiabLocMatch,0)+1)),IF(LEFT(Aircraft!AO19,2)="ME",HLOOKUP(IF(Aircraft!AI19&gt;0,Aircraft!AI19,Aircraft!AE19),PistonMELFWLiabRates,SUM(MATCH(Aircraft!W19,PistonLiabLocMatch,0)+1)),HLOOKUP(IF(Aircraft!AI19&gt;0,Aircraft!AI19,Aircraft!AE19),PistonFWLiabRate,SUM(MATCH(Aircraft!W19,PistonLiabLocMatch,0)+1)))),"")</f>
        <v/>
      </c>
      <c r="E21" s="15" t="str">
        <f>IFERROR(IF(Rating!AC25="Yes",0,PRODUCT(VLOOKUP(MATCH(Aircraft!$Y19,MedLimits,0),MedRate,3),Aircraft!$BB19)),"")</f>
        <v/>
      </c>
      <c r="F21" s="9">
        <f t="shared" ca="1" si="4"/>
        <v>1</v>
      </c>
      <c r="G21" s="9">
        <f t="shared" ca="1" si="5"/>
        <v>1</v>
      </c>
      <c r="H21" s="9">
        <f>IF(OR(Rating!$E$2=0,Rating!$E$2=""),1+$AG$14,Rating!$E$2+$AG$14+1)</f>
        <v>1.25</v>
      </c>
      <c r="I21" s="9">
        <f>IF(OR(Rating!$F$2=0,Rating!$F$2=""),1+$AG$14,Rating!$F$2+$AG$14+1)</f>
        <v>1.07</v>
      </c>
      <c r="J21" s="9">
        <f>IF(OR(Rating!$R25=0,Rating!$R25=""),1,Rating!$R25+1)</f>
        <v>1</v>
      </c>
      <c r="K21" s="9">
        <f>IF(OR(Rating!$T25=0,Rating!$T25=""),1,Rating!$T25+1)</f>
        <v>1</v>
      </c>
      <c r="L21" s="13" t="str">
        <f>IF(Aircraft!J19="","",ROUND(PRODUCT(ROUND(ROUND(C21*85%,6)/$E$4,6),G21),6))</f>
        <v/>
      </c>
      <c r="M21" s="15" t="str">
        <f>IF(Aircraft!J19="","",ROUND(PRODUCT(ROUND(ROUND(D21*85%,0)/$E$4,0),F21),0))</f>
        <v/>
      </c>
      <c r="N21" s="13" t="str">
        <f>IF(Aircraft!J19="","",ROUND(PRODUCT(I21,K21,L21),5))</f>
        <v/>
      </c>
      <c r="O21" s="11" t="str">
        <f>IF(Aircraft!J19="","",IFERROR(ROUND(PRODUCT(N21,Aircraft!P19),0),0))</f>
        <v/>
      </c>
      <c r="P21" s="11" t="str">
        <f>IF(Aircraft!J19="","",IFERROR(ROUND(PRODUCT(H21,M21,J21),0),""))</f>
        <v/>
      </c>
      <c r="Q21" s="11" t="str">
        <f>IF(Aircraft!J19="","",IFERROR(ROUND(PRODUCT(ROUND(ROUND(E21*85%,0)/$E$4,0),AC21),0),""))</f>
        <v/>
      </c>
      <c r="S21" t="str">
        <f>IFERROR(IF(VLOOKUP(Aircraft!C19,Aircraftlist,17)="M","Medium",IF(VLOOKUP(Aircraft!C19,Aircraftlist,17)="L","Light",IF(VLOOKUP(Aircraft!C19,Aircraftlist,17)="H","Heavy",""))),"")</f>
        <v/>
      </c>
      <c r="T21" s="9">
        <f ca="1">IFERROR(1+VLOOKUP(MATCH(S21,ACCATCHART,0),INDIRECT(CONCATENATE(Aircraft!AO19,"CATMOD")),5),1)</f>
        <v>1</v>
      </c>
      <c r="U21" s="9">
        <f ca="1">IFERROR(IF(Rating!J25=Worksheet_Com!$AF$11,1,IF(LEFT(Aircraft!C19,2)="RW",1,IF(AND(Aircraft!AO19="SETP",Aircraft!AX19="R"),1+VLOOKUP(MATCH(Aircraft!AY19,ACGearType,0),INDIRECT(CONCATENATE("SE_P","GearMod")),5),1+VLOOKUP(MATCH(Aircraft!AY19,ACGearType,0),INDIRECT(CONCATENATE(Aircraft!AO19,"GearMod")),5)))),1)</f>
        <v>1</v>
      </c>
      <c r="V21" s="9">
        <f ca="1">IFERROR(IF(Rating!J25=Worksheet_Com!$AF$11,1,IF(LEFT(Aircraft!C19,2)="RW",1,IF(AND(Aircraft!AO19="SETP",Aircraft!AX19="R"),1+VLOOKUP(MATCH(Aircraft!AY19,ACGearType,0),INDIRECT(CONCATENATE("SE_P","GearMod")),7),1+VLOOKUP(MATCH(Aircraft!AY19,ACGearType,0),INDIRECT(CONCATENATE(Aircraft!AO19,"GearMod")),7)))),1)</f>
        <v>1</v>
      </c>
      <c r="W21" s="9">
        <f>IFERROR(IF(VLOOKUP(Aircraft!C19,Aircraftlist,19)="",0,VLOOKUP(Aircraft!C19,Aircraftlist,19))+1,1)</f>
        <v>1</v>
      </c>
      <c r="X21" s="9">
        <f>IFERROR(VLOOKUP(Aircraft!C19,Aircraftlist,18)+1,1)</f>
        <v>1</v>
      </c>
      <c r="Y21" s="9">
        <f>IFERROR(1+(VLOOKUP(MATCH(Aircraft!AK19,AWtypes,0),AWCertChart,5)),1)</f>
        <v>1</v>
      </c>
      <c r="Z21" s="9">
        <f ca="1">IFERROR(1+(VLOOKUP(IF(LEFT(Aircraft!$AO19,2)="RW",2,1),INDIRECT(Rating!$J25),2)),1)</f>
        <v>1</v>
      </c>
      <c r="AA21" s="9">
        <f ca="1">IFERROR(1+(VLOOKUP(IF(LEFT(Aircraft!$AO19,2)="RW",2,1),INDIRECT(Rating!$J25),3)),1)</f>
        <v>1</v>
      </c>
      <c r="AB21" s="9">
        <f>IF(OR(Aircraft!S19="N",Aircraft!S19=""),1,'MGR Adjustment'!$AF$23+1)</f>
        <v>1</v>
      </c>
      <c r="AC21" s="9">
        <f>IFERROR(IF(AND(Aircraft!J19&gt;"",OR(Aircraft!P19="",Aircraft!P19=0)),'MGR Adjustment'!$AM$23)+1,1)</f>
        <v>1</v>
      </c>
      <c r="AS21">
        <v>16</v>
      </c>
      <c r="AT21" t="str">
        <f>IFERROR(IF(MATCH(Aircraft!U19,KYAIRPORT,0),"Yes","No"),"")</f>
        <v/>
      </c>
      <c r="AU21" t="b">
        <f>IFERROR(IF(AT21="Yes",VLOOKUP(MATCH(Aircraft!U19,KYAIRPORT,0),KYCOuntyCity,3)),"")</f>
        <v>0</v>
      </c>
      <c r="AV21" s="9" t="str">
        <f t="shared" si="0"/>
        <v/>
      </c>
      <c r="AW21" t="b">
        <f>IFERROR(IF(AT21="Yes",VLOOKUP(MATCH(Aircraft!U19,KYAIRPORT,0),KYCOuntyCity,4)),"")</f>
        <v>0</v>
      </c>
      <c r="AX21" s="9" t="str">
        <f t="shared" si="1"/>
        <v/>
      </c>
      <c r="AY21" s="9">
        <f t="shared" si="6"/>
        <v>1.7999999999999999E-2</v>
      </c>
      <c r="AZ21" s="155">
        <f t="shared" si="7"/>
        <v>0</v>
      </c>
      <c r="BC21">
        <v>17</v>
      </c>
      <c r="BD21" s="387" t="s">
        <v>1907</v>
      </c>
      <c r="BE21" t="s">
        <v>1903</v>
      </c>
      <c r="BF21" t="s">
        <v>1908</v>
      </c>
      <c r="BG21" t="str">
        <f t="shared" si="2"/>
        <v/>
      </c>
      <c r="BH21" t="str">
        <f t="shared" si="3"/>
        <v/>
      </c>
      <c r="BK21">
        <v>17</v>
      </c>
      <c r="BL21" s="157" t="s">
        <v>1909</v>
      </c>
      <c r="BM21" s="159">
        <v>0.08</v>
      </c>
    </row>
    <row r="22" spans="2:65">
      <c r="B22">
        <v>17</v>
      </c>
      <c r="C22" s="10" t="str">
        <f ca="1">IFERROR(IF(Aircraft!C20="","",IF(Aircraft!C20=0,VLOOKUP(Aircraft!P20,SE_p,2),VLOOKUP(Aircraft!P20,INDIRECT(Aircraft!AO20),2))),"")</f>
        <v/>
      </c>
      <c r="D22" s="15" t="str">
        <f>IFERROR(IF(LEFT(Aircraft!AO20,2)="RW",HLOOKUP(IF(Aircraft!AI20&gt;0,Aircraft!AI20,Aircraft!AE20),PistonRWLiabRate,SUM(MATCH(Aircraft!W20,PistonLiabLocMatch,0)+1)),IF(LEFT(Aircraft!AO20,2)="ME",HLOOKUP(IF(Aircraft!AI20&gt;0,Aircraft!AI20,Aircraft!AE20),PistonMELFWLiabRates,SUM(MATCH(Aircraft!W20,PistonLiabLocMatch,0)+1)),HLOOKUP(IF(Aircraft!AI20&gt;0,Aircraft!AI20,Aircraft!AE20),PistonFWLiabRate,SUM(MATCH(Aircraft!W20,PistonLiabLocMatch,0)+1)))),"")</f>
        <v/>
      </c>
      <c r="E22" s="15" t="str">
        <f>IFERROR(IF(Rating!AC26="Yes",0,PRODUCT(VLOOKUP(MATCH(Aircraft!$Y20,MedLimits,0),MedRate,3),Aircraft!$BB20)),"")</f>
        <v/>
      </c>
      <c r="F22" s="9">
        <f t="shared" ca="1" si="4"/>
        <v>1</v>
      </c>
      <c r="G22" s="9">
        <f t="shared" ca="1" si="5"/>
        <v>1</v>
      </c>
      <c r="H22" s="9">
        <f>IF(OR(Rating!$E$2=0,Rating!$E$2=""),1+$AG$14,Rating!$E$2+$AG$14+1)</f>
        <v>1.25</v>
      </c>
      <c r="I22" s="9">
        <f>IF(OR(Rating!$F$2=0,Rating!$F$2=""),1+$AG$14,Rating!$F$2+$AG$14+1)</f>
        <v>1.07</v>
      </c>
      <c r="J22" s="9">
        <f>IF(OR(Rating!$R26=0,Rating!$R26=""),1,Rating!$R26+1)</f>
        <v>1</v>
      </c>
      <c r="K22" s="9">
        <f>IF(OR(Rating!$T26=0,Rating!$T26=""),1,Rating!$T26+1)</f>
        <v>1</v>
      </c>
      <c r="L22" s="13" t="str">
        <f>IF(Aircraft!J20="","",ROUND(PRODUCT(ROUND(ROUND(C22*85%,6)/$E$4,6),G22),6))</f>
        <v/>
      </c>
      <c r="M22" s="15" t="str">
        <f>IF(Aircraft!J20="","",ROUND(PRODUCT(ROUND(ROUND(D22*85%,0)/$E$4,0),F22),0))</f>
        <v/>
      </c>
      <c r="N22" s="13" t="str">
        <f>IF(Aircraft!J20="","",ROUND(PRODUCT(I22,K22,L22),5))</f>
        <v/>
      </c>
      <c r="O22" s="11" t="str">
        <f>IF(Aircraft!J20="","",IFERROR(ROUND(PRODUCT(N22,Aircraft!P20),0),0))</f>
        <v/>
      </c>
      <c r="P22" s="11" t="str">
        <f>IF(Aircraft!J20="","",IFERROR(ROUND(PRODUCT(H22,M22,J22),0),""))</f>
        <v/>
      </c>
      <c r="Q22" s="11" t="str">
        <f>IF(Aircraft!J20="","",IFERROR(ROUND(PRODUCT(ROUND(ROUND(E22*85%,0)/$E$4,0),AC22),0),""))</f>
        <v/>
      </c>
      <c r="S22" t="str">
        <f>IFERROR(IF(VLOOKUP(Aircraft!C20,Aircraftlist,17)="M","Medium",IF(VLOOKUP(Aircraft!C20,Aircraftlist,17)="L","Light",IF(VLOOKUP(Aircraft!C20,Aircraftlist,17)="H","Heavy",""))),"")</f>
        <v/>
      </c>
      <c r="T22" s="9">
        <f ca="1">IFERROR(1+VLOOKUP(MATCH(S22,ACCATCHART,0),INDIRECT(CONCATENATE(Aircraft!AO20,"CATMOD")),5),1)</f>
        <v>1</v>
      </c>
      <c r="U22" s="9">
        <f ca="1">IFERROR(IF(Rating!J26=Worksheet_Com!$AF$11,1,IF(LEFT(Aircraft!C20,2)="RW",1,IF(AND(Aircraft!AO20="SETP",Aircraft!AX20="R"),1+VLOOKUP(MATCH(Aircraft!AY20,ACGearType,0),INDIRECT(CONCATENATE("SE_P","GearMod")),5),1+VLOOKUP(MATCH(Aircraft!AY20,ACGearType,0),INDIRECT(CONCATENATE(Aircraft!AO20,"GearMod")),5)))),1)</f>
        <v>1</v>
      </c>
      <c r="V22" s="9">
        <f ca="1">IFERROR(IF(Rating!J26=Worksheet_Com!$AF$11,1,IF(LEFT(Aircraft!C20,2)="RW",1,IF(AND(Aircraft!AO20="SETP",Aircraft!AX20="R"),1+VLOOKUP(MATCH(Aircraft!AY20,ACGearType,0),INDIRECT(CONCATENATE("SE_P","GearMod")),7),1+VLOOKUP(MATCH(Aircraft!AY20,ACGearType,0),INDIRECT(CONCATENATE(Aircraft!AO20,"GearMod")),7)))),1)</f>
        <v>1</v>
      </c>
      <c r="W22" s="9">
        <f>IFERROR(IF(VLOOKUP(Aircraft!C20,Aircraftlist,19)="",0,VLOOKUP(Aircraft!C20,Aircraftlist,19))+1,1)</f>
        <v>1</v>
      </c>
      <c r="X22" s="9">
        <f>IFERROR(VLOOKUP(Aircraft!C20,Aircraftlist,18)+1,1)</f>
        <v>1</v>
      </c>
      <c r="Y22" s="9">
        <f>IFERROR(1+(VLOOKUP(MATCH(Aircraft!AK20,AWtypes,0),AWCertChart,5)),1)</f>
        <v>1</v>
      </c>
      <c r="Z22" s="9">
        <f ca="1">IFERROR(1+(VLOOKUP(IF(LEFT(Aircraft!$AO20,2)="RW",2,1),INDIRECT(Rating!$J26),2)),1)</f>
        <v>1</v>
      </c>
      <c r="AA22" s="9">
        <f ca="1">IFERROR(1+(VLOOKUP(IF(LEFT(Aircraft!$AO20,2)="RW",2,1),INDIRECT(Rating!$J26),3)),1)</f>
        <v>1</v>
      </c>
      <c r="AB22" s="9">
        <f>IF(OR(Aircraft!S20="N",Aircraft!S20=""),1,'MGR Adjustment'!$AF$23+1)</f>
        <v>1</v>
      </c>
      <c r="AC22" s="9">
        <f>IFERROR(IF(AND(Aircraft!J20&gt;"",OR(Aircraft!P20="",Aircraft!P20=0)),'MGR Adjustment'!$AM$23)+1,1)</f>
        <v>1</v>
      </c>
      <c r="AS22">
        <v>17</v>
      </c>
      <c r="AT22" t="str">
        <f>IFERROR(IF(MATCH(Aircraft!U20,KYAIRPORT,0),"Yes","No"),"")</f>
        <v/>
      </c>
      <c r="AU22" t="b">
        <f>IFERROR(IF(AT22="Yes",VLOOKUP(MATCH(Aircraft!U20,KYAIRPORT,0),KYCOuntyCity,3)),"")</f>
        <v>0</v>
      </c>
      <c r="AV22" s="9" t="str">
        <f t="shared" si="0"/>
        <v/>
      </c>
      <c r="AW22" t="b">
        <f>IFERROR(IF(AT22="Yes",VLOOKUP(MATCH(Aircraft!U20,KYAIRPORT,0),KYCOuntyCity,4)),"")</f>
        <v>0</v>
      </c>
      <c r="AX22" s="9" t="str">
        <f t="shared" si="1"/>
        <v/>
      </c>
      <c r="AY22" s="9">
        <f t="shared" si="6"/>
        <v>1.7999999999999999E-2</v>
      </c>
      <c r="AZ22" s="155">
        <f t="shared" si="7"/>
        <v>0</v>
      </c>
      <c r="BC22">
        <v>18</v>
      </c>
      <c r="BD22" s="387" t="s">
        <v>1910</v>
      </c>
      <c r="BE22" t="s">
        <v>1911</v>
      </c>
      <c r="BF22" t="s">
        <v>1912</v>
      </c>
      <c r="BG22" t="str">
        <f t="shared" si="2"/>
        <v/>
      </c>
      <c r="BH22" t="str">
        <f t="shared" si="3"/>
        <v/>
      </c>
      <c r="BK22">
        <v>18</v>
      </c>
      <c r="BL22" s="157" t="s">
        <v>1913</v>
      </c>
      <c r="BM22" s="159">
        <v>6.9000000000000006E-2</v>
      </c>
    </row>
    <row r="23" spans="2:65">
      <c r="B23">
        <v>18</v>
      </c>
      <c r="C23" s="10" t="str">
        <f ca="1">IFERROR(IF(Aircraft!C21="","",IF(Aircraft!C21=0,VLOOKUP(Aircraft!P21,SE_p,2),VLOOKUP(Aircraft!P21,INDIRECT(Aircraft!AO21),2))),"")</f>
        <v/>
      </c>
      <c r="D23" s="15" t="str">
        <f>IFERROR(IF(LEFT(Aircraft!AO21,2)="RW",HLOOKUP(IF(Aircraft!AI21&gt;0,Aircraft!AI21,Aircraft!AE21),PistonRWLiabRate,SUM(MATCH(Aircraft!W21,PistonLiabLocMatch,0)+1)),IF(LEFT(Aircraft!AO21,2)="ME",HLOOKUP(IF(Aircraft!AI21&gt;0,Aircraft!AI21,Aircraft!AE21),PistonMELFWLiabRates,SUM(MATCH(Aircraft!W21,PistonLiabLocMatch,0)+1)),HLOOKUP(IF(Aircraft!AI21&gt;0,Aircraft!AI21,Aircraft!AE21),PistonFWLiabRate,SUM(MATCH(Aircraft!W21,PistonLiabLocMatch,0)+1)))),"")</f>
        <v/>
      </c>
      <c r="E23" s="15" t="str">
        <f>IFERROR(IF(Rating!AC27="Yes",0,PRODUCT(VLOOKUP(MATCH(Aircraft!$Y21,MedLimits,0),MedRate,3),Aircraft!$BB21)),"")</f>
        <v/>
      </c>
      <c r="F23" s="9">
        <f t="shared" ca="1" si="4"/>
        <v>1</v>
      </c>
      <c r="G23" s="9">
        <f t="shared" ca="1" si="5"/>
        <v>1</v>
      </c>
      <c r="H23" s="9">
        <f>IF(OR(Rating!$E$2=0,Rating!$E$2=""),1+$AG$14,Rating!$E$2+$AG$14+1)</f>
        <v>1.25</v>
      </c>
      <c r="I23" s="9">
        <f>IF(OR(Rating!$F$2=0,Rating!$F$2=""),1+$AG$14,Rating!$F$2+$AG$14+1)</f>
        <v>1.07</v>
      </c>
      <c r="J23" s="9">
        <f>IF(OR(Rating!$R27=0,Rating!$R27=""),1,Rating!$R27+1)</f>
        <v>1</v>
      </c>
      <c r="K23" s="9">
        <f>IF(OR(Rating!$T27=0,Rating!$T27=""),1,Rating!$T27+1)</f>
        <v>1</v>
      </c>
      <c r="L23" s="13" t="str">
        <f>IF(Aircraft!J21="","",ROUND(PRODUCT(ROUND(ROUND(C23*85%,6)/$E$4,6),G23),6))</f>
        <v/>
      </c>
      <c r="M23" s="15" t="str">
        <f>IF(Aircraft!J21="","",ROUND(PRODUCT(ROUND(ROUND(D23*85%,0)/$E$4,0),F23),0))</f>
        <v/>
      </c>
      <c r="N23" s="13" t="str">
        <f>IF(Aircraft!J21="","",ROUND(PRODUCT(I23,K23,L23),5))</f>
        <v/>
      </c>
      <c r="O23" s="11" t="str">
        <f>IF(Aircraft!J21="","",IFERROR(ROUND(PRODUCT(N23,Aircraft!P21),0),0))</f>
        <v/>
      </c>
      <c r="P23" s="11" t="str">
        <f>IF(Aircraft!J21="","",IFERROR(ROUND(PRODUCT(H23,M23,J23),0),""))</f>
        <v/>
      </c>
      <c r="Q23" s="11" t="str">
        <f>IF(Aircraft!J21="","",IFERROR(ROUND(PRODUCT(ROUND(ROUND(E23*85%,0)/$E$4,0),AC23),0),""))</f>
        <v/>
      </c>
      <c r="S23" t="str">
        <f>IFERROR(IF(VLOOKUP(Aircraft!C21,Aircraftlist,17)="M","Medium",IF(VLOOKUP(Aircraft!C21,Aircraftlist,17)="L","Light",IF(VLOOKUP(Aircraft!C21,Aircraftlist,17)="H","Heavy",""))),"")</f>
        <v/>
      </c>
      <c r="T23" s="9">
        <f ca="1">IFERROR(1+VLOOKUP(MATCH(S23,ACCATCHART,0),INDIRECT(CONCATENATE(Aircraft!AO21,"CATMOD")),5),1)</f>
        <v>1</v>
      </c>
      <c r="U23" s="9">
        <f ca="1">IFERROR(IF(Rating!J27=Worksheet_Com!$AF$11,1,IF(LEFT(Aircraft!C21,2)="RW",1,IF(AND(Aircraft!AO21="SETP",Aircraft!AX21="R"),1+VLOOKUP(MATCH(Aircraft!AY21,ACGearType,0),INDIRECT(CONCATENATE("SE_P","GearMod")),5),1+VLOOKUP(MATCH(Aircraft!AY21,ACGearType,0),INDIRECT(CONCATENATE(Aircraft!AO21,"GearMod")),5)))),1)</f>
        <v>1</v>
      </c>
      <c r="V23" s="9">
        <f ca="1">IFERROR(IF(Rating!J27=Worksheet_Com!$AF$11,1,IF(LEFT(Aircraft!C21,2)="RW",1,IF(AND(Aircraft!AO21="SETP",Aircraft!AX21="R"),1+VLOOKUP(MATCH(Aircraft!AY21,ACGearType,0),INDIRECT(CONCATENATE("SE_P","GearMod")),7),1+VLOOKUP(MATCH(Aircraft!AY21,ACGearType,0),INDIRECT(CONCATENATE(Aircraft!AO21,"GearMod")),7)))),1)</f>
        <v>1</v>
      </c>
      <c r="W23" s="9">
        <f>IFERROR(IF(VLOOKUP(Aircraft!C21,Aircraftlist,19)="",0,VLOOKUP(Aircraft!C21,Aircraftlist,19))+1,1)</f>
        <v>1</v>
      </c>
      <c r="X23" s="9">
        <f>IFERROR(VLOOKUP(Aircraft!C21,Aircraftlist,18)+1,1)</f>
        <v>1</v>
      </c>
      <c r="Y23" s="9">
        <f>IFERROR(1+(VLOOKUP(MATCH(Aircraft!AK21,AWtypes,0),AWCertChart,5)),1)</f>
        <v>1</v>
      </c>
      <c r="Z23" s="9">
        <f ca="1">IFERROR(1+(VLOOKUP(IF(LEFT(Aircraft!$AO21,2)="RW",2,1),INDIRECT(Rating!$J27),2)),1)</f>
        <v>1</v>
      </c>
      <c r="AA23" s="9">
        <f ca="1">IFERROR(1+(VLOOKUP(IF(LEFT(Aircraft!$AO21,2)="RW",2,1),INDIRECT(Rating!$J27),3)),1)</f>
        <v>1</v>
      </c>
      <c r="AB23" s="9">
        <f>IF(OR(Aircraft!S21="N",Aircraft!S21=""),1,'MGR Adjustment'!$AF$23+1)</f>
        <v>1</v>
      </c>
      <c r="AC23" s="9">
        <f>IFERROR(IF(AND(Aircraft!J21&gt;"",OR(Aircraft!P21="",Aircraft!P21=0)),'MGR Adjustment'!$AM$23)+1,1)</f>
        <v>1</v>
      </c>
      <c r="AJ23" t="s">
        <v>1858</v>
      </c>
      <c r="AS23">
        <v>18</v>
      </c>
      <c r="AT23" t="str">
        <f>IFERROR(IF(MATCH(Aircraft!U21,KYAIRPORT,0),"Yes","No"),"")</f>
        <v/>
      </c>
      <c r="AU23" t="b">
        <f>IFERROR(IF(AT23="Yes",VLOOKUP(MATCH(Aircraft!U21,KYAIRPORT,0),KYCOuntyCity,3)),"")</f>
        <v>0</v>
      </c>
      <c r="AV23" s="9" t="str">
        <f t="shared" si="0"/>
        <v/>
      </c>
      <c r="AW23" t="b">
        <f>IFERROR(IF(AT23="Yes",VLOOKUP(MATCH(Aircraft!U21,KYAIRPORT,0),KYCOuntyCity,4)),"")</f>
        <v>0</v>
      </c>
      <c r="AX23" s="9" t="str">
        <f t="shared" si="1"/>
        <v/>
      </c>
      <c r="AY23" s="9">
        <f t="shared" si="6"/>
        <v>1.7999999999999999E-2</v>
      </c>
      <c r="AZ23" s="155">
        <f t="shared" si="7"/>
        <v>0</v>
      </c>
      <c r="BC23">
        <v>19</v>
      </c>
      <c r="BD23" s="387" t="s">
        <v>1914</v>
      </c>
      <c r="BE23" t="s">
        <v>1911</v>
      </c>
      <c r="BF23" t="s">
        <v>1912</v>
      </c>
      <c r="BG23" t="str">
        <f t="shared" si="2"/>
        <v/>
      </c>
      <c r="BH23" t="str">
        <f t="shared" si="3"/>
        <v/>
      </c>
      <c r="BK23">
        <v>19</v>
      </c>
      <c r="BL23" s="157" t="s">
        <v>1915</v>
      </c>
      <c r="BM23" s="159">
        <v>0.11</v>
      </c>
    </row>
    <row r="24" spans="2:65">
      <c r="B24">
        <v>19</v>
      </c>
      <c r="C24" s="10" t="str">
        <f ca="1">IFERROR(IF(Aircraft!C22="","",IF(Aircraft!C22=0,VLOOKUP(Aircraft!P22,SE_p,2),VLOOKUP(Aircraft!P22,INDIRECT(Aircraft!AO22),2))),"")</f>
        <v/>
      </c>
      <c r="D24" s="15" t="str">
        <f>IFERROR(IF(LEFT(Aircraft!AO22,2)="RW",HLOOKUP(IF(Aircraft!AI22&gt;0,Aircraft!AI22,Aircraft!AE22),PistonRWLiabRate,SUM(MATCH(Aircraft!W22,PistonLiabLocMatch,0)+1)),IF(LEFT(Aircraft!AO22,2)="ME",HLOOKUP(IF(Aircraft!AI22&gt;0,Aircraft!AI22,Aircraft!AE22),PistonMELFWLiabRates,SUM(MATCH(Aircraft!W22,PistonLiabLocMatch,0)+1)),HLOOKUP(IF(Aircraft!AI22&gt;0,Aircraft!AI22,Aircraft!AE22),PistonFWLiabRate,SUM(MATCH(Aircraft!W22,PistonLiabLocMatch,0)+1)))),"")</f>
        <v/>
      </c>
      <c r="E24" s="15" t="str">
        <f>IFERROR(IF(Rating!AC28="Yes",0,PRODUCT(VLOOKUP(MATCH(Aircraft!$Y22,MedLimits,0),MedRate,3),Aircraft!$BB22)),"")</f>
        <v/>
      </c>
      <c r="F24" s="9">
        <f t="shared" ca="1" si="4"/>
        <v>1</v>
      </c>
      <c r="G24" s="9">
        <f t="shared" ca="1" si="5"/>
        <v>1</v>
      </c>
      <c r="H24" s="9">
        <f>IF(OR(Rating!$E$2=0,Rating!$E$2=""),1+$AG$14,Rating!$E$2+$AG$14+1)</f>
        <v>1.25</v>
      </c>
      <c r="I24" s="9">
        <f>IF(OR(Rating!$F$2=0,Rating!$F$2=""),1+$AG$14,Rating!$F$2+$AG$14+1)</f>
        <v>1.07</v>
      </c>
      <c r="J24" s="9">
        <f>IF(OR(Rating!$R28=0,Rating!$R28=""),1,Rating!$R28+1)</f>
        <v>1</v>
      </c>
      <c r="K24" s="9">
        <f>IF(OR(Rating!$T28=0,Rating!$T28=""),1,Rating!$T28+1)</f>
        <v>1</v>
      </c>
      <c r="L24" s="13" t="str">
        <f>IF(Aircraft!J22="","",ROUND(PRODUCT(ROUND(ROUND(C24*85%,6)/$E$4,6),G24),6))</f>
        <v/>
      </c>
      <c r="M24" s="15" t="str">
        <f>IF(Aircraft!J22="","",ROUND(PRODUCT(ROUND(ROUND(D24*85%,0)/$E$4,0),F24),0))</f>
        <v/>
      </c>
      <c r="N24" s="13" t="str">
        <f>IF(Aircraft!J22="","",ROUND(PRODUCT(I24,K24,L24),5))</f>
        <v/>
      </c>
      <c r="O24" s="11" t="str">
        <f>IF(Aircraft!J22="","",IFERROR(ROUND(PRODUCT(N24,Aircraft!P22),0),0))</f>
        <v/>
      </c>
      <c r="P24" s="11" t="str">
        <f>IF(Aircraft!J22="","",IFERROR(ROUND(PRODUCT(H24,M24,J24),0),""))</f>
        <v/>
      </c>
      <c r="Q24" s="11" t="str">
        <f>IF(Aircraft!J22="","",IFERROR(ROUND(PRODUCT(ROUND(ROUND(E24*85%,0)/$E$4,0),AC24),0),""))</f>
        <v/>
      </c>
      <c r="S24" t="str">
        <f>IFERROR(IF(VLOOKUP(Aircraft!C22,Aircraftlist,17)="M","Medium",IF(VLOOKUP(Aircraft!C22,Aircraftlist,17)="L","Light",IF(VLOOKUP(Aircraft!C22,Aircraftlist,17)="H","Heavy",""))),"")</f>
        <v/>
      </c>
      <c r="T24" s="9">
        <f ca="1">IFERROR(1+VLOOKUP(MATCH(S24,ACCATCHART,0),INDIRECT(CONCATENATE(Aircraft!AO22,"CATMOD")),5),1)</f>
        <v>1</v>
      </c>
      <c r="U24" s="9">
        <f ca="1">IFERROR(IF(Rating!J28=Worksheet_Com!$AF$11,1,IF(LEFT(Aircraft!C22,2)="RW",1,IF(AND(Aircraft!AO22="SETP",Aircraft!AX22="R"),1+VLOOKUP(MATCH(Aircraft!AY22,ACGearType,0),INDIRECT(CONCATENATE("SE_P","GearMod")),5),1+VLOOKUP(MATCH(Aircraft!AY22,ACGearType,0),INDIRECT(CONCATENATE(Aircraft!AO22,"GearMod")),5)))),1)</f>
        <v>1</v>
      </c>
      <c r="V24" s="9">
        <f ca="1">IFERROR(IF(Rating!J28=Worksheet_Com!$AF$11,1,IF(LEFT(Aircraft!C22,2)="RW",1,IF(AND(Aircraft!AO22="SETP",Aircraft!AX22="R"),1+VLOOKUP(MATCH(Aircraft!AY22,ACGearType,0),INDIRECT(CONCATENATE("SE_P","GearMod")),7),1+VLOOKUP(MATCH(Aircraft!AY22,ACGearType,0),INDIRECT(CONCATENATE(Aircraft!AO22,"GearMod")),7)))),1)</f>
        <v>1</v>
      </c>
      <c r="W24" s="9">
        <f>IFERROR(IF(VLOOKUP(Aircraft!C22,Aircraftlist,19)="",0,VLOOKUP(Aircraft!C22,Aircraftlist,19))+1,1)</f>
        <v>1</v>
      </c>
      <c r="X24" s="9">
        <f>IFERROR(VLOOKUP(Aircraft!C22,Aircraftlist,18)+1,1)</f>
        <v>1</v>
      </c>
      <c r="Y24" s="9">
        <f>IFERROR(1+(VLOOKUP(MATCH(Aircraft!AK22,AWtypes,0),AWCertChart,5)),1)</f>
        <v>1</v>
      </c>
      <c r="Z24" s="9">
        <f ca="1">IFERROR(1+(VLOOKUP(IF(LEFT(Aircraft!$AO22,2)="RW",2,1),INDIRECT(Rating!$J28),2)),1)</f>
        <v>1</v>
      </c>
      <c r="AA24" s="9">
        <f ca="1">IFERROR(1+(VLOOKUP(IF(LEFT(Aircraft!$AO22,2)="RW",2,1),INDIRECT(Rating!$J28),3)),1)</f>
        <v>1</v>
      </c>
      <c r="AB24" s="9">
        <f>IF(OR(Aircraft!S22="N",Aircraft!S22=""),1,'MGR Adjustment'!$AF$23+1)</f>
        <v>1</v>
      </c>
      <c r="AC24" s="9">
        <f>IFERROR(IF(AND(Aircraft!J22&gt;"",OR(Aircraft!P22="",Aircraft!P22=0)),'MGR Adjustment'!$AM$23)+1,1)</f>
        <v>1</v>
      </c>
      <c r="AJ24" t="s">
        <v>1916</v>
      </c>
      <c r="AK24" t="s">
        <v>1774</v>
      </c>
      <c r="AS24">
        <v>19</v>
      </c>
      <c r="AT24" t="str">
        <f>IFERROR(IF(MATCH(Aircraft!U22,KYAIRPORT,0),"Yes","No"),"")</f>
        <v/>
      </c>
      <c r="AU24" t="b">
        <f>IFERROR(IF(AT24="Yes",VLOOKUP(MATCH(Aircraft!U22,KYAIRPORT,0),KYCOuntyCity,3)),"")</f>
        <v>0</v>
      </c>
      <c r="AV24" s="9" t="str">
        <f t="shared" si="0"/>
        <v/>
      </c>
      <c r="AW24" t="b">
        <f>IFERROR(IF(AT24="Yes",VLOOKUP(MATCH(Aircraft!U22,KYAIRPORT,0),KYCOuntyCity,4)),"")</f>
        <v>0</v>
      </c>
      <c r="AX24" s="9" t="str">
        <f t="shared" si="1"/>
        <v/>
      </c>
      <c r="AY24" s="9">
        <f t="shared" si="6"/>
        <v>1.7999999999999999E-2</v>
      </c>
      <c r="AZ24" s="155">
        <f t="shared" si="7"/>
        <v>0</v>
      </c>
      <c r="BC24">
        <v>20</v>
      </c>
      <c r="BD24" s="387" t="s">
        <v>1917</v>
      </c>
      <c r="BE24" t="s">
        <v>1911</v>
      </c>
      <c r="BF24" t="s">
        <v>1912</v>
      </c>
      <c r="BG24" t="str">
        <f t="shared" si="2"/>
        <v/>
      </c>
      <c r="BH24" t="str">
        <f t="shared" si="3"/>
        <v/>
      </c>
      <c r="BK24">
        <v>20</v>
      </c>
      <c r="BL24" s="157" t="s">
        <v>1918</v>
      </c>
      <c r="BM24" s="159">
        <v>0.05</v>
      </c>
    </row>
    <row r="25" spans="2:65">
      <c r="B25">
        <v>20</v>
      </c>
      <c r="C25" s="10" t="str">
        <f ca="1">IFERROR(IF(Aircraft!C23="","",IF(Aircraft!C23=0,VLOOKUP(Aircraft!P23,SE_p,2),VLOOKUP(Aircraft!P23,INDIRECT(Aircraft!AO23),2))),"")</f>
        <v/>
      </c>
      <c r="D25" s="15" t="str">
        <f>IFERROR(IF(LEFT(Aircraft!AO23,2)="RW",HLOOKUP(IF(Aircraft!AI23&gt;0,Aircraft!AI23,Aircraft!AE23),PistonRWLiabRate,SUM(MATCH(Aircraft!W23,PistonLiabLocMatch,0)+1)),IF(LEFT(Aircraft!AO23,2)="ME",HLOOKUP(IF(Aircraft!AI23&gt;0,Aircraft!AI23,Aircraft!AE23),PistonMELFWLiabRates,SUM(MATCH(Aircraft!W23,PistonLiabLocMatch,0)+1)),HLOOKUP(IF(Aircraft!AI23&gt;0,Aircraft!AI23,Aircraft!AE23),PistonFWLiabRate,SUM(MATCH(Aircraft!W23,PistonLiabLocMatch,0)+1)))),"")</f>
        <v/>
      </c>
      <c r="E25" s="15" t="str">
        <f>IFERROR(IF(Rating!AC29="Yes",0,PRODUCT(VLOOKUP(MATCH(Aircraft!$Y23,MedLimits,0),MedRate,3),Aircraft!$BB23)),"")</f>
        <v/>
      </c>
      <c r="F25" s="9">
        <f t="shared" ca="1" si="4"/>
        <v>1</v>
      </c>
      <c r="G25" s="9">
        <f t="shared" ca="1" si="5"/>
        <v>1</v>
      </c>
      <c r="H25" s="9">
        <f>IF(OR(Rating!$E$2=0,Rating!$E$2=""),1+$AG$14,Rating!$E$2+$AG$14+1)</f>
        <v>1.25</v>
      </c>
      <c r="I25" s="9">
        <f>IF(OR(Rating!$F$2=0,Rating!$F$2=""),1+$AG$14,Rating!$F$2+$AG$14+1)</f>
        <v>1.07</v>
      </c>
      <c r="J25" s="9">
        <f>IF(OR(Rating!$R29=0,Rating!$R29=""),1,Rating!$R29+1)</f>
        <v>1</v>
      </c>
      <c r="K25" s="9">
        <f>IF(OR(Rating!$T29=0,Rating!$T29=""),1,Rating!$T29+1)</f>
        <v>1</v>
      </c>
      <c r="L25" s="13" t="str">
        <f>IF(Aircraft!J23="","",ROUND(PRODUCT(ROUND(ROUND(C25*85%,6)/$E$4,6),G25),6))</f>
        <v/>
      </c>
      <c r="M25" s="15" t="str">
        <f>IF(Aircraft!J23="","",ROUND(PRODUCT(ROUND(ROUND(D25*85%,0)/$E$4,0),F25),0))</f>
        <v/>
      </c>
      <c r="N25" s="13" t="str">
        <f>IF(Aircraft!J23="","",ROUND(PRODUCT(I25,K25,L25),5))</f>
        <v/>
      </c>
      <c r="O25" s="11" t="str">
        <f>IF(Aircraft!J23="","",IFERROR(ROUND(PRODUCT(N25,Aircraft!P23),0),0))</f>
        <v/>
      </c>
      <c r="P25" s="11" t="str">
        <f>IF(Aircraft!J23="","",IFERROR(ROUND(PRODUCT(H25,M25,J25),0),""))</f>
        <v/>
      </c>
      <c r="Q25" s="11" t="str">
        <f>IF(Aircraft!J23="","",IFERROR(ROUND(PRODUCT(ROUND(ROUND(E25*85%,0)/$E$4,0),AC25),0),""))</f>
        <v/>
      </c>
      <c r="S25" t="str">
        <f>IFERROR(IF(VLOOKUP(Aircraft!C23,Aircraftlist,17)="M","Medium",IF(VLOOKUP(Aircraft!C23,Aircraftlist,17)="L","Light",IF(VLOOKUP(Aircraft!C23,Aircraftlist,17)="H","Heavy",""))),"")</f>
        <v/>
      </c>
      <c r="T25" s="9">
        <f ca="1">IFERROR(1+VLOOKUP(MATCH(S25,ACCATCHART,0),INDIRECT(CONCATENATE(Aircraft!AO23,"CATMOD")),5),1)</f>
        <v>1</v>
      </c>
      <c r="U25" s="9">
        <f ca="1">IFERROR(IF(Rating!J29=Worksheet_Com!$AF$11,1,IF(LEFT(Aircraft!C23,2)="RW",1,IF(AND(Aircraft!AO23="SETP",Aircraft!AX23="R"),1+VLOOKUP(MATCH(Aircraft!AY23,ACGearType,0),INDIRECT(CONCATENATE("SE_P","GearMod")),5),1+VLOOKUP(MATCH(Aircraft!AY23,ACGearType,0),INDIRECT(CONCATENATE(Aircraft!AO23,"GearMod")),5)))),1)</f>
        <v>1</v>
      </c>
      <c r="V25" s="9">
        <f ca="1">IFERROR(IF(Rating!J29=Worksheet_Com!$AF$11,1,IF(LEFT(Aircraft!C23,2)="RW",1,IF(AND(Aircraft!AO23="SETP",Aircraft!AX23="R"),1+VLOOKUP(MATCH(Aircraft!AY23,ACGearType,0),INDIRECT(CONCATENATE("SE_P","GearMod")),7),1+VLOOKUP(MATCH(Aircraft!AY23,ACGearType,0),INDIRECT(CONCATENATE(Aircraft!AO23,"GearMod")),7)))),1)</f>
        <v>1</v>
      </c>
      <c r="W25" s="9">
        <f>IFERROR(IF(VLOOKUP(Aircraft!C23,Aircraftlist,19)="",0,VLOOKUP(Aircraft!C23,Aircraftlist,19))+1,1)</f>
        <v>1</v>
      </c>
      <c r="X25" s="9">
        <f>IFERROR(VLOOKUP(Aircraft!C23,Aircraftlist,18)+1,1)</f>
        <v>1</v>
      </c>
      <c r="Y25" s="9">
        <f>IFERROR(1+(VLOOKUP(MATCH(Aircraft!AK23,AWtypes,0),AWCertChart,5)),1)</f>
        <v>1</v>
      </c>
      <c r="Z25" s="9">
        <f ca="1">IFERROR(1+(VLOOKUP(IF(LEFT(Aircraft!$AO23,2)="RW",2,1),INDIRECT(Rating!$J29),2)),1)</f>
        <v>1</v>
      </c>
      <c r="AA25" s="9">
        <f ca="1">IFERROR(1+(VLOOKUP(IF(LEFT(Aircraft!$AO23,2)="RW",2,1),INDIRECT(Rating!$J29),3)),1)</f>
        <v>1</v>
      </c>
      <c r="AB25" s="9">
        <f>IF(OR(Aircraft!S23="N",Aircraft!S23=""),1,'MGR Adjustment'!$AF$23+1)</f>
        <v>1</v>
      </c>
      <c r="AC25" s="9">
        <f>IFERROR(IF(AND(Aircraft!J23&gt;"",OR(Aircraft!P23="",Aircraft!P23=0)),'MGR Adjustment'!$AM$23)+1,1)</f>
        <v>1</v>
      </c>
      <c r="AI25">
        <v>1</v>
      </c>
      <c r="AJ25" s="9">
        <f>'MGR Adjustment'!AK57</f>
        <v>1.25</v>
      </c>
      <c r="AK25" s="9">
        <f>'MGR Adjustment'!AN57</f>
        <v>0.35</v>
      </c>
      <c r="AS25">
        <v>20</v>
      </c>
      <c r="AT25" t="str">
        <f>IFERROR(IF(MATCH(Aircraft!U23,KYAIRPORT,0),"Yes","No"),"")</f>
        <v/>
      </c>
      <c r="AU25" t="b">
        <f>IFERROR(IF(AT25="Yes",VLOOKUP(MATCH(Aircraft!U23,KYAIRPORT,0),KYCOuntyCity,3)),"")</f>
        <v>0</v>
      </c>
      <c r="AV25" s="9" t="str">
        <f t="shared" si="0"/>
        <v/>
      </c>
      <c r="AW25" t="b">
        <f>IFERROR(IF(AT25="Yes",VLOOKUP(MATCH(Aircraft!U23,KYAIRPORT,0),KYCOuntyCity,4)),"")</f>
        <v>0</v>
      </c>
      <c r="AX25" s="9" t="str">
        <f t="shared" si="1"/>
        <v/>
      </c>
      <c r="AY25" s="9">
        <f t="shared" si="6"/>
        <v>1.7999999999999999E-2</v>
      </c>
      <c r="AZ25" s="155">
        <f t="shared" si="7"/>
        <v>0</v>
      </c>
      <c r="BC25">
        <v>21</v>
      </c>
      <c r="BD25" s="387" t="s">
        <v>1919</v>
      </c>
      <c r="BE25" t="s">
        <v>1911</v>
      </c>
      <c r="BF25" t="s">
        <v>1912</v>
      </c>
      <c r="BG25" t="str">
        <f t="shared" si="2"/>
        <v/>
      </c>
      <c r="BH25" t="str">
        <f t="shared" si="3"/>
        <v/>
      </c>
      <c r="BK25">
        <v>21</v>
      </c>
      <c r="BL25" s="157" t="s">
        <v>1920</v>
      </c>
      <c r="BM25" s="159">
        <v>7.0000000000000007E-2</v>
      </c>
    </row>
    <row r="26" spans="2:65">
      <c r="B26">
        <v>21</v>
      </c>
      <c r="C26" s="10" t="str">
        <f ca="1">IFERROR(IF(Aircraft!C24="","",IF(Aircraft!C24=0,VLOOKUP(Aircraft!P24,SE_p,2),VLOOKUP(Aircraft!P24,INDIRECT(Aircraft!AO24),2))),"")</f>
        <v/>
      </c>
      <c r="D26" s="15" t="str">
        <f>IFERROR(IF(LEFT(Aircraft!AO24,2)="RW",HLOOKUP(IF(Aircraft!AI24&gt;0,Aircraft!AI24,Aircraft!AE24),PistonRWLiabRate,SUM(MATCH(Aircraft!W24,PistonLiabLocMatch,0)+1)),IF(LEFT(Aircraft!AO24,2)="ME",HLOOKUP(IF(Aircraft!AI24&gt;0,Aircraft!AI24,Aircraft!AE24),PistonMELFWLiabRates,SUM(MATCH(Aircraft!W24,PistonLiabLocMatch,0)+1)),HLOOKUP(IF(Aircraft!AI24&gt;0,Aircraft!AI24,Aircraft!AE24),PistonFWLiabRate,SUM(MATCH(Aircraft!W24,PistonLiabLocMatch,0)+1)))),"")</f>
        <v/>
      </c>
      <c r="E26" s="15" t="str">
        <f>IFERROR(IF(Rating!AC30="Yes",0,PRODUCT(VLOOKUP(MATCH(Aircraft!$Y24,MedLimits,0),MedRate,3),Aircraft!$BB24)),"")</f>
        <v/>
      </c>
      <c r="F26" s="9">
        <f t="shared" ca="1" si="4"/>
        <v>1</v>
      </c>
      <c r="G26" s="9">
        <f t="shared" ca="1" si="5"/>
        <v>1</v>
      </c>
      <c r="H26" s="9">
        <f>IF(OR(Rating!$E$2=0,Rating!$E$2=""),1+$AG$14,Rating!$E$2+$AG$14+1)</f>
        <v>1.25</v>
      </c>
      <c r="I26" s="9">
        <f>IF(OR(Rating!$F$2=0,Rating!$F$2=""),1+$AG$14,Rating!$F$2+$AG$14+1)</f>
        <v>1.07</v>
      </c>
      <c r="J26" s="9">
        <f>IF(OR(Rating!$R30=0,Rating!$R30=""),1,Rating!$R30+1)</f>
        <v>1</v>
      </c>
      <c r="K26" s="9">
        <f>IF(OR(Rating!$T30=0,Rating!$T30=""),1,Rating!$T30+1)</f>
        <v>1</v>
      </c>
      <c r="L26" s="13" t="str">
        <f>IF(Aircraft!J24="","",ROUND(PRODUCT(ROUND(ROUND(C26*85%,6)/$E$4,6),G26),6))</f>
        <v/>
      </c>
      <c r="M26" s="15" t="str">
        <f>IF(Aircraft!J24="","",ROUND(PRODUCT(ROUND(ROUND(D26*85%,0)/$E$4,0),F26),0))</f>
        <v/>
      </c>
      <c r="N26" s="13" t="str">
        <f>IF(Aircraft!J24="","",ROUND(PRODUCT(I26,K26,L26),5))</f>
        <v/>
      </c>
      <c r="O26" s="11" t="str">
        <f>IF(Aircraft!J24="","",IFERROR(ROUND(PRODUCT(N26,Aircraft!P24),0),0))</f>
        <v/>
      </c>
      <c r="P26" s="11" t="str">
        <f>IF(Aircraft!J24="","",IFERROR(ROUND(PRODUCT(H26,M26,J26),0),""))</f>
        <v/>
      </c>
      <c r="Q26" s="11" t="str">
        <f>IF(Aircraft!J24="","",IFERROR(ROUND(PRODUCT(ROUND(ROUND(E26*85%,0)/$E$4,0),AC26),0),""))</f>
        <v/>
      </c>
      <c r="S26" t="str">
        <f>IFERROR(IF(VLOOKUP(Aircraft!C24,Aircraftlist,17)="M","Medium",IF(VLOOKUP(Aircraft!C24,Aircraftlist,17)="L","Light",IF(VLOOKUP(Aircraft!C24,Aircraftlist,17)="H","Heavy",""))),"")</f>
        <v/>
      </c>
      <c r="T26" s="9">
        <f ca="1">IFERROR(1+VLOOKUP(MATCH(S26,ACCATCHART,0),INDIRECT(CONCATENATE(Aircraft!AO24,"CATMOD")),5),1)</f>
        <v>1</v>
      </c>
      <c r="U26" s="9">
        <f ca="1">IFERROR(IF(Rating!J30=Worksheet_Com!$AF$11,1,IF(LEFT(Aircraft!C24,2)="RW",1,IF(AND(Aircraft!AO24="SETP",Aircraft!AX24="R"),1+VLOOKUP(MATCH(Aircraft!AY24,ACGearType,0),INDIRECT(CONCATENATE("SE_P","GearMod")),5),1+VLOOKUP(MATCH(Aircraft!AY24,ACGearType,0),INDIRECT(CONCATENATE(Aircraft!AO24,"GearMod")),5)))),1)</f>
        <v>1</v>
      </c>
      <c r="V26" s="9">
        <f ca="1">IFERROR(IF(Rating!J30=Worksheet_Com!$AF$11,1,IF(LEFT(Aircraft!C24,2)="RW",1,IF(AND(Aircraft!AO24="SETP",Aircraft!AX24="R"),1+VLOOKUP(MATCH(Aircraft!AY24,ACGearType,0),INDIRECT(CONCATENATE("SE_P","GearMod")),7),1+VLOOKUP(MATCH(Aircraft!AY24,ACGearType,0),INDIRECT(CONCATENATE(Aircraft!AO24,"GearMod")),7)))),1)</f>
        <v>1</v>
      </c>
      <c r="W26" s="9">
        <f>IFERROR(IF(VLOOKUP(Aircraft!C24,Aircraftlist,19)="",0,VLOOKUP(Aircraft!C24,Aircraftlist,19))+1,1)</f>
        <v>1</v>
      </c>
      <c r="X26" s="9">
        <f>IFERROR(VLOOKUP(Aircraft!C24,Aircraftlist,18)+1,1)</f>
        <v>1</v>
      </c>
      <c r="Y26" s="9">
        <f>IFERROR(1+(VLOOKUP(MATCH(Aircraft!AK24,AWtypes,0),AWCertChart,5)),1)</f>
        <v>1</v>
      </c>
      <c r="Z26" s="9">
        <f ca="1">IFERROR(1+(VLOOKUP(IF(LEFT(Aircraft!$AO24,2)="RW",2,1),INDIRECT(Rating!$J30),2)),1)</f>
        <v>1</v>
      </c>
      <c r="AA26" s="9">
        <f ca="1">IFERROR(1+(VLOOKUP(IF(LEFT(Aircraft!$AO24,2)="RW",2,1),INDIRECT(Rating!$J30),3)),1)</f>
        <v>1</v>
      </c>
      <c r="AB26" s="9">
        <f>IF(OR(Aircraft!S24="N",Aircraft!S24=""),1,'MGR Adjustment'!$AF$23+1)</f>
        <v>1</v>
      </c>
      <c r="AC26" s="9">
        <f>IFERROR(IF(AND(Aircraft!J24&gt;"",OR(Aircraft!P24="",Aircraft!P24=0)),'MGR Adjustment'!$AM$23)+1,1)</f>
        <v>1</v>
      </c>
      <c r="AI26">
        <v>2</v>
      </c>
      <c r="AJ26" s="9">
        <f>'MGR Adjustment'!AK58</f>
        <v>2.75</v>
      </c>
      <c r="AK26" s="9">
        <f>'MGR Adjustment'!AN58</f>
        <v>0.75</v>
      </c>
      <c r="AS26">
        <v>21</v>
      </c>
      <c r="AT26" t="str">
        <f>IFERROR(IF(MATCH(Aircraft!U24,KYAIRPORT,0),"Yes","No"),"")</f>
        <v/>
      </c>
      <c r="AU26" t="b">
        <f>IFERROR(IF(AT26="Yes",VLOOKUP(MATCH(Aircraft!U24,KYAIRPORT,0),KYCOuntyCity,3)),"")</f>
        <v>0</v>
      </c>
      <c r="AV26" s="9" t="str">
        <f t="shared" si="0"/>
        <v/>
      </c>
      <c r="AW26" t="b">
        <f>IFERROR(IF(AT26="Yes",VLOOKUP(MATCH(Aircraft!U24,KYAIRPORT,0),KYCOuntyCity,4)),"")</f>
        <v>0</v>
      </c>
      <c r="AX26" s="9" t="str">
        <f t="shared" si="1"/>
        <v/>
      </c>
      <c r="AY26" s="9">
        <f t="shared" si="6"/>
        <v>1.7999999999999999E-2</v>
      </c>
      <c r="AZ26" s="155">
        <f t="shared" si="7"/>
        <v>0</v>
      </c>
      <c r="BC26">
        <v>22</v>
      </c>
      <c r="BD26" s="387" t="s">
        <v>1921</v>
      </c>
      <c r="BE26" t="s">
        <v>1911</v>
      </c>
      <c r="BF26" t="s">
        <v>1912</v>
      </c>
      <c r="BG26" t="str">
        <f t="shared" si="2"/>
        <v/>
      </c>
      <c r="BH26" t="str">
        <f t="shared" si="3"/>
        <v/>
      </c>
      <c r="BK26">
        <v>22</v>
      </c>
      <c r="BL26" s="157" t="s">
        <v>1922</v>
      </c>
      <c r="BM26" s="159">
        <v>0.05</v>
      </c>
    </row>
    <row r="27" spans="2:65">
      <c r="B27">
        <v>22</v>
      </c>
      <c r="C27" s="10" t="str">
        <f ca="1">IFERROR(IF(Aircraft!C25="","",IF(Aircraft!C25=0,VLOOKUP(Aircraft!P25,SE_p,2),VLOOKUP(Aircraft!P25,INDIRECT(Aircraft!AO25),2))),"")</f>
        <v/>
      </c>
      <c r="D27" s="15" t="str">
        <f>IFERROR(IF(LEFT(Aircraft!AO25,2)="RW",HLOOKUP(IF(Aircraft!AI25&gt;0,Aircraft!AI25,Aircraft!AE25),PistonRWLiabRate,SUM(MATCH(Aircraft!W25,PistonLiabLocMatch,0)+1)),IF(LEFT(Aircraft!AO25,2)="ME",HLOOKUP(IF(Aircraft!AI25&gt;0,Aircraft!AI25,Aircraft!AE25),PistonMELFWLiabRates,SUM(MATCH(Aircraft!W25,PistonLiabLocMatch,0)+1)),HLOOKUP(IF(Aircraft!AI25&gt;0,Aircraft!AI25,Aircraft!AE25),PistonFWLiabRate,SUM(MATCH(Aircraft!W25,PistonLiabLocMatch,0)+1)))),"")</f>
        <v/>
      </c>
      <c r="E27" s="15" t="str">
        <f>IFERROR(IF(Rating!AC31="Yes",0,PRODUCT(VLOOKUP(MATCH(Aircraft!$Y25,MedLimits,0),MedRate,3),Aircraft!$BB25)),"")</f>
        <v/>
      </c>
      <c r="F27" s="9">
        <f t="shared" ca="1" si="4"/>
        <v>1</v>
      </c>
      <c r="G27" s="9">
        <f t="shared" ca="1" si="5"/>
        <v>1</v>
      </c>
      <c r="H27" s="9">
        <f>IF(OR(Rating!$E$2=0,Rating!$E$2=""),1+$AG$14,Rating!$E$2+$AG$14+1)</f>
        <v>1.25</v>
      </c>
      <c r="I27" s="9">
        <f>IF(OR(Rating!$F$2=0,Rating!$F$2=""),1+$AG$14,Rating!$F$2+$AG$14+1)</f>
        <v>1.07</v>
      </c>
      <c r="J27" s="9">
        <f>IF(OR(Rating!$R31=0,Rating!$R31=""),1,Rating!$R31+1)</f>
        <v>1</v>
      </c>
      <c r="K27" s="9">
        <f>IF(OR(Rating!$T31=0,Rating!$T31=""),1,Rating!$T31+1)</f>
        <v>1</v>
      </c>
      <c r="L27" s="13" t="str">
        <f>IF(Aircraft!J25="","",ROUND(PRODUCT(ROUND(ROUND(C27*85%,6)/$E$4,6),G27),6))</f>
        <v/>
      </c>
      <c r="M27" s="15" t="str">
        <f>IF(Aircraft!J25="","",ROUND(PRODUCT(ROUND(ROUND(D27*85%,0)/$E$4,0),F27),0))</f>
        <v/>
      </c>
      <c r="N27" s="13" t="str">
        <f>IF(Aircraft!J25="","",ROUND(PRODUCT(I27,K27,L27),5))</f>
        <v/>
      </c>
      <c r="O27" s="11" t="str">
        <f>IF(Aircraft!J25="","",IFERROR(ROUND(PRODUCT(N27,Aircraft!P25),0),0))</f>
        <v/>
      </c>
      <c r="P27" s="11" t="str">
        <f>IF(Aircraft!J25="","",IFERROR(ROUND(PRODUCT(H27,M27,J27),0),""))</f>
        <v/>
      </c>
      <c r="Q27" s="11" t="str">
        <f>IF(Aircraft!J25="","",IFERROR(ROUND(PRODUCT(ROUND(ROUND(E27*85%,0)/$E$4,0),AC27),0),""))</f>
        <v/>
      </c>
      <c r="S27" t="str">
        <f>IFERROR(IF(VLOOKUP(Aircraft!C25,Aircraftlist,17)="M","Medium",IF(VLOOKUP(Aircraft!C25,Aircraftlist,17)="L","Light",IF(VLOOKUP(Aircraft!C25,Aircraftlist,17)="H","Heavy",""))),"")</f>
        <v/>
      </c>
      <c r="T27" s="9">
        <f ca="1">IFERROR(1+VLOOKUP(MATCH(S27,ACCATCHART,0),INDIRECT(CONCATENATE(Aircraft!AO25,"CATMOD")),5),1)</f>
        <v>1</v>
      </c>
      <c r="U27" s="9">
        <f ca="1">IFERROR(IF(Rating!J31=Worksheet_Com!$AF$11,1,IF(LEFT(Aircraft!C25,2)="RW",1,IF(AND(Aircraft!AO25="SETP",Aircraft!AX25="R"),1+VLOOKUP(MATCH(Aircraft!AY25,ACGearType,0),INDIRECT(CONCATENATE("SE_P","GearMod")),5),1+VLOOKUP(MATCH(Aircraft!AY25,ACGearType,0),INDIRECT(CONCATENATE(Aircraft!AO25,"GearMod")),5)))),1)</f>
        <v>1</v>
      </c>
      <c r="V27" s="9">
        <f ca="1">IFERROR(IF(Rating!J31=Worksheet_Com!$AF$11,1,IF(LEFT(Aircraft!C25,2)="RW",1,IF(AND(Aircraft!AO25="SETP",Aircraft!AX25="R"),1+VLOOKUP(MATCH(Aircraft!AY25,ACGearType,0),INDIRECT(CONCATENATE("SE_P","GearMod")),7),1+VLOOKUP(MATCH(Aircraft!AY25,ACGearType,0),INDIRECT(CONCATENATE(Aircraft!AO25,"GearMod")),7)))),1)</f>
        <v>1</v>
      </c>
      <c r="W27" s="9">
        <f>IFERROR(IF(VLOOKUP(Aircraft!C25,Aircraftlist,19)="",0,VLOOKUP(Aircraft!C25,Aircraftlist,19))+1,1)</f>
        <v>1</v>
      </c>
      <c r="X27" s="9">
        <f>IFERROR(VLOOKUP(Aircraft!C25,Aircraftlist,18)+1,1)</f>
        <v>1</v>
      </c>
      <c r="Y27" s="9">
        <f>IFERROR(1+(VLOOKUP(MATCH(Aircraft!AK25,AWtypes,0),AWCertChart,5)),1)</f>
        <v>1</v>
      </c>
      <c r="Z27" s="9">
        <f ca="1">IFERROR(1+(VLOOKUP(IF(LEFT(Aircraft!$AO25,2)="RW",2,1),INDIRECT(Rating!$J31),2)),1)</f>
        <v>1</v>
      </c>
      <c r="AA27" s="9">
        <f ca="1">IFERROR(1+(VLOOKUP(IF(LEFT(Aircraft!$AO25,2)="RW",2,1),INDIRECT(Rating!$J31),3)),1)</f>
        <v>1</v>
      </c>
      <c r="AB27" s="9">
        <f>IF(OR(Aircraft!S25="N",Aircraft!S25=""),1,'MGR Adjustment'!$AF$23+1)</f>
        <v>1</v>
      </c>
      <c r="AC27" s="9">
        <f>IFERROR(IF(AND(Aircraft!J25&gt;"",OR(Aircraft!P25="",Aircraft!P25=0)),'MGR Adjustment'!$AM$23)+1,1)</f>
        <v>1</v>
      </c>
      <c r="AS27">
        <v>22</v>
      </c>
      <c r="AT27" t="str">
        <f>IFERROR(IF(MATCH(Aircraft!U25,KYAIRPORT,0),"Yes","No"),"")</f>
        <v/>
      </c>
      <c r="AU27" t="b">
        <f>IFERROR(IF(AT27="Yes",VLOOKUP(MATCH(Aircraft!U25,KYAIRPORT,0),KYCOuntyCity,3)),"")</f>
        <v>0</v>
      </c>
      <c r="AV27" s="9" t="str">
        <f t="shared" si="0"/>
        <v/>
      </c>
      <c r="AW27" t="b">
        <f>IFERROR(IF(AT27="Yes",VLOOKUP(MATCH(Aircraft!U25,KYAIRPORT,0),KYCOuntyCity,4)),"")</f>
        <v>0</v>
      </c>
      <c r="AX27" s="9" t="str">
        <f t="shared" si="1"/>
        <v/>
      </c>
      <c r="AY27" s="9">
        <f t="shared" si="6"/>
        <v>1.7999999999999999E-2</v>
      </c>
      <c r="AZ27" s="155">
        <f t="shared" si="7"/>
        <v>0</v>
      </c>
      <c r="BC27">
        <v>23</v>
      </c>
      <c r="BD27" s="387" t="s">
        <v>1923</v>
      </c>
      <c r="BE27" t="s">
        <v>1911</v>
      </c>
      <c r="BF27" t="s">
        <v>1912</v>
      </c>
      <c r="BG27" t="str">
        <f t="shared" si="2"/>
        <v/>
      </c>
      <c r="BH27" t="str">
        <f t="shared" si="3"/>
        <v/>
      </c>
      <c r="BK27">
        <v>23</v>
      </c>
      <c r="BL27" s="157" t="s">
        <v>1924</v>
      </c>
      <c r="BM27" s="159">
        <v>0.1</v>
      </c>
    </row>
    <row r="28" spans="2:65">
      <c r="B28">
        <v>23</v>
      </c>
      <c r="C28" s="10" t="str">
        <f ca="1">IFERROR(IF(Aircraft!C26="","",IF(Aircraft!C26=0,VLOOKUP(Aircraft!P26,SE_p,2),VLOOKUP(Aircraft!P26,INDIRECT(Aircraft!AO26),2))),"")</f>
        <v/>
      </c>
      <c r="D28" s="15" t="str">
        <f>IFERROR(IF(LEFT(Aircraft!AO26,2)="RW",HLOOKUP(IF(Aircraft!AI26&gt;0,Aircraft!AI26,Aircraft!AE26),PistonRWLiabRate,SUM(MATCH(Aircraft!W26,PistonLiabLocMatch,0)+1)),IF(LEFT(Aircraft!AO26,2)="ME",HLOOKUP(IF(Aircraft!AI26&gt;0,Aircraft!AI26,Aircraft!AE26),PistonMELFWLiabRates,SUM(MATCH(Aircraft!W26,PistonLiabLocMatch,0)+1)),HLOOKUP(IF(Aircraft!AI26&gt;0,Aircraft!AI26,Aircraft!AE26),PistonFWLiabRate,SUM(MATCH(Aircraft!W26,PistonLiabLocMatch,0)+1)))),"")</f>
        <v/>
      </c>
      <c r="E28" s="15" t="str">
        <f>IFERROR(IF(Rating!AC32="Yes",0,PRODUCT(VLOOKUP(MATCH(Aircraft!$Y26,MedLimits,0),MedRate,3),Aircraft!$BB26)),"")</f>
        <v/>
      </c>
      <c r="F28" s="9">
        <f t="shared" ca="1" si="4"/>
        <v>1</v>
      </c>
      <c r="G28" s="9">
        <f t="shared" ca="1" si="5"/>
        <v>1</v>
      </c>
      <c r="H28" s="9">
        <f>IF(OR(Rating!$E$2=0,Rating!$E$2=""),1+$AG$14,Rating!$E$2+$AG$14+1)</f>
        <v>1.25</v>
      </c>
      <c r="I28" s="9">
        <f>IF(OR(Rating!$F$2=0,Rating!$F$2=""),1+$AG$14,Rating!$F$2+$AG$14+1)</f>
        <v>1.07</v>
      </c>
      <c r="J28" s="9">
        <f>IF(OR(Rating!$R32=0,Rating!$R32=""),1,Rating!$R32+1)</f>
        <v>1</v>
      </c>
      <c r="K28" s="9">
        <f>IF(OR(Rating!$T32=0,Rating!$T32=""),1,Rating!$T32+1)</f>
        <v>1</v>
      </c>
      <c r="L28" s="13" t="str">
        <f>IF(Aircraft!J26="","",ROUND(PRODUCT(ROUND(ROUND(C28*85%,6)/$E$4,6),G28),6))</f>
        <v/>
      </c>
      <c r="M28" s="15" t="str">
        <f>IF(Aircraft!J26="","",ROUND(PRODUCT(ROUND(ROUND(D28*85%,0)/$E$4,0),F28),0))</f>
        <v/>
      </c>
      <c r="N28" s="13" t="str">
        <f>IF(Aircraft!J26="","",ROUND(PRODUCT(I28,K28,L28),5))</f>
        <v/>
      </c>
      <c r="O28" s="11" t="str">
        <f>IF(Aircraft!J26="","",IFERROR(ROUND(PRODUCT(N28,Aircraft!P26),0),0))</f>
        <v/>
      </c>
      <c r="P28" s="11" t="str">
        <f>IF(Aircraft!J26="","",IFERROR(ROUND(PRODUCT(H28,M28,J28),0),""))</f>
        <v/>
      </c>
      <c r="Q28" s="11" t="str">
        <f>IF(Aircraft!J26="","",IFERROR(ROUND(PRODUCT(ROUND(ROUND(E28*85%,0)/$E$4,0),AC28),0),""))</f>
        <v/>
      </c>
      <c r="S28" t="str">
        <f>IFERROR(IF(VLOOKUP(Aircraft!C26,Aircraftlist,17)="M","Medium",IF(VLOOKUP(Aircraft!C26,Aircraftlist,17)="L","Light",IF(VLOOKUP(Aircraft!C26,Aircraftlist,17)="H","Heavy",""))),"")</f>
        <v/>
      </c>
      <c r="T28" s="9">
        <f ca="1">IFERROR(1+VLOOKUP(MATCH(S28,ACCATCHART,0),INDIRECT(CONCATENATE(Aircraft!AO26,"CATMOD")),5),1)</f>
        <v>1</v>
      </c>
      <c r="U28" s="9">
        <f ca="1">IFERROR(IF(Rating!J32=Worksheet_Com!$AF$11,1,IF(LEFT(Aircraft!C26,2)="RW",1,IF(AND(Aircraft!AO26="SETP",Aircraft!AX26="R"),1+VLOOKUP(MATCH(Aircraft!AY26,ACGearType,0),INDIRECT(CONCATENATE("SE_P","GearMod")),5),1+VLOOKUP(MATCH(Aircraft!AY26,ACGearType,0),INDIRECT(CONCATENATE(Aircraft!AO26,"GearMod")),5)))),1)</f>
        <v>1</v>
      </c>
      <c r="V28" s="9">
        <f ca="1">IFERROR(IF(Rating!J32=Worksheet_Com!$AF$11,1,IF(LEFT(Aircraft!C26,2)="RW",1,IF(AND(Aircraft!AO26="SETP",Aircraft!AX26="R"),1+VLOOKUP(MATCH(Aircraft!AY26,ACGearType,0),INDIRECT(CONCATENATE("SE_P","GearMod")),7),1+VLOOKUP(MATCH(Aircraft!AY26,ACGearType,0),INDIRECT(CONCATENATE(Aircraft!AO26,"GearMod")),7)))),1)</f>
        <v>1</v>
      </c>
      <c r="W28" s="9">
        <f>IFERROR(IF(VLOOKUP(Aircraft!C26,Aircraftlist,19)="",0,VLOOKUP(Aircraft!C26,Aircraftlist,19))+1,1)</f>
        <v>1</v>
      </c>
      <c r="X28" s="9">
        <f>IFERROR(VLOOKUP(Aircraft!C26,Aircraftlist,18)+1,1)</f>
        <v>1</v>
      </c>
      <c r="Y28" s="9">
        <f>IFERROR(1+(VLOOKUP(MATCH(Aircraft!AK26,AWtypes,0),AWCertChart,5)),1)</f>
        <v>1</v>
      </c>
      <c r="Z28" s="9">
        <f ca="1">IFERROR(1+(VLOOKUP(IF(LEFT(Aircraft!$AO26,2)="RW",2,1),INDIRECT(Rating!$J32),2)),1)</f>
        <v>1</v>
      </c>
      <c r="AA28" s="9">
        <f ca="1">IFERROR(1+(VLOOKUP(IF(LEFT(Aircraft!$AO26,2)="RW",2,1),INDIRECT(Rating!$J32),3)),1)</f>
        <v>1</v>
      </c>
      <c r="AB28" s="9">
        <f>IF(OR(Aircraft!S26="N",Aircraft!S26=""),1,'MGR Adjustment'!$AF$23+1)</f>
        <v>1</v>
      </c>
      <c r="AC28" s="9">
        <f>IFERROR(IF(AND(Aircraft!J26&gt;"",OR(Aircraft!P26="",Aircraft!P26=0)),'MGR Adjustment'!$AM$23)+1,1)</f>
        <v>1</v>
      </c>
      <c r="AS28">
        <v>23</v>
      </c>
      <c r="AT28" t="str">
        <f>IFERROR(IF(MATCH(Aircraft!U26,KYAIRPORT,0),"Yes","No"),"")</f>
        <v/>
      </c>
      <c r="AU28" t="b">
        <f>IFERROR(IF(AT28="Yes",VLOOKUP(MATCH(Aircraft!U26,KYAIRPORT,0),KYCOuntyCity,3)),"")</f>
        <v>0</v>
      </c>
      <c r="AV28" s="9" t="str">
        <f t="shared" si="0"/>
        <v/>
      </c>
      <c r="AW28" t="b">
        <f>IFERROR(IF(AT28="Yes",VLOOKUP(MATCH(Aircraft!U26,KYAIRPORT,0),KYCOuntyCity,4)),"")</f>
        <v>0</v>
      </c>
      <c r="AX28" s="9" t="str">
        <f t="shared" si="1"/>
        <v/>
      </c>
      <c r="AY28" s="9">
        <f t="shared" si="6"/>
        <v>1.7999999999999999E-2</v>
      </c>
      <c r="AZ28" s="155">
        <f t="shared" si="7"/>
        <v>0</v>
      </c>
      <c r="BC28">
        <v>24</v>
      </c>
      <c r="BD28" s="387" t="s">
        <v>1925</v>
      </c>
      <c r="BE28" t="s">
        <v>1926</v>
      </c>
      <c r="BF28" t="s">
        <v>1927</v>
      </c>
      <c r="BG28" t="str">
        <f t="shared" si="2"/>
        <v/>
      </c>
      <c r="BH28" t="str">
        <f t="shared" si="3"/>
        <v/>
      </c>
      <c r="BK28">
        <v>24</v>
      </c>
      <c r="BL28" s="157" t="s">
        <v>1928</v>
      </c>
      <c r="BM28" s="159">
        <v>0.05</v>
      </c>
    </row>
    <row r="29" spans="2:65">
      <c r="B29">
        <v>24</v>
      </c>
      <c r="C29" s="10" t="str">
        <f ca="1">IFERROR(IF(Aircraft!C27="","",IF(Aircraft!C27=0,VLOOKUP(Aircraft!P27,SE_p,2),VLOOKUP(Aircraft!P27,INDIRECT(Aircraft!AO27),2))),"")</f>
        <v/>
      </c>
      <c r="D29" s="15" t="str">
        <f>IFERROR(IF(LEFT(Aircraft!AO27,2)="RW",HLOOKUP(IF(Aircraft!AI27&gt;0,Aircraft!AI27,Aircraft!AE27),PistonRWLiabRate,SUM(MATCH(Aircraft!W27,PistonLiabLocMatch,0)+1)),IF(LEFT(Aircraft!AO27,2)="ME",HLOOKUP(IF(Aircraft!AI27&gt;0,Aircraft!AI27,Aircraft!AE27),PistonMELFWLiabRates,SUM(MATCH(Aircraft!W27,PistonLiabLocMatch,0)+1)),HLOOKUP(IF(Aircraft!AI27&gt;0,Aircraft!AI27,Aircraft!AE27),PistonFWLiabRate,SUM(MATCH(Aircraft!W27,PistonLiabLocMatch,0)+1)))),"")</f>
        <v/>
      </c>
      <c r="E29" s="15" t="str">
        <f>IFERROR(IF(Rating!AC33="Yes",0,PRODUCT(VLOOKUP(MATCH(Aircraft!$Y27,MedLimits,0),MedRate,3),Aircraft!$BB27)),"")</f>
        <v/>
      </c>
      <c r="F29" s="9">
        <f t="shared" ca="1" si="4"/>
        <v>1</v>
      </c>
      <c r="G29" s="9">
        <f t="shared" ca="1" si="5"/>
        <v>1</v>
      </c>
      <c r="H29" s="9">
        <f>IF(OR(Rating!$E$2=0,Rating!$E$2=""),1+$AG$14,Rating!$E$2+$AG$14+1)</f>
        <v>1.25</v>
      </c>
      <c r="I29" s="9">
        <f>IF(OR(Rating!$F$2=0,Rating!$F$2=""),1+$AG$14,Rating!$F$2+$AG$14+1)</f>
        <v>1.07</v>
      </c>
      <c r="J29" s="9">
        <f>IF(OR(Rating!$R33=0,Rating!$R33=""),1,Rating!$R33+1)</f>
        <v>1</v>
      </c>
      <c r="K29" s="9">
        <f>IF(OR(Rating!$T33=0,Rating!$T33=""),1,Rating!$T33+1)</f>
        <v>1</v>
      </c>
      <c r="L29" s="13" t="str">
        <f>IF(Aircraft!J27="","",ROUND(PRODUCT(ROUND(ROUND(C29*85%,6)/$E$4,6),G29),6))</f>
        <v/>
      </c>
      <c r="M29" s="15" t="str">
        <f>IF(Aircraft!J27="","",ROUND(PRODUCT(ROUND(ROUND(D29*85%,0)/$E$4,0),F29),0))</f>
        <v/>
      </c>
      <c r="N29" s="13" t="str">
        <f>IF(Aircraft!J27="","",ROUND(PRODUCT(I29,K29,L29),5))</f>
        <v/>
      </c>
      <c r="O29" s="11" t="str">
        <f>IF(Aircraft!J27="","",IFERROR(ROUND(PRODUCT(N29,Aircraft!P27),0),0))</f>
        <v/>
      </c>
      <c r="P29" s="11" t="str">
        <f>IF(Aircraft!J27="","",IFERROR(ROUND(PRODUCT(H29,M29,J29),0),""))</f>
        <v/>
      </c>
      <c r="Q29" s="11" t="str">
        <f>IF(Aircraft!J27="","",IFERROR(ROUND(PRODUCT(ROUND(ROUND(E29*85%,0)/$E$4,0),AC29),0),""))</f>
        <v/>
      </c>
      <c r="S29" t="str">
        <f>IFERROR(IF(VLOOKUP(Aircraft!C27,Aircraftlist,17)="M","Medium",IF(VLOOKUP(Aircraft!C27,Aircraftlist,17)="L","Light",IF(VLOOKUP(Aircraft!C27,Aircraftlist,17)="H","Heavy",""))),"")</f>
        <v/>
      </c>
      <c r="T29" s="9">
        <f ca="1">IFERROR(1+VLOOKUP(MATCH(S29,ACCATCHART,0),INDIRECT(CONCATENATE(Aircraft!AO27,"CATMOD")),5),1)</f>
        <v>1</v>
      </c>
      <c r="U29" s="9">
        <f ca="1">IFERROR(IF(Rating!J33=Worksheet_Com!$AF$11,1,IF(LEFT(Aircraft!C27,2)="RW",1,IF(AND(Aircraft!AO27="SETP",Aircraft!AX27="R"),1+VLOOKUP(MATCH(Aircraft!AY27,ACGearType,0),INDIRECT(CONCATENATE("SE_P","GearMod")),5),1+VLOOKUP(MATCH(Aircraft!AY27,ACGearType,0),INDIRECT(CONCATENATE(Aircraft!AO27,"GearMod")),5)))),1)</f>
        <v>1</v>
      </c>
      <c r="V29" s="9">
        <f ca="1">IFERROR(IF(Rating!J33=Worksheet_Com!$AF$11,1,IF(LEFT(Aircraft!C27,2)="RW",1,IF(AND(Aircraft!AO27="SETP",Aircraft!AX27="R"),1+VLOOKUP(MATCH(Aircraft!AY27,ACGearType,0),INDIRECT(CONCATENATE("SE_P","GearMod")),7),1+VLOOKUP(MATCH(Aircraft!AY27,ACGearType,0),INDIRECT(CONCATENATE(Aircraft!AO27,"GearMod")),7)))),1)</f>
        <v>1</v>
      </c>
      <c r="W29" s="9">
        <f>IFERROR(IF(VLOOKUP(Aircraft!C27,Aircraftlist,19)="",0,VLOOKUP(Aircraft!C27,Aircraftlist,19))+1,1)</f>
        <v>1</v>
      </c>
      <c r="X29" s="9">
        <f>IFERROR(VLOOKUP(Aircraft!C27,Aircraftlist,18)+1,1)</f>
        <v>1</v>
      </c>
      <c r="Y29" s="9">
        <f>IFERROR(1+(VLOOKUP(MATCH(Aircraft!AK27,AWtypes,0),AWCertChart,5)),1)</f>
        <v>1</v>
      </c>
      <c r="Z29" s="9">
        <f ca="1">IFERROR(1+(VLOOKUP(IF(LEFT(Aircraft!$AO27,2)="RW",2,1),INDIRECT(Rating!$J33),2)),1)</f>
        <v>1</v>
      </c>
      <c r="AA29" s="9">
        <f ca="1">IFERROR(1+(VLOOKUP(IF(LEFT(Aircraft!$AO27,2)="RW",2,1),INDIRECT(Rating!$J33),3)),1)</f>
        <v>1</v>
      </c>
      <c r="AB29" s="9">
        <f>IF(OR(Aircraft!S27="N",Aircraft!S27=""),1,'MGR Adjustment'!$AF$23+1)</f>
        <v>1</v>
      </c>
      <c r="AC29" s="9">
        <f>IFERROR(IF(AND(Aircraft!J27&gt;"",OR(Aircraft!P27="",Aircraft!P27=0)),'MGR Adjustment'!$AM$23)+1,1)</f>
        <v>1</v>
      </c>
      <c r="AJ29" t="s">
        <v>1863</v>
      </c>
      <c r="AS29">
        <v>24</v>
      </c>
      <c r="AT29" t="str">
        <f>IFERROR(IF(MATCH(Aircraft!U27,KYAIRPORT,0),"Yes","No"),"")</f>
        <v/>
      </c>
      <c r="AU29" t="b">
        <f>IFERROR(IF(AT29="Yes",VLOOKUP(MATCH(Aircraft!U27,KYAIRPORT,0),KYCOuntyCity,3)),"")</f>
        <v>0</v>
      </c>
      <c r="AV29" s="9" t="str">
        <f t="shared" si="0"/>
        <v/>
      </c>
      <c r="AW29" t="b">
        <f>IFERROR(IF(AT29="Yes",VLOOKUP(MATCH(Aircraft!U27,KYAIRPORT,0),KYCOuntyCity,4)),"")</f>
        <v>0</v>
      </c>
      <c r="AX29" s="9" t="str">
        <f t="shared" si="1"/>
        <v/>
      </c>
      <c r="AY29" s="9">
        <f t="shared" si="6"/>
        <v>1.7999999999999999E-2</v>
      </c>
      <c r="AZ29" s="155">
        <f t="shared" si="7"/>
        <v>0</v>
      </c>
      <c r="BC29">
        <v>25</v>
      </c>
      <c r="BD29" s="387" t="s">
        <v>1929</v>
      </c>
      <c r="BE29" t="s">
        <v>1930</v>
      </c>
      <c r="BF29" t="s">
        <v>1931</v>
      </c>
      <c r="BG29" t="str">
        <f t="shared" si="2"/>
        <v/>
      </c>
      <c r="BH29" t="str">
        <f t="shared" si="3"/>
        <v/>
      </c>
      <c r="BK29">
        <v>25</v>
      </c>
      <c r="BL29" s="157" t="s">
        <v>1932</v>
      </c>
      <c r="BM29" s="159">
        <v>7.4999999999999997E-2</v>
      </c>
    </row>
    <row r="30" spans="2:65">
      <c r="B30">
        <v>25</v>
      </c>
      <c r="C30" s="10" t="str">
        <f ca="1">IFERROR(IF(Aircraft!C28="","",IF(Aircraft!C28=0,VLOOKUP(Aircraft!P28,SE_p,2),VLOOKUP(Aircraft!P28,INDIRECT(Aircraft!AO28),2))),"")</f>
        <v/>
      </c>
      <c r="D30" s="15" t="str">
        <f>IFERROR(IF(LEFT(Aircraft!AO28,2)="RW",HLOOKUP(IF(Aircraft!AI28&gt;0,Aircraft!AI28,Aircraft!AE28),PistonRWLiabRate,SUM(MATCH(Aircraft!W28,PistonLiabLocMatch,0)+1)),IF(LEFT(Aircraft!AO28,2)="ME",HLOOKUP(IF(Aircraft!AI28&gt;0,Aircraft!AI28,Aircraft!AE28),PistonMELFWLiabRates,SUM(MATCH(Aircraft!W28,PistonLiabLocMatch,0)+1)),HLOOKUP(IF(Aircraft!AI28&gt;0,Aircraft!AI28,Aircraft!AE28),PistonFWLiabRate,SUM(MATCH(Aircraft!W28,PistonLiabLocMatch,0)+1)))),"")</f>
        <v/>
      </c>
      <c r="E30" s="15" t="str">
        <f>IFERROR(IF(Rating!AC34="Yes",0,PRODUCT(VLOOKUP(MATCH(Aircraft!$Y28,MedLimits,0),MedRate,3),Aircraft!$BB28)),"")</f>
        <v/>
      </c>
      <c r="F30" s="9">
        <f t="shared" ca="1" si="4"/>
        <v>1</v>
      </c>
      <c r="G30" s="9">
        <f t="shared" ca="1" si="5"/>
        <v>1</v>
      </c>
      <c r="H30" s="9">
        <f>IF(OR(Rating!$E$2=0,Rating!$E$2=""),1+$AG$14,Rating!$E$2+$AG$14+1)</f>
        <v>1.25</v>
      </c>
      <c r="I30" s="9">
        <f>IF(OR(Rating!$F$2=0,Rating!$F$2=""),1+$AG$14,Rating!$F$2+$AG$14+1)</f>
        <v>1.07</v>
      </c>
      <c r="J30" s="9">
        <f>IF(OR(Rating!$R34=0,Rating!$R34=""),1,Rating!$R34+1)</f>
        <v>1</v>
      </c>
      <c r="K30" s="9">
        <f>IF(OR(Rating!$T34=0,Rating!$T34=""),1,Rating!$T34+1)</f>
        <v>1</v>
      </c>
      <c r="L30" s="13" t="str">
        <f>IF(Aircraft!J28="","",ROUND(PRODUCT(ROUND(ROUND(C30*85%,6)/$E$4,6),G30),6))</f>
        <v/>
      </c>
      <c r="M30" s="15" t="str">
        <f>IF(Aircraft!J28="","",ROUND(PRODUCT(ROUND(ROUND(D30*85%,0)/$E$4,0),F30),0))</f>
        <v/>
      </c>
      <c r="N30" s="13" t="str">
        <f>IF(Aircraft!J28="","",ROUND(PRODUCT(I30,K30,L30),5))</f>
        <v/>
      </c>
      <c r="O30" s="11" t="str">
        <f>IF(Aircraft!J28="","",IFERROR(ROUND(PRODUCT(N30,Aircraft!P28),0),0))</f>
        <v/>
      </c>
      <c r="P30" s="11" t="str">
        <f>IF(Aircraft!J28="","",IFERROR(ROUND(PRODUCT(H30,M30,J30),0),""))</f>
        <v/>
      </c>
      <c r="Q30" s="11" t="str">
        <f>IF(Aircraft!J28="","",IFERROR(ROUND(PRODUCT(ROUND(ROUND(E30*85%,0)/$E$4,0),AC30),0),""))</f>
        <v/>
      </c>
      <c r="S30" t="str">
        <f>IFERROR(IF(VLOOKUP(Aircraft!C28,Aircraftlist,17)="M","Medium",IF(VLOOKUP(Aircraft!C28,Aircraftlist,17)="L","Light",IF(VLOOKUP(Aircraft!C28,Aircraftlist,17)="H","Heavy",""))),"")</f>
        <v/>
      </c>
      <c r="T30" s="9">
        <f ca="1">IFERROR(1+VLOOKUP(MATCH(S30,ACCATCHART,0),INDIRECT(CONCATENATE(Aircraft!AO28,"CATMOD")),5),1)</f>
        <v>1</v>
      </c>
      <c r="U30" s="9">
        <f ca="1">IFERROR(IF(Rating!J34=Worksheet_Com!$AF$11,1,IF(LEFT(Aircraft!C28,2)="RW",1,IF(AND(Aircraft!AO28="SETP",Aircraft!AX28="R"),1+VLOOKUP(MATCH(Aircraft!AY28,ACGearType,0),INDIRECT(CONCATENATE("SE_P","GearMod")),5),1+VLOOKUP(MATCH(Aircraft!AY28,ACGearType,0),INDIRECT(CONCATENATE(Aircraft!AO28,"GearMod")),5)))),1)</f>
        <v>1</v>
      </c>
      <c r="V30" s="9">
        <f ca="1">IFERROR(IF(Rating!J34=Worksheet_Com!$AF$11,1,IF(LEFT(Aircraft!C28,2)="RW",1,IF(AND(Aircraft!AO28="SETP",Aircraft!AX28="R"),1+VLOOKUP(MATCH(Aircraft!AY28,ACGearType,0),INDIRECT(CONCATENATE("SE_P","GearMod")),7),1+VLOOKUP(MATCH(Aircraft!AY28,ACGearType,0),INDIRECT(CONCATENATE(Aircraft!AO28,"GearMod")),7)))),1)</f>
        <v>1</v>
      </c>
      <c r="W30" s="9">
        <f>IFERROR(IF(VLOOKUP(Aircraft!C28,Aircraftlist,19)="",0,VLOOKUP(Aircraft!C28,Aircraftlist,19))+1,1)</f>
        <v>1</v>
      </c>
      <c r="X30" s="9">
        <f>IFERROR(VLOOKUP(Aircraft!C28,Aircraftlist,18)+1,1)</f>
        <v>1</v>
      </c>
      <c r="Y30" s="9">
        <f>IFERROR(1+(VLOOKUP(MATCH(Aircraft!AK28,AWtypes,0),AWCertChart,5)),1)</f>
        <v>1</v>
      </c>
      <c r="Z30" s="9">
        <f ca="1">IFERROR(1+(VLOOKUP(IF(LEFT(Aircraft!$AO28,2)="RW",2,1),INDIRECT(Rating!$J34),2)),1)</f>
        <v>1</v>
      </c>
      <c r="AA30" s="9">
        <f ca="1">IFERROR(1+(VLOOKUP(IF(LEFT(Aircraft!$AO28,2)="RW",2,1),INDIRECT(Rating!$J34),3)),1)</f>
        <v>1</v>
      </c>
      <c r="AB30" s="9">
        <f>IF(OR(Aircraft!S28="N",Aircraft!S28=""),1,'MGR Adjustment'!$AF$23+1)</f>
        <v>1</v>
      </c>
      <c r="AC30" s="9">
        <f>IFERROR(IF(AND(Aircraft!J28&gt;"",OR(Aircraft!P28="",Aircraft!P28=0)),'MGR Adjustment'!$AM$23)+1,1)</f>
        <v>1</v>
      </c>
      <c r="AJ30" t="s">
        <v>1916</v>
      </c>
      <c r="AK30" t="s">
        <v>1774</v>
      </c>
      <c r="AS30">
        <v>25</v>
      </c>
      <c r="AT30" t="str">
        <f>IFERROR(IF(MATCH(Aircraft!U28,KYAIRPORT,0),"Yes","No"),"")</f>
        <v/>
      </c>
      <c r="AU30" t="b">
        <f>IFERROR(IF(AT30="Yes",VLOOKUP(MATCH(Aircraft!U28,KYAIRPORT,0),KYCOuntyCity,3)),"")</f>
        <v>0</v>
      </c>
      <c r="AV30" s="9" t="str">
        <f t="shared" si="0"/>
        <v/>
      </c>
      <c r="AW30" t="b">
        <f>IFERROR(IF(AT30="Yes",VLOOKUP(MATCH(Aircraft!U28,KYAIRPORT,0),KYCOuntyCity,4)),"")</f>
        <v>0</v>
      </c>
      <c r="AX30" s="9" t="str">
        <f t="shared" si="1"/>
        <v/>
      </c>
      <c r="AY30" s="9">
        <f t="shared" si="6"/>
        <v>1.7999999999999999E-2</v>
      </c>
      <c r="AZ30" s="155">
        <f t="shared" si="7"/>
        <v>0</v>
      </c>
      <c r="BC30">
        <v>26</v>
      </c>
      <c r="BD30" s="387" t="s">
        <v>1933</v>
      </c>
      <c r="BE30" t="s">
        <v>1934</v>
      </c>
      <c r="BF30" t="s">
        <v>1935</v>
      </c>
      <c r="BG30" t="str">
        <f t="shared" si="2"/>
        <v/>
      </c>
      <c r="BH30" t="str">
        <f t="shared" si="3"/>
        <v/>
      </c>
      <c r="BK30">
        <v>26</v>
      </c>
      <c r="BL30" s="157" t="s">
        <v>1936</v>
      </c>
      <c r="BM30" s="159">
        <v>0.06</v>
      </c>
    </row>
    <row r="31" spans="2:65">
      <c r="B31">
        <v>26</v>
      </c>
      <c r="C31" s="10" t="str">
        <f ca="1">IFERROR(IF(Aircraft!C29="","",IF(Aircraft!C29=0,VLOOKUP(Aircraft!P29,SE_p,2),VLOOKUP(Aircraft!P29,INDIRECT(Aircraft!AO29),2))),"")</f>
        <v/>
      </c>
      <c r="D31" s="15" t="str">
        <f>IFERROR(IF(LEFT(Aircraft!AO29,2)="RW",HLOOKUP(IF(Aircraft!AI29&gt;0,Aircraft!AI29,Aircraft!AE29),PistonRWLiabRate,SUM(MATCH(Aircraft!W29,PistonLiabLocMatch,0)+1)),IF(LEFT(Aircraft!AO29,2)="ME",HLOOKUP(IF(Aircraft!AI29&gt;0,Aircraft!AI29,Aircraft!AE29),PistonMELFWLiabRates,SUM(MATCH(Aircraft!W29,PistonLiabLocMatch,0)+1)),HLOOKUP(IF(Aircraft!AI29&gt;0,Aircraft!AI29,Aircraft!AE29),PistonFWLiabRate,SUM(MATCH(Aircraft!W29,PistonLiabLocMatch,0)+1)))),"")</f>
        <v/>
      </c>
      <c r="E31" s="15" t="str">
        <f>IFERROR(IF(Rating!AC35="Yes",0,PRODUCT(VLOOKUP(MATCH(Aircraft!$Y29,MedLimits,0),MedRate,3),Aircraft!$BB29)),"")</f>
        <v/>
      </c>
      <c r="F31" s="9">
        <f t="shared" ca="1" si="4"/>
        <v>1</v>
      </c>
      <c r="G31" s="9">
        <f t="shared" ca="1" si="5"/>
        <v>1</v>
      </c>
      <c r="H31" s="9">
        <f>IF(OR(Rating!$E$2=0,Rating!$E$2=""),1+$AG$14,Rating!$E$2+$AG$14+1)</f>
        <v>1.25</v>
      </c>
      <c r="I31" s="9">
        <f>IF(OR(Rating!$F$2=0,Rating!$F$2=""),1+$AG$14,Rating!$F$2+$AG$14+1)</f>
        <v>1.07</v>
      </c>
      <c r="J31" s="9">
        <f>IF(OR(Rating!$R35=0,Rating!$R35=""),1,Rating!$R35+1)</f>
        <v>1</v>
      </c>
      <c r="K31" s="9">
        <f>IF(OR(Rating!$T35=0,Rating!$T35=""),1,Rating!$T35+1)</f>
        <v>1</v>
      </c>
      <c r="L31" s="13" t="str">
        <f>IF(Aircraft!J29="","",ROUND(PRODUCT(ROUND(ROUND(C31*85%,6)/$E$4,6),G31),6))</f>
        <v/>
      </c>
      <c r="M31" s="15" t="str">
        <f>IF(Aircraft!J29="","",ROUND(PRODUCT(ROUND(ROUND(D31*85%,0)/$E$4,0),F31),0))</f>
        <v/>
      </c>
      <c r="N31" s="13" t="str">
        <f>IF(Aircraft!J29="","",ROUND(PRODUCT(I31,K31,L31),5))</f>
        <v/>
      </c>
      <c r="O31" s="11" t="str">
        <f>IF(Aircraft!J29="","",IFERROR(ROUND(PRODUCT(N31,Aircraft!P29),0),0))</f>
        <v/>
      </c>
      <c r="P31" s="11" t="str">
        <f>IF(Aircraft!J29="","",IFERROR(ROUND(PRODUCT(H31,M31,J31),0),""))</f>
        <v/>
      </c>
      <c r="Q31" s="11" t="str">
        <f>IF(Aircraft!J29="","",IFERROR(ROUND(PRODUCT(ROUND(ROUND(E31*85%,0)/$E$4,0),AC31),0),""))</f>
        <v/>
      </c>
      <c r="S31" t="str">
        <f>IFERROR(IF(VLOOKUP(Aircraft!C29,Aircraftlist,17)="M","Medium",IF(VLOOKUP(Aircraft!C29,Aircraftlist,17)="L","Light",IF(VLOOKUP(Aircraft!C29,Aircraftlist,17)="H","Heavy",""))),"")</f>
        <v/>
      </c>
      <c r="T31" s="9">
        <f ca="1">IFERROR(1+VLOOKUP(MATCH(S31,ACCATCHART,0),INDIRECT(CONCATENATE(Aircraft!AO29,"CATMOD")),5),1)</f>
        <v>1</v>
      </c>
      <c r="U31" s="9">
        <f ca="1">IFERROR(IF(Rating!J35=Worksheet_Com!$AF$11,1,IF(LEFT(Aircraft!C29,2)="RW",1,IF(AND(Aircraft!AO29="SETP",Aircraft!AX29="R"),1+VLOOKUP(MATCH(Aircraft!AY29,ACGearType,0),INDIRECT(CONCATENATE("SE_P","GearMod")),5),1+VLOOKUP(MATCH(Aircraft!AY29,ACGearType,0),INDIRECT(CONCATENATE(Aircraft!AO29,"GearMod")),5)))),1)</f>
        <v>1</v>
      </c>
      <c r="V31" s="9">
        <f ca="1">IFERROR(IF(Rating!J35=Worksheet_Com!$AF$11,1,IF(LEFT(Aircraft!C29,2)="RW",1,IF(AND(Aircraft!AO29="SETP",Aircraft!AX29="R"),1+VLOOKUP(MATCH(Aircraft!AY29,ACGearType,0),INDIRECT(CONCATENATE("SE_P","GearMod")),7),1+VLOOKUP(MATCH(Aircraft!AY29,ACGearType,0),INDIRECT(CONCATENATE(Aircraft!AO29,"GearMod")),7)))),1)</f>
        <v>1</v>
      </c>
      <c r="W31" s="9">
        <f>IFERROR(IF(VLOOKUP(Aircraft!C29,Aircraftlist,19)="",0,VLOOKUP(Aircraft!C29,Aircraftlist,19))+1,1)</f>
        <v>1</v>
      </c>
      <c r="X31" s="9">
        <f>IFERROR(VLOOKUP(Aircraft!C29,Aircraftlist,18)+1,1)</f>
        <v>1</v>
      </c>
      <c r="Y31" s="9">
        <f>IFERROR(1+(VLOOKUP(MATCH(Aircraft!AK29,AWtypes,0),AWCertChart,5)),1)</f>
        <v>1</v>
      </c>
      <c r="Z31" s="9">
        <f ca="1">IFERROR(1+(VLOOKUP(IF(LEFT(Aircraft!$AO29,2)="RW",2,1),INDIRECT(Rating!$J35),2)),1)</f>
        <v>1</v>
      </c>
      <c r="AA31" s="9">
        <f ca="1">IFERROR(1+(VLOOKUP(IF(LEFT(Aircraft!$AO29,2)="RW",2,1),INDIRECT(Rating!$J35),3)),1)</f>
        <v>1</v>
      </c>
      <c r="AB31" s="9">
        <f>IF(OR(Aircraft!S29="N",Aircraft!S29=""),1,'MGR Adjustment'!$AF$23+1)</f>
        <v>1</v>
      </c>
      <c r="AC31" s="9">
        <f>IFERROR(IF(AND(Aircraft!J29&gt;"",OR(Aircraft!P29="",Aircraft!P29=0)),'MGR Adjustment'!$AM$23)+1,1)</f>
        <v>1</v>
      </c>
      <c r="AI31">
        <v>1</v>
      </c>
      <c r="AJ31" s="9">
        <f>'MGR Adjustment'!G62</f>
        <v>3.25</v>
      </c>
      <c r="AK31" s="9">
        <f>'MGR Adjustment'!J62</f>
        <v>0</v>
      </c>
      <c r="AS31">
        <v>26</v>
      </c>
      <c r="AT31" t="str">
        <f>IFERROR(IF(MATCH(Aircraft!U29,KYAIRPORT,0),"Yes","No"),"")</f>
        <v/>
      </c>
      <c r="AU31" t="b">
        <f>IFERROR(IF(AT31="Yes",VLOOKUP(MATCH(Aircraft!U29,KYAIRPORT,0),KYCOuntyCity,3)),"")</f>
        <v>0</v>
      </c>
      <c r="AV31" s="9" t="str">
        <f t="shared" si="0"/>
        <v/>
      </c>
      <c r="AW31" t="b">
        <f>IFERROR(IF(AT31="Yes",VLOOKUP(MATCH(Aircraft!U29,KYAIRPORT,0),KYCOuntyCity,4)),"")</f>
        <v>0</v>
      </c>
      <c r="AX31" s="9" t="str">
        <f t="shared" si="1"/>
        <v/>
      </c>
      <c r="AY31" s="9">
        <f t="shared" si="6"/>
        <v>1.7999999999999999E-2</v>
      </c>
      <c r="AZ31" s="155">
        <f t="shared" si="7"/>
        <v>0</v>
      </c>
      <c r="BC31">
        <v>27</v>
      </c>
      <c r="BD31" s="387" t="s">
        <v>1937</v>
      </c>
      <c r="BE31" t="s">
        <v>1938</v>
      </c>
      <c r="BF31" t="s">
        <v>1939</v>
      </c>
      <c r="BG31" t="str">
        <f t="shared" si="2"/>
        <v/>
      </c>
      <c r="BH31" t="str">
        <f t="shared" si="3"/>
        <v/>
      </c>
      <c r="BK31">
        <v>27</v>
      </c>
      <c r="BL31" s="158" t="s">
        <v>1940</v>
      </c>
      <c r="BM31" s="159">
        <v>7.4999999999999997E-2</v>
      </c>
    </row>
    <row r="32" spans="2:65">
      <c r="B32">
        <v>27</v>
      </c>
      <c r="C32" s="10" t="str">
        <f ca="1">IFERROR(IF(Aircraft!C30="","",IF(Aircraft!C30=0,VLOOKUP(Aircraft!P30,SE_p,2),VLOOKUP(Aircraft!P30,INDIRECT(Aircraft!AO30),2))),"")</f>
        <v/>
      </c>
      <c r="D32" s="15" t="str">
        <f>IFERROR(IF(LEFT(Aircraft!AO30,2)="RW",HLOOKUP(IF(Aircraft!AI30&gt;0,Aircraft!AI30,Aircraft!AE30),PistonRWLiabRate,SUM(MATCH(Aircraft!W30,PistonLiabLocMatch,0)+1)),IF(LEFT(Aircraft!AO30,2)="ME",HLOOKUP(IF(Aircraft!AI30&gt;0,Aircraft!AI30,Aircraft!AE30),PistonMELFWLiabRates,SUM(MATCH(Aircraft!W30,PistonLiabLocMatch,0)+1)),HLOOKUP(IF(Aircraft!AI30&gt;0,Aircraft!AI30,Aircraft!AE30),PistonFWLiabRate,SUM(MATCH(Aircraft!W30,PistonLiabLocMatch,0)+1)))),"")</f>
        <v/>
      </c>
      <c r="E32" s="15" t="str">
        <f>IFERROR(IF(Rating!AC36="Yes",0,PRODUCT(VLOOKUP(MATCH(Aircraft!$Y30,MedLimits,0),MedRate,3),Aircraft!$BB30)),"")</f>
        <v/>
      </c>
      <c r="F32" s="9">
        <f t="shared" ca="1" si="4"/>
        <v>1</v>
      </c>
      <c r="G32" s="9">
        <f t="shared" ca="1" si="5"/>
        <v>1</v>
      </c>
      <c r="H32" s="9">
        <f>IF(OR(Rating!$E$2=0,Rating!$E$2=""),1+$AG$14,Rating!$E$2+$AG$14+1)</f>
        <v>1.25</v>
      </c>
      <c r="I32" s="9">
        <f>IF(OR(Rating!$F$2=0,Rating!$F$2=""),1+$AG$14,Rating!$F$2+$AG$14+1)</f>
        <v>1.07</v>
      </c>
      <c r="J32" s="9">
        <f>IF(OR(Rating!$R36=0,Rating!$R36=""),1,Rating!$R36+1)</f>
        <v>1</v>
      </c>
      <c r="K32" s="9">
        <f>IF(OR(Rating!$T36=0,Rating!$T36=""),1,Rating!$T36+1)</f>
        <v>1</v>
      </c>
      <c r="L32" s="13" t="str">
        <f>IF(Aircraft!J30="","",ROUND(PRODUCT(ROUND(ROUND(C32*85%,6)/$E$4,6),G32),6))</f>
        <v/>
      </c>
      <c r="M32" s="15" t="str">
        <f>IF(Aircraft!J30="","",ROUND(PRODUCT(ROUND(ROUND(D32*85%,0)/$E$4,0),F32),0))</f>
        <v/>
      </c>
      <c r="N32" s="13" t="str">
        <f>IF(Aircraft!J30="","",ROUND(PRODUCT(I32,K32,L32),5))</f>
        <v/>
      </c>
      <c r="O32" s="11" t="str">
        <f>IF(Aircraft!J30="","",IFERROR(ROUND(PRODUCT(N32,Aircraft!P30),0),0))</f>
        <v/>
      </c>
      <c r="P32" s="11" t="str">
        <f>IF(Aircraft!J30="","",IFERROR(ROUND(PRODUCT(H32,M32,J32),0),""))</f>
        <v/>
      </c>
      <c r="Q32" s="11" t="str">
        <f>IF(Aircraft!J30="","",IFERROR(ROUND(PRODUCT(ROUND(ROUND(E32*85%,0)/$E$4,0),AC32),0),""))</f>
        <v/>
      </c>
      <c r="S32" t="str">
        <f>IFERROR(IF(VLOOKUP(Aircraft!C30,Aircraftlist,17)="M","Medium",IF(VLOOKUP(Aircraft!C30,Aircraftlist,17)="L","Light",IF(VLOOKUP(Aircraft!C30,Aircraftlist,17)="H","Heavy",""))),"")</f>
        <v/>
      </c>
      <c r="T32" s="9">
        <f ca="1">IFERROR(1+VLOOKUP(MATCH(S32,ACCATCHART,0),INDIRECT(CONCATENATE(Aircraft!AO30,"CATMOD")),5),1)</f>
        <v>1</v>
      </c>
      <c r="U32" s="9">
        <f ca="1">IFERROR(IF(Rating!J36=Worksheet_Com!$AF$11,1,IF(LEFT(Aircraft!C30,2)="RW",1,IF(AND(Aircraft!AO30="SETP",Aircraft!AX30="R"),1+VLOOKUP(MATCH(Aircraft!AY30,ACGearType,0),INDIRECT(CONCATENATE("SE_P","GearMod")),5),1+VLOOKUP(MATCH(Aircraft!AY30,ACGearType,0),INDIRECT(CONCATENATE(Aircraft!AO30,"GearMod")),5)))),1)</f>
        <v>1</v>
      </c>
      <c r="V32" s="9">
        <f ca="1">IFERROR(IF(Rating!J36=Worksheet_Com!$AF$11,1,IF(LEFT(Aircraft!C30,2)="RW",1,IF(AND(Aircraft!AO30="SETP",Aircraft!AX30="R"),1+VLOOKUP(MATCH(Aircraft!AY30,ACGearType,0),INDIRECT(CONCATENATE("SE_P","GearMod")),7),1+VLOOKUP(MATCH(Aircraft!AY30,ACGearType,0),INDIRECT(CONCATENATE(Aircraft!AO30,"GearMod")),7)))),1)</f>
        <v>1</v>
      </c>
      <c r="W32" s="9">
        <f>IFERROR(IF(VLOOKUP(Aircraft!C30,Aircraftlist,19)="",0,VLOOKUP(Aircraft!C30,Aircraftlist,19))+1,1)</f>
        <v>1</v>
      </c>
      <c r="X32" s="9">
        <f>IFERROR(VLOOKUP(Aircraft!C30,Aircraftlist,18)+1,1)</f>
        <v>1</v>
      </c>
      <c r="Y32" s="9">
        <f>IFERROR(1+(VLOOKUP(MATCH(Aircraft!AK30,AWtypes,0),AWCertChart,5)),1)</f>
        <v>1</v>
      </c>
      <c r="Z32" s="9">
        <f ca="1">IFERROR(1+(VLOOKUP(IF(LEFT(Aircraft!$AO30,2)="RW",2,1),INDIRECT(Rating!$J36),2)),1)</f>
        <v>1</v>
      </c>
      <c r="AA32" s="9">
        <f ca="1">IFERROR(1+(VLOOKUP(IF(LEFT(Aircraft!$AO30,2)="RW",2,1),INDIRECT(Rating!$J36),3)),1)</f>
        <v>1</v>
      </c>
      <c r="AB32" s="9">
        <f>IF(OR(Aircraft!S30="N",Aircraft!S30=""),1,'MGR Adjustment'!$AF$23+1)</f>
        <v>1</v>
      </c>
      <c r="AC32" s="9">
        <f>IFERROR(IF(AND(Aircraft!J30&gt;"",OR(Aircraft!P30="",Aircraft!P30=0)),'MGR Adjustment'!$AM$23)+1,1)</f>
        <v>1</v>
      </c>
      <c r="AI32">
        <v>2</v>
      </c>
      <c r="AJ32" s="9">
        <f>'MGR Adjustment'!G63</f>
        <v>4.25</v>
      </c>
      <c r="AK32" s="9">
        <f>'MGR Adjustment'!J63</f>
        <v>1</v>
      </c>
      <c r="AS32">
        <v>27</v>
      </c>
      <c r="AT32" t="str">
        <f>IFERROR(IF(MATCH(Aircraft!U30,KYAIRPORT,0),"Yes","No"),"")</f>
        <v/>
      </c>
      <c r="AU32" t="b">
        <f>IFERROR(IF(AT32="Yes",VLOOKUP(MATCH(Aircraft!U30,KYAIRPORT,0),KYCOuntyCity,3)),"")</f>
        <v>0</v>
      </c>
      <c r="AV32" s="9" t="str">
        <f t="shared" si="0"/>
        <v/>
      </c>
      <c r="AW32" t="b">
        <f>IFERROR(IF(AT32="Yes",VLOOKUP(MATCH(Aircraft!U30,KYAIRPORT,0),KYCOuntyCity,4)),"")</f>
        <v>0</v>
      </c>
      <c r="AX32" s="9" t="str">
        <f t="shared" si="1"/>
        <v/>
      </c>
      <c r="AY32" s="9">
        <f t="shared" si="6"/>
        <v>1.7999999999999999E-2</v>
      </c>
      <c r="AZ32" s="155">
        <f t="shared" si="7"/>
        <v>0</v>
      </c>
      <c r="BC32">
        <v>28</v>
      </c>
      <c r="BD32" s="387" t="s">
        <v>1941</v>
      </c>
      <c r="BE32" t="s">
        <v>1942</v>
      </c>
      <c r="BF32" t="s">
        <v>1943</v>
      </c>
      <c r="BG32" t="str">
        <f t="shared" si="2"/>
        <v/>
      </c>
      <c r="BH32" t="str">
        <f t="shared" si="3"/>
        <v/>
      </c>
      <c r="BK32">
        <v>28</v>
      </c>
      <c r="BL32" s="157" t="s">
        <v>1944</v>
      </c>
      <c r="BM32" s="159">
        <v>0.05</v>
      </c>
    </row>
    <row r="33" spans="2:66">
      <c r="B33">
        <v>28</v>
      </c>
      <c r="C33" s="10" t="str">
        <f ca="1">IFERROR(IF(Aircraft!C31="","",IF(Aircraft!C31=0,VLOOKUP(Aircraft!P31,SE_p,2),VLOOKUP(Aircraft!P31,INDIRECT(Aircraft!AO31),2))),"")</f>
        <v/>
      </c>
      <c r="D33" s="15" t="str">
        <f>IFERROR(IF(LEFT(Aircraft!AO31,2)="RW",HLOOKUP(IF(Aircraft!AI31&gt;0,Aircraft!AI31,Aircraft!AE31),PistonRWLiabRate,SUM(MATCH(Aircraft!W31,PistonLiabLocMatch,0)+1)),IF(LEFT(Aircraft!AO31,2)="ME",HLOOKUP(IF(Aircraft!AI31&gt;0,Aircraft!AI31,Aircraft!AE31),PistonMELFWLiabRates,SUM(MATCH(Aircraft!W31,PistonLiabLocMatch,0)+1)),HLOOKUP(IF(Aircraft!AI31&gt;0,Aircraft!AI31,Aircraft!AE31),PistonFWLiabRate,SUM(MATCH(Aircraft!W31,PistonLiabLocMatch,0)+1)))),"")</f>
        <v/>
      </c>
      <c r="E33" s="15" t="str">
        <f>IFERROR(IF(Rating!AC37="Yes",0,PRODUCT(VLOOKUP(MATCH(Aircraft!$Y31,MedLimits,0),MedRate,3),Aircraft!$BB31)),"")</f>
        <v/>
      </c>
      <c r="F33" s="9">
        <f t="shared" ca="1" si="4"/>
        <v>1</v>
      </c>
      <c r="G33" s="9">
        <f t="shared" ca="1" si="5"/>
        <v>1</v>
      </c>
      <c r="H33" s="9">
        <f>IF(OR(Rating!$E$2=0,Rating!$E$2=""),1+$AG$14,Rating!$E$2+$AG$14+1)</f>
        <v>1.25</v>
      </c>
      <c r="I33" s="9">
        <f>IF(OR(Rating!$F$2=0,Rating!$F$2=""),1+$AG$14,Rating!$F$2+$AG$14+1)</f>
        <v>1.07</v>
      </c>
      <c r="J33" s="9">
        <f>IF(OR(Rating!$R37=0,Rating!$R37=""),1,Rating!$R37+1)</f>
        <v>1</v>
      </c>
      <c r="K33" s="9">
        <f>IF(OR(Rating!$T37=0,Rating!$T37=""),1,Rating!$T37+1)</f>
        <v>1</v>
      </c>
      <c r="L33" s="13" t="str">
        <f>IF(Aircraft!J31="","",ROUND(PRODUCT(ROUND(ROUND(C33*85%,6)/$E$4,6),G33),6))</f>
        <v/>
      </c>
      <c r="M33" s="15" t="str">
        <f>IF(Aircraft!J31="","",ROUND(PRODUCT(ROUND(ROUND(D33*85%,0)/$E$4,0),F33),0))</f>
        <v/>
      </c>
      <c r="N33" s="13" t="str">
        <f>IF(Aircraft!J31="","",ROUND(PRODUCT(I33,K33,L33),5))</f>
        <v/>
      </c>
      <c r="O33" s="11" t="str">
        <f>IF(Aircraft!J31="","",IFERROR(ROUND(PRODUCT(N33,Aircraft!P31),0),0))</f>
        <v/>
      </c>
      <c r="P33" s="11" t="str">
        <f>IF(Aircraft!J31="","",IFERROR(ROUND(PRODUCT(H33,M33,J33),0),""))</f>
        <v/>
      </c>
      <c r="Q33" s="11" t="str">
        <f>IF(Aircraft!J31="","",IFERROR(ROUND(PRODUCT(ROUND(ROUND(E33*85%,0)/$E$4,0),AC33),0),""))</f>
        <v/>
      </c>
      <c r="S33" t="str">
        <f>IFERROR(IF(VLOOKUP(Aircraft!C31,Aircraftlist,17)="M","Medium",IF(VLOOKUP(Aircraft!C31,Aircraftlist,17)="L","Light",IF(VLOOKUP(Aircraft!C31,Aircraftlist,17)="H","Heavy",""))),"")</f>
        <v/>
      </c>
      <c r="T33" s="9">
        <f ca="1">IFERROR(1+VLOOKUP(MATCH(S33,ACCATCHART,0),INDIRECT(CONCATENATE(Aircraft!AO31,"CATMOD")),5),1)</f>
        <v>1</v>
      </c>
      <c r="U33" s="9">
        <f ca="1">IFERROR(IF(Rating!J37=Worksheet_Com!$AF$11,1,IF(LEFT(Aircraft!C31,2)="RW",1,IF(AND(Aircraft!AO31="SETP",Aircraft!AX31="R"),1+VLOOKUP(MATCH(Aircraft!AY31,ACGearType,0),INDIRECT(CONCATENATE("SE_P","GearMod")),5),1+VLOOKUP(MATCH(Aircraft!AY31,ACGearType,0),INDIRECT(CONCATENATE(Aircraft!AO31,"GearMod")),5)))),1)</f>
        <v>1</v>
      </c>
      <c r="V33" s="9">
        <f ca="1">IFERROR(IF(Rating!J37=Worksheet_Com!$AF$11,1,IF(LEFT(Aircraft!C31,2)="RW",1,IF(AND(Aircraft!AO31="SETP",Aircraft!AX31="R"),1+VLOOKUP(MATCH(Aircraft!AY31,ACGearType,0),INDIRECT(CONCATENATE("SE_P","GearMod")),7),1+VLOOKUP(MATCH(Aircraft!AY31,ACGearType,0),INDIRECT(CONCATENATE(Aircraft!AO31,"GearMod")),7)))),1)</f>
        <v>1</v>
      </c>
      <c r="W33" s="9">
        <f>IFERROR(IF(VLOOKUP(Aircraft!C31,Aircraftlist,19)="",0,VLOOKUP(Aircraft!C31,Aircraftlist,19))+1,1)</f>
        <v>1</v>
      </c>
      <c r="X33" s="9">
        <f>IFERROR(VLOOKUP(Aircraft!C31,Aircraftlist,18)+1,1)</f>
        <v>1</v>
      </c>
      <c r="Y33" s="9">
        <f>IFERROR(1+(VLOOKUP(MATCH(Aircraft!AK31,AWtypes,0),AWCertChart,5)),1)</f>
        <v>1</v>
      </c>
      <c r="Z33" s="9">
        <f ca="1">IFERROR(1+(VLOOKUP(IF(LEFT(Aircraft!$AO31,2)="RW",2,1),INDIRECT(Rating!$J37),2)),1)</f>
        <v>1</v>
      </c>
      <c r="AA33" s="9">
        <f ca="1">IFERROR(1+(VLOOKUP(IF(LEFT(Aircraft!$AO31,2)="RW",2,1),INDIRECT(Rating!$J37),3)),1)</f>
        <v>1</v>
      </c>
      <c r="AB33" s="9">
        <f>IF(OR(Aircraft!S31="N",Aircraft!S31=""),1,'MGR Adjustment'!$AF$23+1)</f>
        <v>1</v>
      </c>
      <c r="AC33" s="9">
        <f>IFERROR(IF(AND(Aircraft!J31&gt;"",OR(Aircraft!P31="",Aircraft!P31=0)),'MGR Adjustment'!$AM$23)+1,1)</f>
        <v>1</v>
      </c>
      <c r="AS33">
        <v>28</v>
      </c>
      <c r="AT33" t="str">
        <f>IFERROR(IF(MATCH(Aircraft!U31,KYAIRPORT,0),"Yes","No"),"")</f>
        <v/>
      </c>
      <c r="AU33" t="b">
        <f>IFERROR(IF(AT33="Yes",VLOOKUP(MATCH(Aircraft!U31,KYAIRPORT,0),KYCOuntyCity,3)),"")</f>
        <v>0</v>
      </c>
      <c r="AV33" s="9" t="str">
        <f t="shared" si="0"/>
        <v/>
      </c>
      <c r="AW33" t="b">
        <f>IFERROR(IF(AT33="Yes",VLOOKUP(MATCH(Aircraft!U31,KYAIRPORT,0),KYCOuntyCity,4)),"")</f>
        <v>0</v>
      </c>
      <c r="AX33" s="9" t="str">
        <f t="shared" si="1"/>
        <v/>
      </c>
      <c r="AY33" s="9">
        <f t="shared" si="6"/>
        <v>1.7999999999999999E-2</v>
      </c>
      <c r="AZ33" s="155">
        <f t="shared" si="7"/>
        <v>0</v>
      </c>
      <c r="BC33">
        <v>29</v>
      </c>
      <c r="BD33" s="387" t="s">
        <v>1945</v>
      </c>
      <c r="BE33" t="s">
        <v>1946</v>
      </c>
      <c r="BF33" t="s">
        <v>1947</v>
      </c>
      <c r="BG33" t="str">
        <f t="shared" si="2"/>
        <v/>
      </c>
      <c r="BH33" t="str">
        <f t="shared" si="3"/>
        <v/>
      </c>
      <c r="BK33">
        <v>29</v>
      </c>
      <c r="BL33" s="157" t="s">
        <v>1948</v>
      </c>
      <c r="BM33" s="159">
        <v>0.08</v>
      </c>
    </row>
    <row r="34" spans="2:66">
      <c r="B34">
        <v>29</v>
      </c>
      <c r="C34" s="10" t="str">
        <f ca="1">IFERROR(IF(Aircraft!C32="","",IF(Aircraft!C32=0,VLOOKUP(Aircraft!P32,SE_p,2),VLOOKUP(Aircraft!P32,INDIRECT(Aircraft!AO32),2))),"")</f>
        <v/>
      </c>
      <c r="D34" s="15" t="str">
        <f>IFERROR(IF(LEFT(Aircraft!AO32,2)="RW",HLOOKUP(IF(Aircraft!AI32&gt;0,Aircraft!AI32,Aircraft!AE32),PistonRWLiabRate,SUM(MATCH(Aircraft!W32,PistonLiabLocMatch,0)+1)),IF(LEFT(Aircraft!AO32,2)="ME",HLOOKUP(IF(Aircraft!AI32&gt;0,Aircraft!AI32,Aircraft!AE32),PistonMELFWLiabRates,SUM(MATCH(Aircraft!W32,PistonLiabLocMatch,0)+1)),HLOOKUP(IF(Aircraft!AI32&gt;0,Aircraft!AI32,Aircraft!AE32),PistonFWLiabRate,SUM(MATCH(Aircraft!W32,PistonLiabLocMatch,0)+1)))),"")</f>
        <v/>
      </c>
      <c r="E34" s="15" t="str">
        <f>IFERROR(IF(Rating!AC38="Yes",0,PRODUCT(VLOOKUP(MATCH(Aircraft!$Y32,MedLimits,0),MedRate,3),Aircraft!$BB32)),"")</f>
        <v/>
      </c>
      <c r="F34" s="9">
        <f t="shared" ca="1" si="4"/>
        <v>1</v>
      </c>
      <c r="G34" s="9">
        <f t="shared" ca="1" si="5"/>
        <v>1</v>
      </c>
      <c r="H34" s="9">
        <f>IF(OR(Rating!$E$2=0,Rating!$E$2=""),1+$AG$14,Rating!$E$2+$AG$14+1)</f>
        <v>1.25</v>
      </c>
      <c r="I34" s="9">
        <f>IF(OR(Rating!$F$2=0,Rating!$F$2=""),1+$AG$14,Rating!$F$2+$AG$14+1)</f>
        <v>1.07</v>
      </c>
      <c r="J34" s="9">
        <f>IF(OR(Rating!$R38=0,Rating!$R38=""),1,Rating!$R38+1)</f>
        <v>1</v>
      </c>
      <c r="K34" s="9">
        <f>IF(OR(Rating!$T38=0,Rating!$T38=""),1,Rating!$T38+1)</f>
        <v>1</v>
      </c>
      <c r="L34" s="13" t="str">
        <f>IF(Aircraft!J32="","",ROUND(PRODUCT(ROUND(ROUND(C34*85%,6)/$E$4,6),G34),6))</f>
        <v/>
      </c>
      <c r="M34" s="15" t="str">
        <f>IF(Aircraft!J32="","",ROUND(PRODUCT(ROUND(ROUND(D34*85%,0)/$E$4,0),F34),0))</f>
        <v/>
      </c>
      <c r="N34" s="13" t="str">
        <f>IF(Aircraft!J32="","",ROUND(PRODUCT(I34,K34,L34),5))</f>
        <v/>
      </c>
      <c r="O34" s="11" t="str">
        <f>IF(Aircraft!J32="","",IFERROR(ROUND(PRODUCT(N34,Aircraft!P32),0),0))</f>
        <v/>
      </c>
      <c r="P34" s="11" t="str">
        <f>IF(Aircraft!J32="","",IFERROR(ROUND(PRODUCT(H34,M34,J34),0),""))</f>
        <v/>
      </c>
      <c r="Q34" s="11" t="str">
        <f>IF(Aircraft!J32="","",IFERROR(ROUND(PRODUCT(ROUND(ROUND(E34*85%,0)/$E$4,0),AC34),0),""))</f>
        <v/>
      </c>
      <c r="S34" t="str">
        <f>IFERROR(IF(VLOOKUP(Aircraft!C32,Aircraftlist,17)="M","Medium",IF(VLOOKUP(Aircraft!C32,Aircraftlist,17)="L","Light",IF(VLOOKUP(Aircraft!C32,Aircraftlist,17)="H","Heavy",""))),"")</f>
        <v/>
      </c>
      <c r="T34" s="9">
        <f ca="1">IFERROR(1+VLOOKUP(MATCH(S34,ACCATCHART,0),INDIRECT(CONCATENATE(Aircraft!AO32,"CATMOD")),5),1)</f>
        <v>1</v>
      </c>
      <c r="U34" s="9">
        <f ca="1">IFERROR(IF(Rating!J38=Worksheet_Com!$AF$11,1,IF(LEFT(Aircraft!C32,2)="RW",1,IF(AND(Aircraft!AO32="SETP",Aircraft!AX32="R"),1+VLOOKUP(MATCH(Aircraft!AY32,ACGearType,0),INDIRECT(CONCATENATE("SE_P","GearMod")),5),1+VLOOKUP(MATCH(Aircraft!AY32,ACGearType,0),INDIRECT(CONCATENATE(Aircraft!AO32,"GearMod")),5)))),1)</f>
        <v>1</v>
      </c>
      <c r="V34" s="9">
        <f ca="1">IFERROR(IF(Rating!J38=Worksheet_Com!$AF$11,1,IF(LEFT(Aircraft!C32,2)="RW",1,IF(AND(Aircraft!AO32="SETP",Aircraft!AX32="R"),1+VLOOKUP(MATCH(Aircraft!AY32,ACGearType,0),INDIRECT(CONCATENATE("SE_P","GearMod")),7),1+VLOOKUP(MATCH(Aircraft!AY32,ACGearType,0),INDIRECT(CONCATENATE(Aircraft!AO32,"GearMod")),7)))),1)</f>
        <v>1</v>
      </c>
      <c r="W34" s="9">
        <f>IFERROR(IF(VLOOKUP(Aircraft!C32,Aircraftlist,19)="",0,VLOOKUP(Aircraft!C32,Aircraftlist,19))+1,1)</f>
        <v>1</v>
      </c>
      <c r="X34" s="9">
        <f>IFERROR(VLOOKUP(Aircraft!C32,Aircraftlist,18)+1,1)</f>
        <v>1</v>
      </c>
      <c r="Y34" s="9">
        <f>IFERROR(1+(VLOOKUP(MATCH(Aircraft!AK32,AWtypes,0),AWCertChart,5)),1)</f>
        <v>1</v>
      </c>
      <c r="Z34" s="9">
        <f ca="1">IFERROR(1+(VLOOKUP(IF(LEFT(Aircraft!$AO32,2)="RW",2,1),INDIRECT(Rating!$J38),2)),1)</f>
        <v>1</v>
      </c>
      <c r="AA34" s="9">
        <f ca="1">IFERROR(1+(VLOOKUP(IF(LEFT(Aircraft!$AO32,2)="RW",2,1),INDIRECT(Rating!$J38),3)),1)</f>
        <v>1</v>
      </c>
      <c r="AB34" s="9">
        <f>IF(OR(Aircraft!S32="N",Aircraft!S32=""),1,'MGR Adjustment'!$AF$23+1)</f>
        <v>1</v>
      </c>
      <c r="AC34" s="9">
        <f>IFERROR(IF(AND(Aircraft!J32&gt;"",OR(Aircraft!P32="",Aircraft!P32=0)),'MGR Adjustment'!$AM$23)+1,1)</f>
        <v>1</v>
      </c>
      <c r="AS34">
        <v>29</v>
      </c>
      <c r="AT34" t="str">
        <f>IFERROR(IF(MATCH(Aircraft!U32,KYAIRPORT,0),"Yes","No"),"")</f>
        <v/>
      </c>
      <c r="AU34" t="b">
        <f>IFERROR(IF(AT34="Yes",VLOOKUP(MATCH(Aircraft!U32,KYAIRPORT,0),KYCOuntyCity,3)),"")</f>
        <v>0</v>
      </c>
      <c r="AV34" s="9" t="str">
        <f t="shared" si="0"/>
        <v/>
      </c>
      <c r="AW34" t="b">
        <f>IFERROR(IF(AT34="Yes",VLOOKUP(MATCH(Aircraft!U32,KYAIRPORT,0),KYCOuntyCity,4)),"")</f>
        <v>0</v>
      </c>
      <c r="AX34" s="9" t="str">
        <f t="shared" si="1"/>
        <v/>
      </c>
      <c r="AY34" s="9">
        <f t="shared" si="6"/>
        <v>1.7999999999999999E-2</v>
      </c>
      <c r="AZ34" s="155">
        <f t="shared" si="7"/>
        <v>0</v>
      </c>
      <c r="BC34">
        <v>30</v>
      </c>
      <c r="BD34" s="387" t="s">
        <v>1949</v>
      </c>
      <c r="BE34" t="s">
        <v>1946</v>
      </c>
      <c r="BF34" t="s">
        <v>1947</v>
      </c>
      <c r="BG34" t="str">
        <f t="shared" si="2"/>
        <v/>
      </c>
      <c r="BH34" t="str">
        <f t="shared" si="3"/>
        <v/>
      </c>
      <c r="BK34">
        <v>30</v>
      </c>
      <c r="BL34" s="157" t="s">
        <v>1950</v>
      </c>
      <c r="BM34" s="159">
        <v>7.0000000000000007E-2</v>
      </c>
    </row>
    <row r="35" spans="2:66">
      <c r="B35">
        <v>30</v>
      </c>
      <c r="C35" s="10" t="str">
        <f ca="1">IFERROR(IF(Aircraft!C33="","",IF(Aircraft!C33=0,VLOOKUP(Aircraft!P33,SE_p,2),VLOOKUP(Aircraft!P33,INDIRECT(Aircraft!AO33),2))),"")</f>
        <v/>
      </c>
      <c r="D35" s="15" t="str">
        <f>IFERROR(IF(LEFT(Aircraft!AO33,2)="RW",HLOOKUP(IF(Aircraft!AI33&gt;0,Aircraft!AI33,Aircraft!AE33),PistonRWLiabRate,SUM(MATCH(Aircraft!W33,PistonLiabLocMatch,0)+1)),IF(LEFT(Aircraft!AO33,2)="ME",HLOOKUP(IF(Aircraft!AI33&gt;0,Aircraft!AI33,Aircraft!AE33),PistonMELFWLiabRates,SUM(MATCH(Aircraft!W33,PistonLiabLocMatch,0)+1)),HLOOKUP(IF(Aircraft!AI33&gt;0,Aircraft!AI33,Aircraft!AE33),PistonFWLiabRate,SUM(MATCH(Aircraft!W33,PistonLiabLocMatch,0)+1)))),"")</f>
        <v/>
      </c>
      <c r="E35" s="15" t="str">
        <f>IFERROR(IF(Rating!AC39="Yes",0,PRODUCT(VLOOKUP(MATCH(Aircraft!$Y33,MedLimits,0),MedRate,3),Aircraft!$BB33)),"")</f>
        <v/>
      </c>
      <c r="F35" s="9">
        <f t="shared" ca="1" si="4"/>
        <v>1</v>
      </c>
      <c r="G35" s="9">
        <f t="shared" ca="1" si="5"/>
        <v>1</v>
      </c>
      <c r="H35" s="9">
        <f>IF(OR(Rating!$E$2=0,Rating!$E$2=""),1+$AG$14,Rating!$E$2+$AG$14+1)</f>
        <v>1.25</v>
      </c>
      <c r="I35" s="9">
        <f>IF(OR(Rating!$F$2=0,Rating!$F$2=""),1+$AG$14,Rating!$F$2+$AG$14+1)</f>
        <v>1.07</v>
      </c>
      <c r="J35" s="9">
        <f>IF(OR(Rating!$R39=0,Rating!$R39=""),1,Rating!$R39+1)</f>
        <v>1</v>
      </c>
      <c r="K35" s="9">
        <f>IF(OR(Rating!$T39=0,Rating!$T39=""),1,Rating!$T39+1)</f>
        <v>1</v>
      </c>
      <c r="L35" s="13" t="str">
        <f>IF(Aircraft!J33="","",ROUND(PRODUCT(ROUND(ROUND(C35*85%,6)/$E$4,6),G35),6))</f>
        <v/>
      </c>
      <c r="M35" s="15" t="str">
        <f>IF(Aircraft!J33="","",ROUND(PRODUCT(ROUND(ROUND(D35*85%,0)/$E$4,0),F35),0))</f>
        <v/>
      </c>
      <c r="N35" s="13" t="str">
        <f>IF(Aircraft!J33="","",ROUND(PRODUCT(I35,K35,L35),5))</f>
        <v/>
      </c>
      <c r="O35" s="11" t="str">
        <f>IF(Aircraft!J33="","",IFERROR(ROUND(PRODUCT(N35,Aircraft!P33),0),0))</f>
        <v/>
      </c>
      <c r="P35" s="11" t="str">
        <f>IF(Aircraft!J33="","",IFERROR(ROUND(PRODUCT(H35,M35,J35),0),""))</f>
        <v/>
      </c>
      <c r="Q35" s="11" t="str">
        <f>IF(Aircraft!J33="","",IFERROR(ROUND(PRODUCT(ROUND(ROUND(E35*85%,0)/$E$4,0),AC35),0),""))</f>
        <v/>
      </c>
      <c r="S35" t="str">
        <f>IFERROR(IF(VLOOKUP(Aircraft!C33,Aircraftlist,17)="M","Medium",IF(VLOOKUP(Aircraft!C33,Aircraftlist,17)="L","Light",IF(VLOOKUP(Aircraft!C33,Aircraftlist,17)="H","Heavy",""))),"")</f>
        <v/>
      </c>
      <c r="T35" s="9">
        <f ca="1">IFERROR(1+VLOOKUP(MATCH(S35,ACCATCHART,0),INDIRECT(CONCATENATE(Aircraft!AO33,"CATMOD")),5),1)</f>
        <v>1</v>
      </c>
      <c r="U35" s="9">
        <f ca="1">IFERROR(IF(Rating!J39=Worksheet_Com!$AF$11,1,IF(LEFT(Aircraft!C33,2)="RW",1,IF(AND(Aircraft!AO33="SETP",Aircraft!AX33="R"),1+VLOOKUP(MATCH(Aircraft!AY33,ACGearType,0),INDIRECT(CONCATENATE("SE_P","GearMod")),5),1+VLOOKUP(MATCH(Aircraft!AY33,ACGearType,0),INDIRECT(CONCATENATE(Aircraft!AO33,"GearMod")),5)))),1)</f>
        <v>1</v>
      </c>
      <c r="V35" s="9">
        <f ca="1">IFERROR(IF(Rating!J39=Worksheet_Com!$AF$11,1,IF(LEFT(Aircraft!C33,2)="RW",1,IF(AND(Aircraft!AO33="SETP",Aircraft!AX33="R"),1+VLOOKUP(MATCH(Aircraft!AY33,ACGearType,0),INDIRECT(CONCATENATE("SE_P","GearMod")),7),1+VLOOKUP(MATCH(Aircraft!AY33,ACGearType,0),INDIRECT(CONCATENATE(Aircraft!AO33,"GearMod")),7)))),1)</f>
        <v>1</v>
      </c>
      <c r="W35" s="9">
        <f>IFERROR(IF(VLOOKUP(Aircraft!C33,Aircraftlist,19)="",0,VLOOKUP(Aircraft!C33,Aircraftlist,19))+1,1)</f>
        <v>1</v>
      </c>
      <c r="X35" s="9">
        <f>IFERROR(VLOOKUP(Aircraft!C33,Aircraftlist,18)+1,1)</f>
        <v>1</v>
      </c>
      <c r="Y35" s="9">
        <f>IFERROR(1+(VLOOKUP(MATCH(Aircraft!AK33,AWtypes,0),AWCertChart,5)),1)</f>
        <v>1</v>
      </c>
      <c r="Z35" s="9">
        <f ca="1">IFERROR(1+(VLOOKUP(IF(LEFT(Aircraft!$AO33,2)="RW",2,1),INDIRECT(Rating!$J39),2)),1)</f>
        <v>1</v>
      </c>
      <c r="AA35" s="9">
        <f ca="1">IFERROR(1+(VLOOKUP(IF(LEFT(Aircraft!$AO33,2)="RW",2,1),INDIRECT(Rating!$J39),3)),1)</f>
        <v>1</v>
      </c>
      <c r="AB35" s="9">
        <f>IF(OR(Aircraft!S33="N",Aircraft!S33=""),1,'MGR Adjustment'!$AF$23+1)</f>
        <v>1</v>
      </c>
      <c r="AC35" s="9">
        <f>IFERROR(IF(AND(Aircraft!J33&gt;"",OR(Aircraft!P33="",Aircraft!P33=0)),'MGR Adjustment'!$AM$23)+1,1)</f>
        <v>1</v>
      </c>
      <c r="AJ35" s="328" t="s">
        <v>1868</v>
      </c>
      <c r="AS35">
        <v>30</v>
      </c>
      <c r="AT35" t="str">
        <f>IFERROR(IF(MATCH(Aircraft!U33,KYAIRPORT,0),"Yes","No"),"")</f>
        <v/>
      </c>
      <c r="AU35" t="b">
        <f>IFERROR(IF(AT35="Yes",VLOOKUP(MATCH(Aircraft!U33,KYAIRPORT,0),KYCOuntyCity,3)),"")</f>
        <v>0</v>
      </c>
      <c r="AV35" s="9" t="str">
        <f t="shared" si="0"/>
        <v/>
      </c>
      <c r="AW35" t="b">
        <f>IFERROR(IF(AT35="Yes",VLOOKUP(MATCH(Aircraft!U33,KYAIRPORT,0),KYCOuntyCity,4)),"")</f>
        <v>0</v>
      </c>
      <c r="AX35" s="9" t="str">
        <f t="shared" si="1"/>
        <v/>
      </c>
      <c r="AY35" s="9">
        <f t="shared" si="6"/>
        <v>1.7999999999999999E-2</v>
      </c>
      <c r="AZ35" s="155">
        <f t="shared" si="7"/>
        <v>0</v>
      </c>
      <c r="BC35">
        <v>31</v>
      </c>
      <c r="BD35" s="387" t="s">
        <v>1951</v>
      </c>
      <c r="BE35" t="s">
        <v>1946</v>
      </c>
      <c r="BF35" t="s">
        <v>1947</v>
      </c>
      <c r="BG35" t="str">
        <f t="shared" si="2"/>
        <v/>
      </c>
      <c r="BH35" t="str">
        <f t="shared" si="3"/>
        <v/>
      </c>
      <c r="BK35">
        <v>31</v>
      </c>
      <c r="BL35" s="157" t="s">
        <v>1952</v>
      </c>
      <c r="BM35" s="159">
        <v>0.03</v>
      </c>
    </row>
    <row r="36" spans="2:66">
      <c r="B36">
        <v>31</v>
      </c>
      <c r="C36" s="10" t="str">
        <f ca="1">IFERROR(IF(Aircraft!C34="","",IF(Aircraft!C34=0,VLOOKUP(Aircraft!P34,SE_p,2),VLOOKUP(Aircraft!P34,INDIRECT(Aircraft!AO34),2))),"")</f>
        <v/>
      </c>
      <c r="D36" s="15" t="str">
        <f>IFERROR(IF(LEFT(Aircraft!AO34,2)="RW",HLOOKUP(IF(Aircraft!BB34&gt;0,Aircraft!BB34,Aircraft!AE34),PistonRWLiabRate,SUM(MATCH(Aircraft!W34,PistonLiabLocMatch,0)+1)),IF(LEFT(Aircraft!AO34,2)="ME",HLOOKUP(IF(Aircraft!BB34&gt;0,Aircraft!BB34,Aircraft!AE34),PistonMELFWLiabRates,SUM(MATCH(Aircraft!W34,PistonLiabLocMatch,0)+1)),HLOOKUP(IF(Aircraft!BB34&gt;0,Aircraft!BB34,Aircraft!AE34),PistonFWLiabRate,SUM(MATCH(Aircraft!W34,PistonLiabLocMatch,0)+1)))),"")</f>
        <v/>
      </c>
      <c r="E36" s="15" t="str">
        <f>IFERROR(IF(Rating!AC40="Yes",0,PRODUCT(VLOOKUP(MATCH(Aircraft!$Y34,MedLimits,0),MedRate,3),Aircraft!$BB34)),"")</f>
        <v/>
      </c>
      <c r="F36" s="9">
        <f ca="1">ROUND(PRODUCT(T36,U36,W36,Y36,Z36,AC36),2)</f>
        <v>1</v>
      </c>
      <c r="G36" s="9">
        <f ca="1">ROUND(PRODUCT(T36,V36,X36,Y36,AA36,AB36),2)</f>
        <v>1</v>
      </c>
      <c r="H36" s="9">
        <f>IF(OR(Rating!$E$2=0,Rating!$E$2=""),1+$AG$14,Rating!$E$2+$AG$14+1)</f>
        <v>1.25</v>
      </c>
      <c r="I36" s="9">
        <f>IF(OR(Rating!$F$2=0,Rating!$F$2=""),1+$AG$14,Rating!$F$2+$AG$14+1)</f>
        <v>1.07</v>
      </c>
      <c r="J36" s="9">
        <f>IF(OR(Rating!$R40=0,Rating!$R40=""),1,Rating!$R40+1)</f>
        <v>1</v>
      </c>
      <c r="K36" s="9">
        <f>IF(OR(Rating!$T40=0,Rating!$T40=""),1,Rating!$T40+1)</f>
        <v>1</v>
      </c>
      <c r="L36" s="13" t="str">
        <f>IF(Aircraft!J34="","",ROUND(PRODUCT(ROUND(ROUND(C36*85%,6)/$E$4,6),G36),6))</f>
        <v/>
      </c>
      <c r="M36" s="15" t="str">
        <f>IF(Aircraft!J34="","",ROUND(PRODUCT(ROUND(ROUND(D36*85%,0)/$E$4,0),F36),0))</f>
        <v/>
      </c>
      <c r="N36" s="13" t="str">
        <f>IF(Aircraft!J34="","",ROUND(PRODUCT(I36,K36,L36),5))</f>
        <v/>
      </c>
      <c r="O36" s="11" t="str">
        <f>IF(Aircraft!J34="","",IFERROR(ROUND(PRODUCT(N36,Aircraft!P34),0),0))</f>
        <v/>
      </c>
      <c r="P36" s="11" t="str">
        <f>IF(Aircraft!J34="","",IFERROR(ROUND(PRODUCT(H36,M36,J36),0),""))</f>
        <v/>
      </c>
      <c r="Q36" s="11" t="str">
        <f>IF(Aircraft!J34="","",IFERROR(ROUND(PRODUCT(ROUND(ROUND(E36*85%,0)/$E$4,0),AC36),0),""))</f>
        <v/>
      </c>
      <c r="S36" t="str">
        <f>IFERROR(IF(VLOOKUP(Aircraft!C34,Aircraftlist,17)="M","Medium",IF(VLOOKUP(Aircraft!C34,Aircraftlist,17)="L","Light",IF(VLOOKUP(Aircraft!C34,Aircraftlist,17)="H","Heavy",""))),"")</f>
        <v/>
      </c>
      <c r="T36" s="9">
        <f ca="1">IFERROR(1+VLOOKUP(MATCH(S36,ACCATCHART,0),INDIRECT(CONCATENATE(Aircraft!AO34,"CATMOD")),5),1)</f>
        <v>1</v>
      </c>
      <c r="U36" s="9">
        <f ca="1">IFERROR(IF(Rating!J40=Worksheet_Com!$AF$11,1,IF(LEFT(Aircraft!C34,2)="RW",1,IF(AND(Aircraft!AO34="SETP",Aircraft!AX34="R"),1+VLOOKUP(MATCH(Aircraft!AY34,ACGearType,0),INDIRECT(CONCATENATE("SE_P","GearMod")),5),1+VLOOKUP(MATCH(Aircraft!AY34,ACGearType,0),INDIRECT(CONCATENATE(Aircraft!AO34,"GearMod")),5)))),1)</f>
        <v>1</v>
      </c>
      <c r="V36" s="9">
        <f ca="1">IFERROR(IF(Rating!J40=Worksheet_Com!$AF$11,1,IF(LEFT(Aircraft!C34,2)="RW",1,IF(AND(Aircraft!AO34="SETP",Aircraft!AX34="R"),1+VLOOKUP(MATCH(Aircraft!AY34,ACGearType,0),INDIRECT(CONCATENATE("SE_P","GearMod")),7),1+VLOOKUP(MATCH(Aircraft!AY34,ACGearType,0),INDIRECT(CONCATENATE(Aircraft!AO34,"GearMod")),7)))),1)</f>
        <v>1</v>
      </c>
      <c r="W36" s="9">
        <f>IFERROR(IF(VLOOKUP(Aircraft!C34,Aircraftlist,19)="",0,VLOOKUP(Aircraft!C34,Aircraftlist,19))+1,1)</f>
        <v>1</v>
      </c>
      <c r="X36" s="9">
        <f>IFERROR(VLOOKUP(Aircraft!C34,Aircraftlist,18)+1,1)</f>
        <v>1</v>
      </c>
      <c r="Y36" s="9">
        <f>IFERROR(1+(VLOOKUP(MATCH(Aircraft!AK34,AWtypes,0),AWCertChart,5)),1)</f>
        <v>1</v>
      </c>
      <c r="Z36" s="9">
        <f ca="1">IFERROR(1+(VLOOKUP(IF(LEFT(Aircraft!$AO34,2)="RW",2,1),INDIRECT(Rating!$J40),2)),1)</f>
        <v>1</v>
      </c>
      <c r="AA36" s="9">
        <f ca="1">IFERROR(1+(VLOOKUP(IF(LEFT(Aircraft!$AO34,2)="RW",2,1),INDIRECT(Rating!$J40),3)),1)</f>
        <v>1</v>
      </c>
      <c r="AB36" s="9">
        <f>IF(OR(Aircraft!S34="N",Aircraft!S34=""),1,'MGR Adjustment'!$AF$23+1)</f>
        <v>1</v>
      </c>
      <c r="AC36" s="9">
        <f>IFERROR(IF(AND(Aircraft!J34&gt;"",OR(Aircraft!P34="",Aircraft!P34=0)),'MGR Adjustment'!$AM$23)+1,1)</f>
        <v>1</v>
      </c>
      <c r="AI36">
        <v>1</v>
      </c>
      <c r="AJ36" s="9">
        <f>'MGR Adjustment'!Q62</f>
        <v>0</v>
      </c>
      <c r="AK36" s="9">
        <f>'MGR Adjustment'!T62</f>
        <v>0</v>
      </c>
      <c r="AZ36" s="155">
        <f ca="1">SUM(AZ6:AZ35)</f>
        <v>734.2</v>
      </c>
      <c r="BC36">
        <v>32</v>
      </c>
      <c r="BD36" s="387" t="s">
        <v>1953</v>
      </c>
      <c r="BE36" t="s">
        <v>1954</v>
      </c>
      <c r="BF36" t="s">
        <v>1955</v>
      </c>
      <c r="BG36" t="str">
        <f t="shared" si="2"/>
        <v/>
      </c>
      <c r="BH36" t="str">
        <f t="shared" si="3"/>
        <v/>
      </c>
      <c r="BK36">
        <v>32</v>
      </c>
      <c r="BL36" s="158" t="s">
        <v>1956</v>
      </c>
      <c r="BM36" s="159">
        <v>0.08</v>
      </c>
    </row>
    <row r="37" spans="2:66">
      <c r="B37">
        <v>32</v>
      </c>
      <c r="C37" s="10" t="str">
        <f ca="1">IFERROR(IF(Aircraft!C35="","",IF(Aircraft!C35=0,VLOOKUP(Aircraft!P35,SE_p,2),VLOOKUP(Aircraft!P35,INDIRECT(Aircraft!AO35),2))),"")</f>
        <v/>
      </c>
      <c r="D37" s="15" t="str">
        <f>IFERROR(IF(LEFT(Aircraft!AO35,2)="RW",HLOOKUP(IF(Aircraft!AI35&gt;0,Aircraft!AI35,Aircraft!AE35),PistonRWLiabRate,SUM(MATCH(Aircraft!W35,PistonLiabLocMatch,0)+1)),IF(LEFT(Aircraft!AO35,2)="ME",HLOOKUP(IF(Aircraft!AI35&gt;0,Aircraft!AI35,Aircraft!AE35),PistonMELFWLiabRates,SUM(MATCH(Aircraft!W35,PistonLiabLocMatch,0)+1)),HLOOKUP(IF(Aircraft!AI35&gt;0,Aircraft!AI35,Aircraft!AE35),PistonFWLiabRate,SUM(MATCH(Aircraft!W35,PistonLiabLocMatch,0)+1)))),"")</f>
        <v/>
      </c>
      <c r="E37" s="15" t="str">
        <f>IFERROR(IF(Rating!AC41="Yes",0,PRODUCT(VLOOKUP(MATCH(Aircraft!$Y35,MedLimits,0),MedRate,3),Aircraft!$BB35)),"")</f>
        <v/>
      </c>
      <c r="F37" s="9">
        <f t="shared" ref="F37:F65" ca="1" si="8">ROUND(PRODUCT(T37,U37,W37,Y37,Z37,AC37),2)</f>
        <v>1</v>
      </c>
      <c r="G37" s="9">
        <f t="shared" ref="G37:G65" ca="1" si="9">ROUND(PRODUCT(T37,V37,X37,Y37,AA37,AB37),2)</f>
        <v>1</v>
      </c>
      <c r="H37" s="9">
        <f>IF(OR(Rating!$E$2=0,Rating!$E$2=""),1+$AG$14,Rating!$E$2+$AG$14+1)</f>
        <v>1.25</v>
      </c>
      <c r="I37" s="9">
        <f>IF(OR(Rating!$F$2=0,Rating!$F$2=""),1+$AG$14,Rating!$F$2+$AG$14+1)</f>
        <v>1.07</v>
      </c>
      <c r="J37" s="9">
        <f>IF(OR(Rating!$R41=0,Rating!$R41=""),1,Rating!$R41+1)</f>
        <v>1</v>
      </c>
      <c r="K37" s="9">
        <f>IF(OR(Rating!$T41=0,Rating!$T41=""),1,Rating!$T41+1)</f>
        <v>1</v>
      </c>
      <c r="L37" s="13" t="str">
        <f>IF(Aircraft!J35="","",ROUND(PRODUCT(ROUND(ROUND(C37*85%,6)/$E$4,6),G37),6))</f>
        <v/>
      </c>
      <c r="M37" s="15" t="str">
        <f>IF(Aircraft!J35="","",ROUND(PRODUCT(ROUND(ROUND(D37*85%,0)/$E$4,0),F37),0))</f>
        <v/>
      </c>
      <c r="N37" s="13" t="str">
        <f>IF(Aircraft!J35="","",ROUND(PRODUCT(I37,K37,L37),5))</f>
        <v/>
      </c>
      <c r="O37" s="11" t="str">
        <f>IF(Aircraft!J35="","",IFERROR(ROUND(PRODUCT(N37,Aircraft!P35),0),0))</f>
        <v/>
      </c>
      <c r="P37" s="11" t="str">
        <f>IF(Aircraft!J35="","",IFERROR(ROUND(PRODUCT(H37,M37,J37),0),""))</f>
        <v/>
      </c>
      <c r="Q37" s="11" t="str">
        <f>IF(Aircraft!J35="","",IFERROR(ROUND(PRODUCT(ROUND(ROUND(E37*85%,0)/$E$4,0),AC37),0),""))</f>
        <v/>
      </c>
      <c r="S37" t="str">
        <f>IFERROR(IF(VLOOKUP(Aircraft!C35,Aircraftlist,17)="M","Medium",IF(VLOOKUP(Aircraft!C35,Aircraftlist,17)="L","Light",IF(VLOOKUP(Aircraft!C35,Aircraftlist,17)="H","Heavy",""))),"")</f>
        <v/>
      </c>
      <c r="T37" s="9">
        <f ca="1">IFERROR(1+VLOOKUP(MATCH(S37,ACCATCHART,0),INDIRECT(CONCATENATE(Aircraft!AO35,"CATMOD")),5),1)</f>
        <v>1</v>
      </c>
      <c r="U37" s="9">
        <f ca="1">IFERROR(IF(Rating!J41=Worksheet_Com!$AF$11,1,IF(LEFT(Aircraft!C35,2)="RW",1,IF(AND(Aircraft!AO35="SETP",Aircraft!AX35="R"),1+VLOOKUP(MATCH(Aircraft!AY35,ACGearType,0),INDIRECT(CONCATENATE("SE_P","GearMod")),5),1+VLOOKUP(MATCH(Aircraft!AY35,ACGearType,0),INDIRECT(CONCATENATE(Aircraft!AO35,"GearMod")),5)))),1)</f>
        <v>1</v>
      </c>
      <c r="V37" s="9">
        <f ca="1">IFERROR(IF(Rating!J41=Worksheet_Com!$AF$11,1,IF(LEFT(Aircraft!C35,2)="RW",1,IF(AND(Aircraft!AO35="SETP",Aircraft!AX35="R"),1+VLOOKUP(MATCH(Aircraft!AY35,ACGearType,0),INDIRECT(CONCATENATE("SE_P","GearMod")),7),1+VLOOKUP(MATCH(Aircraft!AY35,ACGearType,0),INDIRECT(CONCATENATE(Aircraft!AO35,"GearMod")),7)))),1)</f>
        <v>1</v>
      </c>
      <c r="W37" s="9">
        <f>IFERROR(IF(VLOOKUP(Aircraft!C35,Aircraftlist,19)="",0,VLOOKUP(Aircraft!C35,Aircraftlist,19))+1,1)</f>
        <v>1</v>
      </c>
      <c r="X37" s="9">
        <f>IFERROR(VLOOKUP(Aircraft!C35,Aircraftlist,18)+1,1)</f>
        <v>1</v>
      </c>
      <c r="Y37" s="9">
        <f>IFERROR(1+(VLOOKUP(MATCH(Aircraft!AK35,AWtypes,0),AWCertChart,5)),1)</f>
        <v>1</v>
      </c>
      <c r="Z37" s="9">
        <f ca="1">IFERROR(1+(VLOOKUP(IF(LEFT(Aircraft!$AO35,2)="RW",2,1),INDIRECT(Rating!$J41),2)),1)</f>
        <v>1</v>
      </c>
      <c r="AA37" s="9">
        <f ca="1">IFERROR(1+(VLOOKUP(IF(LEFT(Aircraft!$AO35,2)="RW",2,1),INDIRECT(Rating!$J41),3)),1)</f>
        <v>1</v>
      </c>
      <c r="AB37" s="9">
        <f>IF(OR(Aircraft!S35="N",Aircraft!S35=""),1,'MGR Adjustment'!$AF$23+1)</f>
        <v>1</v>
      </c>
      <c r="AC37" s="9">
        <f>IFERROR(IF(AND(Aircraft!J35&gt;"",OR(Aircraft!P35="",Aircraft!P35=0)),'MGR Adjustment'!$AM$23)+1,1)</f>
        <v>1</v>
      </c>
      <c r="AI37">
        <v>2</v>
      </c>
      <c r="AJ37" s="9">
        <f>'MGR Adjustment'!Q63</f>
        <v>1.5</v>
      </c>
      <c r="AK37" s="9">
        <f>'MGR Adjustment'!T63</f>
        <v>0.25</v>
      </c>
      <c r="BC37">
        <v>33</v>
      </c>
      <c r="BD37" s="387" t="s">
        <v>1957</v>
      </c>
      <c r="BE37" t="s">
        <v>1954</v>
      </c>
      <c r="BF37" t="s">
        <v>1955</v>
      </c>
      <c r="BG37" t="str">
        <f t="shared" si="2"/>
        <v/>
      </c>
      <c r="BH37" t="str">
        <f t="shared" si="3"/>
        <v/>
      </c>
      <c r="BK37">
        <v>33</v>
      </c>
      <c r="BL37" s="157" t="s">
        <v>1958</v>
      </c>
      <c r="BM37" s="159">
        <v>0.05</v>
      </c>
    </row>
    <row r="38" spans="2:66">
      <c r="B38">
        <v>33</v>
      </c>
      <c r="C38" s="10" t="str">
        <f ca="1">IFERROR(IF(Aircraft!C36="","",IF(Aircraft!C36=0,VLOOKUP(Aircraft!P36,SE_p,2),VLOOKUP(Aircraft!P36,INDIRECT(Aircraft!AO36),2))),"")</f>
        <v/>
      </c>
      <c r="D38" s="15" t="str">
        <f>IFERROR(IF(LEFT(Aircraft!AO36,2)="RW",HLOOKUP(IF(Aircraft!AI36&gt;0,Aircraft!AI36,Aircraft!AE36),PistonRWLiabRate,SUM(MATCH(Aircraft!W36,PistonLiabLocMatch,0)+1)),IF(LEFT(Aircraft!AO36,2)="ME",HLOOKUP(IF(Aircraft!AI36&gt;0,Aircraft!AI36,Aircraft!AE36),PistonMELFWLiabRates,SUM(MATCH(Aircraft!W36,PistonLiabLocMatch,0)+1)),HLOOKUP(IF(Aircraft!AI36&gt;0,Aircraft!AI36,Aircraft!AE36),PistonFWLiabRate,SUM(MATCH(Aircraft!W36,PistonLiabLocMatch,0)+1)))),"")</f>
        <v/>
      </c>
      <c r="E38" s="15" t="str">
        <f>IFERROR(IF(Rating!AC42="Yes",0,PRODUCT(VLOOKUP(MATCH(Aircraft!$Y36,MedLimits,0),MedRate,3),Aircraft!$BB36)),"")</f>
        <v/>
      </c>
      <c r="F38" s="9">
        <f t="shared" ca="1" si="8"/>
        <v>1</v>
      </c>
      <c r="G38" s="9">
        <f t="shared" ca="1" si="9"/>
        <v>1</v>
      </c>
      <c r="H38" s="9">
        <f>IF(OR(Rating!$E$2=0,Rating!$E$2=""),1+$AG$14,Rating!$E$2+$AG$14+1)</f>
        <v>1.25</v>
      </c>
      <c r="I38" s="9">
        <f>IF(OR(Rating!$F$2=0,Rating!$F$2=""),1+$AG$14,Rating!$F$2+$AG$14+1)</f>
        <v>1.07</v>
      </c>
      <c r="J38" s="9">
        <f>IF(OR(Rating!$R42=0,Rating!$R42=""),1,Rating!$R42+1)</f>
        <v>1</v>
      </c>
      <c r="K38" s="9">
        <f>IF(OR(Rating!$T42=0,Rating!$T42=""),1,Rating!$T42+1)</f>
        <v>1</v>
      </c>
      <c r="L38" s="13" t="str">
        <f>IF(Aircraft!J36="","",ROUND(PRODUCT(ROUND(ROUND(C38*85%,6)/$E$4,6),G38),6))</f>
        <v/>
      </c>
      <c r="M38" s="15" t="str">
        <f>IF(Aircraft!J36="","",ROUND(PRODUCT(ROUND(ROUND(D38*85%,0)/$E$4,0),F38),0))</f>
        <v/>
      </c>
      <c r="N38" s="13" t="str">
        <f>IF(Aircraft!J36="","",ROUND(PRODUCT(I38,K38,L38),5))</f>
        <v/>
      </c>
      <c r="O38" s="11" t="str">
        <f>IF(Aircraft!J36="","",IFERROR(ROUND(PRODUCT(N38,Aircraft!P36),0),0))</f>
        <v/>
      </c>
      <c r="P38" s="11" t="str">
        <f>IF(Aircraft!J36="","",IFERROR(ROUND(PRODUCT(H38,M38,J38),0),""))</f>
        <v/>
      </c>
      <c r="Q38" s="11" t="str">
        <f>IF(Aircraft!J36="","",IFERROR(ROUND(PRODUCT(ROUND(ROUND(E38*85%,0)/$E$4,0),AC38),0),""))</f>
        <v/>
      </c>
      <c r="S38" t="str">
        <f>IFERROR(IF(VLOOKUP(Aircraft!C36,Aircraftlist,17)="M","Medium",IF(VLOOKUP(Aircraft!C36,Aircraftlist,17)="L","Light",IF(VLOOKUP(Aircraft!C36,Aircraftlist,17)="H","Heavy",""))),"")</f>
        <v/>
      </c>
      <c r="T38" s="9">
        <f ca="1">IFERROR(1+VLOOKUP(MATCH(S38,ACCATCHART,0),INDIRECT(CONCATENATE(Aircraft!AO36,"CATMOD")),5),1)</f>
        <v>1</v>
      </c>
      <c r="U38" s="9">
        <f ca="1">IFERROR(IF(Rating!J42=Worksheet_Com!$AF$11,1,IF(LEFT(Aircraft!C36,2)="RW",1,IF(AND(Aircraft!AO36="SETP",Aircraft!AX36="R"),1+VLOOKUP(MATCH(Aircraft!AY36,ACGearType,0),INDIRECT(CONCATENATE("SE_P","GearMod")),5),1+VLOOKUP(MATCH(Aircraft!AY36,ACGearType,0),INDIRECT(CONCATENATE(Aircraft!AO36,"GearMod")),5)))),1)</f>
        <v>1</v>
      </c>
      <c r="V38" s="9">
        <f ca="1">IFERROR(IF(Rating!J42=Worksheet_Com!$AF$11,1,IF(LEFT(Aircraft!C36,2)="RW",1,IF(AND(Aircraft!AO36="SETP",Aircraft!AX36="R"),1+VLOOKUP(MATCH(Aircraft!AY36,ACGearType,0),INDIRECT(CONCATENATE("SE_P","GearMod")),7),1+VLOOKUP(MATCH(Aircraft!AY36,ACGearType,0),INDIRECT(CONCATENATE(Aircraft!AO36,"GearMod")),7)))),1)</f>
        <v>1</v>
      </c>
      <c r="W38" s="9">
        <f>IFERROR(IF(VLOOKUP(Aircraft!C36,Aircraftlist,19)="",0,VLOOKUP(Aircraft!C36,Aircraftlist,19))+1,1)</f>
        <v>1</v>
      </c>
      <c r="X38" s="9">
        <f>IFERROR(VLOOKUP(Aircraft!C36,Aircraftlist,18)+1,1)</f>
        <v>1</v>
      </c>
      <c r="Y38" s="9">
        <f>IFERROR(1+(VLOOKUP(MATCH(Aircraft!AK36,AWtypes,0),AWCertChart,5)),1)</f>
        <v>1</v>
      </c>
      <c r="Z38" s="9">
        <f ca="1">IFERROR(1+(VLOOKUP(IF(LEFT(Aircraft!$AO36,2)="RW",2,1),INDIRECT(Rating!$J42),2)),1)</f>
        <v>1</v>
      </c>
      <c r="AA38" s="9">
        <f ca="1">IFERROR(1+(VLOOKUP(IF(LEFT(Aircraft!$AO36,2)="RW",2,1),INDIRECT(Rating!$J42),3)),1)</f>
        <v>1</v>
      </c>
      <c r="AB38" s="9">
        <f>IF(OR(Aircraft!S36="N",Aircraft!S36=""),1,'MGR Adjustment'!$AF$23+1)</f>
        <v>1</v>
      </c>
      <c r="AC38" s="9">
        <f>IFERROR(IF(AND(Aircraft!J36&gt;"",OR(Aircraft!P36="",Aircraft!P36=0)),'MGR Adjustment'!$AM$23)+1,1)</f>
        <v>1</v>
      </c>
      <c r="BC38">
        <v>34</v>
      </c>
      <c r="BD38" s="387" t="s">
        <v>1959</v>
      </c>
      <c r="BE38" t="s">
        <v>1960</v>
      </c>
      <c r="BF38" t="s">
        <v>1622</v>
      </c>
      <c r="BG38" t="str">
        <f t="shared" si="2"/>
        <v/>
      </c>
      <c r="BH38" t="str">
        <f t="shared" si="3"/>
        <v/>
      </c>
      <c r="BK38">
        <v>34</v>
      </c>
      <c r="BL38" s="157" t="s">
        <v>1961</v>
      </c>
      <c r="BM38" s="159">
        <v>0.05</v>
      </c>
    </row>
    <row r="39" spans="2:66">
      <c r="B39">
        <v>34</v>
      </c>
      <c r="C39" s="10" t="str">
        <f ca="1">IFERROR(IF(Aircraft!C37="","",IF(Aircraft!C37=0,VLOOKUP(Aircraft!P37,SE_p,2),VLOOKUP(Aircraft!P37,INDIRECT(Aircraft!AO37),2))),"")</f>
        <v/>
      </c>
      <c r="D39" s="15" t="str">
        <f>IFERROR(IF(LEFT(Aircraft!AO37,2)="RW",HLOOKUP(IF(Aircraft!AI37&gt;0,Aircraft!AI37,Aircraft!AE37),PistonRWLiabRate,SUM(MATCH(Aircraft!W37,PistonLiabLocMatch,0)+1)),IF(LEFT(Aircraft!AO37,2)="ME",HLOOKUP(IF(Aircraft!AI37&gt;0,Aircraft!AI37,Aircraft!AE37),PistonMELFWLiabRates,SUM(MATCH(Aircraft!W37,PistonLiabLocMatch,0)+1)),HLOOKUP(IF(Aircraft!AI37&gt;0,Aircraft!AI37,Aircraft!AE37),PistonFWLiabRate,SUM(MATCH(Aircraft!W37,PistonLiabLocMatch,0)+1)))),"")</f>
        <v/>
      </c>
      <c r="E39" s="15" t="str">
        <f>IFERROR(IF(Rating!AC43="Yes",0,PRODUCT(VLOOKUP(MATCH(Aircraft!$Y37,MedLimits,0),MedRate,3),Aircraft!$BB37)),"")</f>
        <v/>
      </c>
      <c r="F39" s="9">
        <f t="shared" ca="1" si="8"/>
        <v>1</v>
      </c>
      <c r="G39" s="9">
        <f t="shared" ca="1" si="9"/>
        <v>1</v>
      </c>
      <c r="H39" s="9">
        <f>IF(OR(Rating!$E$2=0,Rating!$E$2=""),1+$AG$14,Rating!$E$2+$AG$14+1)</f>
        <v>1.25</v>
      </c>
      <c r="I39" s="9">
        <f>IF(OR(Rating!$F$2=0,Rating!$F$2=""),1+$AG$14,Rating!$F$2+$AG$14+1)</f>
        <v>1.07</v>
      </c>
      <c r="J39" s="9">
        <f>IF(OR(Rating!$R43=0,Rating!$R43=""),1,Rating!$R43+1)</f>
        <v>1</v>
      </c>
      <c r="K39" s="9">
        <f>IF(OR(Rating!$T43=0,Rating!$T43=""),1,Rating!$T43+1)</f>
        <v>1</v>
      </c>
      <c r="L39" s="13" t="str">
        <f>IF(Aircraft!J37="","",ROUND(PRODUCT(ROUND(ROUND(C39*85%,6)/$E$4,6),G39),6))</f>
        <v/>
      </c>
      <c r="M39" s="15" t="str">
        <f>IF(Aircraft!J37="","",ROUND(PRODUCT(ROUND(ROUND(D39*85%,0)/$E$4,0),F39),0))</f>
        <v/>
      </c>
      <c r="N39" s="13" t="str">
        <f>IF(Aircraft!J37="","",ROUND(PRODUCT(I39,K39,L39),5))</f>
        <v/>
      </c>
      <c r="O39" s="11" t="str">
        <f>IF(Aircraft!J37="","",IFERROR(ROUND(PRODUCT(N39,Aircraft!P37),0),0))</f>
        <v/>
      </c>
      <c r="P39" s="11" t="str">
        <f>IF(Aircraft!J37="","",IFERROR(ROUND(PRODUCT(H39,M39,J39),0),""))</f>
        <v/>
      </c>
      <c r="Q39" s="11" t="str">
        <f>IF(Aircraft!J37="","",IFERROR(ROUND(PRODUCT(ROUND(ROUND(E39*85%,0)/$E$4,0),AC39),0),""))</f>
        <v/>
      </c>
      <c r="S39" t="str">
        <f>IFERROR(IF(VLOOKUP(Aircraft!C37,Aircraftlist,17)="M","Medium",IF(VLOOKUP(Aircraft!C37,Aircraftlist,17)="L","Light",IF(VLOOKUP(Aircraft!C37,Aircraftlist,17)="H","Heavy",""))),"")</f>
        <v/>
      </c>
      <c r="T39" s="9">
        <f ca="1">IFERROR(1+VLOOKUP(MATCH(S39,ACCATCHART,0),INDIRECT(CONCATENATE(Aircraft!AO37,"CATMOD")),5),1)</f>
        <v>1</v>
      </c>
      <c r="U39" s="9">
        <f ca="1">IFERROR(IF(Rating!J43=Worksheet_Com!$AF$11,1,IF(LEFT(Aircraft!C37,2)="RW",1,IF(AND(Aircraft!AO37="SETP",Aircraft!AX37="R"),1+VLOOKUP(MATCH(Aircraft!AY37,ACGearType,0),INDIRECT(CONCATENATE("SE_P","GearMod")),5),1+VLOOKUP(MATCH(Aircraft!AY37,ACGearType,0),INDIRECT(CONCATENATE(Aircraft!AO37,"GearMod")),5)))),1)</f>
        <v>1</v>
      </c>
      <c r="V39" s="9">
        <f ca="1">IFERROR(IF(Rating!J43=Worksheet_Com!$AF$11,1,IF(LEFT(Aircraft!C37,2)="RW",1,IF(AND(Aircraft!AO37="SETP",Aircraft!AX37="R"),1+VLOOKUP(MATCH(Aircraft!AY37,ACGearType,0),INDIRECT(CONCATENATE("SE_P","GearMod")),7),1+VLOOKUP(MATCH(Aircraft!AY37,ACGearType,0),INDIRECT(CONCATENATE(Aircraft!AO37,"GearMod")),7)))),1)</f>
        <v>1</v>
      </c>
      <c r="W39" s="9">
        <f>IFERROR(IF(VLOOKUP(Aircraft!C37,Aircraftlist,19)="",0,VLOOKUP(Aircraft!C37,Aircraftlist,19))+1,1)</f>
        <v>1</v>
      </c>
      <c r="X39" s="9">
        <f>IFERROR(VLOOKUP(Aircraft!C37,Aircraftlist,18)+1,1)</f>
        <v>1</v>
      </c>
      <c r="Y39" s="9">
        <f>IFERROR(1+(VLOOKUP(MATCH(Aircraft!AK37,AWtypes,0),AWCertChart,5)),1)</f>
        <v>1</v>
      </c>
      <c r="Z39" s="9">
        <f ca="1">IFERROR(1+(VLOOKUP(IF(LEFT(Aircraft!$AO37,2)="RW",2,1),INDIRECT(Rating!$J43),2)),1)</f>
        <v>1</v>
      </c>
      <c r="AA39" s="9">
        <f ca="1">IFERROR(1+(VLOOKUP(IF(LEFT(Aircraft!$AO37,2)="RW",2,1),INDIRECT(Rating!$J43),3)),1)</f>
        <v>1</v>
      </c>
      <c r="AB39" s="9">
        <f>IF(OR(Aircraft!S37="N",Aircraft!S37=""),1,'MGR Adjustment'!$AF$23+1)</f>
        <v>1</v>
      </c>
      <c r="AC39" s="9">
        <f>IFERROR(IF(AND(Aircraft!J37&gt;"",OR(Aircraft!P37="",Aircraft!P37=0)),'MGR Adjustment'!$AM$23)+1,1)</f>
        <v>1</v>
      </c>
      <c r="BC39">
        <v>35</v>
      </c>
      <c r="BD39" s="387" t="s">
        <v>1962</v>
      </c>
      <c r="BE39" t="s">
        <v>1960</v>
      </c>
      <c r="BF39" t="s">
        <v>1622</v>
      </c>
      <c r="BG39" t="str">
        <f t="shared" si="2"/>
        <v/>
      </c>
      <c r="BH39" t="str">
        <f t="shared" si="3"/>
        <v/>
      </c>
      <c r="BK39">
        <v>35</v>
      </c>
      <c r="BL39" s="157" t="s">
        <v>1963</v>
      </c>
      <c r="BM39" s="159">
        <v>0.06</v>
      </c>
    </row>
    <row r="40" spans="2:66">
      <c r="B40">
        <v>35</v>
      </c>
      <c r="C40" s="10" t="str">
        <f ca="1">IFERROR(IF(Aircraft!C38="","",IF(Aircraft!C38=0,VLOOKUP(Aircraft!P38,SE_p,2),VLOOKUP(Aircraft!P38,INDIRECT(Aircraft!AO38),2))),"")</f>
        <v/>
      </c>
      <c r="D40" s="15" t="str">
        <f>IFERROR(IF(LEFT(Aircraft!AO38,2)="RW",HLOOKUP(IF(Aircraft!AI38&gt;0,Aircraft!AI38,Aircraft!AE38),PistonRWLiabRate,SUM(MATCH(Aircraft!W38,PistonLiabLocMatch,0)+1)),IF(LEFT(Aircraft!AO38,2)="ME",HLOOKUP(IF(Aircraft!AI38&gt;0,Aircraft!AI38,Aircraft!AE38),PistonMELFWLiabRates,SUM(MATCH(Aircraft!W38,PistonLiabLocMatch,0)+1)),HLOOKUP(IF(Aircraft!AI38&gt;0,Aircraft!AI38,Aircraft!AE38),PistonFWLiabRate,SUM(MATCH(Aircraft!W38,PistonLiabLocMatch,0)+1)))),"")</f>
        <v/>
      </c>
      <c r="E40" s="15" t="str">
        <f>IFERROR(IF(Rating!AC44="Yes",0,PRODUCT(VLOOKUP(MATCH(Aircraft!$Y38,MedLimits,0),MedRate,3),Aircraft!$BB38)),"")</f>
        <v/>
      </c>
      <c r="F40" s="9">
        <f t="shared" ca="1" si="8"/>
        <v>1</v>
      </c>
      <c r="G40" s="9">
        <f t="shared" ca="1" si="9"/>
        <v>1</v>
      </c>
      <c r="H40" s="9">
        <f>IF(OR(Rating!$E$2=0,Rating!$E$2=""),1+$AG$14,Rating!$E$2+$AG$14+1)</f>
        <v>1.25</v>
      </c>
      <c r="I40" s="9">
        <f>IF(OR(Rating!$F$2=0,Rating!$F$2=""),1+$AG$14,Rating!$F$2+$AG$14+1)</f>
        <v>1.07</v>
      </c>
      <c r="J40" s="9">
        <f>IF(OR(Rating!$R44=0,Rating!$R44=""),1,Rating!$R44+1)</f>
        <v>1</v>
      </c>
      <c r="K40" s="9">
        <f>IF(OR(Rating!$T44=0,Rating!$T44=""),1,Rating!$T44+1)</f>
        <v>1</v>
      </c>
      <c r="L40" s="13" t="str">
        <f>IF(Aircraft!J38="","",ROUND(PRODUCT(ROUND(ROUND(C40*85%,6)/$E$4,6),G40),6))</f>
        <v/>
      </c>
      <c r="M40" s="15" t="str">
        <f>IF(Aircraft!J38="","",ROUND(PRODUCT(ROUND(ROUND(D40*85%,0)/$E$4,0),F40),0))</f>
        <v/>
      </c>
      <c r="N40" s="13" t="str">
        <f>IF(Aircraft!J38="","",ROUND(PRODUCT(I40,K40,L40),5))</f>
        <v/>
      </c>
      <c r="O40" s="11" t="str">
        <f>IF(Aircraft!J38="","",IFERROR(ROUND(PRODUCT(N40,Aircraft!P38),0),0))</f>
        <v/>
      </c>
      <c r="P40" s="11" t="str">
        <f>IF(Aircraft!J38="","",IFERROR(ROUND(PRODUCT(H40,M40,J40),0),""))</f>
        <v/>
      </c>
      <c r="Q40" s="11" t="str">
        <f>IF(Aircraft!J38="","",IFERROR(ROUND(PRODUCT(ROUND(ROUND(E40*85%,0)/$E$4,0),AC40),0),""))</f>
        <v/>
      </c>
      <c r="S40" t="str">
        <f>IFERROR(IF(VLOOKUP(Aircraft!C38,Aircraftlist,17)="M","Medium",IF(VLOOKUP(Aircraft!C38,Aircraftlist,17)="L","Light",IF(VLOOKUP(Aircraft!C38,Aircraftlist,17)="H","Heavy",""))),"")</f>
        <v/>
      </c>
      <c r="T40" s="9">
        <f ca="1">IFERROR(1+VLOOKUP(MATCH(S40,ACCATCHART,0),INDIRECT(CONCATENATE(Aircraft!AO38,"CATMOD")),5),1)</f>
        <v>1</v>
      </c>
      <c r="U40" s="9">
        <f ca="1">IFERROR(IF(Rating!J44=Worksheet_Com!$AF$11,1,IF(LEFT(Aircraft!C38,2)="RW",1,IF(AND(Aircraft!AO38="SETP",Aircraft!AX38="R"),1+VLOOKUP(MATCH(Aircraft!AY38,ACGearType,0),INDIRECT(CONCATENATE("SE_P","GearMod")),5),1+VLOOKUP(MATCH(Aircraft!AY38,ACGearType,0),INDIRECT(CONCATENATE(Aircraft!AO38,"GearMod")),5)))),1)</f>
        <v>1</v>
      </c>
      <c r="V40" s="9">
        <f ca="1">IFERROR(IF(Rating!J44=Worksheet_Com!$AF$11,1,IF(LEFT(Aircraft!C38,2)="RW",1,IF(AND(Aircraft!AO38="SETP",Aircraft!AX38="R"),1+VLOOKUP(MATCH(Aircraft!AY38,ACGearType,0),INDIRECT(CONCATENATE("SE_P","GearMod")),7),1+VLOOKUP(MATCH(Aircraft!AY38,ACGearType,0),INDIRECT(CONCATENATE(Aircraft!AO38,"GearMod")),7)))),1)</f>
        <v>1</v>
      </c>
      <c r="W40" s="9">
        <f>IFERROR(IF(VLOOKUP(Aircraft!C38,Aircraftlist,19)="",0,VLOOKUP(Aircraft!C38,Aircraftlist,19))+1,1)</f>
        <v>1</v>
      </c>
      <c r="X40" s="9">
        <f>IFERROR(VLOOKUP(Aircraft!C38,Aircraftlist,18)+1,1)</f>
        <v>1</v>
      </c>
      <c r="Y40" s="9">
        <f>IFERROR(1+(VLOOKUP(MATCH(Aircraft!AK38,AWtypes,0),AWCertChart,5)),1)</f>
        <v>1</v>
      </c>
      <c r="Z40" s="9">
        <f ca="1">IFERROR(1+(VLOOKUP(IF(LEFT(Aircraft!$AO38,2)="RW",2,1),INDIRECT(Rating!$J44),2)),1)</f>
        <v>1</v>
      </c>
      <c r="AA40" s="9">
        <f ca="1">IFERROR(1+(VLOOKUP(IF(LEFT(Aircraft!$AO38,2)="RW",2,1),INDIRECT(Rating!$J44),3)),1)</f>
        <v>1</v>
      </c>
      <c r="AB40" s="9">
        <f>IF(OR(Aircraft!S38="N",Aircraft!S38=""),1,'MGR Adjustment'!$AF$23+1)</f>
        <v>1</v>
      </c>
      <c r="AC40" s="9">
        <f>IFERROR(IF(AND(Aircraft!J38&gt;"",OR(Aircraft!P38="",Aircraft!P38=0)),'MGR Adjustment'!$AM$23)+1,1)</f>
        <v>1</v>
      </c>
      <c r="BC40">
        <v>36</v>
      </c>
      <c r="BD40" s="387" t="s">
        <v>1964</v>
      </c>
      <c r="BE40" t="s">
        <v>1965</v>
      </c>
      <c r="BF40" t="s">
        <v>1966</v>
      </c>
      <c r="BG40" t="str">
        <f>IFERROR(IF(AU41=FALSE,"",VLOOKUP(MATCH(AU41,KYTAXLOC,0),KYMUNITAXTABLE,3)),"No Tax")</f>
        <v/>
      </c>
      <c r="BH40" t="str">
        <f>IFERROR(IF(AW41=FALSE,"",VLOOKUP(MATCH(AW41,KYTAXLOC,0),KYMUNITAXTABLE,3)),"No Tax")</f>
        <v/>
      </c>
      <c r="BK40">
        <v>36</v>
      </c>
      <c r="BL40" s="157" t="s">
        <v>1967</v>
      </c>
      <c r="BM40" s="159">
        <v>0.05</v>
      </c>
    </row>
    <row r="41" spans="2:66">
      <c r="B41">
        <v>36</v>
      </c>
      <c r="C41" s="10" t="str">
        <f ca="1">IFERROR(IF(Aircraft!C39="","",IF(Aircraft!C39=0,VLOOKUP(Aircraft!P39,SE_p,2),VLOOKUP(Aircraft!P39,INDIRECT(Aircraft!AO39),2))),"")</f>
        <v/>
      </c>
      <c r="D41" s="15" t="str">
        <f>IFERROR(IF(LEFT(Aircraft!AO39,2)="RW",HLOOKUP(IF(Aircraft!AI39&gt;0,Aircraft!AI39,Aircraft!AE39),PistonRWLiabRate,SUM(MATCH(Aircraft!W39,PistonLiabLocMatch,0)+1)),IF(LEFT(Aircraft!AO39,2)="ME",HLOOKUP(IF(Aircraft!AI39&gt;0,Aircraft!AI39,Aircraft!AE39),PistonMELFWLiabRates,SUM(MATCH(Aircraft!W39,PistonLiabLocMatch,0)+1)),HLOOKUP(IF(Aircraft!AI39&gt;0,Aircraft!AI39,Aircraft!AE39),PistonFWLiabRate,SUM(MATCH(Aircraft!W39,PistonLiabLocMatch,0)+1)))),"")</f>
        <v/>
      </c>
      <c r="E41" s="15" t="str">
        <f>IFERROR(IF(Rating!AC45="Yes",0,PRODUCT(VLOOKUP(MATCH(Aircraft!$Y39,MedLimits,0),MedRate,3),Aircraft!$BB39)),"")</f>
        <v/>
      </c>
      <c r="F41" s="9">
        <f t="shared" ca="1" si="8"/>
        <v>1</v>
      </c>
      <c r="G41" s="9">
        <f t="shared" ca="1" si="9"/>
        <v>1</v>
      </c>
      <c r="H41" s="9">
        <f>IF(OR(Rating!$E$2=0,Rating!$E$2=""),1+$AG$14,Rating!$E$2+$AG$14+1)</f>
        <v>1.25</v>
      </c>
      <c r="I41" s="9">
        <f>IF(OR(Rating!$F$2=0,Rating!$F$2=""),1+$AG$14,Rating!$F$2+$AG$14+1)</f>
        <v>1.07</v>
      </c>
      <c r="J41" s="9">
        <f>IF(OR(Rating!$R45=0,Rating!$R45=""),1,Rating!$R45+1)</f>
        <v>1</v>
      </c>
      <c r="K41" s="9">
        <f>IF(OR(Rating!$T45=0,Rating!$T45=""),1,Rating!$T45+1)</f>
        <v>1</v>
      </c>
      <c r="L41" s="13" t="str">
        <f>IF(Aircraft!J39="","",ROUND(PRODUCT(ROUND(ROUND(C41*85%,6)/$E$4,6),G41),6))</f>
        <v/>
      </c>
      <c r="M41" s="15" t="str">
        <f>IF(Aircraft!J39="","",ROUND(PRODUCT(ROUND(ROUND(D41*85%,0)/$E$4,0),F41),0))</f>
        <v/>
      </c>
      <c r="N41" s="13" t="str">
        <f>IF(Aircraft!J39="","",ROUND(PRODUCT(I41,K41,L41),5))</f>
        <v/>
      </c>
      <c r="O41" s="11" t="str">
        <f>IF(Aircraft!J39="","",IFERROR(ROUND(PRODUCT(N41,Aircraft!P39),0),0))</f>
        <v/>
      </c>
      <c r="P41" s="11" t="str">
        <f>IF(Aircraft!J39="","",IFERROR(ROUND(PRODUCT(H41,M41,J41),0),""))</f>
        <v/>
      </c>
      <c r="Q41" s="11" t="str">
        <f>IF(Aircraft!J39="","",IFERROR(ROUND(PRODUCT(ROUND(ROUND(E41*85%,0)/$E$4,0),AC41),0),""))</f>
        <v/>
      </c>
      <c r="S41" t="str">
        <f>IFERROR(IF(VLOOKUP(Aircraft!C39,Aircraftlist,17)="M","Medium",IF(VLOOKUP(Aircraft!C39,Aircraftlist,17)="L","Light",IF(VLOOKUP(Aircraft!C39,Aircraftlist,17)="H","Heavy",""))),"")</f>
        <v/>
      </c>
      <c r="T41" s="9">
        <f ca="1">IFERROR(1+VLOOKUP(MATCH(S41,ACCATCHART,0),INDIRECT(CONCATENATE(Aircraft!AO39,"CATMOD")),5),1)</f>
        <v>1</v>
      </c>
      <c r="U41" s="9">
        <f ca="1">IFERROR(IF(Rating!J45=Worksheet_Com!$AF$11,1,IF(LEFT(Aircraft!C39,2)="RW",1,IF(AND(Aircraft!AO39="SETP",Aircraft!AX39="R"),1+VLOOKUP(MATCH(Aircraft!AY39,ACGearType,0),INDIRECT(CONCATENATE("SE_P","GearMod")),5),1+VLOOKUP(MATCH(Aircraft!AY39,ACGearType,0),INDIRECT(CONCATENATE(Aircraft!AO39,"GearMod")),5)))),1)</f>
        <v>1</v>
      </c>
      <c r="V41" s="9">
        <f ca="1">IFERROR(IF(Rating!J45=Worksheet_Com!$AF$11,1,IF(LEFT(Aircraft!C39,2)="RW",1,IF(AND(Aircraft!AO39="SETP",Aircraft!AX39="R"),1+VLOOKUP(MATCH(Aircraft!AY39,ACGearType,0),INDIRECT(CONCATENATE("SE_P","GearMod")),7),1+VLOOKUP(MATCH(Aircraft!AY39,ACGearType,0),INDIRECT(CONCATENATE(Aircraft!AO39,"GearMod")),7)))),1)</f>
        <v>1</v>
      </c>
      <c r="W41" s="9">
        <f>IFERROR(IF(VLOOKUP(Aircraft!C39,Aircraftlist,19)="",0,VLOOKUP(Aircraft!C39,Aircraftlist,19))+1,1)</f>
        <v>1</v>
      </c>
      <c r="X41" s="9">
        <f>IFERROR(VLOOKUP(Aircraft!C39,Aircraftlist,18)+1,1)</f>
        <v>1</v>
      </c>
      <c r="Y41" s="9">
        <f>IFERROR(1+(VLOOKUP(MATCH(Aircraft!AK39,AWtypes,0),AWCertChart,5)),1)</f>
        <v>1</v>
      </c>
      <c r="Z41" s="9">
        <f ca="1">IFERROR(1+(VLOOKUP(IF(LEFT(Aircraft!$AO39,2)="RW",2,1),INDIRECT(Rating!$J45),2)),1)</f>
        <v>1</v>
      </c>
      <c r="AA41" s="9">
        <f ca="1">IFERROR(1+(VLOOKUP(IF(LEFT(Aircraft!$AO39,2)="RW",2,1),INDIRECT(Rating!$J45),3)),1)</f>
        <v>1</v>
      </c>
      <c r="AB41" s="9">
        <f>IF(OR(Aircraft!S39="N",Aircraft!S39=""),1,'MGR Adjustment'!$AF$23+1)</f>
        <v>1</v>
      </c>
      <c r="AC41" s="9">
        <f>IFERROR(IF(AND(Aircraft!J39&gt;"",OR(Aircraft!P39="",Aircraft!P39=0)),'MGR Adjustment'!$AM$23)+1,1)</f>
        <v>1</v>
      </c>
      <c r="BC41">
        <v>37</v>
      </c>
      <c r="BD41" s="387" t="s">
        <v>1968</v>
      </c>
      <c r="BE41" t="s">
        <v>1969</v>
      </c>
      <c r="BF41" t="s">
        <v>1970</v>
      </c>
      <c r="BG41" t="str">
        <f t="shared" si="2"/>
        <v/>
      </c>
      <c r="BH41" t="str">
        <f t="shared" si="3"/>
        <v/>
      </c>
      <c r="BK41">
        <v>37</v>
      </c>
      <c r="BL41" s="157" t="s">
        <v>1971</v>
      </c>
      <c r="BM41" s="159">
        <v>0.1</v>
      </c>
    </row>
    <row r="42" spans="2:66">
      <c r="B42">
        <v>37</v>
      </c>
      <c r="C42" s="10" t="str">
        <f ca="1">IFERROR(IF(Aircraft!C40="","",IF(Aircraft!C40=0,VLOOKUP(Aircraft!P40,SE_p,2),VLOOKUP(Aircraft!P40,INDIRECT(Aircraft!AO40),2))),"")</f>
        <v/>
      </c>
      <c r="D42" s="15" t="str">
        <f>IFERROR(IF(LEFT(Aircraft!AO40,2)="RW",HLOOKUP(IF(Aircraft!AI40&gt;0,Aircraft!AI40,Aircraft!AE40),PistonRWLiabRate,SUM(MATCH(Aircraft!W40,PistonLiabLocMatch,0)+1)),IF(LEFT(Aircraft!AO40,2)="ME",HLOOKUP(IF(Aircraft!AI40&gt;0,Aircraft!AI40,Aircraft!AE40),PistonMELFWLiabRates,SUM(MATCH(Aircraft!W40,PistonLiabLocMatch,0)+1)),HLOOKUP(IF(Aircraft!AI40&gt;0,Aircraft!AI40,Aircraft!AE40),PistonFWLiabRate,SUM(MATCH(Aircraft!W40,PistonLiabLocMatch,0)+1)))),"")</f>
        <v/>
      </c>
      <c r="E42" s="15" t="str">
        <f>IFERROR(IF(Rating!AC46="Yes",0,PRODUCT(VLOOKUP(MATCH(Aircraft!$Y40,MedLimits,0),MedRate,3),Aircraft!$BB40)),"")</f>
        <v/>
      </c>
      <c r="F42" s="9">
        <f t="shared" ca="1" si="8"/>
        <v>1</v>
      </c>
      <c r="G42" s="9">
        <f t="shared" ca="1" si="9"/>
        <v>1</v>
      </c>
      <c r="H42" s="9">
        <f>IF(OR(Rating!$E$2=0,Rating!$E$2=""),1+$AG$14,Rating!$E$2+$AG$14+1)</f>
        <v>1.25</v>
      </c>
      <c r="I42" s="9">
        <f>IF(OR(Rating!$F$2=0,Rating!$F$2=""),1+$AG$14,Rating!$F$2+$AG$14+1)</f>
        <v>1.07</v>
      </c>
      <c r="J42" s="9">
        <f>IF(OR(Rating!$R46=0,Rating!$R46=""),1,Rating!$R46+1)</f>
        <v>1</v>
      </c>
      <c r="K42" s="9">
        <f>IF(OR(Rating!$T46=0,Rating!$T46=""),1,Rating!$T46+1)</f>
        <v>1</v>
      </c>
      <c r="L42" s="13" t="str">
        <f>IF(Aircraft!J40="","",ROUND(PRODUCT(ROUND(ROUND(C42*85%,6)/$E$4,6),G42),6))</f>
        <v/>
      </c>
      <c r="M42" s="15" t="str">
        <f>IF(Aircraft!J40="","",ROUND(PRODUCT(ROUND(ROUND(D42*85%,0)/$E$4,0),F42),0))</f>
        <v/>
      </c>
      <c r="N42" s="13" t="str">
        <f>IF(Aircraft!J40="","",ROUND(PRODUCT(I42,K42,L42),5))</f>
        <v/>
      </c>
      <c r="O42" s="11" t="str">
        <f>IF(Aircraft!J40="","",IFERROR(ROUND(PRODUCT(N42,Aircraft!P40),0),0))</f>
        <v/>
      </c>
      <c r="P42" s="11" t="str">
        <f>IF(Aircraft!J40="","",IFERROR(ROUND(PRODUCT(H42,M42,J42),0),""))</f>
        <v/>
      </c>
      <c r="Q42" s="11" t="str">
        <f>IF(Aircraft!J40="","",IFERROR(ROUND(PRODUCT(ROUND(ROUND(E42*85%,0)/$E$4,0),AC42),0),""))</f>
        <v/>
      </c>
      <c r="S42" t="str">
        <f>IFERROR(IF(VLOOKUP(Aircraft!C40,Aircraftlist,17)="M","Medium",IF(VLOOKUP(Aircraft!C40,Aircraftlist,17)="L","Light",IF(VLOOKUP(Aircraft!C40,Aircraftlist,17)="H","Heavy",""))),"")</f>
        <v/>
      </c>
      <c r="T42" s="9">
        <f ca="1">IFERROR(1+VLOOKUP(MATCH(S42,ACCATCHART,0),INDIRECT(CONCATENATE(Aircraft!AO40,"CATMOD")),5),1)</f>
        <v>1</v>
      </c>
      <c r="U42" s="9">
        <f ca="1">IFERROR(IF(Rating!J46=Worksheet_Com!$AF$11,1,IF(LEFT(Aircraft!C40,2)="RW",1,IF(AND(Aircraft!AO40="SETP",Aircraft!AX40="R"),1+VLOOKUP(MATCH(Aircraft!AY40,ACGearType,0),INDIRECT(CONCATENATE("SE_P","GearMod")),5),1+VLOOKUP(MATCH(Aircraft!AY40,ACGearType,0),INDIRECT(CONCATENATE(Aircraft!AO40,"GearMod")),5)))),1)</f>
        <v>1</v>
      </c>
      <c r="V42" s="9">
        <f ca="1">IFERROR(IF(Rating!J46=Worksheet_Com!$AF$11,1,IF(LEFT(Aircraft!C40,2)="RW",1,IF(AND(Aircraft!AO40="SETP",Aircraft!AX40="R"),1+VLOOKUP(MATCH(Aircraft!AY40,ACGearType,0),INDIRECT(CONCATENATE("SE_P","GearMod")),7),1+VLOOKUP(MATCH(Aircraft!AY40,ACGearType,0),INDIRECT(CONCATENATE(Aircraft!AO40,"GearMod")),7)))),1)</f>
        <v>1</v>
      </c>
      <c r="W42" s="9">
        <f>IFERROR(IF(VLOOKUP(Aircraft!C40,Aircraftlist,19)="",0,VLOOKUP(Aircraft!C40,Aircraftlist,19))+1,1)</f>
        <v>1</v>
      </c>
      <c r="X42" s="9">
        <f>IFERROR(VLOOKUP(Aircraft!C40,Aircraftlist,18)+1,1)</f>
        <v>1</v>
      </c>
      <c r="Y42" s="9">
        <f>IFERROR(1+(VLOOKUP(MATCH(Aircraft!AK40,AWtypes,0),AWCertChart,5)),1)</f>
        <v>1</v>
      </c>
      <c r="Z42" s="9">
        <f ca="1">IFERROR(1+(VLOOKUP(IF(LEFT(Aircraft!$AO40,2)="RW",2,1),INDIRECT(Rating!$J46),2)),1)</f>
        <v>1</v>
      </c>
      <c r="AA42" s="9">
        <f ca="1">IFERROR(1+(VLOOKUP(IF(LEFT(Aircraft!$AO40,2)="RW",2,1),INDIRECT(Rating!$J46),3)),1)</f>
        <v>1</v>
      </c>
      <c r="AB42" s="9">
        <f>IF(OR(Aircraft!S40="N",Aircraft!S40=""),1,'MGR Adjustment'!$AF$23+1)</f>
        <v>1</v>
      </c>
      <c r="AC42" s="9">
        <f>IFERROR(IF(AND(Aircraft!J40&gt;"",OR(Aircraft!P40="",Aircraft!P40=0)),'MGR Adjustment'!$AM$23)+1,1)</f>
        <v>1</v>
      </c>
      <c r="BC42">
        <v>38</v>
      </c>
      <c r="BD42" s="387" t="s">
        <v>1972</v>
      </c>
      <c r="BE42" t="s">
        <v>1969</v>
      </c>
      <c r="BF42" t="s">
        <v>1970</v>
      </c>
      <c r="BG42" t="str">
        <f t="shared" si="2"/>
        <v/>
      </c>
      <c r="BH42" t="str">
        <f t="shared" si="3"/>
        <v/>
      </c>
      <c r="BK42">
        <v>38</v>
      </c>
      <c r="BL42" s="157" t="s">
        <v>1973</v>
      </c>
      <c r="BM42" s="159">
        <v>7.0000000000000007E-2</v>
      </c>
    </row>
    <row r="43" spans="2:66">
      <c r="B43">
        <v>38</v>
      </c>
      <c r="C43" s="10" t="str">
        <f ca="1">IFERROR(IF(Aircraft!C41="","",IF(Aircraft!C41=0,VLOOKUP(Aircraft!P41,SE_p,2),VLOOKUP(Aircraft!P41,INDIRECT(Aircraft!AO41),2))),"")</f>
        <v/>
      </c>
      <c r="D43" s="15" t="str">
        <f>IFERROR(IF(LEFT(Aircraft!AO41,2)="RW",HLOOKUP(IF(Aircraft!AI41&gt;0,Aircraft!AI41,Aircraft!AE41),PistonRWLiabRate,SUM(MATCH(Aircraft!W41,PistonLiabLocMatch,0)+1)),IF(LEFT(Aircraft!AO41,2)="ME",HLOOKUP(IF(Aircraft!AI41&gt;0,Aircraft!AI41,Aircraft!AE41),PistonMELFWLiabRates,SUM(MATCH(Aircraft!W41,PistonLiabLocMatch,0)+1)),HLOOKUP(IF(Aircraft!AI41&gt;0,Aircraft!AI41,Aircraft!AE41),PistonFWLiabRate,SUM(MATCH(Aircraft!W41,PistonLiabLocMatch,0)+1)))),"")</f>
        <v/>
      </c>
      <c r="E43" s="15" t="str">
        <f>IFERROR(IF(Rating!AC47="Yes",0,PRODUCT(VLOOKUP(MATCH(Aircraft!$Y41,MedLimits,0),MedRate,3),Aircraft!$BB41)),"")</f>
        <v/>
      </c>
      <c r="F43" s="9">
        <f t="shared" ca="1" si="8"/>
        <v>1</v>
      </c>
      <c r="G43" s="9">
        <f t="shared" ca="1" si="9"/>
        <v>1</v>
      </c>
      <c r="H43" s="9">
        <f>IF(OR(Rating!$E$2=0,Rating!$E$2=""),1+$AG$14,Rating!$E$2+$AG$14+1)</f>
        <v>1.25</v>
      </c>
      <c r="I43" s="9">
        <f>IF(OR(Rating!$F$2=0,Rating!$F$2=""),1+$AG$14,Rating!$F$2+$AG$14+1)</f>
        <v>1.07</v>
      </c>
      <c r="J43" s="9">
        <f>IF(OR(Rating!$R47=0,Rating!$R47=""),1,Rating!$R47+1)</f>
        <v>1</v>
      </c>
      <c r="K43" s="9">
        <f>IF(OR(Rating!$T47=0,Rating!$T47=""),1,Rating!$T47+1)</f>
        <v>1</v>
      </c>
      <c r="L43" s="13" t="str">
        <f>IF(Aircraft!J41="","",ROUND(PRODUCT(ROUND(ROUND(C43*85%,6)/$E$4,6),G43),6))</f>
        <v/>
      </c>
      <c r="M43" s="15" t="str">
        <f>IF(Aircraft!J41="","",ROUND(PRODUCT(ROUND(ROUND(D43*85%,0)/$E$4,0),F43),0))</f>
        <v/>
      </c>
      <c r="N43" s="13" t="str">
        <f>IF(Aircraft!J41="","",ROUND(PRODUCT(I43,K43,L43),5))</f>
        <v/>
      </c>
      <c r="O43" s="11" t="str">
        <f>IF(Aircraft!J41="","",IFERROR(ROUND(PRODUCT(N43,Aircraft!P41),0),0))</f>
        <v/>
      </c>
      <c r="P43" s="11" t="str">
        <f>IF(Aircraft!J41="","",IFERROR(ROUND(PRODUCT(H43,M43,J43),0),""))</f>
        <v/>
      </c>
      <c r="Q43" s="11" t="str">
        <f>IF(Aircraft!J41="","",IFERROR(ROUND(PRODUCT(ROUND(ROUND(E43*85%,0)/$E$4,0),AC43),0),""))</f>
        <v/>
      </c>
      <c r="S43" t="str">
        <f>IFERROR(IF(VLOOKUP(Aircraft!C41,Aircraftlist,17)="M","Medium",IF(VLOOKUP(Aircraft!C41,Aircraftlist,17)="L","Light",IF(VLOOKUP(Aircraft!C41,Aircraftlist,17)="H","Heavy",""))),"")</f>
        <v/>
      </c>
      <c r="T43" s="9">
        <f ca="1">IFERROR(1+VLOOKUP(MATCH(S43,ACCATCHART,0),INDIRECT(CONCATENATE(Aircraft!AO41,"CATMOD")),5),1)</f>
        <v>1</v>
      </c>
      <c r="U43" s="9">
        <f ca="1">IFERROR(IF(Rating!J47=Worksheet_Com!$AF$11,1,IF(LEFT(Aircraft!C41,2)="RW",1,IF(AND(Aircraft!AO41="SETP",Aircraft!AX41="R"),1+VLOOKUP(MATCH(Aircraft!AY41,ACGearType,0),INDIRECT(CONCATENATE("SE_P","GearMod")),5),1+VLOOKUP(MATCH(Aircraft!AY41,ACGearType,0),INDIRECT(CONCATENATE(Aircraft!AO41,"GearMod")),5)))),1)</f>
        <v>1</v>
      </c>
      <c r="V43" s="9">
        <f ca="1">IFERROR(IF(Rating!J47=Worksheet_Com!$AF$11,1,IF(LEFT(Aircraft!C41,2)="RW",1,IF(AND(Aircraft!AO41="SETP",Aircraft!AX41="R"),1+VLOOKUP(MATCH(Aircraft!AY41,ACGearType,0),INDIRECT(CONCATENATE("SE_P","GearMod")),7),1+VLOOKUP(MATCH(Aircraft!AY41,ACGearType,0),INDIRECT(CONCATENATE(Aircraft!AO41,"GearMod")),7)))),1)</f>
        <v>1</v>
      </c>
      <c r="W43" s="9">
        <f>IFERROR(IF(VLOOKUP(Aircraft!C41,Aircraftlist,19)="",0,VLOOKUP(Aircraft!C41,Aircraftlist,19))+1,1)</f>
        <v>1</v>
      </c>
      <c r="X43" s="9">
        <f>IFERROR(VLOOKUP(Aircraft!C41,Aircraftlist,18)+1,1)</f>
        <v>1</v>
      </c>
      <c r="Y43" s="9">
        <f>IFERROR(1+(VLOOKUP(MATCH(Aircraft!AK41,AWtypes,0),AWCertChart,5)),1)</f>
        <v>1</v>
      </c>
      <c r="Z43" s="9">
        <f ca="1">IFERROR(1+(VLOOKUP(IF(LEFT(Aircraft!$AO41,2)="RW",2,1),INDIRECT(Rating!$J47),2)),1)</f>
        <v>1</v>
      </c>
      <c r="AA43" s="9">
        <f ca="1">IFERROR(1+(VLOOKUP(IF(LEFT(Aircraft!$AO41,2)="RW",2,1),INDIRECT(Rating!$J47),3)),1)</f>
        <v>1</v>
      </c>
      <c r="AB43" s="9">
        <f>IF(OR(Aircraft!S41="N",Aircraft!S41=""),1,'MGR Adjustment'!$AF$23+1)</f>
        <v>1</v>
      </c>
      <c r="AC43" s="9">
        <f>IFERROR(IF(AND(Aircraft!J41&gt;"",OR(Aircraft!P41="",Aircraft!P41=0)),'MGR Adjustment'!$AM$23)+1,1)</f>
        <v>1</v>
      </c>
      <c r="BC43">
        <v>39</v>
      </c>
      <c r="BD43" s="387" t="s">
        <v>1974</v>
      </c>
      <c r="BE43" t="s">
        <v>1975</v>
      </c>
      <c r="BF43" t="s">
        <v>1976</v>
      </c>
      <c r="BG43" t="str">
        <f>IFERROR(IF(AV44=FALSE,"",VLOOKUP(MATCH(AV44,KYTAXLOC,0),KYMUNITAXTABLE,3)),"No Tax")</f>
        <v/>
      </c>
      <c r="BH43" t="str">
        <f>IFERROR(IF(AX44=FALSE,"",VLOOKUP(MATCH(AX44,KYTAXLOC,0),KYMUNITAXTABLE,3)),"No Tax")</f>
        <v/>
      </c>
      <c r="BK43">
        <v>39</v>
      </c>
      <c r="BL43" s="157" t="s">
        <v>1977</v>
      </c>
      <c r="BM43" s="159">
        <v>0.05</v>
      </c>
    </row>
    <row r="44" spans="2:66">
      <c r="B44">
        <v>39</v>
      </c>
      <c r="C44" s="10" t="str">
        <f ca="1">IFERROR(IF(Aircraft!C42="","",IF(Aircraft!C42=0,VLOOKUP(Aircraft!P42,SE_p,2),VLOOKUP(Aircraft!P42,INDIRECT(Aircraft!AO42),2))),"")</f>
        <v/>
      </c>
      <c r="D44" s="15" t="str">
        <f>IFERROR(IF(LEFT(Aircraft!AO42,2)="RW",HLOOKUP(IF(Aircraft!AI42&gt;0,Aircraft!AI42,Aircraft!AE42),PistonRWLiabRate,SUM(MATCH(Aircraft!W42,PistonLiabLocMatch,0)+1)),IF(LEFT(Aircraft!AO42,2)="ME",HLOOKUP(IF(Aircraft!AI42&gt;0,Aircraft!AI42,Aircraft!AE42),PistonMELFWLiabRates,SUM(MATCH(Aircraft!W42,PistonLiabLocMatch,0)+1)),HLOOKUP(IF(Aircraft!AI42&gt;0,Aircraft!AI42,Aircraft!AE42),PistonFWLiabRate,SUM(MATCH(Aircraft!W42,PistonLiabLocMatch,0)+1)))),"")</f>
        <v/>
      </c>
      <c r="E44" s="15" t="str">
        <f>IFERROR(IF(Rating!AC48="Yes",0,PRODUCT(VLOOKUP(MATCH(Aircraft!$Y42,MedLimits,0),MedRate,3),Aircraft!$BB42)),"")</f>
        <v/>
      </c>
      <c r="F44" s="9">
        <f t="shared" ca="1" si="8"/>
        <v>1</v>
      </c>
      <c r="G44" s="9">
        <f t="shared" ca="1" si="9"/>
        <v>1</v>
      </c>
      <c r="H44" s="9">
        <f>IF(OR(Rating!$E$2=0,Rating!$E$2=""),1+$AG$14,Rating!$E$2+$AG$14+1)</f>
        <v>1.25</v>
      </c>
      <c r="I44" s="9">
        <f>IF(OR(Rating!$F$2=0,Rating!$F$2=""),1+$AG$14,Rating!$F$2+$AG$14+1)</f>
        <v>1.07</v>
      </c>
      <c r="J44" s="9">
        <f>IF(OR(Rating!$R48=0,Rating!$R48=""),1,Rating!$R48+1)</f>
        <v>1</v>
      </c>
      <c r="K44" s="9">
        <f>IF(OR(Rating!$T48=0,Rating!$T48=""),1,Rating!$T48+1)</f>
        <v>1</v>
      </c>
      <c r="L44" s="13" t="str">
        <f>IF(Aircraft!J42="","",ROUND(PRODUCT(ROUND(ROUND(C44*85%,6)/$E$4,6),G44),6))</f>
        <v/>
      </c>
      <c r="M44" s="15" t="str">
        <f>IF(Aircraft!J42="","",ROUND(PRODUCT(ROUND(ROUND(D44*85%,0)/$E$4,0),F44),0))</f>
        <v/>
      </c>
      <c r="N44" s="13" t="str">
        <f>IF(Aircraft!J42="","",ROUND(PRODUCT(I44,K44,L44),5))</f>
        <v/>
      </c>
      <c r="O44" s="11" t="str">
        <f>IF(Aircraft!J42="","",IFERROR(ROUND(PRODUCT(N44,Aircraft!P42),0),0))</f>
        <v/>
      </c>
      <c r="P44" s="11" t="str">
        <f>IF(Aircraft!J42="","",IFERROR(ROUND(PRODUCT(H44,M44,J44),0),""))</f>
        <v/>
      </c>
      <c r="Q44" s="11" t="str">
        <f>IF(Aircraft!J42="","",IFERROR(ROUND(PRODUCT(ROUND(ROUND(E44*85%,0)/$E$4,0),AC44),0),""))</f>
        <v/>
      </c>
      <c r="S44" t="str">
        <f>IFERROR(IF(VLOOKUP(Aircraft!C42,Aircraftlist,17)="M","Medium",IF(VLOOKUP(Aircraft!C42,Aircraftlist,17)="L","Light",IF(VLOOKUP(Aircraft!C42,Aircraftlist,17)="H","Heavy",""))),"")</f>
        <v/>
      </c>
      <c r="T44" s="9">
        <f ca="1">IFERROR(1+VLOOKUP(MATCH(S44,ACCATCHART,0),INDIRECT(CONCATENATE(Aircraft!AO42,"CATMOD")),5),1)</f>
        <v>1</v>
      </c>
      <c r="U44" s="9">
        <f ca="1">IFERROR(IF(Rating!J48=Worksheet_Com!$AF$11,1,IF(LEFT(Aircraft!C42,2)="RW",1,IF(AND(Aircraft!AO42="SETP",Aircraft!AX42="R"),1+VLOOKUP(MATCH(Aircraft!AY42,ACGearType,0),INDIRECT(CONCATENATE("SE_P","GearMod")),5),1+VLOOKUP(MATCH(Aircraft!AY42,ACGearType,0),INDIRECT(CONCATENATE(Aircraft!AO42,"GearMod")),5)))),1)</f>
        <v>1</v>
      </c>
      <c r="V44" s="9">
        <f ca="1">IFERROR(IF(Rating!J48=Worksheet_Com!$AF$11,1,IF(LEFT(Aircraft!C42,2)="RW",1,IF(AND(Aircraft!AO42="SETP",Aircraft!AX42="R"),1+VLOOKUP(MATCH(Aircraft!AY42,ACGearType,0),INDIRECT(CONCATENATE("SE_P","GearMod")),7),1+VLOOKUP(MATCH(Aircraft!AY42,ACGearType,0),INDIRECT(CONCATENATE(Aircraft!AO42,"GearMod")),7)))),1)</f>
        <v>1</v>
      </c>
      <c r="W44" s="9">
        <f>IFERROR(IF(VLOOKUP(Aircraft!C42,Aircraftlist,19)="",0,VLOOKUP(Aircraft!C42,Aircraftlist,19))+1,1)</f>
        <v>1</v>
      </c>
      <c r="X44" s="9">
        <f>IFERROR(VLOOKUP(Aircraft!C42,Aircraftlist,18)+1,1)</f>
        <v>1</v>
      </c>
      <c r="Y44" s="9">
        <f>IFERROR(1+(VLOOKUP(MATCH(Aircraft!AK42,AWtypes,0),AWCertChart,5)),1)</f>
        <v>1</v>
      </c>
      <c r="Z44" s="9">
        <f ca="1">IFERROR(1+(VLOOKUP(IF(LEFT(Aircraft!$AO42,2)="RW",2,1),INDIRECT(Rating!$J48),2)),1)</f>
        <v>1</v>
      </c>
      <c r="AA44" s="9">
        <f ca="1">IFERROR(1+(VLOOKUP(IF(LEFT(Aircraft!$AO42,2)="RW",2,1),INDIRECT(Rating!$J48),3)),1)</f>
        <v>1</v>
      </c>
      <c r="AB44" s="9">
        <f>IF(OR(Aircraft!S42="N",Aircraft!S42=""),1,'MGR Adjustment'!$AF$23+1)</f>
        <v>1</v>
      </c>
      <c r="AC44" s="9">
        <f>IFERROR(IF(AND(Aircraft!J42&gt;"",OR(Aircraft!P42="",Aircraft!P42=0)),'MGR Adjustment'!$AM$23)+1,1)</f>
        <v>1</v>
      </c>
      <c r="BD44">
        <v>40</v>
      </c>
      <c r="BE44" s="387" t="s">
        <v>1978</v>
      </c>
      <c r="BF44" t="s">
        <v>1979</v>
      </c>
      <c r="BG44" t="s">
        <v>1980</v>
      </c>
      <c r="BH44" t="str">
        <f>IFERROR(IF(AU45=FALSE,"",VLOOKUP(MATCH(AU45,KYTAXLOC,0),KYMUNITAXTABLE,3)),"No Tax")</f>
        <v/>
      </c>
      <c r="BI44" t="str">
        <f>IFERROR(IF(AW45=FALSE,"",VLOOKUP(MATCH(AW45,KYTAXLOC,0),KYMUNITAXTABLE,3)),"No Tax")</f>
        <v/>
      </c>
      <c r="BL44">
        <v>40</v>
      </c>
      <c r="BM44" s="157" t="s">
        <v>1981</v>
      </c>
      <c r="BN44" s="159">
        <v>0.05</v>
      </c>
    </row>
    <row r="45" spans="2:66">
      <c r="B45">
        <v>40</v>
      </c>
      <c r="C45" s="10" t="str">
        <f ca="1">IFERROR(IF(Aircraft!C43="","",IF(Aircraft!C43=0,VLOOKUP(Aircraft!P43,SE_p,2),VLOOKUP(Aircraft!P43,INDIRECT(Aircraft!AO43),2))),"")</f>
        <v/>
      </c>
      <c r="D45" s="15" t="str">
        <f>IFERROR(IF(LEFT(Aircraft!AO43,2)="RW",HLOOKUP(IF(Aircraft!AI43&gt;0,Aircraft!AI43,Aircraft!AE43),PistonRWLiabRate,SUM(MATCH(Aircraft!W43,PistonLiabLocMatch,0)+1)),IF(LEFT(Aircraft!AO43,2)="ME",HLOOKUP(IF(Aircraft!AI43&gt;0,Aircraft!AI43,Aircraft!AE43),PistonMELFWLiabRates,SUM(MATCH(Aircraft!W43,PistonLiabLocMatch,0)+1)),HLOOKUP(IF(Aircraft!AI43&gt;0,Aircraft!AI43,Aircraft!AE43),PistonFWLiabRate,SUM(MATCH(Aircraft!W43,PistonLiabLocMatch,0)+1)))),"")</f>
        <v/>
      </c>
      <c r="E45" s="15" t="str">
        <f>IFERROR(IF(Rating!AC49="Yes",0,PRODUCT(VLOOKUP(MATCH(Aircraft!$Y43,MedLimits,0),MedRate,3),Aircraft!$BB43)),"")</f>
        <v/>
      </c>
      <c r="F45" s="9">
        <f t="shared" ca="1" si="8"/>
        <v>1</v>
      </c>
      <c r="G45" s="9">
        <f t="shared" ca="1" si="9"/>
        <v>1</v>
      </c>
      <c r="H45" s="9">
        <f>IF(OR(Rating!$E$2=0,Rating!$E$2=""),1+$AG$14,Rating!$E$2+$AG$14+1)</f>
        <v>1.25</v>
      </c>
      <c r="I45" s="9">
        <f>IF(OR(Rating!$F$2=0,Rating!$F$2=""),1+$AG$14,Rating!$F$2+$AG$14+1)</f>
        <v>1.07</v>
      </c>
      <c r="J45" s="9">
        <f>IF(OR(Rating!$R49=0,Rating!$R49=""),1,Rating!$R49+1)</f>
        <v>1</v>
      </c>
      <c r="K45" s="9">
        <f>IF(OR(Rating!$T49=0,Rating!$T49=""),1,Rating!$T49+1)</f>
        <v>1</v>
      </c>
      <c r="L45" s="13" t="str">
        <f>IF(Aircraft!J43="","",ROUND(PRODUCT(ROUND(ROUND(C45*85%,6)/$E$4,6),G45),6))</f>
        <v/>
      </c>
      <c r="M45" s="15" t="str">
        <f>IF(Aircraft!J43="","",ROUND(PRODUCT(ROUND(ROUND(D45*85%,0)/$E$4,0),F45),0))</f>
        <v/>
      </c>
      <c r="N45" s="13" t="str">
        <f>IF(Aircraft!J43="","",ROUND(PRODUCT(I45,K45,L45),5))</f>
        <v/>
      </c>
      <c r="O45" s="11" t="str">
        <f>IF(Aircraft!J43="","",IFERROR(ROUND(PRODUCT(N45,Aircraft!P43),0),0))</f>
        <v/>
      </c>
      <c r="P45" s="11" t="str">
        <f>IF(Aircraft!J43="","",IFERROR(ROUND(PRODUCT(H45,M45,J45),0),""))</f>
        <v/>
      </c>
      <c r="Q45" s="11" t="str">
        <f>IF(Aircraft!J43="","",IFERROR(ROUND(PRODUCT(ROUND(ROUND(E45*85%,0)/$E$4,0),AC45),0),""))</f>
        <v/>
      </c>
      <c r="S45" t="str">
        <f>IFERROR(IF(VLOOKUP(Aircraft!C43,Aircraftlist,17)="M","Medium",IF(VLOOKUP(Aircraft!C43,Aircraftlist,17)="L","Light",IF(VLOOKUP(Aircraft!C43,Aircraftlist,17)="H","Heavy",""))),"")</f>
        <v/>
      </c>
      <c r="T45" s="9">
        <f ca="1">IFERROR(1+VLOOKUP(MATCH(S45,ACCATCHART,0),INDIRECT(CONCATENATE(Aircraft!AO43,"CATMOD")),5),1)</f>
        <v>1</v>
      </c>
      <c r="U45" s="9">
        <f ca="1">IFERROR(IF(Rating!J49=Worksheet_Com!$AF$11,1,IF(LEFT(Aircraft!C43,2)="RW",1,IF(AND(Aircraft!AO43="SETP",Aircraft!AX43="R"),1+VLOOKUP(MATCH(Aircraft!AY43,ACGearType,0),INDIRECT(CONCATENATE("SE_P","GearMod")),5),1+VLOOKUP(MATCH(Aircraft!AY43,ACGearType,0),INDIRECT(CONCATENATE(Aircraft!AO43,"GearMod")),5)))),1)</f>
        <v>1</v>
      </c>
      <c r="V45" s="9">
        <f ca="1">IFERROR(IF(Rating!J49=Worksheet_Com!$AF$11,1,IF(LEFT(Aircraft!C43,2)="RW",1,IF(AND(Aircraft!AO43="SETP",Aircraft!AX43="R"),1+VLOOKUP(MATCH(Aircraft!AY43,ACGearType,0),INDIRECT(CONCATENATE("SE_P","GearMod")),7),1+VLOOKUP(MATCH(Aircraft!AY43,ACGearType,0),INDIRECT(CONCATENATE(Aircraft!AO43,"GearMod")),7)))),1)</f>
        <v>1</v>
      </c>
      <c r="W45" s="9">
        <f>IFERROR(IF(VLOOKUP(Aircraft!C43,Aircraftlist,19)="",0,VLOOKUP(Aircraft!C43,Aircraftlist,19))+1,1)</f>
        <v>1</v>
      </c>
      <c r="X45" s="9">
        <f>IFERROR(VLOOKUP(Aircraft!C43,Aircraftlist,18)+1,1)</f>
        <v>1</v>
      </c>
      <c r="Y45" s="9">
        <f>IFERROR(1+(VLOOKUP(MATCH(Aircraft!AK43,AWtypes,0),AWCertChart,5)),1)</f>
        <v>1</v>
      </c>
      <c r="Z45" s="9">
        <f ca="1">IFERROR(1+(VLOOKUP(IF(LEFT(Aircraft!$AO43,2)="RW",2,1),INDIRECT(Rating!$J49),2)),1)</f>
        <v>1</v>
      </c>
      <c r="AA45" s="9">
        <f ca="1">IFERROR(1+(VLOOKUP(IF(LEFT(Aircraft!$AO43,2)="RW",2,1),INDIRECT(Rating!$J49),3)),1)</f>
        <v>1</v>
      </c>
      <c r="AB45" s="9">
        <f>IF(OR(Aircraft!S43="N",Aircraft!S43=""),1,'MGR Adjustment'!$AF$23+1)</f>
        <v>1</v>
      </c>
      <c r="AC45" s="9">
        <f>IFERROR(IF(AND(Aircraft!J43&gt;"",OR(Aircraft!P43="",Aircraft!P43=0)),'MGR Adjustment'!$AM$23)+1,1)</f>
        <v>1</v>
      </c>
      <c r="BC45">
        <v>41</v>
      </c>
      <c r="BD45" s="387" t="s">
        <v>1982</v>
      </c>
      <c r="BE45" t="s">
        <v>1983</v>
      </c>
      <c r="BF45" t="s">
        <v>1984</v>
      </c>
      <c r="BG45" t="str">
        <f t="shared" si="2"/>
        <v/>
      </c>
      <c r="BH45" t="str">
        <f t="shared" si="3"/>
        <v/>
      </c>
      <c r="BK45">
        <v>41</v>
      </c>
      <c r="BL45" s="157" t="s">
        <v>1985</v>
      </c>
      <c r="BM45" s="159">
        <v>7.0000000000000007E-2</v>
      </c>
    </row>
    <row r="46" spans="2:66">
      <c r="B46">
        <v>41</v>
      </c>
      <c r="C46" s="10" t="str">
        <f ca="1">IFERROR(IF(Aircraft!C44="","",IF(Aircraft!C44=0,VLOOKUP(Aircraft!P44,SE_p,2),VLOOKUP(Aircraft!P44,INDIRECT(Aircraft!AO44),2))),"")</f>
        <v/>
      </c>
      <c r="D46" s="15" t="str">
        <f>IFERROR(IF(LEFT(Aircraft!AO44,2)="RW",HLOOKUP(IF(Aircraft!AI44&gt;0,Aircraft!AI44,Aircraft!AE44),PistonRWLiabRate,SUM(MATCH(Aircraft!W44,PistonLiabLocMatch,0)+1)),IF(LEFT(Aircraft!AO44,2)="ME",HLOOKUP(IF(Aircraft!AI44&gt;0,Aircraft!AI44,Aircraft!AE44),PistonMELFWLiabRates,SUM(MATCH(Aircraft!W44,PistonLiabLocMatch,0)+1)),HLOOKUP(IF(Aircraft!AI44&gt;0,Aircraft!AI44,Aircraft!AE44),PistonFWLiabRate,SUM(MATCH(Aircraft!W44,PistonLiabLocMatch,0)+1)))),"")</f>
        <v/>
      </c>
      <c r="E46" s="15" t="str">
        <f>IFERROR(IF(Rating!AC50="Yes",0,PRODUCT(VLOOKUP(MATCH(Aircraft!$Y44,MedLimits,0),MedRate,3),Aircraft!$BB44)),"")</f>
        <v/>
      </c>
      <c r="F46" s="9">
        <f t="shared" ca="1" si="8"/>
        <v>1</v>
      </c>
      <c r="G46" s="9">
        <f t="shared" ca="1" si="9"/>
        <v>1</v>
      </c>
      <c r="H46" s="9">
        <f>IF(OR(Rating!$E$2=0,Rating!$E$2=""),1+$AG$14,Rating!$E$2+$AG$14+1)</f>
        <v>1.25</v>
      </c>
      <c r="I46" s="9">
        <f>IF(OR(Rating!$F$2=0,Rating!$F$2=""),1+$AG$14,Rating!$F$2+$AG$14+1)</f>
        <v>1.07</v>
      </c>
      <c r="J46" s="9">
        <f>IF(OR(Rating!$R50=0,Rating!$R50=""),1,Rating!$R50+1)</f>
        <v>1</v>
      </c>
      <c r="K46" s="9">
        <f>IF(OR(Rating!$T50=0,Rating!$T50=""),1,Rating!$T50+1)</f>
        <v>1</v>
      </c>
      <c r="L46" s="13" t="str">
        <f>IF(Aircraft!J44="","",ROUND(PRODUCT(ROUND(ROUND(C46*85%,6)/$E$4,6),G46),6))</f>
        <v/>
      </c>
      <c r="M46" s="15" t="str">
        <f>IF(Aircraft!J44="","",ROUND(PRODUCT(ROUND(ROUND(D46*85%,0)/$E$4,0),F46),0))</f>
        <v/>
      </c>
      <c r="N46" s="13" t="str">
        <f>IF(Aircraft!J44="","",ROUND(PRODUCT(I46,K46,L46),5))</f>
        <v/>
      </c>
      <c r="O46" s="11" t="str">
        <f>IF(Aircraft!J44="","",IFERROR(ROUND(PRODUCT(N46,Aircraft!P44),0),0))</f>
        <v/>
      </c>
      <c r="P46" s="11" t="str">
        <f>IF(Aircraft!J44="","",IFERROR(ROUND(PRODUCT(H46,M46,J46),0),""))</f>
        <v/>
      </c>
      <c r="Q46" s="11" t="str">
        <f>IF(Aircraft!J44="","",IFERROR(ROUND(PRODUCT(ROUND(ROUND(E46*85%,0)/$E$4,0),AC46),0),""))</f>
        <v/>
      </c>
      <c r="S46" t="str">
        <f>IFERROR(IF(VLOOKUP(Aircraft!C44,Aircraftlist,17)="M","Medium",IF(VLOOKUP(Aircraft!C44,Aircraftlist,17)="L","Light",IF(VLOOKUP(Aircraft!C44,Aircraftlist,17)="H","Heavy",""))),"")</f>
        <v/>
      </c>
      <c r="T46" s="9">
        <f ca="1">IFERROR(1+VLOOKUP(MATCH(S46,ACCATCHART,0),INDIRECT(CONCATENATE(Aircraft!AO44,"CATMOD")),5),1)</f>
        <v>1</v>
      </c>
      <c r="U46" s="9">
        <f ca="1">IFERROR(IF(Rating!J50=Worksheet_Com!$AF$11,1,IF(LEFT(Aircraft!C44,2)="RW",1,IF(AND(Aircraft!AO44="SETP",Aircraft!AX44="R"),1+VLOOKUP(MATCH(Aircraft!AY44,ACGearType,0),INDIRECT(CONCATENATE("SE_P","GearMod")),5),1+VLOOKUP(MATCH(Aircraft!AY44,ACGearType,0),INDIRECT(CONCATENATE(Aircraft!AO44,"GearMod")),5)))),1)</f>
        <v>1</v>
      </c>
      <c r="V46" s="9">
        <f ca="1">IFERROR(IF(Rating!J50=Worksheet_Com!$AF$11,1,IF(LEFT(Aircraft!C44,2)="RW",1,IF(AND(Aircraft!AO44="SETP",Aircraft!AX44="R"),1+VLOOKUP(MATCH(Aircraft!AY44,ACGearType,0),INDIRECT(CONCATENATE("SE_P","GearMod")),7),1+VLOOKUP(MATCH(Aircraft!AY44,ACGearType,0),INDIRECT(CONCATENATE(Aircraft!AO44,"GearMod")),7)))),1)</f>
        <v>1</v>
      </c>
      <c r="W46" s="9">
        <f>IFERROR(IF(VLOOKUP(Aircraft!C44,Aircraftlist,19)="",0,VLOOKUP(Aircraft!C44,Aircraftlist,19))+1,1)</f>
        <v>1</v>
      </c>
      <c r="X46" s="9">
        <f>IFERROR(VLOOKUP(Aircraft!C44,Aircraftlist,18)+1,1)</f>
        <v>1</v>
      </c>
      <c r="Y46" s="9">
        <f>IFERROR(1+(VLOOKUP(MATCH(Aircraft!AK44,AWtypes,0),AWCertChart,5)),1)</f>
        <v>1</v>
      </c>
      <c r="Z46" s="9">
        <f ca="1">IFERROR(1+(VLOOKUP(IF(LEFT(Aircraft!$AO44,2)="RW",2,1),INDIRECT(Rating!$J50),2)),1)</f>
        <v>1</v>
      </c>
      <c r="AA46" s="9">
        <f ca="1">IFERROR(1+(VLOOKUP(IF(LEFT(Aircraft!$AO44,2)="RW",2,1),INDIRECT(Rating!$J50),3)),1)</f>
        <v>1</v>
      </c>
      <c r="AB46" s="9">
        <f>IF(OR(Aircraft!S44="N",Aircraft!S44=""),1,'MGR Adjustment'!$AF$23+1)</f>
        <v>1</v>
      </c>
      <c r="AC46" s="9">
        <f>IFERROR(IF(AND(Aircraft!J44&gt;"",OR(Aircraft!P44="",Aircraft!P44=0)),'MGR Adjustment'!$AM$23)+1,1)</f>
        <v>1</v>
      </c>
      <c r="BC46">
        <v>42</v>
      </c>
      <c r="BD46" s="387" t="s">
        <v>1986</v>
      </c>
      <c r="BE46" t="s">
        <v>1844</v>
      </c>
      <c r="BF46" t="s">
        <v>1987</v>
      </c>
      <c r="BG46" t="str">
        <f t="shared" si="2"/>
        <v/>
      </c>
      <c r="BH46" t="str">
        <f t="shared" si="3"/>
        <v/>
      </c>
      <c r="BK46">
        <v>42</v>
      </c>
      <c r="BL46" s="157" t="s">
        <v>1988</v>
      </c>
      <c r="BM46" s="159">
        <v>0.05</v>
      </c>
    </row>
    <row r="47" spans="2:66">
      <c r="B47">
        <v>42</v>
      </c>
      <c r="C47" s="10" t="str">
        <f ca="1">IFERROR(IF(Aircraft!C45="","",IF(Aircraft!C45=0,VLOOKUP(Aircraft!P45,SE_p,2),VLOOKUP(Aircraft!P45,INDIRECT(Aircraft!AO45),2))),"")</f>
        <v/>
      </c>
      <c r="D47" s="15" t="str">
        <f>IFERROR(IF(LEFT(Aircraft!AO45,2)="RW",HLOOKUP(IF(Aircraft!AI45&gt;0,Aircraft!AI45,Aircraft!AE45),PistonRWLiabRate,SUM(MATCH(Aircraft!W45,PistonLiabLocMatch,0)+1)),IF(LEFT(Aircraft!AO45,2)="ME",HLOOKUP(IF(Aircraft!AI45&gt;0,Aircraft!AI45,Aircraft!AE45),PistonMELFWLiabRates,SUM(MATCH(Aircraft!W45,PistonLiabLocMatch,0)+1)),HLOOKUP(IF(Aircraft!AI45&gt;0,Aircraft!AI45,Aircraft!AE45),PistonFWLiabRate,SUM(MATCH(Aircraft!W45,PistonLiabLocMatch,0)+1)))),"")</f>
        <v/>
      </c>
      <c r="E47" s="15" t="str">
        <f>IFERROR(IF(Rating!AC51="Yes",0,PRODUCT(VLOOKUP(MATCH(Aircraft!$Y45,MedLimits,0),MedRate,3),Aircraft!$BB45)),"")</f>
        <v/>
      </c>
      <c r="F47" s="9">
        <f t="shared" ca="1" si="8"/>
        <v>1</v>
      </c>
      <c r="G47" s="9">
        <f t="shared" ca="1" si="9"/>
        <v>1</v>
      </c>
      <c r="H47" s="9">
        <f>IF(OR(Rating!$E$2=0,Rating!$E$2=""),1+$AG$14,Rating!$E$2+$AG$14+1)</f>
        <v>1.25</v>
      </c>
      <c r="I47" s="9">
        <f>IF(OR(Rating!$F$2=0,Rating!$F$2=""),1+$AG$14,Rating!$F$2+$AG$14+1)</f>
        <v>1.07</v>
      </c>
      <c r="J47" s="9">
        <f>IF(OR(Rating!$R51=0,Rating!$R51=""),1,Rating!$R51+1)</f>
        <v>1</v>
      </c>
      <c r="K47" s="9">
        <f>IF(OR(Rating!$T51=0,Rating!$T51=""),1,Rating!$T51+1)</f>
        <v>1</v>
      </c>
      <c r="L47" s="13" t="str">
        <f>IF(Aircraft!J45="","",ROUND(PRODUCT(ROUND(ROUND(C47*85%,6)/$E$4,6),G47),6))</f>
        <v/>
      </c>
      <c r="M47" s="15" t="str">
        <f>IF(Aircraft!J45="","",ROUND(PRODUCT(ROUND(ROUND(D47*85%,0)/$E$4,0),F47),0))</f>
        <v/>
      </c>
      <c r="N47" s="13" t="str">
        <f>IF(Aircraft!J45="","",ROUND(PRODUCT(I47,K47,L47),5))</f>
        <v/>
      </c>
      <c r="O47" s="11" t="str">
        <f>IF(Aircraft!J45="","",IFERROR(ROUND(PRODUCT(N47,Aircraft!P45),0),0))</f>
        <v/>
      </c>
      <c r="P47" s="11" t="str">
        <f>IF(Aircraft!J45="","",IFERROR(ROUND(PRODUCT(H47,M47,J47),0),""))</f>
        <v/>
      </c>
      <c r="Q47" s="11" t="str">
        <f>IF(Aircraft!J45="","",IFERROR(ROUND(PRODUCT(ROUND(ROUND(E47*85%,0)/$E$4,0),AC47),0),""))</f>
        <v/>
      </c>
      <c r="S47" t="str">
        <f>IFERROR(IF(VLOOKUP(Aircraft!C45,Aircraftlist,17)="M","Medium",IF(VLOOKUP(Aircraft!C45,Aircraftlist,17)="L","Light",IF(VLOOKUP(Aircraft!C45,Aircraftlist,17)="H","Heavy",""))),"")</f>
        <v/>
      </c>
      <c r="T47" s="9">
        <f ca="1">IFERROR(1+VLOOKUP(MATCH(S47,ACCATCHART,0),INDIRECT(CONCATENATE(Aircraft!AO45,"CATMOD")),5),1)</f>
        <v>1</v>
      </c>
      <c r="U47" s="9">
        <f ca="1">IFERROR(IF(Rating!J51=Worksheet_Com!$AF$11,1,IF(LEFT(Aircraft!C45,2)="RW",1,IF(AND(Aircraft!AO45="SETP",Aircraft!AX45="R"),1+VLOOKUP(MATCH(Aircraft!AY45,ACGearType,0),INDIRECT(CONCATENATE("SE_P","GearMod")),5),1+VLOOKUP(MATCH(Aircraft!AY45,ACGearType,0),INDIRECT(CONCATENATE(Aircraft!AO45,"GearMod")),5)))),1)</f>
        <v>1</v>
      </c>
      <c r="V47" s="9">
        <f ca="1">IFERROR(IF(Rating!J51=Worksheet_Com!$AF$11,1,IF(LEFT(Aircraft!C45,2)="RW",1,IF(AND(Aircraft!AO45="SETP",Aircraft!AX45="R"),1+VLOOKUP(MATCH(Aircraft!AY45,ACGearType,0),INDIRECT(CONCATENATE("SE_P","GearMod")),7),1+VLOOKUP(MATCH(Aircraft!AY45,ACGearType,0),INDIRECT(CONCATENATE(Aircraft!AO45,"GearMod")),7)))),1)</f>
        <v>1</v>
      </c>
      <c r="W47" s="9">
        <f>IFERROR(IF(VLOOKUP(Aircraft!C45,Aircraftlist,19)="",0,VLOOKUP(Aircraft!C45,Aircraftlist,19))+1,1)</f>
        <v>1</v>
      </c>
      <c r="X47" s="9">
        <f>IFERROR(VLOOKUP(Aircraft!C45,Aircraftlist,18)+1,1)</f>
        <v>1</v>
      </c>
      <c r="Y47" s="9">
        <f>IFERROR(1+(VLOOKUP(MATCH(Aircraft!AK45,AWtypes,0),AWCertChart,5)),1)</f>
        <v>1</v>
      </c>
      <c r="Z47" s="9">
        <f ca="1">IFERROR(1+(VLOOKUP(IF(LEFT(Aircraft!$AO45,2)="RW",2,1),INDIRECT(Rating!$J51),2)),1)</f>
        <v>1</v>
      </c>
      <c r="AA47" s="9">
        <f ca="1">IFERROR(1+(VLOOKUP(IF(LEFT(Aircraft!$AO45,2)="RW",2,1),INDIRECT(Rating!$J51),3)),1)</f>
        <v>1</v>
      </c>
      <c r="AB47" s="9">
        <f>IF(OR(Aircraft!S45="N",Aircraft!S45=""),1,'MGR Adjustment'!$AF$23+1)</f>
        <v>1</v>
      </c>
      <c r="AC47" s="9">
        <f>IFERROR(IF(AND(Aircraft!J45&gt;"",OR(Aircraft!P45="",Aircraft!P45=0)),'MGR Adjustment'!$AM$23)+1,1)</f>
        <v>1</v>
      </c>
      <c r="BC47">
        <v>43</v>
      </c>
      <c r="BD47" s="387" t="s">
        <v>1989</v>
      </c>
      <c r="BE47" t="s">
        <v>688</v>
      </c>
      <c r="BF47" t="s">
        <v>1890</v>
      </c>
      <c r="BG47" t="str">
        <f t="shared" si="2"/>
        <v/>
      </c>
      <c r="BH47" t="str">
        <f t="shared" si="3"/>
        <v/>
      </c>
      <c r="BK47">
        <v>43</v>
      </c>
      <c r="BL47" s="157" t="s">
        <v>1990</v>
      </c>
      <c r="BM47" s="159">
        <v>0.1</v>
      </c>
    </row>
    <row r="48" spans="2:66">
      <c r="B48">
        <v>43</v>
      </c>
      <c r="C48" s="10" t="str">
        <f ca="1">IFERROR(IF(Aircraft!C46="","",IF(Aircraft!C46=0,VLOOKUP(Aircraft!P46,SE_p,2),VLOOKUP(Aircraft!P46,INDIRECT(Aircraft!AO46),2))),"")</f>
        <v/>
      </c>
      <c r="D48" s="15" t="str">
        <f>IFERROR(IF(LEFT(Aircraft!AO46,2)="RW",HLOOKUP(IF(Aircraft!AI46&gt;0,Aircraft!AI46,Aircraft!AE46),PistonRWLiabRate,SUM(MATCH(Aircraft!W46,PistonLiabLocMatch,0)+1)),IF(LEFT(Aircraft!AO46,2)="ME",HLOOKUP(IF(Aircraft!AI46&gt;0,Aircraft!AI46,Aircraft!AE46),PistonMELFWLiabRates,SUM(MATCH(Aircraft!W46,PistonLiabLocMatch,0)+1)),HLOOKUP(IF(Aircraft!AI46&gt;0,Aircraft!AI46,Aircraft!AE46),PistonFWLiabRate,SUM(MATCH(Aircraft!W46,PistonLiabLocMatch,0)+1)))),"")</f>
        <v/>
      </c>
      <c r="E48" s="15" t="str">
        <f>IFERROR(IF(Rating!AC52="Yes",0,PRODUCT(VLOOKUP(MATCH(Aircraft!$Y46,MedLimits,0),MedRate,3),Aircraft!$BB46)),"")</f>
        <v/>
      </c>
      <c r="F48" s="9">
        <f t="shared" ca="1" si="8"/>
        <v>1</v>
      </c>
      <c r="G48" s="9">
        <f t="shared" ca="1" si="9"/>
        <v>1</v>
      </c>
      <c r="H48" s="9">
        <f>IF(OR(Rating!$E$2=0,Rating!$E$2=""),1+$AG$14,Rating!$E$2+$AG$14+1)</f>
        <v>1.25</v>
      </c>
      <c r="I48" s="9">
        <f>IF(OR(Rating!$F$2=0,Rating!$F$2=""),1+$AG$14,Rating!$F$2+$AG$14+1)</f>
        <v>1.07</v>
      </c>
      <c r="J48" s="9">
        <f>IF(OR(Rating!$R52=0,Rating!$R52=""),1,Rating!$R52+1)</f>
        <v>1</v>
      </c>
      <c r="K48" s="9">
        <f>IF(OR(Rating!$T52=0,Rating!$T52=""),1,Rating!$T52+1)</f>
        <v>1</v>
      </c>
      <c r="L48" s="13" t="str">
        <f>IF(Aircraft!J46="","",ROUND(PRODUCT(ROUND(ROUND(C48*85%,6)/$E$4,6),G48),6))</f>
        <v/>
      </c>
      <c r="M48" s="15" t="str">
        <f>IF(Aircraft!J46="","",ROUND(PRODUCT(ROUND(ROUND(D48*85%,0)/$E$4,0),F48),0))</f>
        <v/>
      </c>
      <c r="N48" s="13" t="str">
        <f>IF(Aircraft!J46="","",ROUND(PRODUCT(I48,K48,L48),5))</f>
        <v/>
      </c>
      <c r="O48" s="11" t="str">
        <f>IF(Aircraft!J46="","",IFERROR(ROUND(PRODUCT(N48,Aircraft!P46),0),0))</f>
        <v/>
      </c>
      <c r="P48" s="11" t="str">
        <f>IF(Aircraft!J46="","",IFERROR(ROUND(PRODUCT(H48,M48,J48),0),""))</f>
        <v/>
      </c>
      <c r="Q48" s="11" t="str">
        <f>IF(Aircraft!J46="","",IFERROR(ROUND(PRODUCT(ROUND(ROUND(E48*85%,0)/$E$4,0),AC48),0),""))</f>
        <v/>
      </c>
      <c r="S48" t="str">
        <f>IFERROR(IF(VLOOKUP(Aircraft!C46,Aircraftlist,17)="M","Medium",IF(VLOOKUP(Aircraft!C46,Aircraftlist,17)="L","Light",IF(VLOOKUP(Aircraft!C46,Aircraftlist,17)="H","Heavy",""))),"")</f>
        <v/>
      </c>
      <c r="T48" s="9">
        <f ca="1">IFERROR(1+VLOOKUP(MATCH(S48,ACCATCHART,0),INDIRECT(CONCATENATE(Aircraft!AO46,"CATMOD")),5),1)</f>
        <v>1</v>
      </c>
      <c r="U48" s="9">
        <f ca="1">IFERROR(IF(Rating!J52=Worksheet_Com!$AF$11,1,IF(LEFT(Aircraft!C46,2)="RW",1,IF(AND(Aircraft!AO46="SETP",Aircraft!AX46="R"),1+VLOOKUP(MATCH(Aircraft!AY46,ACGearType,0),INDIRECT(CONCATENATE("SE_P","GearMod")),5),1+VLOOKUP(MATCH(Aircraft!AY46,ACGearType,0),INDIRECT(CONCATENATE(Aircraft!AO46,"GearMod")),5)))),1)</f>
        <v>1</v>
      </c>
      <c r="V48" s="9">
        <f ca="1">IFERROR(IF(Rating!J52=Worksheet_Com!$AF$11,1,IF(LEFT(Aircraft!C46,2)="RW",1,IF(AND(Aircraft!AO46="SETP",Aircraft!AX46="R"),1+VLOOKUP(MATCH(Aircraft!AY46,ACGearType,0),INDIRECT(CONCATENATE("SE_P","GearMod")),7),1+VLOOKUP(MATCH(Aircraft!AY46,ACGearType,0),INDIRECT(CONCATENATE(Aircraft!AO46,"GearMod")),7)))),1)</f>
        <v>1</v>
      </c>
      <c r="W48" s="9">
        <f>IFERROR(IF(VLOOKUP(Aircraft!C46,Aircraftlist,19)="",0,VLOOKUP(Aircraft!C46,Aircraftlist,19))+1,1)</f>
        <v>1</v>
      </c>
      <c r="X48" s="9">
        <f>IFERROR(VLOOKUP(Aircraft!C46,Aircraftlist,18)+1,1)</f>
        <v>1</v>
      </c>
      <c r="Y48" s="9">
        <f>IFERROR(1+(VLOOKUP(MATCH(Aircraft!AK46,AWtypes,0),AWCertChart,5)),1)</f>
        <v>1</v>
      </c>
      <c r="Z48" s="9">
        <f ca="1">IFERROR(1+(VLOOKUP(IF(LEFT(Aircraft!$AO46,2)="RW",2,1),INDIRECT(Rating!$J52),2)),1)</f>
        <v>1</v>
      </c>
      <c r="AA48" s="9">
        <f ca="1">IFERROR(1+(VLOOKUP(IF(LEFT(Aircraft!$AO46,2)="RW",2,1),INDIRECT(Rating!$J52),3)),1)</f>
        <v>1</v>
      </c>
      <c r="AB48" s="9">
        <f>IF(OR(Aircraft!S46="N",Aircraft!S46=""),1,'MGR Adjustment'!$AF$23+1)</f>
        <v>1</v>
      </c>
      <c r="AC48" s="9">
        <f>IFERROR(IF(AND(Aircraft!J46&gt;"",OR(Aircraft!P46="",Aircraft!P46=0)),'MGR Adjustment'!$AM$23)+1,1)</f>
        <v>1</v>
      </c>
      <c r="BC48">
        <v>44</v>
      </c>
      <c r="BD48" s="387" t="s">
        <v>1991</v>
      </c>
      <c r="BE48" t="s">
        <v>688</v>
      </c>
      <c r="BF48" t="s">
        <v>1890</v>
      </c>
      <c r="BG48" t="str">
        <f t="shared" si="2"/>
        <v/>
      </c>
      <c r="BH48" t="str">
        <f t="shared" si="3"/>
        <v/>
      </c>
      <c r="BK48">
        <v>44</v>
      </c>
      <c r="BL48" s="157" t="s">
        <v>1992</v>
      </c>
      <c r="BM48" s="159">
        <v>0.1</v>
      </c>
    </row>
    <row r="49" spans="1:65">
      <c r="B49">
        <v>44</v>
      </c>
      <c r="C49" s="10" t="str">
        <f ca="1">IFERROR(IF(Aircraft!C47="","",IF(Aircraft!C47=0,VLOOKUP(Aircraft!P47,SE_p,2),VLOOKUP(Aircraft!P47,INDIRECT(Aircraft!AO47),2))),"")</f>
        <v/>
      </c>
      <c r="D49" s="15" t="str">
        <f>IFERROR(IF(LEFT(Aircraft!AO47,2)="RW",HLOOKUP(IF(Aircraft!AI47&gt;0,Aircraft!AI47,Aircraft!AE47),PistonRWLiabRate,SUM(MATCH(Aircraft!W47,PistonLiabLocMatch,0)+1)),IF(LEFT(Aircraft!AO47,2)="ME",HLOOKUP(IF(Aircraft!AI47&gt;0,Aircraft!AI47,Aircraft!AE47),PistonMELFWLiabRates,SUM(MATCH(Aircraft!W47,PistonLiabLocMatch,0)+1)),HLOOKUP(IF(Aircraft!AI47&gt;0,Aircraft!AI47,Aircraft!AE47),PistonFWLiabRate,SUM(MATCH(Aircraft!W47,PistonLiabLocMatch,0)+1)))),"")</f>
        <v/>
      </c>
      <c r="E49" s="15" t="str">
        <f>IFERROR(IF(Rating!AC53="Yes",0,PRODUCT(VLOOKUP(MATCH(Aircraft!$Y47,MedLimits,0),MedRate,3),Aircraft!$BB47)),"")</f>
        <v/>
      </c>
      <c r="F49" s="9">
        <f t="shared" ca="1" si="8"/>
        <v>1</v>
      </c>
      <c r="G49" s="9">
        <f t="shared" ca="1" si="9"/>
        <v>1</v>
      </c>
      <c r="H49" s="9">
        <f>IF(OR(Rating!$E$2=0,Rating!$E$2=""),1+$AG$14,Rating!$E$2+$AG$14+1)</f>
        <v>1.25</v>
      </c>
      <c r="I49" s="9">
        <f>IF(OR(Rating!$F$2=0,Rating!$F$2=""),1+$AG$14,Rating!$F$2+$AG$14+1)</f>
        <v>1.07</v>
      </c>
      <c r="J49" s="9">
        <f>IF(OR(Rating!$R53=0,Rating!$R53=""),1,Rating!$R53+1)</f>
        <v>1</v>
      </c>
      <c r="K49" s="9">
        <f>IF(OR(Rating!$T53=0,Rating!$T53=""),1,Rating!$T53+1)</f>
        <v>1</v>
      </c>
      <c r="L49" s="13" t="str">
        <f>IF(Aircraft!J47="","",ROUND(PRODUCT(ROUND(ROUND(C49*85%,6)/$E$4,6),G49),6))</f>
        <v/>
      </c>
      <c r="M49" s="15" t="str">
        <f>IF(Aircraft!J47="","",ROUND(PRODUCT(ROUND(ROUND(D49*85%,0)/$E$4,0),F49),0))</f>
        <v/>
      </c>
      <c r="N49" s="13" t="str">
        <f>IF(Aircraft!J47="","",ROUND(PRODUCT(I49,K49,L49),5))</f>
        <v/>
      </c>
      <c r="O49" s="11" t="str">
        <f>IF(Aircraft!J47="","",IFERROR(ROUND(PRODUCT(N49,Aircraft!P47),0),0))</f>
        <v/>
      </c>
      <c r="P49" s="11" t="str">
        <f>IF(Aircraft!J47="","",IFERROR(ROUND(PRODUCT(H49,M49,J49),0),""))</f>
        <v/>
      </c>
      <c r="Q49" s="11" t="str">
        <f>IF(Aircraft!J47="","",IFERROR(ROUND(PRODUCT(ROUND(ROUND(E49*85%,0)/$E$4,0),AC49),0),""))</f>
        <v/>
      </c>
      <c r="S49" t="str">
        <f>IFERROR(IF(VLOOKUP(Aircraft!C47,Aircraftlist,17)="M","Medium",IF(VLOOKUP(Aircraft!C47,Aircraftlist,17)="L","Light",IF(VLOOKUP(Aircraft!C47,Aircraftlist,17)="H","Heavy",""))),"")</f>
        <v/>
      </c>
      <c r="T49" s="9">
        <f ca="1">IFERROR(1+VLOOKUP(MATCH(S49,ACCATCHART,0),INDIRECT(CONCATENATE(Aircraft!AO47,"CATMOD")),5),1)</f>
        <v>1</v>
      </c>
      <c r="U49" s="9">
        <f ca="1">IFERROR(IF(Rating!J53=Worksheet_Com!$AF$11,1,IF(LEFT(Aircraft!C47,2)="RW",1,IF(AND(Aircraft!AO47="SETP",Aircraft!AX47="R"),1+VLOOKUP(MATCH(Aircraft!AY47,ACGearType,0),INDIRECT(CONCATENATE("SE_P","GearMod")),5),1+VLOOKUP(MATCH(Aircraft!AY47,ACGearType,0),INDIRECT(CONCATENATE(Aircraft!AO47,"GearMod")),5)))),1)</f>
        <v>1</v>
      </c>
      <c r="V49" s="9">
        <f ca="1">IFERROR(IF(Rating!J53=Worksheet_Com!$AF$11,1,IF(LEFT(Aircraft!C47,2)="RW",1,IF(AND(Aircraft!AO47="SETP",Aircraft!AX47="R"),1+VLOOKUP(MATCH(Aircraft!AY47,ACGearType,0),INDIRECT(CONCATENATE("SE_P","GearMod")),7),1+VLOOKUP(MATCH(Aircraft!AY47,ACGearType,0),INDIRECT(CONCATENATE(Aircraft!AO47,"GearMod")),7)))),1)</f>
        <v>1</v>
      </c>
      <c r="W49" s="9">
        <f>IFERROR(IF(VLOOKUP(Aircraft!C47,Aircraftlist,19)="",0,VLOOKUP(Aircraft!C47,Aircraftlist,19))+1,1)</f>
        <v>1</v>
      </c>
      <c r="X49" s="9">
        <f>IFERROR(VLOOKUP(Aircraft!C47,Aircraftlist,18)+1,1)</f>
        <v>1</v>
      </c>
      <c r="Y49" s="9">
        <f>IFERROR(1+(VLOOKUP(MATCH(Aircraft!AK47,AWtypes,0),AWCertChart,5)),1)</f>
        <v>1</v>
      </c>
      <c r="Z49" s="9">
        <f ca="1">IFERROR(1+(VLOOKUP(IF(LEFT(Aircraft!$AO47,2)="RW",2,1),INDIRECT(Rating!$J53),2)),1)</f>
        <v>1</v>
      </c>
      <c r="AA49" s="9">
        <f ca="1">IFERROR(1+(VLOOKUP(IF(LEFT(Aircraft!$AO47,2)="RW",2,1),INDIRECT(Rating!$J53),3)),1)</f>
        <v>1</v>
      </c>
      <c r="AB49" s="9">
        <f>IF(OR(Aircraft!S47="N",Aircraft!S47=""),1,'MGR Adjustment'!$AF$23+1)</f>
        <v>1</v>
      </c>
      <c r="AC49" s="9">
        <f>IFERROR(IF(AND(Aircraft!J47&gt;"",OR(Aircraft!P47="",Aircraft!P47=0)),'MGR Adjustment'!$AM$23)+1,1)</f>
        <v>1</v>
      </c>
      <c r="BC49">
        <v>45</v>
      </c>
      <c r="BD49" s="387" t="s">
        <v>1993</v>
      </c>
      <c r="BE49" t="s">
        <v>1994</v>
      </c>
      <c r="BF49" t="s">
        <v>1995</v>
      </c>
      <c r="BG49" t="str">
        <f t="shared" si="2"/>
        <v/>
      </c>
      <c r="BH49" t="str">
        <f t="shared" si="3"/>
        <v/>
      </c>
      <c r="BK49">
        <v>45</v>
      </c>
      <c r="BL49" s="157" t="s">
        <v>1996</v>
      </c>
      <c r="BM49" s="159">
        <v>0.09</v>
      </c>
    </row>
    <row r="50" spans="1:65">
      <c r="A50" t="s">
        <v>1997</v>
      </c>
      <c r="B50">
        <v>45</v>
      </c>
      <c r="C50" s="10" t="str">
        <f ca="1">IFERROR(IF(Aircraft!C48="","",IF(Aircraft!C48=0,VLOOKUP(Aircraft!P48,SE_p,2),VLOOKUP(Aircraft!P48,INDIRECT(Aircraft!AO48),2))),"")</f>
        <v/>
      </c>
      <c r="D50" s="15" t="str">
        <f>IFERROR(IF(LEFT(Aircraft!AO48,2)="RW",HLOOKUP(IF(Aircraft!AI48&gt;0,Aircraft!AI48,Aircraft!AE48),PistonRWLiabRate,SUM(MATCH(Aircraft!W48,PistonLiabLocMatch,0)+1)),IF(LEFT(Aircraft!AO48,2)="ME",HLOOKUP(IF(Aircraft!AI48&gt;0,Aircraft!AI48,Aircraft!AE48),PistonMELFWLiabRates,SUM(MATCH(Aircraft!W48,PistonLiabLocMatch,0)+1)),HLOOKUP(IF(Aircraft!AI48&gt;0,Aircraft!AI48,Aircraft!AE48),PistonFWLiabRate,SUM(MATCH(Aircraft!W48,PistonLiabLocMatch,0)+1)))),"")</f>
        <v/>
      </c>
      <c r="E50" s="15" t="str">
        <f>IFERROR(IF(Rating!AC54="Yes",0,PRODUCT(VLOOKUP(MATCH(Aircraft!$Y48,MedLimits,0),MedRate,3),Aircraft!$BB48)),"")</f>
        <v/>
      </c>
      <c r="F50" s="9">
        <f t="shared" ca="1" si="8"/>
        <v>1</v>
      </c>
      <c r="G50" s="9">
        <f t="shared" ca="1" si="9"/>
        <v>1</v>
      </c>
      <c r="H50" s="9">
        <f>IF(OR(Rating!$E$2=0,Rating!$E$2=""),1+$AG$14,Rating!$E$2+$AG$14+1)</f>
        <v>1.25</v>
      </c>
      <c r="I50" s="9">
        <f>IF(OR(Rating!$F$2=0,Rating!$F$2=""),1+$AG$14,Rating!$F$2+$AG$14+1)</f>
        <v>1.07</v>
      </c>
      <c r="J50" s="9">
        <f>IF(OR(Rating!$R54=0,Rating!$R54=""),1,Rating!$R54+1)</f>
        <v>1</v>
      </c>
      <c r="K50" s="9">
        <f>IF(OR(Rating!$T54=0,Rating!$T54=""),1,Rating!$T54+1)</f>
        <v>1</v>
      </c>
      <c r="L50" s="13" t="str">
        <f>IF(Aircraft!J48="","",ROUND(PRODUCT(ROUND(ROUND(C50*85%,6)/$E$4,6),G50),6))</f>
        <v/>
      </c>
      <c r="M50" s="15" t="str">
        <f>IF(Aircraft!J48="","",ROUND(PRODUCT(ROUND(ROUND(D50*85%,0)/$E$4,0),F50),0))</f>
        <v/>
      </c>
      <c r="N50" s="13" t="str">
        <f>IF(Aircraft!J48="","",ROUND(PRODUCT(I50,K50,L50),5))</f>
        <v/>
      </c>
      <c r="O50" s="11" t="str">
        <f>IF(Aircraft!J48="","",IFERROR(ROUND(PRODUCT(N50,Aircraft!P48),0),0))</f>
        <v/>
      </c>
      <c r="P50" s="11" t="str">
        <f>IF(Aircraft!J48="","",IFERROR(ROUND(PRODUCT(H50,M50,J50),0),""))</f>
        <v/>
      </c>
      <c r="Q50" s="11" t="str">
        <f>IF(Aircraft!J48="","",IFERROR(ROUND(PRODUCT(ROUND(ROUND(E50*85%,0)/$E$4,0),AC50),0),""))</f>
        <v/>
      </c>
      <c r="S50" t="str">
        <f>IFERROR(IF(VLOOKUP(Aircraft!C48,Aircraftlist,17)="M","Medium",IF(VLOOKUP(Aircraft!C48,Aircraftlist,17)="L","Light",IF(VLOOKUP(Aircraft!C48,Aircraftlist,17)="H","Heavy",""))),"")</f>
        <v/>
      </c>
      <c r="T50" s="9">
        <f ca="1">IFERROR(1+VLOOKUP(MATCH(S50,ACCATCHART,0),INDIRECT(CONCATENATE(Aircraft!AO48,"CATMOD")),5),1)</f>
        <v>1</v>
      </c>
      <c r="U50" s="9">
        <f ca="1">IFERROR(IF(Rating!J54=Worksheet_Com!$AF$11,1,IF(LEFT(Aircraft!C48,2)="RW",1,IF(AND(Aircraft!AO48="SETP",Aircraft!AX48="R"),1+VLOOKUP(MATCH(Aircraft!AY48,ACGearType,0),INDIRECT(CONCATENATE("SE_P","GearMod")),5),1+VLOOKUP(MATCH(Aircraft!AY48,ACGearType,0),INDIRECT(CONCATENATE(Aircraft!AO48,"GearMod")),5)))),1)</f>
        <v>1</v>
      </c>
      <c r="V50" s="9">
        <f ca="1">IFERROR(IF(Rating!J54=Worksheet_Com!$AF$11,1,IF(LEFT(Aircraft!C48,2)="RW",1,IF(AND(Aircraft!AO48="SETP",Aircraft!AX48="R"),1+VLOOKUP(MATCH(Aircraft!AY48,ACGearType,0),INDIRECT(CONCATENATE("SE_P","GearMod")),7),1+VLOOKUP(MATCH(Aircraft!AY48,ACGearType,0),INDIRECT(CONCATENATE(Aircraft!AO48,"GearMod")),7)))),1)</f>
        <v>1</v>
      </c>
      <c r="W50" s="9">
        <f>IFERROR(IF(VLOOKUP(Aircraft!C48,Aircraftlist,19)="",0,VLOOKUP(Aircraft!C48,Aircraftlist,19))+1,1)</f>
        <v>1</v>
      </c>
      <c r="X50" s="9">
        <f>IFERROR(VLOOKUP(Aircraft!C48,Aircraftlist,18)+1,1)</f>
        <v>1</v>
      </c>
      <c r="Y50" s="9">
        <f>IFERROR(1+(VLOOKUP(MATCH(Aircraft!AK48,AWtypes,0),AWCertChart,5)),1)</f>
        <v>1</v>
      </c>
      <c r="Z50" s="9">
        <f ca="1">IFERROR(1+(VLOOKUP(IF(LEFT(Aircraft!$AO48,2)="RW",2,1),INDIRECT(Rating!$J54),2)),1)</f>
        <v>1</v>
      </c>
      <c r="AA50" s="9">
        <f ca="1">IFERROR(1+(VLOOKUP(IF(LEFT(Aircraft!$AO48,2)="RW",2,1),INDIRECT(Rating!$J54),3)),1)</f>
        <v>1</v>
      </c>
      <c r="AB50" s="9">
        <f>IF(OR(Aircraft!S48="N",Aircraft!S48=""),1,'MGR Adjustment'!$AF$23+1)</f>
        <v>1</v>
      </c>
      <c r="AC50" s="9">
        <f>IFERROR(IF(AND(Aircraft!J48&gt;"",OR(Aircraft!P48="",Aircraft!P48=0)),'MGR Adjustment'!$AM$23)+1,1)</f>
        <v>1</v>
      </c>
      <c r="BC50">
        <v>46</v>
      </c>
      <c r="BD50" s="387" t="s">
        <v>1998</v>
      </c>
      <c r="BE50" t="s">
        <v>1999</v>
      </c>
      <c r="BF50" t="s">
        <v>2000</v>
      </c>
      <c r="BG50" t="str">
        <f t="shared" si="2"/>
        <v/>
      </c>
      <c r="BH50" t="str">
        <f t="shared" si="3"/>
        <v/>
      </c>
      <c r="BK50">
        <v>46</v>
      </c>
      <c r="BL50" s="157" t="s">
        <v>2001</v>
      </c>
      <c r="BM50" s="159">
        <v>0.1</v>
      </c>
    </row>
    <row r="51" spans="1:65">
      <c r="A51" t="s">
        <v>2002</v>
      </c>
      <c r="B51">
        <v>46</v>
      </c>
      <c r="C51" s="10" t="str">
        <f ca="1">IFERROR(IF(Aircraft!C49="","",IF(Aircraft!C49=0,VLOOKUP(Aircraft!P49,SE_p,2),VLOOKUP(Aircraft!P49,INDIRECT(Aircraft!AO49),2))),"")</f>
        <v/>
      </c>
      <c r="D51" s="15" t="str">
        <f>IFERROR(IF(LEFT(Aircraft!AO49,2)="RW",HLOOKUP(IF(Aircraft!AI49&gt;0,Aircraft!AI49,Aircraft!AE49),PistonRWLiabRate,SUM(MATCH(Aircraft!W49,PistonLiabLocMatch,0)+1)),IF(LEFT(Aircraft!AO49,2)="ME",HLOOKUP(IF(Aircraft!AI49&gt;0,Aircraft!AI49,Aircraft!AE49),PistonMELFWLiabRates,SUM(MATCH(Aircraft!W49,PistonLiabLocMatch,0)+1)),HLOOKUP(IF(Aircraft!AI49&gt;0,Aircraft!AI49,Aircraft!AE49),PistonFWLiabRate,SUM(MATCH(Aircraft!W49,PistonLiabLocMatch,0)+1)))),"")</f>
        <v/>
      </c>
      <c r="E51" s="15" t="str">
        <f>IFERROR(IF(Rating!AC55="Yes",0,PRODUCT(VLOOKUP(MATCH(Aircraft!$Y49,MedLimits,0),MedRate,3),Aircraft!$BB49)),"")</f>
        <v/>
      </c>
      <c r="F51" s="9">
        <f t="shared" ca="1" si="8"/>
        <v>1</v>
      </c>
      <c r="G51" s="9">
        <f t="shared" ca="1" si="9"/>
        <v>1</v>
      </c>
      <c r="H51" s="9">
        <f>IF(OR(Rating!$E$2=0,Rating!$E$2=""),1+$AG$14,Rating!$E$2+$AG$14+1)</f>
        <v>1.25</v>
      </c>
      <c r="I51" s="9">
        <f>IF(OR(Rating!$F$2=0,Rating!$F$2=""),1+$AG$14,Rating!$F$2+$AG$14+1)</f>
        <v>1.07</v>
      </c>
      <c r="J51" s="9">
        <f>IF(OR(Rating!$R55=0,Rating!$R55=""),1,Rating!$R55+1)</f>
        <v>1</v>
      </c>
      <c r="K51" s="9">
        <f>IF(OR(Rating!$T55=0,Rating!$T55=""),1,Rating!$T55+1)</f>
        <v>1</v>
      </c>
      <c r="L51" s="13" t="str">
        <f>IF(Aircraft!J49="","",ROUND(PRODUCT(ROUND(ROUND(C51*85%,6)/$E$4,6),G51),6))</f>
        <v/>
      </c>
      <c r="M51" s="15" t="str">
        <f>IF(Aircraft!J49="","",ROUND(PRODUCT(ROUND(ROUND(D51*85%,0)/$E$4,0),F51),0))</f>
        <v/>
      </c>
      <c r="N51" s="13" t="str">
        <f>IF(Aircraft!J49="","",ROUND(PRODUCT(I51,K51,L51),5))</f>
        <v/>
      </c>
      <c r="O51" s="11" t="str">
        <f>IF(Aircraft!J49="","",IFERROR(ROUND(PRODUCT(N51,Aircraft!P49),0),0))</f>
        <v/>
      </c>
      <c r="P51" s="11" t="str">
        <f>IF(Aircraft!J49="","",IFERROR(ROUND(PRODUCT(H51,M51,J51),0),""))</f>
        <v/>
      </c>
      <c r="Q51" s="11" t="str">
        <f>IF(Aircraft!J49="","",IFERROR(ROUND(PRODUCT(ROUND(ROUND(E51*85%,0)/$E$4,0),AC51),0),""))</f>
        <v/>
      </c>
      <c r="S51" t="str">
        <f>IFERROR(IF(VLOOKUP(Aircraft!C49,Aircraftlist,17)="M","Medium",IF(VLOOKUP(Aircraft!C49,Aircraftlist,17)="L","Light",IF(VLOOKUP(Aircraft!C49,Aircraftlist,17)="H","Heavy",""))),"")</f>
        <v/>
      </c>
      <c r="T51" s="9">
        <f ca="1">IFERROR(1+VLOOKUP(MATCH(S51,ACCATCHART,0),INDIRECT(CONCATENATE(Aircraft!AO49,"CATMOD")),5),1)</f>
        <v>1</v>
      </c>
      <c r="U51" s="9">
        <f ca="1">IFERROR(IF(Rating!J55=Worksheet_Com!$AF$11,1,IF(LEFT(Aircraft!C49,2)="RW",1,IF(AND(Aircraft!AO49="SETP",Aircraft!AX49="R"),1+VLOOKUP(MATCH(Aircraft!AY49,ACGearType,0),INDIRECT(CONCATENATE("SE_P","GearMod")),5),1+VLOOKUP(MATCH(Aircraft!AY49,ACGearType,0),INDIRECT(CONCATENATE(Aircraft!AO49,"GearMod")),5)))),1)</f>
        <v>1</v>
      </c>
      <c r="V51" s="9">
        <f ca="1">IFERROR(IF(Rating!J55=Worksheet_Com!$AF$11,1,IF(LEFT(Aircraft!C49,2)="RW",1,IF(AND(Aircraft!AO49="SETP",Aircraft!AX49="R"),1+VLOOKUP(MATCH(Aircraft!AY49,ACGearType,0),INDIRECT(CONCATENATE("SE_P","GearMod")),7),1+VLOOKUP(MATCH(Aircraft!AY49,ACGearType,0),INDIRECT(CONCATENATE(Aircraft!AO49,"GearMod")),7)))),1)</f>
        <v>1</v>
      </c>
      <c r="W51" s="9">
        <f>IFERROR(IF(VLOOKUP(Aircraft!C49,Aircraftlist,19)="",0,VLOOKUP(Aircraft!C49,Aircraftlist,19))+1,1)</f>
        <v>1</v>
      </c>
      <c r="X51" s="9">
        <f>IFERROR(VLOOKUP(Aircraft!C49,Aircraftlist,18)+1,1)</f>
        <v>1</v>
      </c>
      <c r="Y51" s="9">
        <f>IFERROR(1+(VLOOKUP(MATCH(Aircraft!AK49,AWtypes,0),AWCertChart,5)),1)</f>
        <v>1</v>
      </c>
      <c r="Z51" s="9">
        <f ca="1">IFERROR(1+(VLOOKUP(IF(LEFT(Aircraft!$AO49,2)="RW",2,1),INDIRECT(Rating!$J55),2)),1)</f>
        <v>1</v>
      </c>
      <c r="AA51" s="9">
        <f ca="1">IFERROR(1+(VLOOKUP(IF(LEFT(Aircraft!$AO49,2)="RW",2,1),INDIRECT(Rating!$J55),3)),1)</f>
        <v>1</v>
      </c>
      <c r="AB51" s="9">
        <f>IF(OR(Aircraft!S49="N",Aircraft!S49=""),1,'MGR Adjustment'!$AF$23+1)</f>
        <v>1</v>
      </c>
      <c r="AC51" s="9">
        <f>IFERROR(IF(AND(Aircraft!J49&gt;"",OR(Aircraft!P49="",Aircraft!P49=0)),'MGR Adjustment'!$AM$23)+1,1)</f>
        <v>1</v>
      </c>
      <c r="BC51">
        <v>47</v>
      </c>
      <c r="BD51" s="387" t="s">
        <v>2003</v>
      </c>
      <c r="BE51" t="s">
        <v>1999</v>
      </c>
      <c r="BF51" t="s">
        <v>2004</v>
      </c>
      <c r="BG51" t="str">
        <f t="shared" si="2"/>
        <v/>
      </c>
      <c r="BH51" t="str">
        <f t="shared" si="3"/>
        <v/>
      </c>
      <c r="BK51">
        <v>47</v>
      </c>
      <c r="BL51" s="157" t="s">
        <v>2005</v>
      </c>
      <c r="BM51" s="159">
        <v>0.06</v>
      </c>
    </row>
    <row r="52" spans="1:65">
      <c r="A52" t="s">
        <v>2006</v>
      </c>
      <c r="B52">
        <v>47</v>
      </c>
      <c r="C52" s="10" t="str">
        <f ca="1">IFERROR(IF(Aircraft!C50="","",IF(Aircraft!C50=0,VLOOKUP(Aircraft!P50,SE_p,2),VLOOKUP(Aircraft!P50,INDIRECT(Aircraft!AO50),2))),"")</f>
        <v/>
      </c>
      <c r="D52" s="15" t="str">
        <f>IFERROR(IF(LEFT(Aircraft!AO50,2)="RW",HLOOKUP(IF(Aircraft!AI50&gt;0,Aircraft!AI50,Aircraft!AE50),PistonRWLiabRate,SUM(MATCH(Aircraft!W50,PistonLiabLocMatch,0)+1)),IF(LEFT(Aircraft!AO50,2)="ME",HLOOKUP(IF(Aircraft!AI50&gt;0,Aircraft!AI50,Aircraft!AE50),PistonMELFWLiabRates,SUM(MATCH(Aircraft!W50,PistonLiabLocMatch,0)+1)),HLOOKUP(IF(Aircraft!AI50&gt;0,Aircraft!AI50,Aircraft!AE50),PistonFWLiabRate,SUM(MATCH(Aircraft!W50,PistonLiabLocMatch,0)+1)))),"")</f>
        <v/>
      </c>
      <c r="E52" s="15" t="str">
        <f>IFERROR(IF(Rating!AC56="Yes",0,PRODUCT(VLOOKUP(MATCH(Aircraft!$Y50,MedLimits,0),MedRate,3),Aircraft!$BB50)),"")</f>
        <v/>
      </c>
      <c r="F52" s="9">
        <f t="shared" ca="1" si="8"/>
        <v>1</v>
      </c>
      <c r="G52" s="9">
        <f t="shared" ca="1" si="9"/>
        <v>1</v>
      </c>
      <c r="H52" s="9">
        <f>IF(OR(Rating!$E$2=0,Rating!$E$2=""),1+$AG$14,Rating!$E$2+$AG$14+1)</f>
        <v>1.25</v>
      </c>
      <c r="I52" s="9">
        <f>IF(OR(Rating!$F$2=0,Rating!$F$2=""),1+$AG$14,Rating!$F$2+$AG$14+1)</f>
        <v>1.07</v>
      </c>
      <c r="J52" s="9">
        <f>IF(OR(Rating!$R56=0,Rating!$R56=""),1,Rating!$R56+1)</f>
        <v>1</v>
      </c>
      <c r="K52" s="9">
        <f>IF(OR(Rating!$T56=0,Rating!$T56=""),1,Rating!$T56+1)</f>
        <v>1</v>
      </c>
      <c r="L52" s="13" t="str">
        <f>IF(Aircraft!J50="","",ROUND(PRODUCT(ROUND(ROUND(C52*85%,6)/$E$4,6),G52),6))</f>
        <v/>
      </c>
      <c r="M52" s="15" t="str">
        <f>IF(Aircraft!J50="","",ROUND(PRODUCT(ROUND(ROUND(D52*85%,0)/$E$4,0),F52),0))</f>
        <v/>
      </c>
      <c r="N52" s="13" t="str">
        <f>IF(Aircraft!J50="","",ROUND(PRODUCT(I52,K52,L52),5))</f>
        <v/>
      </c>
      <c r="O52" s="11" t="str">
        <f>IF(Aircraft!J50="","",IFERROR(ROUND(PRODUCT(N52,Aircraft!P50),0),0))</f>
        <v/>
      </c>
      <c r="P52" s="11" t="str">
        <f>IF(Aircraft!J50="","",IFERROR(ROUND(PRODUCT(H52,M52,J52),0),""))</f>
        <v/>
      </c>
      <c r="Q52" s="11" t="str">
        <f>IF(Aircraft!J50="","",IFERROR(ROUND(PRODUCT(ROUND(ROUND(E52*85%,0)/$E$4,0),AC52),0),""))</f>
        <v/>
      </c>
      <c r="S52" t="str">
        <f>IFERROR(IF(VLOOKUP(Aircraft!C50,Aircraftlist,17)="M","Medium",IF(VLOOKUP(Aircraft!C50,Aircraftlist,17)="L","Light",IF(VLOOKUP(Aircraft!C50,Aircraftlist,17)="H","Heavy",""))),"")</f>
        <v/>
      </c>
      <c r="T52" s="9">
        <f ca="1">IFERROR(1+VLOOKUP(MATCH(S52,ACCATCHART,0),INDIRECT(CONCATENATE(Aircraft!AO50,"CATMOD")),5),1)</f>
        <v>1</v>
      </c>
      <c r="U52" s="9">
        <f ca="1">IFERROR(IF(Rating!J56=Worksheet_Com!$AF$11,1,IF(LEFT(Aircraft!C50,2)="RW",1,IF(AND(Aircraft!AO50="SETP",Aircraft!AX50="R"),1+VLOOKUP(MATCH(Aircraft!AY50,ACGearType,0),INDIRECT(CONCATENATE("SE_P","GearMod")),5),1+VLOOKUP(MATCH(Aircraft!AY50,ACGearType,0),INDIRECT(CONCATENATE(Aircraft!AO50,"GearMod")),5)))),1)</f>
        <v>1</v>
      </c>
      <c r="V52" s="9">
        <f ca="1">IFERROR(IF(Rating!J56=Worksheet_Com!$AF$11,1,IF(LEFT(Aircraft!C50,2)="RW",1,IF(AND(Aircraft!AO50="SETP",Aircraft!AX50="R"),1+VLOOKUP(MATCH(Aircraft!AY50,ACGearType,0),INDIRECT(CONCATENATE("SE_P","GearMod")),7),1+VLOOKUP(MATCH(Aircraft!AY50,ACGearType,0),INDIRECT(CONCATENATE(Aircraft!AO50,"GearMod")),7)))),1)</f>
        <v>1</v>
      </c>
      <c r="W52" s="9">
        <f>IFERROR(IF(VLOOKUP(Aircraft!C50,Aircraftlist,19)="",0,VLOOKUP(Aircraft!C50,Aircraftlist,19))+1,1)</f>
        <v>1</v>
      </c>
      <c r="X52" s="9">
        <f>IFERROR(VLOOKUP(Aircraft!C50,Aircraftlist,18)+1,1)</f>
        <v>1</v>
      </c>
      <c r="Y52" s="9">
        <f>IFERROR(1+(VLOOKUP(MATCH(Aircraft!AK50,AWtypes,0),AWCertChart,5)),1)</f>
        <v>1</v>
      </c>
      <c r="Z52" s="9">
        <f ca="1">IFERROR(1+(VLOOKUP(IF(LEFT(Aircraft!$AO50,2)="RW",2,1),INDIRECT(Rating!$J56),2)),1)</f>
        <v>1</v>
      </c>
      <c r="AA52" s="9">
        <f ca="1">IFERROR(1+(VLOOKUP(IF(LEFT(Aircraft!$AO50,2)="RW",2,1),INDIRECT(Rating!$J56),3)),1)</f>
        <v>1</v>
      </c>
      <c r="AB52" s="9">
        <f>IF(OR(Aircraft!S50="N",Aircraft!S50=""),1,'MGR Adjustment'!$AF$23+1)</f>
        <v>1</v>
      </c>
      <c r="AC52" s="9">
        <f>IFERROR(IF(AND(Aircraft!J50&gt;"",OR(Aircraft!P50="",Aircraft!P50=0)),'MGR Adjustment'!$AM$23)+1,1)</f>
        <v>1</v>
      </c>
      <c r="BC52">
        <v>48</v>
      </c>
      <c r="BD52" s="387" t="s">
        <v>2007</v>
      </c>
      <c r="BE52" t="s">
        <v>2008</v>
      </c>
      <c r="BF52" t="s">
        <v>2009</v>
      </c>
      <c r="BG52" t="str">
        <f t="shared" si="2"/>
        <v/>
      </c>
      <c r="BH52" t="str">
        <f t="shared" si="3"/>
        <v/>
      </c>
      <c r="BK52">
        <v>48</v>
      </c>
      <c r="BL52" s="157" t="s">
        <v>2010</v>
      </c>
      <c r="BM52" s="159">
        <v>0.12</v>
      </c>
    </row>
    <row r="53" spans="1:65">
      <c r="A53" t="s">
        <v>2011</v>
      </c>
      <c r="B53">
        <v>48</v>
      </c>
      <c r="C53" s="10" t="str">
        <f ca="1">IFERROR(IF(Aircraft!C51="","",IF(Aircraft!C51=0,VLOOKUP(Aircraft!P51,SE_p,2),VLOOKUP(Aircraft!P51,INDIRECT(Aircraft!AO51),2))),"")</f>
        <v/>
      </c>
      <c r="D53" s="15" t="str">
        <f>IFERROR(IF(LEFT(Aircraft!AO51,2)="RW",HLOOKUP(IF(Aircraft!AI51&gt;0,Aircraft!AI51,Aircraft!AE51),PistonRWLiabRate,SUM(MATCH(Aircraft!W51,PistonLiabLocMatch,0)+1)),IF(LEFT(Aircraft!AO51,2)="ME",HLOOKUP(IF(Aircraft!AI51&gt;0,Aircraft!AI51,Aircraft!AE51),PistonMELFWLiabRates,SUM(MATCH(Aircraft!W51,PistonLiabLocMatch,0)+1)),HLOOKUP(IF(Aircraft!AI51&gt;0,Aircraft!AI51,Aircraft!AE51),PistonFWLiabRate,SUM(MATCH(Aircraft!W51,PistonLiabLocMatch,0)+1)))),"")</f>
        <v/>
      </c>
      <c r="E53" s="15" t="str">
        <f>IFERROR(IF(Rating!AC57="Yes",0,PRODUCT(VLOOKUP(MATCH(Aircraft!$Y51,MedLimits,0),MedRate,3),Aircraft!$BB51)),"")</f>
        <v/>
      </c>
      <c r="F53" s="9">
        <f t="shared" ca="1" si="8"/>
        <v>1</v>
      </c>
      <c r="G53" s="9">
        <f t="shared" ca="1" si="9"/>
        <v>1</v>
      </c>
      <c r="H53" s="9">
        <f>IF(OR(Rating!$E$2=0,Rating!$E$2=""),1+$AG$14,Rating!$E$2+$AG$14+1)</f>
        <v>1.25</v>
      </c>
      <c r="I53" s="9">
        <f>IF(OR(Rating!$F$2=0,Rating!$F$2=""),1+$AG$14,Rating!$F$2+$AG$14+1)</f>
        <v>1.07</v>
      </c>
      <c r="J53" s="9">
        <f>IF(OR(Rating!$R57=0,Rating!$R57=""),1,Rating!$R57+1)</f>
        <v>1</v>
      </c>
      <c r="K53" s="9">
        <f>IF(OR(Rating!$T57=0,Rating!$T57=""),1,Rating!$T57+1)</f>
        <v>1</v>
      </c>
      <c r="L53" s="13" t="str">
        <f>IF(Aircraft!J51="","",ROUND(PRODUCT(ROUND(ROUND(C53*85%,6)/$E$4,6),G53),6))</f>
        <v/>
      </c>
      <c r="M53" s="15" t="str">
        <f>IF(Aircraft!J51="","",ROUND(PRODUCT(ROUND(ROUND(D53*85%,0)/$E$4,0),F53),0))</f>
        <v/>
      </c>
      <c r="N53" s="13" t="str">
        <f>IF(Aircraft!J51="","",ROUND(PRODUCT(I53,K53,L53),5))</f>
        <v/>
      </c>
      <c r="O53" s="11" t="str">
        <f>IF(Aircraft!J51="","",IFERROR(ROUND(PRODUCT(N53,Aircraft!P51),0),0))</f>
        <v/>
      </c>
      <c r="P53" s="11" t="str">
        <f>IF(Aircraft!J51="","",IFERROR(ROUND(PRODUCT(H53,M53,J53),0),""))</f>
        <v/>
      </c>
      <c r="Q53" s="11" t="str">
        <f>IF(Aircraft!J51="","",IFERROR(ROUND(PRODUCT(ROUND(ROUND(E53*85%,0)/$E$4,0),AC53),0),""))</f>
        <v/>
      </c>
      <c r="S53" t="str">
        <f>IFERROR(IF(VLOOKUP(Aircraft!C51,Aircraftlist,17)="M","Medium",IF(VLOOKUP(Aircraft!C51,Aircraftlist,17)="L","Light",IF(VLOOKUP(Aircraft!C51,Aircraftlist,17)="H","Heavy",""))),"")</f>
        <v/>
      </c>
      <c r="T53" s="9">
        <f ca="1">IFERROR(1+VLOOKUP(MATCH(S53,ACCATCHART,0),INDIRECT(CONCATENATE(Aircraft!AO51,"CATMOD")),5),1)</f>
        <v>1</v>
      </c>
      <c r="U53" s="9">
        <f ca="1">IFERROR(IF(Rating!J57=Worksheet_Com!$AF$11,1,IF(LEFT(Aircraft!C51,2)="RW",1,IF(AND(Aircraft!AO51="SETP",Aircraft!AX51="R"),1+VLOOKUP(MATCH(Aircraft!AY51,ACGearType,0),INDIRECT(CONCATENATE("SE_P","GearMod")),5),1+VLOOKUP(MATCH(Aircraft!AY51,ACGearType,0),INDIRECT(CONCATENATE(Aircraft!AO51,"GearMod")),5)))),1)</f>
        <v>1</v>
      </c>
      <c r="V53" s="9">
        <f ca="1">IFERROR(IF(Rating!J57=Worksheet_Com!$AF$11,1,IF(LEFT(Aircraft!C51,2)="RW",1,IF(AND(Aircraft!AO51="SETP",Aircraft!AX51="R"),1+VLOOKUP(MATCH(Aircraft!AY51,ACGearType,0),INDIRECT(CONCATENATE("SE_P","GearMod")),7),1+VLOOKUP(MATCH(Aircraft!AY51,ACGearType,0),INDIRECT(CONCATENATE(Aircraft!AO51,"GearMod")),7)))),1)</f>
        <v>1</v>
      </c>
      <c r="W53" s="9">
        <f>IFERROR(IF(VLOOKUP(Aircraft!C51,Aircraftlist,19)="",0,VLOOKUP(Aircraft!C51,Aircraftlist,19))+1,1)</f>
        <v>1</v>
      </c>
      <c r="X53" s="9">
        <f>IFERROR(VLOOKUP(Aircraft!C51,Aircraftlist,18)+1,1)</f>
        <v>1</v>
      </c>
      <c r="Y53" s="9">
        <f>IFERROR(1+(VLOOKUP(MATCH(Aircraft!AK51,AWtypes,0),AWCertChart,5)),1)</f>
        <v>1</v>
      </c>
      <c r="Z53" s="9">
        <f ca="1">IFERROR(1+(VLOOKUP(IF(LEFT(Aircraft!$AO51,2)="RW",2,1),INDIRECT(Rating!$J57),2)),1)</f>
        <v>1</v>
      </c>
      <c r="AA53" s="9">
        <f ca="1">IFERROR(1+(VLOOKUP(IF(LEFT(Aircraft!$AO51,2)="RW",2,1),INDIRECT(Rating!$J57),3)),1)</f>
        <v>1</v>
      </c>
      <c r="AB53" s="9">
        <f>IF(OR(Aircraft!S51="N",Aircraft!S51=""),1,'MGR Adjustment'!$AF$23+1)</f>
        <v>1</v>
      </c>
      <c r="AC53" s="9">
        <f>IFERROR(IF(AND(Aircraft!J51&gt;"",OR(Aircraft!P51="",Aircraft!P51=0)),'MGR Adjustment'!$AM$23)+1,1)</f>
        <v>1</v>
      </c>
      <c r="BC53">
        <v>49</v>
      </c>
      <c r="BD53" s="387" t="s">
        <v>2012</v>
      </c>
      <c r="BE53" t="s">
        <v>2013</v>
      </c>
      <c r="BF53" t="s">
        <v>2014</v>
      </c>
      <c r="BG53" t="str">
        <f t="shared" si="2"/>
        <v/>
      </c>
      <c r="BH53" t="str">
        <f t="shared" si="3"/>
        <v/>
      </c>
      <c r="BK53">
        <v>49</v>
      </c>
      <c r="BL53" s="157" t="s">
        <v>2015</v>
      </c>
      <c r="BM53" s="159">
        <v>0.1</v>
      </c>
    </row>
    <row r="54" spans="1:65">
      <c r="B54">
        <v>49</v>
      </c>
      <c r="C54" s="10" t="str">
        <f ca="1">IFERROR(IF(Aircraft!C52="","",IF(Aircraft!C52=0,VLOOKUP(Aircraft!P52,SE_p,2),VLOOKUP(Aircraft!P52,INDIRECT(Aircraft!AO52),2))),"")</f>
        <v/>
      </c>
      <c r="D54" s="15" t="str">
        <f>IFERROR(IF(LEFT(Aircraft!AO52,2)="RW",HLOOKUP(IF(Aircraft!AI52&gt;0,Aircraft!AI52,Aircraft!AE52),PistonRWLiabRate,SUM(MATCH(Aircraft!W52,PistonLiabLocMatch,0)+1)),IF(LEFT(Aircraft!AO52,2)="ME",HLOOKUP(IF(Aircraft!AI52&gt;0,Aircraft!AI52,Aircraft!AE52),PistonMELFWLiabRates,SUM(MATCH(Aircraft!W52,PistonLiabLocMatch,0)+1)),HLOOKUP(IF(Aircraft!AI52&gt;0,Aircraft!AI52,Aircraft!AE52),PistonFWLiabRate,SUM(MATCH(Aircraft!W52,PistonLiabLocMatch,0)+1)))),"")</f>
        <v/>
      </c>
      <c r="E54" s="15" t="str">
        <f>IFERROR(IF(Rating!AC58="Yes",0,PRODUCT(VLOOKUP(MATCH(Aircraft!$Y52,MedLimits,0),MedRate,3),Aircraft!$BB52)),"")</f>
        <v/>
      </c>
      <c r="F54" s="9">
        <f t="shared" ca="1" si="8"/>
        <v>1</v>
      </c>
      <c r="G54" s="9">
        <f t="shared" ca="1" si="9"/>
        <v>1</v>
      </c>
      <c r="H54" s="9">
        <f>IF(OR(Rating!$E$2=0,Rating!$E$2=""),1+$AG$14,Rating!$E$2+$AG$14+1)</f>
        <v>1.25</v>
      </c>
      <c r="I54" s="9">
        <f>IF(OR(Rating!$F$2=0,Rating!$F$2=""),1+$AG$14,Rating!$F$2+$AG$14+1)</f>
        <v>1.07</v>
      </c>
      <c r="J54" s="9">
        <f>IF(OR(Rating!$R58=0,Rating!$R58=""),1,Rating!$R58+1)</f>
        <v>1</v>
      </c>
      <c r="K54" s="9">
        <f>IF(OR(Rating!$T58=0,Rating!$T58=""),1,Rating!$T58+1)</f>
        <v>1</v>
      </c>
      <c r="L54" s="13" t="str">
        <f>IF(Aircraft!J52="","",ROUND(PRODUCT(ROUND(ROUND(C54*85%,6)/$E$4,6),G54),6))</f>
        <v/>
      </c>
      <c r="M54" s="15" t="str">
        <f>IF(Aircraft!J52="","",ROUND(PRODUCT(ROUND(ROUND(D54*85%,0)/$E$4,0),F54),0))</f>
        <v/>
      </c>
      <c r="N54" s="13" t="str">
        <f>IF(Aircraft!J52="","",ROUND(PRODUCT(I54,K54,L54),5))</f>
        <v/>
      </c>
      <c r="O54" s="11" t="str">
        <f>IF(Aircraft!J52="","",IFERROR(ROUND(PRODUCT(N54,Aircraft!P52),0),0))</f>
        <v/>
      </c>
      <c r="P54" s="11" t="str">
        <f>IF(Aircraft!J52="","",IFERROR(ROUND(PRODUCT(H54,M54,J54),0),""))</f>
        <v/>
      </c>
      <c r="Q54" s="11" t="str">
        <f>IF(Aircraft!J52="","",IFERROR(ROUND(PRODUCT(ROUND(ROUND(E54*85%,0)/$E$4,0),AC54),0),""))</f>
        <v/>
      </c>
      <c r="S54" t="str">
        <f>IFERROR(IF(VLOOKUP(Aircraft!C52,Aircraftlist,17)="M","Medium",IF(VLOOKUP(Aircraft!C52,Aircraftlist,17)="L","Light",IF(VLOOKUP(Aircraft!C52,Aircraftlist,17)="H","Heavy",""))),"")</f>
        <v/>
      </c>
      <c r="T54" s="9">
        <f ca="1">IFERROR(1+VLOOKUP(MATCH(S54,ACCATCHART,0),INDIRECT(CONCATENATE(Aircraft!AO52,"CATMOD")),5),1)</f>
        <v>1</v>
      </c>
      <c r="U54" s="9">
        <f ca="1">IFERROR(IF(Rating!J58=Worksheet_Com!$AF$11,1,IF(LEFT(Aircraft!C52,2)="RW",1,IF(AND(Aircraft!AO52="SETP",Aircraft!AX52="R"),1+VLOOKUP(MATCH(Aircraft!AY52,ACGearType,0),INDIRECT(CONCATENATE("SE_P","GearMod")),5),1+VLOOKUP(MATCH(Aircraft!AY52,ACGearType,0),INDIRECT(CONCATENATE(Aircraft!AO52,"GearMod")),5)))),1)</f>
        <v>1</v>
      </c>
      <c r="V54" s="9">
        <f ca="1">IFERROR(IF(Rating!J58=Worksheet_Com!$AF$11,1,IF(LEFT(Aircraft!C52,2)="RW",1,IF(AND(Aircraft!AO52="SETP",Aircraft!AX52="R"),1+VLOOKUP(MATCH(Aircraft!AY52,ACGearType,0),INDIRECT(CONCATENATE("SE_P","GearMod")),7),1+VLOOKUP(MATCH(Aircraft!AY52,ACGearType,0),INDIRECT(CONCATENATE(Aircraft!AO52,"GearMod")),7)))),1)</f>
        <v>1</v>
      </c>
      <c r="W54" s="9">
        <f>IFERROR(IF(VLOOKUP(Aircraft!C52,Aircraftlist,19)="",0,VLOOKUP(Aircraft!C52,Aircraftlist,19))+1,1)</f>
        <v>1</v>
      </c>
      <c r="X54" s="9">
        <f>IFERROR(VLOOKUP(Aircraft!C52,Aircraftlist,18)+1,1)</f>
        <v>1</v>
      </c>
      <c r="Y54" s="9">
        <f>IFERROR(1+(VLOOKUP(MATCH(Aircraft!AK52,AWtypes,0),AWCertChart,5)),1)</f>
        <v>1</v>
      </c>
      <c r="Z54" s="9">
        <f ca="1">IFERROR(1+(VLOOKUP(IF(LEFT(Aircraft!$AO52,2)="RW",2,1),INDIRECT(Rating!$J58),2)),1)</f>
        <v>1</v>
      </c>
      <c r="AA54" s="9">
        <f ca="1">IFERROR(1+(VLOOKUP(IF(LEFT(Aircraft!$AO52,2)="RW",2,1),INDIRECT(Rating!$J58),3)),1)</f>
        <v>1</v>
      </c>
      <c r="AB54" s="9">
        <f>IF(OR(Aircraft!S52="N",Aircraft!S52=""),1,'MGR Adjustment'!$AF$23+1)</f>
        <v>1</v>
      </c>
      <c r="AC54" s="9">
        <f>IFERROR(IF(AND(Aircraft!J52&gt;"",OR(Aircraft!P52="",Aircraft!P52=0)),'MGR Adjustment'!$AM$23)+1,1)</f>
        <v>1</v>
      </c>
      <c r="BC54">
        <v>50</v>
      </c>
      <c r="BD54" s="387" t="s">
        <v>2016</v>
      </c>
      <c r="BE54" t="s">
        <v>1935</v>
      </c>
      <c r="BF54" t="s">
        <v>2017</v>
      </c>
      <c r="BG54" t="str">
        <f t="shared" si="2"/>
        <v/>
      </c>
      <c r="BH54" t="str">
        <f t="shared" si="3"/>
        <v/>
      </c>
      <c r="BK54">
        <v>50</v>
      </c>
      <c r="BL54" s="157" t="s">
        <v>2018</v>
      </c>
      <c r="BM54" s="159">
        <v>7.0000000000000007E-2</v>
      </c>
    </row>
    <row r="55" spans="1:65">
      <c r="B55">
        <v>50</v>
      </c>
      <c r="C55" s="10" t="str">
        <f ca="1">IFERROR(IF(Aircraft!C53="","",IF(Aircraft!C53=0,VLOOKUP(Aircraft!P53,SE_p,2),VLOOKUP(Aircraft!P53,INDIRECT(Aircraft!AO53),2))),"")</f>
        <v/>
      </c>
      <c r="D55" s="15" t="str">
        <f>IFERROR(IF(LEFT(Aircraft!AO53,2)="RW",HLOOKUP(IF(Aircraft!AI53&gt;0,Aircraft!AI53,Aircraft!AE53),PistonRWLiabRate,SUM(MATCH(Aircraft!W53,PistonLiabLocMatch,0)+1)),IF(LEFT(Aircraft!AO53,2)="ME",HLOOKUP(IF(Aircraft!AI53&gt;0,Aircraft!AI53,Aircraft!AE53),PistonMELFWLiabRates,SUM(MATCH(Aircraft!W53,PistonLiabLocMatch,0)+1)),HLOOKUP(IF(Aircraft!AI53&gt;0,Aircraft!AI53,Aircraft!AE53),PistonFWLiabRate,SUM(MATCH(Aircraft!W53,PistonLiabLocMatch,0)+1)))),"")</f>
        <v/>
      </c>
      <c r="E55" s="15" t="str">
        <f>IFERROR(IF(Rating!AC59="Yes",0,PRODUCT(VLOOKUP(MATCH(Aircraft!$Y53,MedLimits,0),MedRate,3),Aircraft!$BB53)),"")</f>
        <v/>
      </c>
      <c r="F55" s="9">
        <f t="shared" ca="1" si="8"/>
        <v>1</v>
      </c>
      <c r="G55" s="9">
        <f t="shared" ca="1" si="9"/>
        <v>1</v>
      </c>
      <c r="H55" s="9">
        <f>IF(OR(Rating!$E$2=0,Rating!$E$2=""),1+$AG$14,Rating!$E$2+$AG$14+1)</f>
        <v>1.25</v>
      </c>
      <c r="I55" s="9">
        <f>IF(OR(Rating!$F$2=0,Rating!$F$2=""),1+$AG$14,Rating!$F$2+$AG$14+1)</f>
        <v>1.07</v>
      </c>
      <c r="J55" s="9">
        <f>IF(OR(Rating!$R59=0,Rating!$R59=""),1,Rating!$R59+1)</f>
        <v>1</v>
      </c>
      <c r="K55" s="9">
        <f>IF(OR(Rating!$T59=0,Rating!$T59=""),1,Rating!$T59+1)</f>
        <v>1</v>
      </c>
      <c r="L55" s="13" t="str">
        <f>IF(Aircraft!J53="","",ROUND(PRODUCT(ROUND(ROUND(C55*85%,6)/$E$4,6),G55),6))</f>
        <v/>
      </c>
      <c r="M55" s="15" t="str">
        <f>IF(Aircraft!J53="","",ROUND(PRODUCT(ROUND(ROUND(D55*85%,0)/$E$4,0),F55),0))</f>
        <v/>
      </c>
      <c r="N55" s="13" t="str">
        <f>IF(Aircraft!J53="","",ROUND(PRODUCT(I55,K55,L55),5))</f>
        <v/>
      </c>
      <c r="O55" s="11" t="str">
        <f>IF(Aircraft!J53="","",IFERROR(ROUND(PRODUCT(N55,Aircraft!P53),0),0))</f>
        <v/>
      </c>
      <c r="P55" s="11" t="str">
        <f>IF(Aircraft!J53="","",IFERROR(ROUND(PRODUCT(H55,M55,J55),0),""))</f>
        <v/>
      </c>
      <c r="Q55" s="11" t="str">
        <f>IF(Aircraft!J53="","",IFERROR(ROUND(PRODUCT(ROUND(ROUND(E55*85%,0)/$E$4,0),AC55),0),""))</f>
        <v/>
      </c>
      <c r="S55" t="str">
        <f>IFERROR(IF(VLOOKUP(Aircraft!C53,Aircraftlist,17)="M","Medium",IF(VLOOKUP(Aircraft!C53,Aircraftlist,17)="L","Light",IF(VLOOKUP(Aircraft!C53,Aircraftlist,17)="H","Heavy",""))),"")</f>
        <v/>
      </c>
      <c r="T55" s="9">
        <f ca="1">IFERROR(1+VLOOKUP(MATCH(S55,ACCATCHART,0),INDIRECT(CONCATENATE(Aircraft!AO53,"CATMOD")),5),1)</f>
        <v>1</v>
      </c>
      <c r="U55" s="9">
        <f ca="1">IFERROR(IF(Rating!J59=Worksheet_Com!$AF$11,1,IF(LEFT(Aircraft!C53,2)="RW",1,IF(AND(Aircraft!AO53="SETP",Aircraft!AX53="R"),1+VLOOKUP(MATCH(Aircraft!AY53,ACGearType,0),INDIRECT(CONCATENATE("SE_P","GearMod")),5),1+VLOOKUP(MATCH(Aircraft!AY53,ACGearType,0),INDIRECT(CONCATENATE(Aircraft!AO53,"GearMod")),5)))),1)</f>
        <v>1</v>
      </c>
      <c r="V55" s="9">
        <f ca="1">IFERROR(IF(Rating!J59=Worksheet_Com!$AF$11,1,IF(LEFT(Aircraft!C53,2)="RW",1,IF(AND(Aircraft!AO53="SETP",Aircraft!AX53="R"),1+VLOOKUP(MATCH(Aircraft!AY53,ACGearType,0),INDIRECT(CONCATENATE("SE_P","GearMod")),7),1+VLOOKUP(MATCH(Aircraft!AY53,ACGearType,0),INDIRECT(CONCATENATE(Aircraft!AO53,"GearMod")),7)))),1)</f>
        <v>1</v>
      </c>
      <c r="W55" s="9">
        <f>IFERROR(IF(VLOOKUP(Aircraft!C53,Aircraftlist,19)="",0,VLOOKUP(Aircraft!C53,Aircraftlist,19))+1,1)</f>
        <v>1</v>
      </c>
      <c r="X55" s="9">
        <f>IFERROR(VLOOKUP(Aircraft!C53,Aircraftlist,18)+1,1)</f>
        <v>1</v>
      </c>
      <c r="Y55" s="9">
        <f>IFERROR(1+(VLOOKUP(MATCH(Aircraft!AK53,AWtypes,0),AWCertChart,5)),1)</f>
        <v>1</v>
      </c>
      <c r="Z55" s="9">
        <f ca="1">IFERROR(1+(VLOOKUP(IF(LEFT(Aircraft!$AO53,2)="RW",2,1),INDIRECT(Rating!$J59),2)),1)</f>
        <v>1</v>
      </c>
      <c r="AA55" s="9">
        <f ca="1">IFERROR(1+(VLOOKUP(IF(LEFT(Aircraft!$AO53,2)="RW",2,1),INDIRECT(Rating!$J59),3)),1)</f>
        <v>1</v>
      </c>
      <c r="AB55" s="9">
        <f>IF(OR(Aircraft!S53="N",Aircraft!S53=""),1,'MGR Adjustment'!$AF$23+1)</f>
        <v>1</v>
      </c>
      <c r="AC55" s="9">
        <f>IFERROR(IF(AND(Aircraft!J53&gt;"",OR(Aircraft!P53="",Aircraft!P53=0)),'MGR Adjustment'!$AM$23)+1,1)</f>
        <v>1</v>
      </c>
      <c r="BC55">
        <v>51</v>
      </c>
      <c r="BD55" s="387" t="s">
        <v>2019</v>
      </c>
      <c r="BE55" t="s">
        <v>2020</v>
      </c>
      <c r="BF55" t="s">
        <v>1965</v>
      </c>
      <c r="BG55" t="str">
        <f t="shared" si="2"/>
        <v/>
      </c>
      <c r="BH55" t="str">
        <f t="shared" si="3"/>
        <v/>
      </c>
      <c r="BK55">
        <v>51</v>
      </c>
      <c r="BL55" s="157" t="s">
        <v>2021</v>
      </c>
      <c r="BM55" s="159">
        <v>0.05</v>
      </c>
    </row>
    <row r="56" spans="1:65">
      <c r="B56">
        <v>51</v>
      </c>
      <c r="C56" s="10" t="str">
        <f ca="1">IFERROR(IF(Aircraft!C54="","",IF(Aircraft!C54=0,VLOOKUP(Aircraft!P54,SE_p,2),VLOOKUP(Aircraft!P54,INDIRECT(Aircraft!AO54),2))),"")</f>
        <v/>
      </c>
      <c r="D56" s="15" t="str">
        <f>IFERROR(IF(LEFT(Aircraft!AO54,2)="RW",HLOOKUP(IF(Aircraft!AI54&gt;0,Aircraft!AI54,Aircraft!AE54),PistonRWLiabRate,SUM(MATCH(Aircraft!W54,PistonLiabLocMatch,0)+1)),IF(LEFT(Aircraft!AO54,2)="ME",HLOOKUP(IF(Aircraft!AI54&gt;0,Aircraft!AI54,Aircraft!AE54),PistonMELFWLiabRates,SUM(MATCH(Aircraft!W54,PistonLiabLocMatch,0)+1)),HLOOKUP(IF(Aircraft!AI54&gt;0,Aircraft!AI54,Aircraft!AE54),PistonFWLiabRate,SUM(MATCH(Aircraft!W54,PistonLiabLocMatch,0)+1)))),"")</f>
        <v/>
      </c>
      <c r="E56" s="15" t="str">
        <f>IFERROR(IF(Rating!AC60="Yes",0,PRODUCT(VLOOKUP(MATCH(Aircraft!$Y54,MedLimits,0),MedRate,3),Aircraft!$BB54)),"")</f>
        <v/>
      </c>
      <c r="F56" s="9">
        <f t="shared" ca="1" si="8"/>
        <v>1</v>
      </c>
      <c r="G56" s="9">
        <f t="shared" ca="1" si="9"/>
        <v>1</v>
      </c>
      <c r="H56" s="9">
        <f>IF(OR(Rating!$E$2=0,Rating!$E$2=""),1+$AG$14,Rating!$E$2+$AG$14+1)</f>
        <v>1.25</v>
      </c>
      <c r="I56" s="9">
        <f>IF(OR(Rating!$F$2=0,Rating!$F$2=""),1+$AG$14,Rating!$F$2+$AG$14+1)</f>
        <v>1.07</v>
      </c>
      <c r="J56" s="9">
        <f>IF(OR(Rating!$R60=0,Rating!$R60=""),1,Rating!$R60+1)</f>
        <v>1</v>
      </c>
      <c r="K56" s="9">
        <f>IF(OR(Rating!$T60=0,Rating!$T60=""),1,Rating!$T60+1)</f>
        <v>1</v>
      </c>
      <c r="L56" s="13" t="str">
        <f>IF(Aircraft!J54="","",ROUND(PRODUCT(ROUND(ROUND(C56*85%,6)/$E$4,6),G56),6))</f>
        <v/>
      </c>
      <c r="M56" s="15" t="str">
        <f>IF(Aircraft!J54="","",ROUND(PRODUCT(ROUND(ROUND(D56*85%,0)/$E$4,0),F56),0))</f>
        <v/>
      </c>
      <c r="N56" s="13" t="str">
        <f>IF(Aircraft!J54="","",ROUND(PRODUCT(I56,K56,L56),5))</f>
        <v/>
      </c>
      <c r="O56" s="11" t="str">
        <f>IF(Aircraft!J54="","",IFERROR(ROUND(PRODUCT(N56,Aircraft!P54),0),0))</f>
        <v/>
      </c>
      <c r="P56" s="11" t="str">
        <f>IF(Aircraft!J54="","",IFERROR(ROUND(PRODUCT(H56,M56,J56),0),""))</f>
        <v/>
      </c>
      <c r="Q56" s="11" t="str">
        <f>IF(Aircraft!J54="","",IFERROR(ROUND(PRODUCT(ROUND(ROUND(E56*85%,0)/$E$4,0),AC56),0),""))</f>
        <v/>
      </c>
      <c r="S56" t="str">
        <f>IFERROR(IF(VLOOKUP(Aircraft!C54,Aircraftlist,17)="M","Medium",IF(VLOOKUP(Aircraft!C54,Aircraftlist,17)="L","Light",IF(VLOOKUP(Aircraft!C54,Aircraftlist,17)="H","Heavy",""))),"")</f>
        <v/>
      </c>
      <c r="T56" s="9">
        <f ca="1">IFERROR(1+VLOOKUP(MATCH(S56,ACCATCHART,0),INDIRECT(CONCATENATE(Aircraft!AO54,"CATMOD")),5),1)</f>
        <v>1</v>
      </c>
      <c r="U56" s="9">
        <f ca="1">IFERROR(IF(Rating!J60=Worksheet_Com!$AF$11,1,IF(LEFT(Aircraft!C54,2)="RW",1,IF(AND(Aircraft!AO54="SETP",Aircraft!AX54="R"),1+VLOOKUP(MATCH(Aircraft!AY54,ACGearType,0),INDIRECT(CONCATENATE("SE_P","GearMod")),5),1+VLOOKUP(MATCH(Aircraft!AY54,ACGearType,0),INDIRECT(CONCATENATE(Aircraft!AO54,"GearMod")),5)))),1)</f>
        <v>1</v>
      </c>
      <c r="V56" s="9">
        <f ca="1">IFERROR(IF(Rating!J60=Worksheet_Com!$AF$11,1,IF(LEFT(Aircraft!C54,2)="RW",1,IF(AND(Aircraft!AO54="SETP",Aircraft!AX54="R"),1+VLOOKUP(MATCH(Aircraft!AY54,ACGearType,0),INDIRECT(CONCATENATE("SE_P","GearMod")),7),1+VLOOKUP(MATCH(Aircraft!AY54,ACGearType,0),INDIRECT(CONCATENATE(Aircraft!AO54,"GearMod")),7)))),1)</f>
        <v>1</v>
      </c>
      <c r="W56" s="9">
        <f>IFERROR(IF(VLOOKUP(Aircraft!C54,Aircraftlist,19)="",0,VLOOKUP(Aircraft!C54,Aircraftlist,19))+1,1)</f>
        <v>1</v>
      </c>
      <c r="X56" s="9">
        <f>IFERROR(VLOOKUP(Aircraft!C54,Aircraftlist,18)+1,1)</f>
        <v>1</v>
      </c>
      <c r="Y56" s="9">
        <f>IFERROR(1+(VLOOKUP(MATCH(Aircraft!AK54,AWtypes,0),AWCertChart,5)),1)</f>
        <v>1</v>
      </c>
      <c r="Z56" s="9">
        <f ca="1">IFERROR(1+(VLOOKUP(IF(LEFT(Aircraft!$AO54,2)="RW",2,1),INDIRECT(Rating!$J60),2)),1)</f>
        <v>1</v>
      </c>
      <c r="AA56" s="9">
        <f ca="1">IFERROR(1+(VLOOKUP(IF(LEFT(Aircraft!$AO54,2)="RW",2,1),INDIRECT(Rating!$J60),3)),1)</f>
        <v>1</v>
      </c>
      <c r="AB56" s="9">
        <f>IF(OR(Aircraft!S54="N",Aircraft!S54=""),1,'MGR Adjustment'!$AF$23+1)</f>
        <v>1</v>
      </c>
      <c r="AC56" s="9">
        <f>IFERROR(IF(AND(Aircraft!J54&gt;"",OR(Aircraft!P54="",Aircraft!P54=0)),'MGR Adjustment'!$AM$23)+1,1)</f>
        <v>1</v>
      </c>
      <c r="BC56">
        <v>52</v>
      </c>
      <c r="BD56" s="387" t="s">
        <v>2022</v>
      </c>
      <c r="BE56" t="s">
        <v>2023</v>
      </c>
      <c r="BF56" t="s">
        <v>1850</v>
      </c>
      <c r="BG56" t="str">
        <f t="shared" si="2"/>
        <v/>
      </c>
      <c r="BH56" t="str">
        <f t="shared" si="3"/>
        <v/>
      </c>
      <c r="BK56">
        <v>52</v>
      </c>
      <c r="BL56" s="157" t="s">
        <v>2024</v>
      </c>
      <c r="BM56" s="159">
        <v>0.1</v>
      </c>
    </row>
    <row r="57" spans="1:65">
      <c r="B57">
        <v>52</v>
      </c>
      <c r="C57" s="10" t="str">
        <f ca="1">IFERROR(IF(Aircraft!C55="","",IF(Aircraft!C55=0,VLOOKUP(Aircraft!P55,SE_p,2),VLOOKUP(Aircraft!P55,INDIRECT(Aircraft!AO55),2))),"")</f>
        <v/>
      </c>
      <c r="D57" s="15" t="str">
        <f>IFERROR(IF(LEFT(Aircraft!AO55,2)="RW",HLOOKUP(IF(Aircraft!AI55&gt;0,Aircraft!AI55,Aircraft!AE55),PistonRWLiabRate,SUM(MATCH(Aircraft!W55,PistonLiabLocMatch,0)+1)),IF(LEFT(Aircraft!AO55,2)="ME",HLOOKUP(IF(Aircraft!AI55&gt;0,Aircraft!AI55,Aircraft!AE55),PistonMELFWLiabRates,SUM(MATCH(Aircraft!W55,PistonLiabLocMatch,0)+1)),HLOOKUP(IF(Aircraft!AI55&gt;0,Aircraft!AI55,Aircraft!AE55),PistonFWLiabRate,SUM(MATCH(Aircraft!W55,PistonLiabLocMatch,0)+1)))),"")</f>
        <v/>
      </c>
      <c r="E57" s="15" t="str">
        <f>IFERROR(IF(Rating!AC61="Yes",0,PRODUCT(VLOOKUP(MATCH(Aircraft!$Y55,MedLimits,0),MedRate,3),Aircraft!$BB55)),"")</f>
        <v/>
      </c>
      <c r="F57" s="9">
        <f t="shared" ca="1" si="8"/>
        <v>1</v>
      </c>
      <c r="G57" s="9">
        <f t="shared" ca="1" si="9"/>
        <v>1</v>
      </c>
      <c r="H57" s="9">
        <f>IF(OR(Rating!$E$2=0,Rating!$E$2=""),1+$AG$14,Rating!$E$2+$AG$14+1)</f>
        <v>1.25</v>
      </c>
      <c r="I57" s="9">
        <f>IF(OR(Rating!$F$2=0,Rating!$F$2=""),1+$AG$14,Rating!$F$2+$AG$14+1)</f>
        <v>1.07</v>
      </c>
      <c r="J57" s="9">
        <f>IF(OR(Rating!$R61=0,Rating!$R61=""),1,Rating!$R61+1)</f>
        <v>1</v>
      </c>
      <c r="K57" s="9">
        <f>IF(OR(Rating!$T61=0,Rating!$T61=""),1,Rating!$T61+1)</f>
        <v>1</v>
      </c>
      <c r="L57" s="13" t="str">
        <f>IF(Aircraft!J55="","",ROUND(PRODUCT(ROUND(ROUND(C57*85%,6)/$E$4,6),G57),6))</f>
        <v/>
      </c>
      <c r="M57" s="15" t="str">
        <f>IF(Aircraft!J55="","",ROUND(PRODUCT(ROUND(ROUND(D57*85%,0)/$E$4,0),F57),0))</f>
        <v/>
      </c>
      <c r="N57" s="13" t="str">
        <f>IF(Aircraft!J55="","",ROUND(PRODUCT(I57,K57,L57),5))</f>
        <v/>
      </c>
      <c r="O57" s="11" t="str">
        <f>IF(Aircraft!J55="","",IFERROR(ROUND(PRODUCT(N57,Aircraft!P55),0),0))</f>
        <v/>
      </c>
      <c r="P57" s="11" t="str">
        <f>IF(Aircraft!J55="","",IFERROR(ROUND(PRODUCT(H57,M57,J57),0),""))</f>
        <v/>
      </c>
      <c r="Q57" s="11" t="str">
        <f>IF(Aircraft!J55="","",IFERROR(ROUND(PRODUCT(ROUND(ROUND(E57*85%,0)/$E$4,0),AC57),0),""))</f>
        <v/>
      </c>
      <c r="S57" t="str">
        <f>IFERROR(IF(VLOOKUP(Aircraft!C55,Aircraftlist,17)="M","Medium",IF(VLOOKUP(Aircraft!C55,Aircraftlist,17)="L","Light",IF(VLOOKUP(Aircraft!C55,Aircraftlist,17)="H","Heavy",""))),"")</f>
        <v/>
      </c>
      <c r="T57" s="9">
        <f ca="1">IFERROR(1+VLOOKUP(MATCH(S57,ACCATCHART,0),INDIRECT(CONCATENATE(Aircraft!AO55,"CATMOD")),5),1)</f>
        <v>1</v>
      </c>
      <c r="U57" s="9">
        <f ca="1">IFERROR(IF(Rating!J61=Worksheet_Com!$AF$11,1,IF(LEFT(Aircraft!C55,2)="RW",1,IF(AND(Aircraft!AO55="SETP",Aircraft!AX55="R"),1+VLOOKUP(MATCH(Aircraft!AY55,ACGearType,0),INDIRECT(CONCATENATE("SE_P","GearMod")),5),1+VLOOKUP(MATCH(Aircraft!AY55,ACGearType,0),INDIRECT(CONCATENATE(Aircraft!AO55,"GearMod")),5)))),1)</f>
        <v>1</v>
      </c>
      <c r="V57" s="9">
        <f ca="1">IFERROR(IF(Rating!J61=Worksheet_Com!$AF$11,1,IF(LEFT(Aircraft!C55,2)="RW",1,IF(AND(Aircraft!AO55="SETP",Aircraft!AX55="R"),1+VLOOKUP(MATCH(Aircraft!AY55,ACGearType,0),INDIRECT(CONCATENATE("SE_P","GearMod")),7),1+VLOOKUP(MATCH(Aircraft!AY55,ACGearType,0),INDIRECT(CONCATENATE(Aircraft!AO55,"GearMod")),7)))),1)</f>
        <v>1</v>
      </c>
      <c r="W57" s="9">
        <f>IFERROR(IF(VLOOKUP(Aircraft!C55,Aircraftlist,19)="",0,VLOOKUP(Aircraft!C55,Aircraftlist,19))+1,1)</f>
        <v>1</v>
      </c>
      <c r="X57" s="9">
        <f>IFERROR(VLOOKUP(Aircraft!C55,Aircraftlist,18)+1,1)</f>
        <v>1</v>
      </c>
      <c r="Y57" s="9">
        <f>IFERROR(1+(VLOOKUP(MATCH(Aircraft!AK55,AWtypes,0),AWCertChart,5)),1)</f>
        <v>1</v>
      </c>
      <c r="Z57" s="9">
        <f ca="1">IFERROR(1+(VLOOKUP(IF(LEFT(Aircraft!$AO55,2)="RW",2,1),INDIRECT(Rating!$J61),2)),1)</f>
        <v>1</v>
      </c>
      <c r="AA57" s="9">
        <f ca="1">IFERROR(1+(VLOOKUP(IF(LEFT(Aircraft!$AO55,2)="RW",2,1),INDIRECT(Rating!$J61),3)),1)</f>
        <v>1</v>
      </c>
      <c r="AB57" s="9">
        <f>IF(OR(Aircraft!S55="N",Aircraft!S55=""),1,'MGR Adjustment'!$AF$23+1)</f>
        <v>1</v>
      </c>
      <c r="AC57" s="9">
        <f>IFERROR(IF(AND(Aircraft!J55&gt;"",OR(Aircraft!P55="",Aircraft!P55=0)),'MGR Adjustment'!$AM$23)+1,1)</f>
        <v>1</v>
      </c>
      <c r="BC57">
        <v>53</v>
      </c>
      <c r="BD57" s="387" t="s">
        <v>2025</v>
      </c>
      <c r="BE57" t="s">
        <v>2023</v>
      </c>
      <c r="BF57" t="s">
        <v>1850</v>
      </c>
      <c r="BG57" t="str">
        <f t="shared" si="2"/>
        <v/>
      </c>
      <c r="BH57" t="str">
        <f t="shared" si="3"/>
        <v/>
      </c>
      <c r="BK57">
        <v>53</v>
      </c>
      <c r="BL57" s="157" t="s">
        <v>2026</v>
      </c>
      <c r="BM57" s="159">
        <v>0.12</v>
      </c>
    </row>
    <row r="58" spans="1:65">
      <c r="B58">
        <v>53</v>
      </c>
      <c r="C58" s="10" t="str">
        <f ca="1">IFERROR(IF(Aircraft!C56="","",IF(Aircraft!C56=0,VLOOKUP(Aircraft!P56,SE_p,2),VLOOKUP(Aircraft!P56,INDIRECT(Aircraft!AO56),2))),"")</f>
        <v/>
      </c>
      <c r="D58" s="15" t="str">
        <f>IFERROR(IF(LEFT(Aircraft!AO56,2)="RW",HLOOKUP(IF(Aircraft!AI56&gt;0,Aircraft!AI56,Aircraft!AE56),PistonRWLiabRate,SUM(MATCH(Aircraft!W56,PistonLiabLocMatch,0)+1)),IF(LEFT(Aircraft!AO56,2)="ME",HLOOKUP(IF(Aircraft!AI56&gt;0,Aircraft!AI56,Aircraft!AE56),PistonMELFWLiabRates,SUM(MATCH(Aircraft!W56,PistonLiabLocMatch,0)+1)),HLOOKUP(IF(Aircraft!AI56&gt;0,Aircraft!AI56,Aircraft!AE56),PistonFWLiabRate,SUM(MATCH(Aircraft!W56,PistonLiabLocMatch,0)+1)))),"")</f>
        <v/>
      </c>
      <c r="E58" s="15" t="str">
        <f>IFERROR(IF(Rating!AC62="Yes",0,PRODUCT(VLOOKUP(MATCH(Aircraft!$Y56,MedLimits,0),MedRate,3),Aircraft!$BB56)),"")</f>
        <v/>
      </c>
      <c r="F58" s="9">
        <f t="shared" ca="1" si="8"/>
        <v>1</v>
      </c>
      <c r="G58" s="9">
        <f t="shared" ca="1" si="9"/>
        <v>1</v>
      </c>
      <c r="H58" s="9">
        <f>IF(OR(Rating!$E$2=0,Rating!$E$2=""),1+$AG$14,Rating!$E$2+$AG$14+1)</f>
        <v>1.25</v>
      </c>
      <c r="I58" s="9">
        <f>IF(OR(Rating!$F$2=0,Rating!$F$2=""),1+$AG$14,Rating!$F$2+$AG$14+1)</f>
        <v>1.07</v>
      </c>
      <c r="J58" s="9">
        <f>IF(OR(Rating!$R62=0,Rating!$R62=""),1,Rating!$R62+1)</f>
        <v>1</v>
      </c>
      <c r="K58" s="9">
        <f>IF(OR(Rating!$T62=0,Rating!$T62=""),1,Rating!$T62+1)</f>
        <v>1</v>
      </c>
      <c r="L58" s="13" t="str">
        <f>IF(Aircraft!J56="","",ROUND(PRODUCT(ROUND(ROUND(C58*85%,6)/$E$4,6),G58),6))</f>
        <v/>
      </c>
      <c r="M58" s="15" t="str">
        <f>IF(Aircraft!J56="","",ROUND(PRODUCT(ROUND(ROUND(D58*85%,0)/$E$4,0),F58),0))</f>
        <v/>
      </c>
      <c r="N58" s="13" t="str">
        <f>IF(Aircraft!J56="","",ROUND(PRODUCT(I58,K58,L58),5))</f>
        <v/>
      </c>
      <c r="O58" s="11" t="str">
        <f>IF(Aircraft!J56="","",IFERROR(ROUND(PRODUCT(N58,Aircraft!P56),0),0))</f>
        <v/>
      </c>
      <c r="P58" s="11" t="str">
        <f>IF(Aircraft!J56="","",IFERROR(ROUND(PRODUCT(H58,M58,J58),0),""))</f>
        <v/>
      </c>
      <c r="Q58" s="11" t="str">
        <f>IF(Aircraft!J56="","",IFERROR(ROUND(PRODUCT(ROUND(ROUND(E58*85%,0)/$E$4,0),AC58),0),""))</f>
        <v/>
      </c>
      <c r="S58" t="str">
        <f>IFERROR(IF(VLOOKUP(Aircraft!C56,Aircraftlist,17)="M","Medium",IF(VLOOKUP(Aircraft!C56,Aircraftlist,17)="L","Light",IF(VLOOKUP(Aircraft!C56,Aircraftlist,17)="H","Heavy",""))),"")</f>
        <v/>
      </c>
      <c r="T58" s="9">
        <f ca="1">IFERROR(1+VLOOKUP(MATCH(S58,ACCATCHART,0),INDIRECT(CONCATENATE(Aircraft!AO56,"CATMOD")),5),1)</f>
        <v>1</v>
      </c>
      <c r="U58" s="9">
        <f ca="1">IFERROR(IF(Rating!J62=Worksheet_Com!$AF$11,1,IF(LEFT(Aircraft!C56,2)="RW",1,IF(AND(Aircraft!AO56="SETP",Aircraft!AX56="R"),1+VLOOKUP(MATCH(Aircraft!AY56,ACGearType,0),INDIRECT(CONCATENATE("SE_P","GearMod")),5),1+VLOOKUP(MATCH(Aircraft!AY56,ACGearType,0),INDIRECT(CONCATENATE(Aircraft!AO56,"GearMod")),5)))),1)</f>
        <v>1</v>
      </c>
      <c r="V58" s="9">
        <f ca="1">IFERROR(IF(Rating!J62=Worksheet_Com!$AF$11,1,IF(LEFT(Aircraft!C56,2)="RW",1,IF(AND(Aircraft!AO56="SETP",Aircraft!AX56="R"),1+VLOOKUP(MATCH(Aircraft!AY56,ACGearType,0),INDIRECT(CONCATENATE("SE_P","GearMod")),7),1+VLOOKUP(MATCH(Aircraft!AY56,ACGearType,0),INDIRECT(CONCATENATE(Aircraft!AO56,"GearMod")),7)))),1)</f>
        <v>1</v>
      </c>
      <c r="W58" s="9">
        <f>IFERROR(IF(VLOOKUP(Aircraft!C56,Aircraftlist,19)="",0,VLOOKUP(Aircraft!C56,Aircraftlist,19))+1,1)</f>
        <v>1</v>
      </c>
      <c r="X58" s="9">
        <f>IFERROR(VLOOKUP(Aircraft!C56,Aircraftlist,18)+1,1)</f>
        <v>1</v>
      </c>
      <c r="Y58" s="9">
        <f>IFERROR(1+(VLOOKUP(MATCH(Aircraft!AK56,AWtypes,0),AWCertChart,5)),1)</f>
        <v>1</v>
      </c>
      <c r="Z58" s="9">
        <f ca="1">IFERROR(1+(VLOOKUP(IF(LEFT(Aircraft!$AO56,2)="RW",2,1),INDIRECT(Rating!$J62),2)),1)</f>
        <v>1</v>
      </c>
      <c r="AA58" s="9">
        <f ca="1">IFERROR(1+(VLOOKUP(IF(LEFT(Aircraft!$AO56,2)="RW",2,1),INDIRECT(Rating!$J62),3)),1)</f>
        <v>1</v>
      </c>
      <c r="AB58" s="9">
        <f>IF(OR(Aircraft!S56="N",Aircraft!S56=""),1,'MGR Adjustment'!$AF$23+1)</f>
        <v>1</v>
      </c>
      <c r="AC58" s="9">
        <f>IFERROR(IF(AND(Aircraft!J56&gt;"",OR(Aircraft!P56="",Aircraft!P56=0)),'MGR Adjustment'!$AM$23)+1,1)</f>
        <v>1</v>
      </c>
      <c r="BC58">
        <v>54</v>
      </c>
      <c r="BD58" s="387" t="s">
        <v>2027</v>
      </c>
      <c r="BE58" t="s">
        <v>2028</v>
      </c>
      <c r="BF58" t="s">
        <v>2029</v>
      </c>
      <c r="BG58" t="str">
        <f t="shared" si="2"/>
        <v/>
      </c>
      <c r="BH58" t="str">
        <f t="shared" si="3"/>
        <v/>
      </c>
      <c r="BK58">
        <v>54</v>
      </c>
      <c r="BL58" s="157" t="s">
        <v>2030</v>
      </c>
      <c r="BM58" s="159">
        <v>0.1</v>
      </c>
    </row>
    <row r="59" spans="1:65">
      <c r="B59">
        <v>54</v>
      </c>
      <c r="C59" s="10" t="str">
        <f ca="1">IFERROR(IF(Aircraft!C57="","",IF(Aircraft!C57=0,VLOOKUP(Aircraft!P57,SE_p,2),VLOOKUP(Aircraft!P57,INDIRECT(Aircraft!AO57),2))),"")</f>
        <v/>
      </c>
      <c r="D59" s="15" t="str">
        <f>IFERROR(IF(LEFT(Aircraft!AO57,2)="RW",HLOOKUP(IF(Aircraft!AI57&gt;0,Aircraft!AI57,Aircraft!AE57),PistonRWLiabRate,SUM(MATCH(Aircraft!W57,PistonLiabLocMatch,0)+1)),IF(LEFT(Aircraft!AO57,2)="ME",HLOOKUP(IF(Aircraft!AI57&gt;0,Aircraft!AI57,Aircraft!AE57),PistonMELFWLiabRates,SUM(MATCH(Aircraft!W57,PistonLiabLocMatch,0)+1)),HLOOKUP(IF(Aircraft!AI57&gt;0,Aircraft!AI57,Aircraft!AE57),PistonFWLiabRate,SUM(MATCH(Aircraft!W57,PistonLiabLocMatch,0)+1)))),"")</f>
        <v/>
      </c>
      <c r="E59" s="15" t="str">
        <f>IFERROR(IF(Rating!AC63="Yes",0,PRODUCT(VLOOKUP(MATCH(Aircraft!$Y57,MedLimits,0),MedRate,3),Aircraft!$BB57)),"")</f>
        <v/>
      </c>
      <c r="F59" s="9">
        <f t="shared" ca="1" si="8"/>
        <v>1</v>
      </c>
      <c r="G59" s="9">
        <f t="shared" ca="1" si="9"/>
        <v>1</v>
      </c>
      <c r="H59" s="9">
        <f>IF(OR(Rating!$E$2=0,Rating!$E$2=""),1+$AG$14,Rating!$E$2+$AG$14+1)</f>
        <v>1.25</v>
      </c>
      <c r="I59" s="9">
        <f>IF(OR(Rating!$F$2=0,Rating!$F$2=""),1+$AG$14,Rating!$F$2+$AG$14+1)</f>
        <v>1.07</v>
      </c>
      <c r="J59" s="9">
        <f>IF(OR(Rating!$R63=0,Rating!$R63=""),1,Rating!$R63+1)</f>
        <v>1</v>
      </c>
      <c r="K59" s="9">
        <f>IF(OR(Rating!$T63=0,Rating!$T63=""),1,Rating!$T63+1)</f>
        <v>1</v>
      </c>
      <c r="L59" s="13" t="str">
        <f>IF(Aircraft!J57="","",ROUND(PRODUCT(ROUND(ROUND(C59*85%,6)/$E$4,6),G59),6))</f>
        <v/>
      </c>
      <c r="M59" s="15" t="str">
        <f>IF(Aircraft!J57="","",ROUND(PRODUCT(ROUND(ROUND(D59*85%,0)/$E$4,0),F59),0))</f>
        <v/>
      </c>
      <c r="N59" s="13" t="str">
        <f>IF(Aircraft!J57="","",ROUND(PRODUCT(I59,K59,L59),5))</f>
        <v/>
      </c>
      <c r="O59" s="11" t="str">
        <f>IF(Aircraft!J57="","",IFERROR(ROUND(PRODUCT(N59,Aircraft!P57),0),0))</f>
        <v/>
      </c>
      <c r="P59" s="11" t="str">
        <f>IF(Aircraft!J57="","",IFERROR(ROUND(PRODUCT(H59,M59,J59),0),""))</f>
        <v/>
      </c>
      <c r="Q59" s="11" t="str">
        <f>IF(Aircraft!J57="","",IFERROR(ROUND(PRODUCT(ROUND(ROUND(E59*85%,0)/$E$4,0),AC59),0),""))</f>
        <v/>
      </c>
      <c r="S59" t="str">
        <f>IFERROR(IF(VLOOKUP(Aircraft!C57,Aircraftlist,17)="M","Medium",IF(VLOOKUP(Aircraft!C57,Aircraftlist,17)="L","Light",IF(VLOOKUP(Aircraft!C57,Aircraftlist,17)="H","Heavy",""))),"")</f>
        <v/>
      </c>
      <c r="T59" s="9">
        <f ca="1">IFERROR(1+VLOOKUP(MATCH(S59,ACCATCHART,0),INDIRECT(CONCATENATE(Aircraft!AO57,"CATMOD")),5),1)</f>
        <v>1</v>
      </c>
      <c r="U59" s="9">
        <f ca="1">IFERROR(IF(Rating!J63=Worksheet_Com!$AF$11,1,IF(LEFT(Aircraft!C57,2)="RW",1,IF(AND(Aircraft!AO57="SETP",Aircraft!AX57="R"),1+VLOOKUP(MATCH(Aircraft!AY57,ACGearType,0),INDIRECT(CONCATENATE("SE_P","GearMod")),5),1+VLOOKUP(MATCH(Aircraft!AY57,ACGearType,0),INDIRECT(CONCATENATE(Aircraft!AO57,"GearMod")),5)))),1)</f>
        <v>1</v>
      </c>
      <c r="V59" s="9">
        <f ca="1">IFERROR(IF(Rating!J63=Worksheet_Com!$AF$11,1,IF(LEFT(Aircraft!C57,2)="RW",1,IF(AND(Aircraft!AO57="SETP",Aircraft!AX57="R"),1+VLOOKUP(MATCH(Aircraft!AY57,ACGearType,0),INDIRECT(CONCATENATE("SE_P","GearMod")),7),1+VLOOKUP(MATCH(Aircraft!AY57,ACGearType,0),INDIRECT(CONCATENATE(Aircraft!AO57,"GearMod")),7)))),1)</f>
        <v>1</v>
      </c>
      <c r="W59" s="9">
        <f>IFERROR(IF(VLOOKUP(Aircraft!C57,Aircraftlist,19)="",0,VLOOKUP(Aircraft!C57,Aircraftlist,19))+1,1)</f>
        <v>1</v>
      </c>
      <c r="X59" s="9">
        <f>IFERROR(VLOOKUP(Aircraft!C57,Aircraftlist,18)+1,1)</f>
        <v>1</v>
      </c>
      <c r="Y59" s="9">
        <f>IFERROR(1+(VLOOKUP(MATCH(Aircraft!AK57,AWtypes,0),AWCertChart,5)),1)</f>
        <v>1</v>
      </c>
      <c r="Z59" s="9">
        <f ca="1">IFERROR(1+(VLOOKUP(IF(LEFT(Aircraft!$AO57,2)="RW",2,1),INDIRECT(Rating!$J63),2)),1)</f>
        <v>1</v>
      </c>
      <c r="AA59" s="9">
        <f ca="1">IFERROR(1+(VLOOKUP(IF(LEFT(Aircraft!$AO57,2)="RW",2,1),INDIRECT(Rating!$J63),3)),1)</f>
        <v>1</v>
      </c>
      <c r="AB59" s="9">
        <f>IF(OR(Aircraft!S57="N",Aircraft!S57=""),1,'MGR Adjustment'!$AF$23+1)</f>
        <v>1</v>
      </c>
      <c r="AC59" s="9">
        <f>IFERROR(IF(AND(Aircraft!J57&gt;"",OR(Aircraft!P57="",Aircraft!P57=0)),'MGR Adjustment'!$AM$23)+1,1)</f>
        <v>1</v>
      </c>
      <c r="BC59">
        <v>55</v>
      </c>
      <c r="BD59" s="387" t="s">
        <v>2031</v>
      </c>
      <c r="BE59" t="s">
        <v>2028</v>
      </c>
      <c r="BF59" t="s">
        <v>2029</v>
      </c>
      <c r="BG59" t="str">
        <f t="shared" si="2"/>
        <v/>
      </c>
      <c r="BH59" t="str">
        <f t="shared" si="3"/>
        <v/>
      </c>
      <c r="BK59">
        <v>55</v>
      </c>
      <c r="BL59" s="157" t="s">
        <v>2032</v>
      </c>
      <c r="BM59" s="159">
        <v>0.08</v>
      </c>
    </row>
    <row r="60" spans="1:65">
      <c r="B60">
        <v>55</v>
      </c>
      <c r="C60" s="10" t="str">
        <f ca="1">IFERROR(IF(Aircraft!C58="","",IF(Aircraft!C58=0,VLOOKUP(Aircraft!P58,SE_p,2),VLOOKUP(Aircraft!P58,INDIRECT(Aircraft!AO58),2))),"")</f>
        <v/>
      </c>
      <c r="D60" s="15" t="str">
        <f>IFERROR(IF(LEFT(Aircraft!AO58,2)="RW",HLOOKUP(IF(Aircraft!AI58&gt;0,Aircraft!AI58,Aircraft!AE58),PistonRWLiabRate,SUM(MATCH(Aircraft!W58,PistonLiabLocMatch,0)+1)),IF(LEFT(Aircraft!AO58,2)="ME",HLOOKUP(IF(Aircraft!AI58&gt;0,Aircraft!AI58,Aircraft!AE58),PistonMELFWLiabRates,SUM(MATCH(Aircraft!W58,PistonLiabLocMatch,0)+1)),HLOOKUP(IF(Aircraft!AI58&gt;0,Aircraft!AI58,Aircraft!AE58),PistonFWLiabRate,SUM(MATCH(Aircraft!W58,PistonLiabLocMatch,0)+1)))),"")</f>
        <v/>
      </c>
      <c r="E60" s="15" t="str">
        <f>IFERROR(IF(Rating!AC64="Yes",0,PRODUCT(VLOOKUP(MATCH(Aircraft!$Y58,MedLimits,0),MedRate,3),Aircraft!$BB58)),"")</f>
        <v/>
      </c>
      <c r="F60" s="9">
        <f t="shared" ca="1" si="8"/>
        <v>1</v>
      </c>
      <c r="G60" s="9">
        <f t="shared" ca="1" si="9"/>
        <v>1</v>
      </c>
      <c r="H60" s="9">
        <f>IF(OR(Rating!$E$2=0,Rating!$E$2=""),1+$AG$14,Rating!$E$2+$AG$14+1)</f>
        <v>1.25</v>
      </c>
      <c r="I60" s="9">
        <f>IF(OR(Rating!$F$2=0,Rating!$F$2=""),1+$AG$14,Rating!$F$2+$AG$14+1)</f>
        <v>1.07</v>
      </c>
      <c r="J60" s="9">
        <f>IF(OR(Rating!$R64=0,Rating!$R64=""),1,Rating!$R64+1)</f>
        <v>1</v>
      </c>
      <c r="K60" s="9">
        <f>IF(OR(Rating!$T64=0,Rating!$T64=""),1,Rating!$T64+1)</f>
        <v>1</v>
      </c>
      <c r="L60" s="13" t="str">
        <f>IF(Aircraft!J58="","",ROUND(PRODUCT(ROUND(ROUND(C60*85%,6)/$E$4,6),G60),6))</f>
        <v/>
      </c>
      <c r="M60" s="15" t="str">
        <f>IF(Aircraft!J58="","",ROUND(PRODUCT(ROUND(ROUND(D60*85%,0)/$E$4,0),F60),0))</f>
        <v/>
      </c>
      <c r="N60" s="13" t="str">
        <f>IF(Aircraft!J58="","",ROUND(PRODUCT(I60,K60,L60),5))</f>
        <v/>
      </c>
      <c r="O60" s="11" t="str">
        <f>IF(Aircraft!J58="","",IFERROR(ROUND(PRODUCT(N60,Aircraft!P58),0),0))</f>
        <v/>
      </c>
      <c r="P60" s="11" t="str">
        <f>IF(Aircraft!J58="","",IFERROR(ROUND(PRODUCT(H60,M60,J60),0),""))</f>
        <v/>
      </c>
      <c r="Q60" s="11" t="str">
        <f>IF(Aircraft!J58="","",IFERROR(ROUND(PRODUCT(ROUND(ROUND(E60*85%,0)/$E$4,0),AC60),0),""))</f>
        <v/>
      </c>
      <c r="S60" t="str">
        <f>IFERROR(IF(VLOOKUP(Aircraft!C58,Aircraftlist,17)="M","Medium",IF(VLOOKUP(Aircraft!C58,Aircraftlist,17)="L","Light",IF(VLOOKUP(Aircraft!C58,Aircraftlist,17)="H","Heavy",""))),"")</f>
        <v/>
      </c>
      <c r="T60" s="9">
        <f ca="1">IFERROR(1+VLOOKUP(MATCH(S60,ACCATCHART,0),INDIRECT(CONCATENATE(Aircraft!AO58,"CATMOD")),5),1)</f>
        <v>1</v>
      </c>
      <c r="U60" s="9">
        <f ca="1">IFERROR(IF(Rating!J64=Worksheet_Com!$AF$11,1,IF(LEFT(Aircraft!C58,2)="RW",1,IF(AND(Aircraft!AO58="SETP",Aircraft!AX58="R"),1+VLOOKUP(MATCH(Aircraft!AY58,ACGearType,0),INDIRECT(CONCATENATE("SE_P","GearMod")),5),1+VLOOKUP(MATCH(Aircraft!AY58,ACGearType,0),INDIRECT(CONCATENATE(Aircraft!AO58,"GearMod")),5)))),1)</f>
        <v>1</v>
      </c>
      <c r="V60" s="9">
        <f ca="1">IFERROR(IF(Rating!J64=Worksheet_Com!$AF$11,1,IF(LEFT(Aircraft!C58,2)="RW",1,IF(AND(Aircraft!AO58="SETP",Aircraft!AX58="R"),1+VLOOKUP(MATCH(Aircraft!AY58,ACGearType,0),INDIRECT(CONCATENATE("SE_P","GearMod")),7),1+VLOOKUP(MATCH(Aircraft!AY58,ACGearType,0),INDIRECT(CONCATENATE(Aircraft!AO58,"GearMod")),7)))),1)</f>
        <v>1</v>
      </c>
      <c r="W60" s="9">
        <f>IFERROR(IF(VLOOKUP(Aircraft!C58,Aircraftlist,19)="",0,VLOOKUP(Aircraft!C58,Aircraftlist,19))+1,1)</f>
        <v>1</v>
      </c>
      <c r="X60" s="9">
        <f>IFERROR(VLOOKUP(Aircraft!C58,Aircraftlist,18)+1,1)</f>
        <v>1</v>
      </c>
      <c r="Y60" s="9">
        <f>IFERROR(1+(VLOOKUP(MATCH(Aircraft!AK58,AWtypes,0),AWCertChart,5)),1)</f>
        <v>1</v>
      </c>
      <c r="Z60" s="9">
        <f ca="1">IFERROR(1+(VLOOKUP(IF(LEFT(Aircraft!$AO58,2)="RW",2,1),INDIRECT(Rating!$J64),2)),1)</f>
        <v>1</v>
      </c>
      <c r="AA60" s="9">
        <f ca="1">IFERROR(1+(VLOOKUP(IF(LEFT(Aircraft!$AO58,2)="RW",2,1),INDIRECT(Rating!$J64),3)),1)</f>
        <v>1</v>
      </c>
      <c r="AB60" s="9">
        <f>IF(OR(Aircraft!S58="N",Aircraft!S58=""),1,'MGR Adjustment'!$AF$23+1)</f>
        <v>1</v>
      </c>
      <c r="AC60" s="9">
        <f>IFERROR(IF(AND(Aircraft!J58&gt;"",OR(Aircraft!P58="",Aircraft!P58=0)),'MGR Adjustment'!$AM$23)+1,1)</f>
        <v>1</v>
      </c>
      <c r="BC60">
        <v>56</v>
      </c>
      <c r="BD60" s="387" t="s">
        <v>2033</v>
      </c>
      <c r="BE60" t="s">
        <v>2028</v>
      </c>
      <c r="BF60" t="s">
        <v>2029</v>
      </c>
      <c r="BG60" t="str">
        <f t="shared" si="2"/>
        <v/>
      </c>
      <c r="BH60" t="str">
        <f t="shared" si="3"/>
        <v/>
      </c>
      <c r="BK60">
        <v>56</v>
      </c>
      <c r="BL60" s="157" t="s">
        <v>2034</v>
      </c>
      <c r="BM60" s="159">
        <v>5.1999999999999998E-2</v>
      </c>
    </row>
    <row r="61" spans="1:65">
      <c r="B61">
        <v>56</v>
      </c>
      <c r="C61" s="10" t="str">
        <f ca="1">IFERROR(IF(Aircraft!C59="","",IF(Aircraft!C59=0,VLOOKUP(Aircraft!P59,SE_p,2),VLOOKUP(Aircraft!P59,INDIRECT(Aircraft!AO59),2))),"")</f>
        <v/>
      </c>
      <c r="D61" s="15" t="str">
        <f>IFERROR(IF(LEFT(Aircraft!AO59,2)="RW",HLOOKUP(IF(Aircraft!AI59&gt;0,Aircraft!AI59,Aircraft!AE59),PistonRWLiabRate,SUM(MATCH(Aircraft!W59,PistonLiabLocMatch,0)+1)),IF(LEFT(Aircraft!AO59,2)="ME",HLOOKUP(IF(Aircraft!AI59&gt;0,Aircraft!AI59,Aircraft!AE59),PistonMELFWLiabRates,SUM(MATCH(Aircraft!W59,PistonLiabLocMatch,0)+1)),HLOOKUP(IF(Aircraft!AI59&gt;0,Aircraft!AI59,Aircraft!AE59),PistonFWLiabRate,SUM(MATCH(Aircraft!W59,PistonLiabLocMatch,0)+1)))),"")</f>
        <v/>
      </c>
      <c r="E61" s="15" t="str">
        <f>IFERROR(IF(Rating!AC65="Yes",0,PRODUCT(VLOOKUP(MATCH(Aircraft!$Y59,MedLimits,0),MedRate,3),Aircraft!$BB59)),"")</f>
        <v/>
      </c>
      <c r="F61" s="9">
        <f t="shared" ca="1" si="8"/>
        <v>1</v>
      </c>
      <c r="G61" s="9">
        <f t="shared" ca="1" si="9"/>
        <v>1</v>
      </c>
      <c r="H61" s="9">
        <f>IF(OR(Rating!$E$2=0,Rating!$E$2=""),1+$AG$14,Rating!$E$2+$AG$14+1)</f>
        <v>1.25</v>
      </c>
      <c r="I61" s="9">
        <f>IF(OR(Rating!$F$2=0,Rating!$F$2=""),1+$AG$14,Rating!$F$2+$AG$14+1)</f>
        <v>1.07</v>
      </c>
      <c r="J61" s="9">
        <f>IF(OR(Rating!$R65=0,Rating!$R65=""),1,Rating!$R65+1)</f>
        <v>1</v>
      </c>
      <c r="K61" s="9">
        <f>IF(OR(Rating!$T65=0,Rating!$T65=""),1,Rating!$T65+1)</f>
        <v>1</v>
      </c>
      <c r="L61" s="13" t="str">
        <f>IF(Aircraft!J59="","",ROUND(PRODUCT(ROUND(ROUND(C61*85%,6)/$E$4,6),G61),6))</f>
        <v/>
      </c>
      <c r="M61" s="15" t="str">
        <f>IF(Aircraft!J59="","",ROUND(PRODUCT(ROUND(ROUND(D61*85%,0)/$E$4,0),F61),0))</f>
        <v/>
      </c>
      <c r="N61" s="13" t="str">
        <f>IF(Aircraft!J59="","",ROUND(PRODUCT(I61,K61,L61),5))</f>
        <v/>
      </c>
      <c r="O61" s="11" t="str">
        <f>IF(Aircraft!J59="","",IFERROR(ROUND(PRODUCT(N61,Aircraft!P59),0),0))</f>
        <v/>
      </c>
      <c r="P61" s="11" t="str">
        <f>IF(Aircraft!J59="","",IFERROR(ROUND(PRODUCT(H61,M61,J61),0),""))</f>
        <v/>
      </c>
      <c r="Q61" s="11" t="str">
        <f>IF(Aircraft!J59="","",IFERROR(ROUND(PRODUCT(ROUND(ROUND(E61*85%,0)/$E$4,0),AC61),0),""))</f>
        <v/>
      </c>
      <c r="S61" t="str">
        <f>IFERROR(IF(VLOOKUP(Aircraft!C59,Aircraftlist,17)="M","Medium",IF(VLOOKUP(Aircraft!C59,Aircraftlist,17)="L","Light",IF(VLOOKUP(Aircraft!C59,Aircraftlist,17)="H","Heavy",""))),"")</f>
        <v/>
      </c>
      <c r="T61" s="9">
        <f ca="1">IFERROR(1+VLOOKUP(MATCH(S61,ACCATCHART,0),INDIRECT(CONCATENATE(Aircraft!AO59,"CATMOD")),5),1)</f>
        <v>1</v>
      </c>
      <c r="U61" s="9">
        <f ca="1">IFERROR(IF(Rating!J65=Worksheet_Com!$AF$11,1,IF(LEFT(Aircraft!C59,2)="RW",1,IF(AND(Aircraft!AO59="SETP",Aircraft!AX59="R"),1+VLOOKUP(MATCH(Aircraft!AY59,ACGearType,0),INDIRECT(CONCATENATE("SE_P","GearMod")),5),1+VLOOKUP(MATCH(Aircraft!AY59,ACGearType,0),INDIRECT(CONCATENATE(Aircraft!AO59,"GearMod")),5)))),1)</f>
        <v>1</v>
      </c>
      <c r="V61" s="9">
        <f ca="1">IFERROR(IF(Rating!J65=Worksheet_Com!$AF$11,1,IF(LEFT(Aircraft!C59,2)="RW",1,IF(AND(Aircraft!AO59="SETP",Aircraft!AX59="R"),1+VLOOKUP(MATCH(Aircraft!AY59,ACGearType,0),INDIRECT(CONCATENATE("SE_P","GearMod")),7),1+VLOOKUP(MATCH(Aircraft!AY59,ACGearType,0),INDIRECT(CONCATENATE(Aircraft!AO59,"GearMod")),7)))),1)</f>
        <v>1</v>
      </c>
      <c r="W61" s="9">
        <f>IFERROR(IF(VLOOKUP(Aircraft!C59,Aircraftlist,19)="",0,VLOOKUP(Aircraft!C59,Aircraftlist,19))+1,1)</f>
        <v>1</v>
      </c>
      <c r="X61" s="9">
        <f>IFERROR(VLOOKUP(Aircraft!C59,Aircraftlist,18)+1,1)</f>
        <v>1</v>
      </c>
      <c r="Y61" s="9">
        <f>IFERROR(1+(VLOOKUP(MATCH(Aircraft!AK59,AWtypes,0),AWCertChart,5)),1)</f>
        <v>1</v>
      </c>
      <c r="Z61" s="9">
        <f ca="1">IFERROR(1+(VLOOKUP(IF(LEFT(Aircraft!$AO59,2)="RW",2,1),INDIRECT(Rating!$J65),2)),1)</f>
        <v>1</v>
      </c>
      <c r="AA61" s="9">
        <f ca="1">IFERROR(1+(VLOOKUP(IF(LEFT(Aircraft!$AO59,2)="RW",2,1),INDIRECT(Rating!$J65),3)),1)</f>
        <v>1</v>
      </c>
      <c r="AB61" s="9">
        <f>IF(OR(Aircraft!S59="N",Aircraft!S59=""),1,'MGR Adjustment'!$AF$23+1)</f>
        <v>1</v>
      </c>
      <c r="AC61" s="9">
        <f>IFERROR(IF(AND(Aircraft!J59&gt;"",OR(Aircraft!P59="",Aircraft!P59=0)),'MGR Adjustment'!$AM$23)+1,1)</f>
        <v>1</v>
      </c>
      <c r="BC61">
        <v>57</v>
      </c>
      <c r="BD61" s="387" t="s">
        <v>2035</v>
      </c>
      <c r="BE61" t="s">
        <v>2036</v>
      </c>
      <c r="BF61" t="s">
        <v>2037</v>
      </c>
      <c r="BG61" t="str">
        <f t="shared" si="2"/>
        <v/>
      </c>
      <c r="BH61" t="str">
        <f t="shared" si="3"/>
        <v/>
      </c>
      <c r="BK61">
        <v>57</v>
      </c>
      <c r="BL61" s="157" t="s">
        <v>2038</v>
      </c>
      <c r="BM61" s="159">
        <v>7.4999999999999997E-2</v>
      </c>
    </row>
    <row r="62" spans="1:65">
      <c r="B62">
        <v>57</v>
      </c>
      <c r="C62" s="10" t="str">
        <f ca="1">IFERROR(IF(Aircraft!C60="","",IF(Aircraft!C60=0,VLOOKUP(Aircraft!P60,SE_p,2),VLOOKUP(Aircraft!P60,INDIRECT(Aircraft!AO60),2))),"")</f>
        <v/>
      </c>
      <c r="D62" s="15" t="str">
        <f>IFERROR(IF(LEFT(Aircraft!AO60,2)="RW",HLOOKUP(IF(Aircraft!AI60&gt;0,Aircraft!AI60,Aircraft!AE60),PistonRWLiabRate,SUM(MATCH(Aircraft!W60,PistonLiabLocMatch,0)+1)),IF(LEFT(Aircraft!AO60,2)="ME",HLOOKUP(IF(Aircraft!AI60&gt;0,Aircraft!AI60,Aircraft!AE60),PistonMELFWLiabRates,SUM(MATCH(Aircraft!W60,PistonLiabLocMatch,0)+1)),HLOOKUP(IF(Aircraft!AI60&gt;0,Aircraft!AI60,Aircraft!AE60),PistonFWLiabRate,SUM(MATCH(Aircraft!W60,PistonLiabLocMatch,0)+1)))),"")</f>
        <v/>
      </c>
      <c r="E62" s="15" t="str">
        <f>IFERROR(IF(Rating!AC66="Yes",0,PRODUCT(VLOOKUP(MATCH(Aircraft!$Y60,MedLimits,0),MedRate,3),Aircraft!$BB60)),"")</f>
        <v/>
      </c>
      <c r="F62" s="9">
        <f t="shared" ca="1" si="8"/>
        <v>1</v>
      </c>
      <c r="G62" s="9">
        <f t="shared" ca="1" si="9"/>
        <v>1</v>
      </c>
      <c r="H62" s="9">
        <f>IF(OR(Rating!$E$2=0,Rating!$E$2=""),1+$AG$14,Rating!$E$2+$AG$14+1)</f>
        <v>1.25</v>
      </c>
      <c r="I62" s="9">
        <f>IF(OR(Rating!$F$2=0,Rating!$F$2=""),1+$AG$14,Rating!$F$2+$AG$14+1)</f>
        <v>1.07</v>
      </c>
      <c r="J62" s="9">
        <f>IF(OR(Rating!$R66=0,Rating!$R66=""),1,Rating!$R66+1)</f>
        <v>1</v>
      </c>
      <c r="K62" s="9">
        <f>IF(OR(Rating!$T66=0,Rating!$T66=""),1,Rating!$T66+1)</f>
        <v>1</v>
      </c>
      <c r="L62" s="13" t="str">
        <f>IF(Aircraft!J60="","",ROUND(PRODUCT(ROUND(ROUND(C62*85%,6)/$E$4,6),G62),6))</f>
        <v/>
      </c>
      <c r="M62" s="15" t="str">
        <f>IF(Aircraft!J60="","",ROUND(PRODUCT(ROUND(ROUND(D62*85%,0)/$E$4,0),F62),0))</f>
        <v/>
      </c>
      <c r="N62" s="13" t="str">
        <f>IF(Aircraft!J60="","",ROUND(PRODUCT(I62,K62,L62),5))</f>
        <v/>
      </c>
      <c r="O62" s="11" t="str">
        <f>IF(Aircraft!J60="","",IFERROR(ROUND(PRODUCT(N62,Aircraft!P60),0),0))</f>
        <v/>
      </c>
      <c r="P62" s="11" t="str">
        <f>IF(Aircraft!J60="","",IFERROR(ROUND(PRODUCT(H62,M62,J62),0),""))</f>
        <v/>
      </c>
      <c r="Q62" s="11" t="str">
        <f>IF(Aircraft!J60="","",IFERROR(ROUND(PRODUCT(ROUND(ROUND(E62*85%,0)/$E$4,0),AC62),0),""))</f>
        <v/>
      </c>
      <c r="S62" t="str">
        <f>IFERROR(IF(VLOOKUP(Aircraft!C60,Aircraftlist,17)="M","Medium",IF(VLOOKUP(Aircraft!C60,Aircraftlist,17)="L","Light",IF(VLOOKUP(Aircraft!C60,Aircraftlist,17)="H","Heavy",""))),"")</f>
        <v/>
      </c>
      <c r="T62" s="9">
        <f ca="1">IFERROR(1+VLOOKUP(MATCH(S62,ACCATCHART,0),INDIRECT(CONCATENATE(Aircraft!AO60,"CATMOD")),5),1)</f>
        <v>1</v>
      </c>
      <c r="U62" s="9">
        <f ca="1">IFERROR(IF(Rating!J66=Worksheet_Com!$AF$11,1,IF(LEFT(Aircraft!C60,2)="RW",1,IF(AND(Aircraft!AO60="SETP",Aircraft!AX60="R"),1+VLOOKUP(MATCH(Aircraft!AY60,ACGearType,0),INDIRECT(CONCATENATE("SE_P","GearMod")),5),1+VLOOKUP(MATCH(Aircraft!AY60,ACGearType,0),INDIRECT(CONCATENATE(Aircraft!AO60,"GearMod")),5)))),1)</f>
        <v>1</v>
      </c>
      <c r="V62" s="9">
        <f ca="1">IFERROR(IF(Rating!J66=Worksheet_Com!$AF$11,1,IF(LEFT(Aircraft!C60,2)="RW",1,IF(AND(Aircraft!AO60="SETP",Aircraft!AX60="R"),1+VLOOKUP(MATCH(Aircraft!AY60,ACGearType,0),INDIRECT(CONCATENATE("SE_P","GearMod")),7),1+VLOOKUP(MATCH(Aircraft!AY60,ACGearType,0),INDIRECT(CONCATENATE(Aircraft!AO60,"GearMod")),7)))),1)</f>
        <v>1</v>
      </c>
      <c r="W62" s="9">
        <f>IFERROR(IF(VLOOKUP(Aircraft!C60,Aircraftlist,19)="",0,VLOOKUP(Aircraft!C60,Aircraftlist,19))+1,1)</f>
        <v>1</v>
      </c>
      <c r="X62" s="9">
        <f>IFERROR(VLOOKUP(Aircraft!C60,Aircraftlist,18)+1,1)</f>
        <v>1</v>
      </c>
      <c r="Y62" s="9">
        <f>IFERROR(1+(VLOOKUP(MATCH(Aircraft!AK60,AWtypes,0),AWCertChart,5)),1)</f>
        <v>1</v>
      </c>
      <c r="Z62" s="9">
        <f ca="1">IFERROR(1+(VLOOKUP(IF(LEFT(Aircraft!$AO60,2)="RW",2,1),INDIRECT(Rating!$J66),2)),1)</f>
        <v>1</v>
      </c>
      <c r="AA62" s="9">
        <f ca="1">IFERROR(1+(VLOOKUP(IF(LEFT(Aircraft!$AO60,2)="RW",2,1),INDIRECT(Rating!$J66),3)),1)</f>
        <v>1</v>
      </c>
      <c r="AB62" s="9">
        <f>IF(OR(Aircraft!S60="N",Aircraft!S60=""),1,'MGR Adjustment'!$AF$23+1)</f>
        <v>1</v>
      </c>
      <c r="AC62" s="9">
        <f>IFERROR(IF(AND(Aircraft!J60&gt;"",OR(Aircraft!P60="",Aircraft!P60=0)),'MGR Adjustment'!$AM$23)+1,1)</f>
        <v>1</v>
      </c>
      <c r="BC62">
        <v>58</v>
      </c>
      <c r="BD62" s="387" t="s">
        <v>2039</v>
      </c>
      <c r="BE62" t="s">
        <v>2040</v>
      </c>
      <c r="BF62" t="s">
        <v>1884</v>
      </c>
      <c r="BG62" t="str">
        <f t="shared" si="2"/>
        <v/>
      </c>
      <c r="BH62" t="str">
        <f t="shared" si="3"/>
        <v/>
      </c>
      <c r="BK62">
        <v>58</v>
      </c>
      <c r="BL62" s="157" t="s">
        <v>2041</v>
      </c>
      <c r="BM62" s="159">
        <v>0.04</v>
      </c>
    </row>
    <row r="63" spans="1:65">
      <c r="B63">
        <v>58</v>
      </c>
      <c r="C63" s="10" t="str">
        <f ca="1">IFERROR(IF(Aircraft!C61="","",IF(Aircraft!C61=0,VLOOKUP(Aircraft!P61,SE_p,2),VLOOKUP(Aircraft!P61,INDIRECT(Aircraft!AO61),2))),"")</f>
        <v/>
      </c>
      <c r="D63" s="15" t="str">
        <f>IFERROR(IF(LEFT(Aircraft!AO61,2)="RW",HLOOKUP(IF(Aircraft!AI61&gt;0,Aircraft!AI61,Aircraft!AE61),PistonRWLiabRate,SUM(MATCH(Aircraft!W61,PistonLiabLocMatch,0)+1)),IF(LEFT(Aircraft!AO61,2)="ME",HLOOKUP(IF(Aircraft!AI61&gt;0,Aircraft!AI61,Aircraft!AE61),PistonMELFWLiabRates,SUM(MATCH(Aircraft!W61,PistonLiabLocMatch,0)+1)),HLOOKUP(IF(Aircraft!AI61&gt;0,Aircraft!AI61,Aircraft!AE61),PistonFWLiabRate,SUM(MATCH(Aircraft!W61,PistonLiabLocMatch,0)+1)))),"")</f>
        <v/>
      </c>
      <c r="E63" s="15" t="str">
        <f>IFERROR(IF(Rating!AC67="Yes",0,PRODUCT(VLOOKUP(MATCH(Aircraft!$Y61,MedLimits,0),MedRate,3),Aircraft!$BB61)),"")</f>
        <v/>
      </c>
      <c r="F63" s="9">
        <f t="shared" ca="1" si="8"/>
        <v>1</v>
      </c>
      <c r="G63" s="9">
        <f t="shared" ca="1" si="9"/>
        <v>1</v>
      </c>
      <c r="H63" s="9">
        <f>IF(OR(Rating!$E$2=0,Rating!$E$2=""),1+$AG$14,Rating!$E$2+$AG$14+1)</f>
        <v>1.25</v>
      </c>
      <c r="I63" s="9">
        <f>IF(OR(Rating!$F$2=0,Rating!$F$2=""),1+$AG$14,Rating!$F$2+$AG$14+1)</f>
        <v>1.07</v>
      </c>
      <c r="J63" s="9">
        <f>IF(OR(Rating!$R67=0,Rating!$R67=""),1,Rating!$R67+1)</f>
        <v>1</v>
      </c>
      <c r="K63" s="9">
        <f>IF(OR(Rating!$T67=0,Rating!$T67=""),1,Rating!$T67+1)</f>
        <v>1</v>
      </c>
      <c r="L63" s="13" t="str">
        <f>IF(Aircraft!J61="","",ROUND(PRODUCT(ROUND(ROUND(C63*85%,6)/$E$4,6),G63),6))</f>
        <v/>
      </c>
      <c r="M63" s="15" t="str">
        <f>IF(Aircraft!J61="","",ROUND(PRODUCT(ROUND(ROUND(D63*85%,0)/$E$4,0),F63),0))</f>
        <v/>
      </c>
      <c r="N63" s="13" t="str">
        <f>IF(Aircraft!J61="","",ROUND(PRODUCT(I63,K63,L63),5))</f>
        <v/>
      </c>
      <c r="O63" s="11" t="str">
        <f>IF(Aircraft!J61="","",IFERROR(ROUND(PRODUCT(N63,Aircraft!P61),0),0))</f>
        <v/>
      </c>
      <c r="P63" s="11" t="str">
        <f>IF(Aircraft!J61="","",IFERROR(ROUND(PRODUCT(H63,M63,J63),0),""))</f>
        <v/>
      </c>
      <c r="Q63" s="11" t="str">
        <f>IF(Aircraft!J61="","",IFERROR(ROUND(PRODUCT(ROUND(ROUND(E63*85%,0)/$E$4,0),AC63),0),""))</f>
        <v/>
      </c>
      <c r="S63" t="str">
        <f>IFERROR(IF(VLOOKUP(Aircraft!C61,Aircraftlist,17)="M","Medium",IF(VLOOKUP(Aircraft!C61,Aircraftlist,17)="L","Light",IF(VLOOKUP(Aircraft!C61,Aircraftlist,17)="H","Heavy",""))),"")</f>
        <v/>
      </c>
      <c r="T63" s="9">
        <f ca="1">IFERROR(1+VLOOKUP(MATCH(S63,ACCATCHART,0),INDIRECT(CONCATENATE(Aircraft!AO61,"CATMOD")),5),1)</f>
        <v>1</v>
      </c>
      <c r="U63" s="9">
        <f ca="1">IFERROR(IF(Rating!J67=Worksheet_Com!$AF$11,1,IF(LEFT(Aircraft!C61,2)="RW",1,IF(AND(Aircraft!AO61="SETP",Aircraft!AX61="R"),1+VLOOKUP(MATCH(Aircraft!AY61,ACGearType,0),INDIRECT(CONCATENATE("SE_P","GearMod")),5),1+VLOOKUP(MATCH(Aircraft!AY61,ACGearType,0),INDIRECT(CONCATENATE(Aircraft!AO61,"GearMod")),5)))),1)</f>
        <v>1</v>
      </c>
      <c r="V63" s="9">
        <f ca="1">IFERROR(IF(Rating!J67=Worksheet_Com!$AF$11,1,IF(LEFT(Aircraft!C61,2)="RW",1,IF(AND(Aircraft!AO61="SETP",Aircraft!AX61="R"),1+VLOOKUP(MATCH(Aircraft!AY61,ACGearType,0),INDIRECT(CONCATENATE("SE_P","GearMod")),7),1+VLOOKUP(MATCH(Aircraft!AY61,ACGearType,0),INDIRECT(CONCATENATE(Aircraft!AO61,"GearMod")),7)))),1)</f>
        <v>1</v>
      </c>
      <c r="W63" s="9">
        <f>IFERROR(IF(VLOOKUP(Aircraft!C61,Aircraftlist,19)="",0,VLOOKUP(Aircraft!C61,Aircraftlist,19))+1,1)</f>
        <v>1</v>
      </c>
      <c r="X63" s="9">
        <f>IFERROR(VLOOKUP(Aircraft!C61,Aircraftlist,18)+1,1)</f>
        <v>1</v>
      </c>
      <c r="Y63" s="9">
        <f>IFERROR(1+(VLOOKUP(MATCH(Aircraft!AK61,AWtypes,0),AWCertChart,5)),1)</f>
        <v>1</v>
      </c>
      <c r="Z63" s="9">
        <f ca="1">IFERROR(1+(VLOOKUP(IF(LEFT(Aircraft!$AO61,2)="RW",2,1),INDIRECT(Rating!$J67),2)),1)</f>
        <v>1</v>
      </c>
      <c r="AA63" s="9">
        <f ca="1">IFERROR(1+(VLOOKUP(IF(LEFT(Aircraft!$AO61,2)="RW",2,1),INDIRECT(Rating!$J67),3)),1)</f>
        <v>1</v>
      </c>
      <c r="AB63" s="9">
        <f>IF(OR(Aircraft!S61="N",Aircraft!S61=""),1,'MGR Adjustment'!$AF$23+1)</f>
        <v>1</v>
      </c>
      <c r="AC63" s="9">
        <f>IFERROR(IF(AND(Aircraft!J61&gt;"",OR(Aircraft!P61="",Aircraft!P61=0)),'MGR Adjustment'!$AM$23)+1,1)</f>
        <v>1</v>
      </c>
      <c r="BC63">
        <v>59</v>
      </c>
      <c r="BD63" s="387" t="s">
        <v>2042</v>
      </c>
      <c r="BE63" t="s">
        <v>2043</v>
      </c>
      <c r="BF63" t="s">
        <v>2044</v>
      </c>
      <c r="BG63" t="str">
        <f t="shared" si="2"/>
        <v/>
      </c>
      <c r="BH63" t="str">
        <f t="shared" si="3"/>
        <v/>
      </c>
      <c r="BK63">
        <v>59</v>
      </c>
      <c r="BL63" s="157" t="s">
        <v>2045</v>
      </c>
      <c r="BM63" s="159">
        <v>0.08</v>
      </c>
    </row>
    <row r="64" spans="1:65">
      <c r="B64">
        <v>59</v>
      </c>
      <c r="C64" s="10" t="str">
        <f ca="1">IFERROR(IF(Aircraft!C62="","",IF(Aircraft!C62=0,VLOOKUP(Aircraft!P62,SE_p,2),VLOOKUP(Aircraft!P62,INDIRECT(Aircraft!AO62),2))),"")</f>
        <v/>
      </c>
      <c r="D64" s="15" t="str">
        <f>IFERROR(IF(LEFT(Aircraft!AO62,2)="RW",HLOOKUP(IF(Aircraft!AI62&gt;0,Aircraft!AI62,Aircraft!AE62),PistonRWLiabRate,SUM(MATCH(Aircraft!W62,PistonLiabLocMatch,0)+1)),IF(LEFT(Aircraft!AO62,2)="ME",HLOOKUP(IF(Aircraft!AI62&gt;0,Aircraft!AI62,Aircraft!AE62),PistonMELFWLiabRates,SUM(MATCH(Aircraft!W62,PistonLiabLocMatch,0)+1)),HLOOKUP(IF(Aircraft!AI62&gt;0,Aircraft!AI62,Aircraft!AE62),PistonFWLiabRate,SUM(MATCH(Aircraft!W62,PistonLiabLocMatch,0)+1)))),"")</f>
        <v/>
      </c>
      <c r="E64" s="15" t="str">
        <f>IFERROR(IF(Rating!AC68="Yes",0,PRODUCT(VLOOKUP(MATCH(Aircraft!$Y62,MedLimits,0),MedRate,3),Aircraft!$BB62)),"")</f>
        <v/>
      </c>
      <c r="F64" s="9">
        <f t="shared" ca="1" si="8"/>
        <v>1</v>
      </c>
      <c r="G64" s="9">
        <f t="shared" ca="1" si="9"/>
        <v>1</v>
      </c>
      <c r="H64" s="9">
        <f>IF(OR(Rating!$E$2=0,Rating!$E$2=""),1+$AG$14,Rating!$E$2+$AG$14+1)</f>
        <v>1.25</v>
      </c>
      <c r="I64" s="9">
        <f>IF(OR(Rating!$F$2=0,Rating!$F$2=""),1+$AG$14,Rating!$F$2+$AG$14+1)</f>
        <v>1.07</v>
      </c>
      <c r="J64" s="9">
        <f>IF(OR(Rating!$R68=0,Rating!$R68=""),1,Rating!$R68+1)</f>
        <v>1</v>
      </c>
      <c r="K64" s="9">
        <f>IF(OR(Rating!$T68=0,Rating!$T68=""),1,Rating!$T68+1)</f>
        <v>1</v>
      </c>
      <c r="L64" s="13" t="str">
        <f>IF(Aircraft!J62="","",ROUND(PRODUCT(ROUND(ROUND(C64*85%,6)/$E$4,6),G64),6))</f>
        <v/>
      </c>
      <c r="M64" s="15" t="str">
        <f>IF(Aircraft!J62="","",ROUND(PRODUCT(ROUND(ROUND(D64*85%,0)/$E$4,0),F64),0))</f>
        <v/>
      </c>
      <c r="N64" s="13" t="str">
        <f>IF(Aircraft!J62="","",ROUND(PRODUCT(I64,K64,L64),5))</f>
        <v/>
      </c>
      <c r="O64" s="11" t="str">
        <f>IF(Aircraft!J62="","",IFERROR(ROUND(PRODUCT(N64,Aircraft!P62),0),0))</f>
        <v/>
      </c>
      <c r="P64" s="11" t="str">
        <f>IF(Aircraft!J62="","",IFERROR(ROUND(PRODUCT(H64,M64,J64),0),""))</f>
        <v/>
      </c>
      <c r="Q64" s="11" t="str">
        <f>IF(Aircraft!J62="","",IFERROR(ROUND(PRODUCT(ROUND(ROUND(E64*85%,0)/$E$4,0),AC64),0),""))</f>
        <v/>
      </c>
      <c r="S64" t="str">
        <f>IFERROR(IF(VLOOKUP(Aircraft!C62,Aircraftlist,17)="M","Medium",IF(VLOOKUP(Aircraft!C62,Aircraftlist,17)="L","Light",IF(VLOOKUP(Aircraft!C62,Aircraftlist,17)="H","Heavy",""))),"")</f>
        <v/>
      </c>
      <c r="T64" s="9">
        <f ca="1">IFERROR(1+VLOOKUP(MATCH(S64,ACCATCHART,0),INDIRECT(CONCATENATE(Aircraft!AO62,"CATMOD")),5),1)</f>
        <v>1</v>
      </c>
      <c r="U64" s="9">
        <f ca="1">IFERROR(IF(Rating!J68=Worksheet_Com!$AF$11,1,IF(LEFT(Aircraft!C62,2)="RW",1,IF(AND(Aircraft!AO62="SETP",Aircraft!AX62="R"),1+VLOOKUP(MATCH(Aircraft!AY62,ACGearType,0),INDIRECT(CONCATENATE("SE_P","GearMod")),5),1+VLOOKUP(MATCH(Aircraft!AY62,ACGearType,0),INDIRECT(CONCATENATE(Aircraft!AO62,"GearMod")),5)))),1)</f>
        <v>1</v>
      </c>
      <c r="V64" s="9">
        <f ca="1">IFERROR(IF(Rating!J68=Worksheet_Com!$AF$11,1,IF(LEFT(Aircraft!C62,2)="RW",1,IF(AND(Aircraft!AO62="SETP",Aircraft!AX62="R"),1+VLOOKUP(MATCH(Aircraft!AY62,ACGearType,0),INDIRECT(CONCATENATE("SE_P","GearMod")),7),1+VLOOKUP(MATCH(Aircraft!AY62,ACGearType,0),INDIRECT(CONCATENATE(Aircraft!AO62,"GearMod")),7)))),1)</f>
        <v>1</v>
      </c>
      <c r="W64" s="9">
        <f>IFERROR(IF(VLOOKUP(Aircraft!C62,Aircraftlist,19)="",0,VLOOKUP(Aircraft!C62,Aircraftlist,19))+1,1)</f>
        <v>1</v>
      </c>
      <c r="X64" s="9">
        <f>IFERROR(VLOOKUP(Aircraft!C62,Aircraftlist,18)+1,1)</f>
        <v>1</v>
      </c>
      <c r="Y64" s="9">
        <f>IFERROR(1+(VLOOKUP(MATCH(Aircraft!AK62,AWtypes,0),AWCertChart,5)),1)</f>
        <v>1</v>
      </c>
      <c r="Z64" s="9">
        <f ca="1">IFERROR(1+(VLOOKUP(IF(LEFT(Aircraft!$AO62,2)="RW",2,1),INDIRECT(Rating!$J68),2)),1)</f>
        <v>1</v>
      </c>
      <c r="AA64" s="9">
        <f ca="1">IFERROR(1+(VLOOKUP(IF(LEFT(Aircraft!$AO62,2)="RW",2,1),INDIRECT(Rating!$J68),3)),1)</f>
        <v>1</v>
      </c>
      <c r="AB64" s="9">
        <f>IF(OR(Aircraft!S62="N",Aircraft!S62=""),1,'MGR Adjustment'!$AF$23+1)</f>
        <v>1</v>
      </c>
      <c r="AC64" s="9">
        <f>IFERROR(IF(AND(Aircraft!J62&gt;"",OR(Aircraft!P62="",Aircraft!P62=0)),'MGR Adjustment'!$AM$23)+1,1)</f>
        <v>1</v>
      </c>
      <c r="BC64">
        <v>60</v>
      </c>
      <c r="BD64" s="387" t="s">
        <v>2046</v>
      </c>
      <c r="BE64" t="s">
        <v>2047</v>
      </c>
      <c r="BF64" t="s">
        <v>2004</v>
      </c>
      <c r="BG64" t="str">
        <f t="shared" si="2"/>
        <v/>
      </c>
      <c r="BH64" t="str">
        <f t="shared" si="3"/>
        <v/>
      </c>
      <c r="BK64">
        <v>60</v>
      </c>
      <c r="BL64" s="157" t="s">
        <v>2048</v>
      </c>
      <c r="BM64" s="159">
        <v>6.5000000000000002E-2</v>
      </c>
    </row>
    <row r="65" spans="2:65">
      <c r="B65">
        <v>60</v>
      </c>
      <c r="C65" s="10" t="str">
        <f ca="1">IFERROR(IF(Aircraft!C63="","",IF(Aircraft!C63=0,VLOOKUP(Aircraft!P63,SE_p,2),VLOOKUP(Aircraft!P63,INDIRECT(Aircraft!AO63),2))),"")</f>
        <v/>
      </c>
      <c r="D65" s="15" t="str">
        <f>IFERROR(IF(LEFT(Aircraft!AO63,2)="RW",HLOOKUP(IF(Aircraft!AI63&gt;0,Aircraft!AI63,Aircraft!AE63),PistonRWLiabRate,SUM(MATCH(Aircraft!W63,PistonLiabLocMatch,0)+1)),IF(LEFT(Aircraft!AO63,2)="ME",HLOOKUP(IF(Aircraft!AI63&gt;0,Aircraft!AI63,Aircraft!AE63),PistonMELFWLiabRates,SUM(MATCH(Aircraft!W63,PistonLiabLocMatch,0)+1)),HLOOKUP(IF(Aircraft!AI63&gt;0,Aircraft!AI63,Aircraft!AE63),PistonFWLiabRate,SUM(MATCH(Aircraft!W63,PistonLiabLocMatch,0)+1)))),"")</f>
        <v/>
      </c>
      <c r="E65" s="15" t="str">
        <f>IFERROR(IF(Rating!AC69="Yes",0,PRODUCT(VLOOKUP(MATCH(Aircraft!$Y63,MedLimits,0),MedRate,3),Aircraft!$BB63)),"")</f>
        <v/>
      </c>
      <c r="F65" s="9">
        <f t="shared" ca="1" si="8"/>
        <v>1</v>
      </c>
      <c r="G65" s="9">
        <f t="shared" ca="1" si="9"/>
        <v>1</v>
      </c>
      <c r="H65" s="9">
        <f>IF(OR(Rating!$E$2=0,Rating!$E$2=""),1+$AG$14,Rating!$E$2+$AG$14+1)</f>
        <v>1.25</v>
      </c>
      <c r="I65" s="9">
        <f>IF(OR(Rating!$F$2=0,Rating!$F$2=""),1+$AG$14,Rating!$F$2+$AG$14+1)</f>
        <v>1.07</v>
      </c>
      <c r="J65" s="9">
        <f>IF(OR(Rating!$R69=0,Rating!$R69=""),1,Rating!$R69+1)</f>
        <v>1</v>
      </c>
      <c r="K65" s="9">
        <f>IF(OR(Rating!$T69=0,Rating!$T69=""),1,Rating!$T69+1)</f>
        <v>1</v>
      </c>
      <c r="L65" s="13" t="str">
        <f>IF(Aircraft!J63="","",ROUND(PRODUCT(ROUND(ROUND(C65*85%,6)/$E$4,6),G65),6))</f>
        <v/>
      </c>
      <c r="M65" s="15" t="str">
        <f>IF(Aircraft!J63="","",ROUND(PRODUCT(ROUND(ROUND(D65*85%,0)/$E$4,0),F65),0))</f>
        <v/>
      </c>
      <c r="N65" s="13" t="str">
        <f>IF(Aircraft!J63="","",ROUND(PRODUCT(I65,K65,L65),5))</f>
        <v/>
      </c>
      <c r="O65" s="11" t="str">
        <f>IF(Aircraft!J63="","",IFERROR(ROUND(PRODUCT(N65,Aircraft!P63),0),0))</f>
        <v/>
      </c>
      <c r="P65" s="11" t="str">
        <f>IF(Aircraft!J63="","",IFERROR(ROUND(PRODUCT(H65,M65,J65),0),""))</f>
        <v/>
      </c>
      <c r="Q65" s="11" t="str">
        <f>IF(Aircraft!J63="","",IFERROR(ROUND(PRODUCT(ROUND(ROUND(E65*85%,0)/$E$4,0),AC65),0),""))</f>
        <v/>
      </c>
      <c r="S65" t="str">
        <f>IFERROR(IF(VLOOKUP(Aircraft!C63,Aircraftlist,17)="M","Medium",IF(VLOOKUP(Aircraft!C63,Aircraftlist,17)="L","Light",IF(VLOOKUP(Aircraft!C63,Aircraftlist,17)="H","Heavy",""))),"")</f>
        <v/>
      </c>
      <c r="T65" s="9">
        <f ca="1">IFERROR(1+VLOOKUP(MATCH(S65,ACCATCHART,0),INDIRECT(CONCATENATE(Aircraft!AO63,"CATMOD")),5),1)</f>
        <v>1</v>
      </c>
      <c r="U65" s="9">
        <f ca="1">IFERROR(IF(Rating!J69=Worksheet_Com!$AF$11,1,IF(LEFT(Aircraft!C63,2)="RW",1,IF(AND(Aircraft!AO63="SETP",Aircraft!AX63="R"),1+VLOOKUP(MATCH(Aircraft!AY63,ACGearType,0),INDIRECT(CONCATENATE("SE_P","GearMod")),5),1+VLOOKUP(MATCH(Aircraft!AY63,ACGearType,0),INDIRECT(CONCATENATE(Aircraft!AO63,"GearMod")),5)))),1)</f>
        <v>1</v>
      </c>
      <c r="V65" s="9">
        <f ca="1">IFERROR(IF(Rating!J69=Worksheet_Com!$AF$11,1,IF(LEFT(Aircraft!C63,2)="RW",1,IF(AND(Aircraft!AO63="SETP",Aircraft!AX63="R"),1+VLOOKUP(MATCH(Aircraft!AY63,ACGearType,0),INDIRECT(CONCATENATE("SE_P","GearMod")),7),1+VLOOKUP(MATCH(Aircraft!AY63,ACGearType,0),INDIRECT(CONCATENATE(Aircraft!AO63,"GearMod")),7)))),1)</f>
        <v>1</v>
      </c>
      <c r="W65" s="9">
        <f>IFERROR(IF(VLOOKUP(Aircraft!C63,Aircraftlist,19)="",0,VLOOKUP(Aircraft!C63,Aircraftlist,19))+1,1)</f>
        <v>1</v>
      </c>
      <c r="X65" s="9">
        <f>IFERROR(VLOOKUP(Aircraft!C63,Aircraftlist,18)+1,1)</f>
        <v>1</v>
      </c>
      <c r="Y65" s="9">
        <f>IFERROR(1+(VLOOKUP(MATCH(Aircraft!AK63,AWtypes,0),AWCertChart,5)),1)</f>
        <v>1</v>
      </c>
      <c r="Z65" s="9">
        <f ca="1">IFERROR(1+(VLOOKUP(IF(LEFT(Aircraft!$AO63,2)="RW",2,1),INDIRECT(Rating!$J69),2)),1)</f>
        <v>1</v>
      </c>
      <c r="AA65" s="9">
        <f ca="1">IFERROR(1+(VLOOKUP(IF(LEFT(Aircraft!$AO63,2)="RW",2,1),INDIRECT(Rating!$J69),3)),1)</f>
        <v>1</v>
      </c>
      <c r="AB65" s="9">
        <f>IF(OR(Aircraft!S63="N",Aircraft!S63=""),1,'MGR Adjustment'!$AF$23+1)</f>
        <v>1</v>
      </c>
      <c r="AC65" s="9">
        <f>IFERROR(IF(AND(Aircraft!J63&gt;"",OR(Aircraft!P63="",Aircraft!P63=0)),'MGR Adjustment'!$AM$23)+1,1)</f>
        <v>1</v>
      </c>
      <c r="BC65">
        <v>61</v>
      </c>
      <c r="BD65" s="387" t="s">
        <v>2049</v>
      </c>
      <c r="BE65" t="s">
        <v>2050</v>
      </c>
      <c r="BF65" t="s">
        <v>2051</v>
      </c>
      <c r="BG65" t="str">
        <f t="shared" si="2"/>
        <v/>
      </c>
      <c r="BH65" t="str">
        <f t="shared" si="3"/>
        <v/>
      </c>
      <c r="BK65">
        <v>61</v>
      </c>
      <c r="BL65" s="157" t="s">
        <v>2052</v>
      </c>
      <c r="BM65" s="159">
        <v>0.06</v>
      </c>
    </row>
    <row r="66" spans="2:65">
      <c r="B66">
        <v>61</v>
      </c>
      <c r="C66" s="10" t="str">
        <f ca="1">IFERROR(IF(Aircraft!C64="","",IF(Aircraft!C64=0,VLOOKUP(Aircraft!P64,SE_p,2),VLOOKUP(Aircraft!P64,INDIRECT(Aircraft!AO64),2))),"")</f>
        <v/>
      </c>
      <c r="D66" s="15" t="str">
        <f>IFERROR(IF(LEFT(Aircraft!AO64,2)="RW",HLOOKUP(IF(Aircraft!BB64&gt;0,Aircraft!BB64,Aircraft!AE64),PistonRWLiabRate,SUM(MATCH(Aircraft!W64,PistonLiabLocMatch,0)+1)),IF(LEFT(Aircraft!AO64,2)="ME",HLOOKUP(IF(Aircraft!BB64&gt;0,Aircraft!BB64,Aircraft!AE64),PistonMELFWLiabRates,SUM(MATCH(Aircraft!W64,PistonLiabLocMatch,0)+1)),HLOOKUP(IF(Aircraft!BB64&gt;0,Aircraft!BB64,Aircraft!AE64),PistonFWLiabRate,SUM(MATCH(Aircraft!W64,PistonLiabLocMatch,0)+1)))),"")</f>
        <v/>
      </c>
      <c r="E66" s="15" t="str">
        <f>IFERROR(IF(Rating!AC70="Yes",0,PRODUCT(VLOOKUP(MATCH(Aircraft!$Y64,MedLimits,0),MedRate,3),Aircraft!$BB64)),"")</f>
        <v/>
      </c>
      <c r="F66" s="9">
        <f ca="1">ROUND(PRODUCT(T66,U66,W66,Y66,Z66,AC66),2)</f>
        <v>1</v>
      </c>
      <c r="G66" s="9">
        <f ca="1">ROUND(PRODUCT(T66,V66,X66,Y66,AA66,AB66),2)</f>
        <v>1</v>
      </c>
      <c r="H66" s="9">
        <f>IF(OR(Rating!$E$2=0,Rating!$E$2=""),1+$AG$14,Rating!$E$2+$AG$14+1)</f>
        <v>1.25</v>
      </c>
      <c r="I66" s="9">
        <f>IF(OR(Rating!$F$2=0,Rating!$F$2=""),1+$AG$14,Rating!$F$2+$AG$14+1)</f>
        <v>1.07</v>
      </c>
      <c r="J66" s="9">
        <f>IF(OR(Rating!$R70=0,Rating!$R70=""),1,Rating!$R70+1)</f>
        <v>1</v>
      </c>
      <c r="K66" s="9">
        <f>IF(OR(Rating!$T70=0,Rating!$T70=""),1,Rating!$T70+1)</f>
        <v>1</v>
      </c>
      <c r="L66" s="13" t="str">
        <f>IF(Aircraft!J64="","",ROUND(PRODUCT(ROUND(ROUND(C66*85%,6)/$E$4,6),G66),6))</f>
        <v/>
      </c>
      <c r="M66" s="15" t="str">
        <f>IF(Aircraft!J64="","",ROUND(PRODUCT(ROUND(ROUND(D66*85%,0)/$E$4,0),F66),0))</f>
        <v/>
      </c>
      <c r="N66" s="13" t="str">
        <f>IF(Aircraft!J64="","",ROUND(PRODUCT(I66,K66,L66),5))</f>
        <v/>
      </c>
      <c r="O66" s="11" t="str">
        <f>IF(Aircraft!J64="","",IFERROR(ROUND(PRODUCT(N66,Aircraft!P64),0),0))</f>
        <v/>
      </c>
      <c r="P66" s="11" t="str">
        <f>IF(Aircraft!J64="","",IFERROR(ROUND(PRODUCT(H66,M66,J66),0),""))</f>
        <v/>
      </c>
      <c r="Q66" s="11" t="str">
        <f>IF(Aircraft!J64="","",IFERROR(ROUND(PRODUCT(ROUND(ROUND(E66*85%,0)/$E$4,0),AC66),0),""))</f>
        <v/>
      </c>
      <c r="S66" t="str">
        <f>IFERROR(IF(VLOOKUP(Aircraft!C64,Aircraftlist,17)="M","Medium",IF(VLOOKUP(Aircraft!C64,Aircraftlist,17)="L","Light",IF(VLOOKUP(Aircraft!C64,Aircraftlist,17)="H","Heavy",""))),"")</f>
        <v/>
      </c>
      <c r="T66" s="9">
        <f ca="1">IFERROR(1+VLOOKUP(MATCH(S66,ACCATCHART,0),INDIRECT(CONCATENATE(Aircraft!AO64,"CATMOD")),5),1)</f>
        <v>1</v>
      </c>
      <c r="U66" s="9">
        <f ca="1">IFERROR(IF(Rating!J70=Worksheet_Com!$AF$11,1,IF(LEFT(Aircraft!C64,2)="RW",1,IF(AND(Aircraft!AO64="SETP",Aircraft!AX64="R"),1+VLOOKUP(MATCH(Aircraft!AY64,ACGearType,0),INDIRECT(CONCATENATE("SE_P","GearMod")),5),1+VLOOKUP(MATCH(Aircraft!AY64,ACGearType,0),INDIRECT(CONCATENATE(Aircraft!AO64,"GearMod")),5)))),1)</f>
        <v>1</v>
      </c>
      <c r="V66" s="9">
        <f ca="1">IFERROR(IF(Rating!J70=Worksheet_Com!$AF$11,1,IF(LEFT(Aircraft!C64,2)="RW",1,IF(AND(Aircraft!AO64="SETP",Aircraft!AX64="R"),1+VLOOKUP(MATCH(Aircraft!AY64,ACGearType,0),INDIRECT(CONCATENATE("SE_P","GearMod")),7),1+VLOOKUP(MATCH(Aircraft!AY64,ACGearType,0),INDIRECT(CONCATENATE(Aircraft!AO64,"GearMod")),7)))),1)</f>
        <v>1</v>
      </c>
      <c r="W66" s="9">
        <f>IFERROR(IF(VLOOKUP(Aircraft!C64,Aircraftlist,19)="",0,VLOOKUP(Aircraft!C64,Aircraftlist,19))+1,1)</f>
        <v>1</v>
      </c>
      <c r="X66" s="9">
        <f>IFERROR(VLOOKUP(Aircraft!C64,Aircraftlist,18)+1,1)</f>
        <v>1</v>
      </c>
      <c r="Y66" s="9">
        <f>IFERROR(1+(VLOOKUP(MATCH(Aircraft!AK64,AWtypes,0),AWCertChart,5)),1)</f>
        <v>1</v>
      </c>
      <c r="Z66" s="9">
        <f ca="1">IFERROR(1+(VLOOKUP(IF(LEFT(Aircraft!$AO64,2)="RW",2,1),INDIRECT(Rating!$J70),2)),1)</f>
        <v>1</v>
      </c>
      <c r="AA66" s="9">
        <f ca="1">IFERROR(1+(VLOOKUP(IF(LEFT(Aircraft!$AO64,2)="RW",2,1),INDIRECT(Rating!$J70),3)),1)</f>
        <v>1</v>
      </c>
      <c r="AB66" s="9">
        <f>IF(OR(Aircraft!S64="N",Aircraft!S64=""),1,'MGR Adjustment'!$AF$23+1)</f>
        <v>1</v>
      </c>
      <c r="AC66" s="9">
        <f>IFERROR(IF(AND(Aircraft!J64&gt;"",OR(Aircraft!P64="",Aircraft!P64=0)),'MGR Adjustment'!$AM$23)+1,1)</f>
        <v>1</v>
      </c>
      <c r="BC66">
        <v>62</v>
      </c>
      <c r="BD66" s="387" t="s">
        <v>2053</v>
      </c>
      <c r="BE66" t="s">
        <v>2050</v>
      </c>
      <c r="BF66" t="s">
        <v>2051</v>
      </c>
      <c r="BG66" t="str">
        <f t="shared" si="2"/>
        <v/>
      </c>
      <c r="BH66" t="str">
        <f t="shared" si="3"/>
        <v/>
      </c>
      <c r="BK66">
        <v>62</v>
      </c>
      <c r="BL66" s="158" t="s">
        <v>2054</v>
      </c>
      <c r="BM66" s="159">
        <v>0.16</v>
      </c>
    </row>
    <row r="67" spans="2:65">
      <c r="B67">
        <v>62</v>
      </c>
      <c r="C67" s="10" t="str">
        <f ca="1">IFERROR(IF(Aircraft!C65="","",IF(Aircraft!C65=0,VLOOKUP(Aircraft!P65,SE_p,2),VLOOKUP(Aircraft!P65,INDIRECT(Aircraft!AO65),2))),"")</f>
        <v/>
      </c>
      <c r="D67" s="15" t="str">
        <f>IFERROR(IF(LEFT(Aircraft!AO65,2)="RW",HLOOKUP(IF(Aircraft!AI65&gt;0,Aircraft!AI65,Aircraft!AE65),PistonRWLiabRate,SUM(MATCH(Aircraft!W65,PistonLiabLocMatch,0)+1)),IF(LEFT(Aircraft!AO65,2)="ME",HLOOKUP(IF(Aircraft!AI65&gt;0,Aircraft!AI65,Aircraft!AE65),PistonMELFWLiabRates,SUM(MATCH(Aircraft!W65,PistonLiabLocMatch,0)+1)),HLOOKUP(IF(Aircraft!AI65&gt;0,Aircraft!AI65,Aircraft!AE65),PistonFWLiabRate,SUM(MATCH(Aircraft!W65,PistonLiabLocMatch,0)+1)))),"")</f>
        <v/>
      </c>
      <c r="E67" s="15" t="str">
        <f>IFERROR(IF(Rating!AC71="Yes",0,PRODUCT(VLOOKUP(MATCH(Aircraft!$Y65,MedLimits,0),MedRate,3),Aircraft!$BB65)),"")</f>
        <v/>
      </c>
      <c r="F67" s="9">
        <f t="shared" ref="F67:F85" ca="1" si="10">ROUND(PRODUCT(T67,U67,W67,Y67,Z67,AC67),2)</f>
        <v>1</v>
      </c>
      <c r="G67" s="9">
        <f t="shared" ref="G67:G85" ca="1" si="11">ROUND(PRODUCT(T67,V67,X67,Y67,AA67,AB67),2)</f>
        <v>1</v>
      </c>
      <c r="H67" s="9">
        <f>IF(OR(Rating!$E$2=0,Rating!$E$2=""),1+$AG$14,Rating!$E$2+$AG$14+1)</f>
        <v>1.25</v>
      </c>
      <c r="I67" s="9">
        <f>IF(OR(Rating!$F$2=0,Rating!$F$2=""),1+$AG$14,Rating!$F$2+$AG$14+1)</f>
        <v>1.07</v>
      </c>
      <c r="J67" s="9">
        <f>IF(OR(Rating!$R71=0,Rating!$R71=""),1,Rating!$R71+1)</f>
        <v>1</v>
      </c>
      <c r="K67" s="9">
        <f>IF(OR(Rating!$T71=0,Rating!$T71=""),1,Rating!$T71+1)</f>
        <v>1</v>
      </c>
      <c r="L67" s="13" t="str">
        <f>IF(Aircraft!J65="","",ROUND(PRODUCT(ROUND(ROUND(C67*85%,6)/$E$4,6),G67),6))</f>
        <v/>
      </c>
      <c r="M67" s="15" t="str">
        <f>IF(Aircraft!J65="","",ROUND(PRODUCT(ROUND(ROUND(D67*85%,0)/$E$4,0),F67),0))</f>
        <v/>
      </c>
      <c r="N67" s="13" t="str">
        <f>IF(Aircraft!J65="","",ROUND(PRODUCT(I67,K67,L67),5))</f>
        <v/>
      </c>
      <c r="O67" s="11" t="str">
        <f>IF(Aircraft!J65="","",IFERROR(ROUND(PRODUCT(N67,Aircraft!P65),0),0))</f>
        <v/>
      </c>
      <c r="P67" s="11" t="str">
        <f>IF(Aircraft!J65="","",IFERROR(ROUND(PRODUCT(H67,M67,J67),0),""))</f>
        <v/>
      </c>
      <c r="Q67" s="11" t="str">
        <f>IF(Aircraft!J65="","",IFERROR(ROUND(PRODUCT(ROUND(ROUND(E67*85%,0)/$E$4,0),AC67),0),""))</f>
        <v/>
      </c>
      <c r="S67" t="str">
        <f>IFERROR(IF(VLOOKUP(Aircraft!C65,Aircraftlist,17)="M","Medium",IF(VLOOKUP(Aircraft!C65,Aircraftlist,17)="L","Light",IF(VLOOKUP(Aircraft!C65,Aircraftlist,17)="H","Heavy",""))),"")</f>
        <v/>
      </c>
      <c r="T67" s="9">
        <f ca="1">IFERROR(1+VLOOKUP(MATCH(S67,ACCATCHART,0),INDIRECT(CONCATENATE(Aircraft!AO65,"CATMOD")),5),1)</f>
        <v>1</v>
      </c>
      <c r="U67" s="9">
        <f ca="1">IFERROR(IF(Rating!J71=Worksheet_Com!$AF$11,1,IF(LEFT(Aircraft!C65,2)="RW",1,IF(AND(Aircraft!AO65="SETP",Aircraft!AX65="R"),1+VLOOKUP(MATCH(Aircraft!AY65,ACGearType,0),INDIRECT(CONCATENATE("SE_P","GearMod")),5),1+VLOOKUP(MATCH(Aircraft!AY65,ACGearType,0),INDIRECT(CONCATENATE(Aircraft!AO65,"GearMod")),5)))),1)</f>
        <v>1</v>
      </c>
      <c r="V67" s="9">
        <f ca="1">IFERROR(IF(Rating!J71=Worksheet_Com!$AF$11,1,IF(LEFT(Aircraft!C65,2)="RW",1,IF(AND(Aircraft!AO65="SETP",Aircraft!AX65="R"),1+VLOOKUP(MATCH(Aircraft!AY65,ACGearType,0),INDIRECT(CONCATENATE("SE_P","GearMod")),7),1+VLOOKUP(MATCH(Aircraft!AY65,ACGearType,0),INDIRECT(CONCATENATE(Aircraft!AO65,"GearMod")),7)))),1)</f>
        <v>1</v>
      </c>
      <c r="W67" s="9">
        <f>IFERROR(IF(VLOOKUP(Aircraft!C65,Aircraftlist,19)="",0,VLOOKUP(Aircraft!C65,Aircraftlist,19))+1,1)</f>
        <v>1</v>
      </c>
      <c r="X67" s="9">
        <f>IFERROR(VLOOKUP(Aircraft!C65,Aircraftlist,18)+1,1)</f>
        <v>1</v>
      </c>
      <c r="Y67" s="9">
        <f>IFERROR(1+(VLOOKUP(MATCH(Aircraft!AK65,AWtypes,0),AWCertChart,5)),1)</f>
        <v>1</v>
      </c>
      <c r="Z67" s="9">
        <f ca="1">IFERROR(1+(VLOOKUP(IF(LEFT(Aircraft!$AO65,2)="RW",2,1),INDIRECT(Rating!$J71),2)),1)</f>
        <v>1</v>
      </c>
      <c r="AA67" s="9">
        <f ca="1">IFERROR(1+(VLOOKUP(IF(LEFT(Aircraft!$AO65,2)="RW",2,1),INDIRECT(Rating!$J71),3)),1)</f>
        <v>1</v>
      </c>
      <c r="AB67" s="9">
        <f>IF(OR(Aircraft!S65="N",Aircraft!S65=""),1,'MGR Adjustment'!$AF$23+1)</f>
        <v>1</v>
      </c>
      <c r="AC67" s="9">
        <f>IFERROR(IF(AND(Aircraft!J65&gt;"",OR(Aircraft!P65="",Aircraft!P65=0)),'MGR Adjustment'!$AM$23)+1,1)</f>
        <v>1</v>
      </c>
      <c r="BC67">
        <v>63</v>
      </c>
      <c r="BD67" s="387" t="s">
        <v>2055</v>
      </c>
      <c r="BE67" t="s">
        <v>2050</v>
      </c>
      <c r="BF67" t="s">
        <v>2051</v>
      </c>
      <c r="BG67" t="str">
        <f t="shared" si="2"/>
        <v/>
      </c>
      <c r="BH67" t="str">
        <f t="shared" si="3"/>
        <v/>
      </c>
      <c r="BK67">
        <v>63</v>
      </c>
      <c r="BL67" s="157" t="s">
        <v>2056</v>
      </c>
      <c r="BM67" s="159">
        <v>0.08</v>
      </c>
    </row>
    <row r="68" spans="2:65">
      <c r="B68">
        <v>63</v>
      </c>
      <c r="C68" s="10" t="str">
        <f ca="1">IFERROR(IF(Aircraft!C66="","",IF(Aircraft!C66=0,VLOOKUP(Aircraft!P66,SE_p,2),VLOOKUP(Aircraft!P66,INDIRECT(Aircraft!AO66),2))),"")</f>
        <v/>
      </c>
      <c r="D68" s="15" t="str">
        <f>IFERROR(IF(LEFT(Aircraft!AO66,2)="RW",HLOOKUP(IF(Aircraft!AI66&gt;0,Aircraft!AI66,Aircraft!AE66),PistonRWLiabRate,SUM(MATCH(Aircraft!W66,PistonLiabLocMatch,0)+1)),IF(LEFT(Aircraft!AO66,2)="ME",HLOOKUP(IF(Aircraft!AI66&gt;0,Aircraft!AI66,Aircraft!AE66),PistonMELFWLiabRates,SUM(MATCH(Aircraft!W66,PistonLiabLocMatch,0)+1)),HLOOKUP(IF(Aircraft!AI66&gt;0,Aircraft!AI66,Aircraft!AE66),PistonFWLiabRate,SUM(MATCH(Aircraft!W66,PistonLiabLocMatch,0)+1)))),"")</f>
        <v/>
      </c>
      <c r="E68" s="15" t="str">
        <f>IFERROR(IF(Rating!AC72="Yes",0,PRODUCT(VLOOKUP(MATCH(Aircraft!$Y66,MedLimits,0),MedRate,3),Aircraft!$BB66)),"")</f>
        <v/>
      </c>
      <c r="F68" s="9">
        <f t="shared" ca="1" si="10"/>
        <v>1</v>
      </c>
      <c r="G68" s="9">
        <f t="shared" ca="1" si="11"/>
        <v>1</v>
      </c>
      <c r="H68" s="9">
        <f>IF(OR(Rating!$E$2=0,Rating!$E$2=""),1+$AG$14,Rating!$E$2+$AG$14+1)</f>
        <v>1.25</v>
      </c>
      <c r="I68" s="9">
        <f>IF(OR(Rating!$F$2=0,Rating!$F$2=""),1+$AG$14,Rating!$F$2+$AG$14+1)</f>
        <v>1.07</v>
      </c>
      <c r="J68" s="9">
        <f>IF(OR(Rating!$R72=0,Rating!$R72=""),1,Rating!$R72+1)</f>
        <v>1</v>
      </c>
      <c r="K68" s="9">
        <f>IF(OR(Rating!$T72=0,Rating!$T72=""),1,Rating!$T72+1)</f>
        <v>1</v>
      </c>
      <c r="L68" s="13" t="str">
        <f>IF(Aircraft!J66="","",ROUND(PRODUCT(ROUND(ROUND(C68*85%,6)/$E$4,6),G68),6))</f>
        <v/>
      </c>
      <c r="M68" s="15" t="str">
        <f>IF(Aircraft!J66="","",ROUND(PRODUCT(ROUND(ROUND(D68*85%,0)/$E$4,0),F68),0))</f>
        <v/>
      </c>
      <c r="N68" s="13" t="str">
        <f>IF(Aircraft!J66="","",ROUND(PRODUCT(I68,K68,L68),5))</f>
        <v/>
      </c>
      <c r="O68" s="11" t="str">
        <f>IF(Aircraft!J66="","",IFERROR(ROUND(PRODUCT(N68,Aircraft!P66),0),0))</f>
        <v/>
      </c>
      <c r="P68" s="11" t="str">
        <f>IF(Aircraft!J66="","",IFERROR(ROUND(PRODUCT(H68,M68,J68),0),""))</f>
        <v/>
      </c>
      <c r="Q68" s="11" t="str">
        <f>IF(Aircraft!J66="","",IFERROR(ROUND(PRODUCT(ROUND(ROUND(E68*85%,0)/$E$4,0),AC68),0),""))</f>
        <v/>
      </c>
      <c r="S68" t="str">
        <f>IFERROR(IF(VLOOKUP(Aircraft!C66,Aircraftlist,17)="M","Medium",IF(VLOOKUP(Aircraft!C66,Aircraftlist,17)="L","Light",IF(VLOOKUP(Aircraft!C66,Aircraftlist,17)="H","Heavy",""))),"")</f>
        <v/>
      </c>
      <c r="T68" s="9">
        <f ca="1">IFERROR(1+VLOOKUP(MATCH(S68,ACCATCHART,0),INDIRECT(CONCATENATE(Aircraft!AO66,"CATMOD")),5),1)</f>
        <v>1</v>
      </c>
      <c r="U68" s="9">
        <f ca="1">IFERROR(IF(Rating!J72=Worksheet_Com!$AF$11,1,IF(LEFT(Aircraft!C66,2)="RW",1,IF(AND(Aircraft!AO66="SETP",Aircraft!AX66="R"),1+VLOOKUP(MATCH(Aircraft!AY66,ACGearType,0),INDIRECT(CONCATENATE("SE_P","GearMod")),5),1+VLOOKUP(MATCH(Aircraft!AY66,ACGearType,0),INDIRECT(CONCATENATE(Aircraft!AO66,"GearMod")),5)))),1)</f>
        <v>1</v>
      </c>
      <c r="V68" s="9">
        <f ca="1">IFERROR(IF(Rating!J72=Worksheet_Com!$AF$11,1,IF(LEFT(Aircraft!C66,2)="RW",1,IF(AND(Aircraft!AO66="SETP",Aircraft!AX66="R"),1+VLOOKUP(MATCH(Aircraft!AY66,ACGearType,0),INDIRECT(CONCATENATE("SE_P","GearMod")),7),1+VLOOKUP(MATCH(Aircraft!AY66,ACGearType,0),INDIRECT(CONCATENATE(Aircraft!AO66,"GearMod")),7)))),1)</f>
        <v>1</v>
      </c>
      <c r="W68" s="9">
        <f>IFERROR(IF(VLOOKUP(Aircraft!C66,Aircraftlist,19)="",0,VLOOKUP(Aircraft!C66,Aircraftlist,19))+1,1)</f>
        <v>1</v>
      </c>
      <c r="X68" s="9">
        <f>IFERROR(VLOOKUP(Aircraft!C66,Aircraftlist,18)+1,1)</f>
        <v>1</v>
      </c>
      <c r="Y68" s="9">
        <f>IFERROR(1+(VLOOKUP(MATCH(Aircraft!AK66,AWtypes,0),AWCertChart,5)),1)</f>
        <v>1</v>
      </c>
      <c r="Z68" s="9">
        <f ca="1">IFERROR(1+(VLOOKUP(IF(LEFT(Aircraft!$AO66,2)="RW",2,1),INDIRECT(Rating!$J72),2)),1)</f>
        <v>1</v>
      </c>
      <c r="AA68" s="9">
        <f ca="1">IFERROR(1+(VLOOKUP(IF(LEFT(Aircraft!$AO66,2)="RW",2,1),INDIRECT(Rating!$J72),3)),1)</f>
        <v>1</v>
      </c>
      <c r="AB68" s="9">
        <f>IF(OR(Aircraft!S66="N",Aircraft!S66=""),1,'MGR Adjustment'!$AF$23+1)</f>
        <v>1</v>
      </c>
      <c r="AC68" s="9">
        <f>IFERROR(IF(AND(Aircraft!J66&gt;"",OR(Aircraft!P66="",Aircraft!P66=0)),'MGR Adjustment'!$AM$23)+1,1)</f>
        <v>1</v>
      </c>
      <c r="BC68">
        <v>64</v>
      </c>
      <c r="BD68" s="387" t="s">
        <v>2057</v>
      </c>
      <c r="BE68" t="s">
        <v>2058</v>
      </c>
      <c r="BF68" t="s">
        <v>2059</v>
      </c>
      <c r="BG68" t="str">
        <f t="shared" si="2"/>
        <v/>
      </c>
      <c r="BH68" t="str">
        <f t="shared" si="3"/>
        <v/>
      </c>
      <c r="BK68">
        <v>64</v>
      </c>
      <c r="BL68" s="157" t="s">
        <v>2060</v>
      </c>
      <c r="BM68" s="159">
        <v>0.06</v>
      </c>
    </row>
    <row r="69" spans="2:65">
      <c r="B69">
        <v>64</v>
      </c>
      <c r="C69" s="10" t="str">
        <f ca="1">IFERROR(IF(Aircraft!C67="","",IF(Aircraft!C67=0,VLOOKUP(Aircraft!P67,SE_p,2),VLOOKUP(Aircraft!P67,INDIRECT(Aircraft!AO67),2))),"")</f>
        <v/>
      </c>
      <c r="D69" s="15" t="str">
        <f>IFERROR(IF(LEFT(Aircraft!AO67,2)="RW",HLOOKUP(IF(Aircraft!AI67&gt;0,Aircraft!AI67,Aircraft!AE67),PistonRWLiabRate,SUM(MATCH(Aircraft!W67,PistonLiabLocMatch,0)+1)),IF(LEFT(Aircraft!AO67,2)="ME",HLOOKUP(IF(Aircraft!AI67&gt;0,Aircraft!AI67,Aircraft!AE67),PistonMELFWLiabRates,SUM(MATCH(Aircraft!W67,PistonLiabLocMatch,0)+1)),HLOOKUP(IF(Aircraft!AI67&gt;0,Aircraft!AI67,Aircraft!AE67),PistonFWLiabRate,SUM(MATCH(Aircraft!W67,PistonLiabLocMatch,0)+1)))),"")</f>
        <v/>
      </c>
      <c r="E69" s="15" t="str">
        <f>IFERROR(IF(Rating!AC73="Yes",0,PRODUCT(VLOOKUP(MATCH(Aircraft!$Y67,MedLimits,0),MedRate,3),Aircraft!$BB67)),"")</f>
        <v/>
      </c>
      <c r="F69" s="9">
        <f t="shared" ca="1" si="10"/>
        <v>1</v>
      </c>
      <c r="G69" s="9">
        <f t="shared" ca="1" si="11"/>
        <v>1</v>
      </c>
      <c r="H69" s="9">
        <f>IF(OR(Rating!$E$2=0,Rating!$E$2=""),1+$AG$14,Rating!$E$2+$AG$14+1)</f>
        <v>1.25</v>
      </c>
      <c r="I69" s="9">
        <f>IF(OR(Rating!$F$2=0,Rating!$F$2=""),1+$AG$14,Rating!$F$2+$AG$14+1)</f>
        <v>1.07</v>
      </c>
      <c r="J69" s="9">
        <f>IF(OR(Rating!$R73=0,Rating!$R73=""),1,Rating!$R73+1)</f>
        <v>1</v>
      </c>
      <c r="K69" s="9">
        <f>IF(OR(Rating!$T73=0,Rating!$T73=""),1,Rating!$T73+1)</f>
        <v>1</v>
      </c>
      <c r="L69" s="13" t="str">
        <f>IF(Aircraft!J67="","",ROUND(PRODUCT(ROUND(ROUND(C69*85%,6)/$E$4,6),G69),6))</f>
        <v/>
      </c>
      <c r="M69" s="15" t="str">
        <f>IF(Aircraft!J67="","",ROUND(PRODUCT(ROUND(ROUND(D69*85%,0)/$E$4,0),F69),0))</f>
        <v/>
      </c>
      <c r="N69" s="13" t="str">
        <f>IF(Aircraft!J67="","",ROUND(PRODUCT(I69,K69,L69),5))</f>
        <v/>
      </c>
      <c r="O69" s="11" t="str">
        <f>IF(Aircraft!J67="","",IFERROR(ROUND(PRODUCT(N69,Aircraft!P67),0),0))</f>
        <v/>
      </c>
      <c r="P69" s="11" t="str">
        <f>IF(Aircraft!J67="","",IFERROR(ROUND(PRODUCT(H69,M69,J69),0),""))</f>
        <v/>
      </c>
      <c r="Q69" s="11" t="str">
        <f>IF(Aircraft!J67="","",IFERROR(ROUND(PRODUCT(ROUND(ROUND(E69*85%,0)/$E$4,0),AC69),0),""))</f>
        <v/>
      </c>
      <c r="S69" t="str">
        <f>IFERROR(IF(VLOOKUP(Aircraft!C67,Aircraftlist,17)="M","Medium",IF(VLOOKUP(Aircraft!C67,Aircraftlist,17)="L","Light",IF(VLOOKUP(Aircraft!C67,Aircraftlist,17)="H","Heavy",""))),"")</f>
        <v/>
      </c>
      <c r="T69" s="9">
        <f ca="1">IFERROR(1+VLOOKUP(MATCH(S69,ACCATCHART,0),INDIRECT(CONCATENATE(Aircraft!AO67,"CATMOD")),5),1)</f>
        <v>1</v>
      </c>
      <c r="U69" s="9">
        <f ca="1">IFERROR(IF(Rating!J73=Worksheet_Com!$AF$11,1,IF(LEFT(Aircraft!C67,2)="RW",1,IF(AND(Aircraft!AO67="SETP",Aircraft!AX67="R"),1+VLOOKUP(MATCH(Aircraft!AY67,ACGearType,0),INDIRECT(CONCATENATE("SE_P","GearMod")),5),1+VLOOKUP(MATCH(Aircraft!AY67,ACGearType,0),INDIRECT(CONCATENATE(Aircraft!AO67,"GearMod")),5)))),1)</f>
        <v>1</v>
      </c>
      <c r="V69" s="9">
        <f ca="1">IFERROR(IF(Rating!J73=Worksheet_Com!$AF$11,1,IF(LEFT(Aircraft!C67,2)="RW",1,IF(AND(Aircraft!AO67="SETP",Aircraft!AX67="R"),1+VLOOKUP(MATCH(Aircraft!AY67,ACGearType,0),INDIRECT(CONCATENATE("SE_P","GearMod")),7),1+VLOOKUP(MATCH(Aircraft!AY67,ACGearType,0),INDIRECT(CONCATENATE(Aircraft!AO67,"GearMod")),7)))),1)</f>
        <v>1</v>
      </c>
      <c r="W69" s="9">
        <f>IFERROR(IF(VLOOKUP(Aircraft!C67,Aircraftlist,19)="",0,VLOOKUP(Aircraft!C67,Aircraftlist,19))+1,1)</f>
        <v>1</v>
      </c>
      <c r="X69" s="9">
        <f>IFERROR(VLOOKUP(Aircraft!C67,Aircraftlist,18)+1,1)</f>
        <v>1</v>
      </c>
      <c r="Y69" s="9">
        <f>IFERROR(1+(VLOOKUP(MATCH(Aircraft!AK67,AWtypes,0),AWCertChart,5)),1)</f>
        <v>1</v>
      </c>
      <c r="Z69" s="9">
        <f ca="1">IFERROR(1+(VLOOKUP(IF(LEFT(Aircraft!$AO67,2)="RW",2,1),INDIRECT(Rating!$J73),2)),1)</f>
        <v>1</v>
      </c>
      <c r="AA69" s="9">
        <f ca="1">IFERROR(1+(VLOOKUP(IF(LEFT(Aircraft!$AO67,2)="RW",2,1),INDIRECT(Rating!$J73),3)),1)</f>
        <v>1</v>
      </c>
      <c r="AB69" s="9">
        <f>IF(OR(Aircraft!S67="N",Aircraft!S67=""),1,'MGR Adjustment'!$AF$23+1)</f>
        <v>1</v>
      </c>
      <c r="AC69" s="9">
        <f>IFERROR(IF(AND(Aircraft!J67&gt;"",OR(Aircraft!P67="",Aircraft!P67=0)),'MGR Adjustment'!$AM$23)+1,1)</f>
        <v>1</v>
      </c>
      <c r="BC69">
        <v>65</v>
      </c>
      <c r="BD69" s="387" t="s">
        <v>2061</v>
      </c>
      <c r="BE69" t="s">
        <v>2062</v>
      </c>
      <c r="BF69" t="s">
        <v>2004</v>
      </c>
      <c r="BG69" t="str">
        <f t="shared" si="2"/>
        <v/>
      </c>
      <c r="BH69" t="str">
        <f t="shared" si="3"/>
        <v/>
      </c>
      <c r="BK69">
        <v>65</v>
      </c>
      <c r="BL69" s="157" t="s">
        <v>2063</v>
      </c>
      <c r="BM69" s="159">
        <v>0.08</v>
      </c>
    </row>
    <row r="70" spans="2:65">
      <c r="B70">
        <v>65</v>
      </c>
      <c r="C70" s="10" t="str">
        <f ca="1">IFERROR(IF(Aircraft!C68="","",IF(Aircraft!C68=0,VLOOKUP(Aircraft!P68,SE_p,2),VLOOKUP(Aircraft!P68,INDIRECT(Aircraft!AO68),2))),"")</f>
        <v/>
      </c>
      <c r="D70" s="15" t="str">
        <f>IFERROR(IF(LEFT(Aircraft!AO68,2)="RW",HLOOKUP(IF(Aircraft!AI68&gt;0,Aircraft!AI68,Aircraft!AE68),PistonRWLiabRate,SUM(MATCH(Aircraft!W68,PistonLiabLocMatch,0)+1)),IF(LEFT(Aircraft!AO68,2)="ME",HLOOKUP(IF(Aircraft!AI68&gt;0,Aircraft!AI68,Aircraft!AE68),PistonMELFWLiabRates,SUM(MATCH(Aircraft!W68,PistonLiabLocMatch,0)+1)),HLOOKUP(IF(Aircraft!AI68&gt;0,Aircraft!AI68,Aircraft!AE68),PistonFWLiabRate,SUM(MATCH(Aircraft!W68,PistonLiabLocMatch,0)+1)))),"")</f>
        <v/>
      </c>
      <c r="E70" s="15" t="str">
        <f>IFERROR(IF(Rating!AC74="Yes",0,PRODUCT(VLOOKUP(MATCH(Aircraft!$Y68,MedLimits,0),MedRate,3),Aircraft!$BB68)),"")</f>
        <v/>
      </c>
      <c r="F70" s="9">
        <f t="shared" ca="1" si="10"/>
        <v>1</v>
      </c>
      <c r="G70" s="9">
        <f t="shared" ca="1" si="11"/>
        <v>1</v>
      </c>
      <c r="H70" s="9">
        <f>IF(OR(Rating!$E$2=0,Rating!$E$2=""),1+$AG$14,Rating!$E$2+$AG$14+1)</f>
        <v>1.25</v>
      </c>
      <c r="I70" s="9">
        <f>IF(OR(Rating!$F$2=0,Rating!$F$2=""),1+$AG$14,Rating!$F$2+$AG$14+1)</f>
        <v>1.07</v>
      </c>
      <c r="J70" s="9">
        <f>IF(OR(Rating!$R74=0,Rating!$R74=""),1,Rating!$R74+1)</f>
        <v>1</v>
      </c>
      <c r="K70" s="9">
        <f>IF(OR(Rating!$T74=0,Rating!$T74=""),1,Rating!$T74+1)</f>
        <v>1</v>
      </c>
      <c r="L70" s="13" t="str">
        <f>IF(Aircraft!J68="","",ROUND(PRODUCT(ROUND(ROUND(C70*85%,6)/$E$4,6),G70),6))</f>
        <v/>
      </c>
      <c r="M70" s="15" t="str">
        <f>IF(Aircraft!J68="","",ROUND(PRODUCT(ROUND(ROUND(D70*85%,0)/$E$4,0),F70),0))</f>
        <v/>
      </c>
      <c r="N70" s="13" t="str">
        <f>IF(Aircraft!J68="","",ROUND(PRODUCT(I70,K70,L70),5))</f>
        <v/>
      </c>
      <c r="O70" s="11" t="str">
        <f>IF(Aircraft!J68="","",IFERROR(ROUND(PRODUCT(N70,Aircraft!P68),0),0))</f>
        <v/>
      </c>
      <c r="P70" s="11" t="str">
        <f>IF(Aircraft!J68="","",IFERROR(ROUND(PRODUCT(H70,M70,J70),0),""))</f>
        <v/>
      </c>
      <c r="Q70" s="11" t="str">
        <f>IF(Aircraft!J68="","",IFERROR(ROUND(PRODUCT(ROUND(ROUND(E70*85%,0)/$E$4,0),AC70),0),""))</f>
        <v/>
      </c>
      <c r="S70" t="str">
        <f>IFERROR(IF(VLOOKUP(Aircraft!C68,Aircraftlist,17)="M","Medium",IF(VLOOKUP(Aircraft!C68,Aircraftlist,17)="L","Light",IF(VLOOKUP(Aircraft!C68,Aircraftlist,17)="H","Heavy",""))),"")</f>
        <v/>
      </c>
      <c r="T70" s="9">
        <f ca="1">IFERROR(1+VLOOKUP(MATCH(S70,ACCATCHART,0),INDIRECT(CONCATENATE(Aircraft!AO68,"CATMOD")),5),1)</f>
        <v>1</v>
      </c>
      <c r="U70" s="9">
        <f ca="1">IFERROR(IF(Rating!J74=Worksheet_Com!$AF$11,1,IF(LEFT(Aircraft!C68,2)="RW",1,IF(AND(Aircraft!AO68="SETP",Aircraft!AX68="R"),1+VLOOKUP(MATCH(Aircraft!AY68,ACGearType,0),INDIRECT(CONCATENATE("SE_P","GearMod")),5),1+VLOOKUP(MATCH(Aircraft!AY68,ACGearType,0),INDIRECT(CONCATENATE(Aircraft!AO68,"GearMod")),5)))),1)</f>
        <v>1</v>
      </c>
      <c r="V70" s="9">
        <f ca="1">IFERROR(IF(Rating!J74=Worksheet_Com!$AF$11,1,IF(LEFT(Aircraft!C68,2)="RW",1,IF(AND(Aircraft!AO68="SETP",Aircraft!AX68="R"),1+VLOOKUP(MATCH(Aircraft!AY68,ACGearType,0),INDIRECT(CONCATENATE("SE_P","GearMod")),7),1+VLOOKUP(MATCH(Aircraft!AY68,ACGearType,0),INDIRECT(CONCATENATE(Aircraft!AO68,"GearMod")),7)))),1)</f>
        <v>1</v>
      </c>
      <c r="W70" s="9">
        <f>IFERROR(IF(VLOOKUP(Aircraft!C68,Aircraftlist,19)="",0,VLOOKUP(Aircraft!C68,Aircraftlist,19))+1,1)</f>
        <v>1</v>
      </c>
      <c r="X70" s="9">
        <f>IFERROR(VLOOKUP(Aircraft!C68,Aircraftlist,18)+1,1)</f>
        <v>1</v>
      </c>
      <c r="Y70" s="9">
        <f>IFERROR(1+(VLOOKUP(MATCH(Aircraft!AK68,AWtypes,0),AWCertChart,5)),1)</f>
        <v>1</v>
      </c>
      <c r="Z70" s="9">
        <f ca="1">IFERROR(1+(VLOOKUP(IF(LEFT(Aircraft!$AO68,2)="RW",2,1),INDIRECT(Rating!$J74),2)),1)</f>
        <v>1</v>
      </c>
      <c r="AA70" s="9">
        <f ca="1">IFERROR(1+(VLOOKUP(IF(LEFT(Aircraft!$AO68,2)="RW",2,1),INDIRECT(Rating!$J74),3)),1)</f>
        <v>1</v>
      </c>
      <c r="AB70" s="9">
        <f>IF(OR(Aircraft!S68="N",Aircraft!S68=""),1,'MGR Adjustment'!$AF$23+1)</f>
        <v>1</v>
      </c>
      <c r="AC70" s="9">
        <f>IFERROR(IF(AND(Aircraft!J68&gt;"",OR(Aircraft!P68="",Aircraft!P68=0)),'MGR Adjustment'!$AM$23)+1,1)</f>
        <v>1</v>
      </c>
      <c r="BC70">
        <v>66</v>
      </c>
      <c r="BD70" s="387" t="s">
        <v>2064</v>
      </c>
      <c r="BE70" t="s">
        <v>2065</v>
      </c>
      <c r="BF70" t="s">
        <v>1980</v>
      </c>
      <c r="BG70" t="str">
        <f t="shared" ref="BG70:BG133" si="12">IFERROR(IF(AU71=FALSE,"",VLOOKUP(MATCH(AU71,KYTAXLOC,0),KYMUNITAXTABLE,3)),"No Tax")</f>
        <v/>
      </c>
      <c r="BH70" t="str">
        <f t="shared" ref="BH70:BH133" si="13">IFERROR(IF(AW71=FALSE,"",VLOOKUP(MATCH(AW71,KYTAXLOC,0),KYMUNITAXTABLE,3)),"No Tax")</f>
        <v/>
      </c>
      <c r="BK70">
        <v>66</v>
      </c>
      <c r="BL70" s="157" t="s">
        <v>2066</v>
      </c>
      <c r="BM70" s="159">
        <v>0.04</v>
      </c>
    </row>
    <row r="71" spans="2:65">
      <c r="B71">
        <v>66</v>
      </c>
      <c r="C71" s="10" t="str">
        <f ca="1">IFERROR(IF(Aircraft!C69="","",IF(Aircraft!C69=0,VLOOKUP(Aircraft!P69,SE_p,2),VLOOKUP(Aircraft!P69,INDIRECT(Aircraft!AO69),2))),"")</f>
        <v/>
      </c>
      <c r="D71" s="15" t="str">
        <f>IFERROR(IF(LEFT(Aircraft!AO69,2)="RW",HLOOKUP(IF(Aircraft!AI69&gt;0,Aircraft!AI69,Aircraft!AE69),PistonRWLiabRate,SUM(MATCH(Aircraft!W69,PistonLiabLocMatch,0)+1)),IF(LEFT(Aircraft!AO69,2)="ME",HLOOKUP(IF(Aircraft!AI69&gt;0,Aircraft!AI69,Aircraft!AE69),PistonMELFWLiabRates,SUM(MATCH(Aircraft!W69,PistonLiabLocMatch,0)+1)),HLOOKUP(IF(Aircraft!AI69&gt;0,Aircraft!AI69,Aircraft!AE69),PistonFWLiabRate,SUM(MATCH(Aircraft!W69,PistonLiabLocMatch,0)+1)))),"")</f>
        <v/>
      </c>
      <c r="E71" s="15" t="str">
        <f>IFERROR(IF(Rating!AC75="Yes",0,PRODUCT(VLOOKUP(MATCH(Aircraft!$Y69,MedLimits,0),MedRate,3),Aircraft!$BB69)),"")</f>
        <v/>
      </c>
      <c r="F71" s="9">
        <f t="shared" ca="1" si="10"/>
        <v>1</v>
      </c>
      <c r="G71" s="9">
        <f t="shared" ca="1" si="11"/>
        <v>1</v>
      </c>
      <c r="H71" s="9">
        <f>IF(OR(Rating!$E$2=0,Rating!$E$2=""),1+$AG$14,Rating!$E$2+$AG$14+1)</f>
        <v>1.25</v>
      </c>
      <c r="I71" s="9">
        <f>IF(OR(Rating!$F$2=0,Rating!$F$2=""),1+$AG$14,Rating!$F$2+$AG$14+1)</f>
        <v>1.07</v>
      </c>
      <c r="J71" s="9">
        <f>IF(OR(Rating!$R75=0,Rating!$R75=""),1,Rating!$R75+1)</f>
        <v>1</v>
      </c>
      <c r="K71" s="9">
        <f>IF(OR(Rating!$T75=0,Rating!$T75=""),1,Rating!$T75+1)</f>
        <v>1</v>
      </c>
      <c r="L71" s="13" t="str">
        <f>IF(Aircraft!J69="","",ROUND(PRODUCT(ROUND(ROUND(C71*85%,6)/$E$4,6),G71),6))</f>
        <v/>
      </c>
      <c r="M71" s="15" t="str">
        <f>IF(Aircraft!J69="","",ROUND(PRODUCT(ROUND(ROUND(D71*85%,0)/$E$4,0),F71),0))</f>
        <v/>
      </c>
      <c r="N71" s="13" t="str">
        <f>IF(Aircraft!J69="","",ROUND(PRODUCT(I71,K71,L71),5))</f>
        <v/>
      </c>
      <c r="O71" s="11" t="str">
        <f>IF(Aircraft!J69="","",IFERROR(ROUND(PRODUCT(N71,Aircraft!P69),0),0))</f>
        <v/>
      </c>
      <c r="P71" s="11" t="str">
        <f>IF(Aircraft!J69="","",IFERROR(ROUND(PRODUCT(H71,M71,J71),0),""))</f>
        <v/>
      </c>
      <c r="Q71" s="11" t="str">
        <f>IF(Aircraft!J69="","",IFERROR(ROUND(PRODUCT(ROUND(ROUND(E71*85%,0)/$E$4,0),AC71),0),""))</f>
        <v/>
      </c>
      <c r="S71" t="str">
        <f>IFERROR(IF(VLOOKUP(Aircraft!C69,Aircraftlist,17)="M","Medium",IF(VLOOKUP(Aircraft!C69,Aircraftlist,17)="L","Light",IF(VLOOKUP(Aircraft!C69,Aircraftlist,17)="H","Heavy",""))),"")</f>
        <v/>
      </c>
      <c r="T71" s="9">
        <f ca="1">IFERROR(1+VLOOKUP(MATCH(S71,ACCATCHART,0),INDIRECT(CONCATENATE(Aircraft!AO69,"CATMOD")),5),1)</f>
        <v>1</v>
      </c>
      <c r="U71" s="9">
        <f ca="1">IFERROR(IF(Rating!J75=Worksheet_Com!$AF$11,1,IF(LEFT(Aircraft!C69,2)="RW",1,IF(AND(Aircraft!AO69="SETP",Aircraft!AX69="R"),1+VLOOKUP(MATCH(Aircraft!AY69,ACGearType,0),INDIRECT(CONCATENATE("SE_P","GearMod")),5),1+VLOOKUP(MATCH(Aircraft!AY69,ACGearType,0),INDIRECT(CONCATENATE(Aircraft!AO69,"GearMod")),5)))),1)</f>
        <v>1</v>
      </c>
      <c r="V71" s="9">
        <f ca="1">IFERROR(IF(Rating!J75=Worksheet_Com!$AF$11,1,IF(LEFT(Aircraft!C69,2)="RW",1,IF(AND(Aircraft!AO69="SETP",Aircraft!AX69="R"),1+VLOOKUP(MATCH(Aircraft!AY69,ACGearType,0),INDIRECT(CONCATENATE("SE_P","GearMod")),7),1+VLOOKUP(MATCH(Aircraft!AY69,ACGearType,0),INDIRECT(CONCATENATE(Aircraft!AO69,"GearMod")),7)))),1)</f>
        <v>1</v>
      </c>
      <c r="W71" s="9">
        <f>IFERROR(IF(VLOOKUP(Aircraft!C69,Aircraftlist,19)="",0,VLOOKUP(Aircraft!C69,Aircraftlist,19))+1,1)</f>
        <v>1</v>
      </c>
      <c r="X71" s="9">
        <f>IFERROR(VLOOKUP(Aircraft!C69,Aircraftlist,18)+1,1)</f>
        <v>1</v>
      </c>
      <c r="Y71" s="9">
        <f>IFERROR(1+(VLOOKUP(MATCH(Aircraft!AK69,AWtypes,0),AWCertChart,5)),1)</f>
        <v>1</v>
      </c>
      <c r="Z71" s="9">
        <f ca="1">IFERROR(1+(VLOOKUP(IF(LEFT(Aircraft!$AO69,2)="RW",2,1),INDIRECT(Rating!$J75),2)),1)</f>
        <v>1</v>
      </c>
      <c r="AA71" s="9">
        <f ca="1">IFERROR(1+(VLOOKUP(IF(LEFT(Aircraft!$AO69,2)="RW",2,1),INDIRECT(Rating!$J75),3)),1)</f>
        <v>1</v>
      </c>
      <c r="AB71" s="9">
        <f>IF(OR(Aircraft!S69="N",Aircraft!S69=""),1,'MGR Adjustment'!$AF$23+1)</f>
        <v>1</v>
      </c>
      <c r="AC71" s="9">
        <f>IFERROR(IF(AND(Aircraft!J69&gt;"",OR(Aircraft!P69="",Aircraft!P69=0)),'MGR Adjustment'!$AM$23)+1,1)</f>
        <v>1</v>
      </c>
      <c r="BC71">
        <v>67</v>
      </c>
      <c r="BD71" s="387" t="s">
        <v>2067</v>
      </c>
      <c r="BE71" t="s">
        <v>2068</v>
      </c>
      <c r="BF71" t="s">
        <v>2069</v>
      </c>
      <c r="BG71" t="str">
        <f t="shared" si="12"/>
        <v/>
      </c>
      <c r="BH71" t="str">
        <f t="shared" si="13"/>
        <v/>
      </c>
      <c r="BK71">
        <v>67</v>
      </c>
      <c r="BL71" s="157" t="s">
        <v>2070</v>
      </c>
      <c r="BM71" s="159">
        <v>0.05</v>
      </c>
    </row>
    <row r="72" spans="2:65">
      <c r="B72">
        <v>67</v>
      </c>
      <c r="C72" s="10" t="str">
        <f ca="1">IFERROR(IF(Aircraft!C70="","",IF(Aircraft!C70=0,VLOOKUP(Aircraft!P70,SE_p,2),VLOOKUP(Aircraft!P70,INDIRECT(Aircraft!AO70),2))),"")</f>
        <v/>
      </c>
      <c r="D72" s="15" t="str">
        <f>IFERROR(IF(LEFT(Aircraft!AO70,2)="RW",HLOOKUP(IF(Aircraft!AI70&gt;0,Aircraft!AI70,Aircraft!AE70),PistonRWLiabRate,SUM(MATCH(Aircraft!W70,PistonLiabLocMatch,0)+1)),IF(LEFT(Aircraft!AO70,2)="ME",HLOOKUP(IF(Aircraft!AI70&gt;0,Aircraft!AI70,Aircraft!AE70),PistonMELFWLiabRates,SUM(MATCH(Aircraft!W70,PistonLiabLocMatch,0)+1)),HLOOKUP(IF(Aircraft!AI70&gt;0,Aircraft!AI70,Aircraft!AE70),PistonFWLiabRate,SUM(MATCH(Aircraft!W70,PistonLiabLocMatch,0)+1)))),"")</f>
        <v/>
      </c>
      <c r="E72" s="15" t="str">
        <f>IFERROR(IF(Rating!AC76="Yes",0,PRODUCT(VLOOKUP(MATCH(Aircraft!$Y70,MedLimits,0),MedRate,3),Aircraft!$BB70)),"")</f>
        <v/>
      </c>
      <c r="F72" s="9">
        <f t="shared" ca="1" si="10"/>
        <v>1</v>
      </c>
      <c r="G72" s="9">
        <f t="shared" ca="1" si="11"/>
        <v>1</v>
      </c>
      <c r="H72" s="9">
        <f>IF(OR(Rating!$E$2=0,Rating!$E$2=""),1+$AG$14,Rating!$E$2+$AG$14+1)</f>
        <v>1.25</v>
      </c>
      <c r="I72" s="9">
        <f>IF(OR(Rating!$F$2=0,Rating!$F$2=""),1+$AG$14,Rating!$F$2+$AG$14+1)</f>
        <v>1.07</v>
      </c>
      <c r="J72" s="9">
        <f>IF(OR(Rating!$R76=0,Rating!$R76=""),1,Rating!$R76+1)</f>
        <v>1</v>
      </c>
      <c r="K72" s="9">
        <f>IF(OR(Rating!$T76=0,Rating!$T76=""),1,Rating!$T76+1)</f>
        <v>1</v>
      </c>
      <c r="L72" s="13" t="str">
        <f>IF(Aircraft!J70="","",ROUND(PRODUCT(ROUND(ROUND(C72*85%,6)/$E$4,6),G72),6))</f>
        <v/>
      </c>
      <c r="M72" s="15" t="str">
        <f>IF(Aircraft!J70="","",ROUND(PRODUCT(ROUND(ROUND(D72*85%,0)/$E$4,0),F72),0))</f>
        <v/>
      </c>
      <c r="N72" s="13" t="str">
        <f>IF(Aircraft!J70="","",ROUND(PRODUCT(I72,K72,L72),5))</f>
        <v/>
      </c>
      <c r="O72" s="11" t="str">
        <f>IF(Aircraft!J70="","",IFERROR(ROUND(PRODUCT(N72,Aircraft!P70),0),0))</f>
        <v/>
      </c>
      <c r="P72" s="11" t="str">
        <f>IF(Aircraft!J70="","",IFERROR(ROUND(PRODUCT(H72,M72,J72),0),""))</f>
        <v/>
      </c>
      <c r="Q72" s="11" t="str">
        <f>IF(Aircraft!J70="","",IFERROR(ROUND(PRODUCT(ROUND(ROUND(E72*85%,0)/$E$4,0),AC72),0),""))</f>
        <v/>
      </c>
      <c r="S72" t="str">
        <f>IFERROR(IF(VLOOKUP(Aircraft!C70,Aircraftlist,17)="M","Medium",IF(VLOOKUP(Aircraft!C70,Aircraftlist,17)="L","Light",IF(VLOOKUP(Aircraft!C70,Aircraftlist,17)="H","Heavy",""))),"")</f>
        <v/>
      </c>
      <c r="T72" s="9">
        <f ca="1">IFERROR(1+VLOOKUP(MATCH(S72,ACCATCHART,0),INDIRECT(CONCATENATE(Aircraft!AO70,"CATMOD")),5),1)</f>
        <v>1</v>
      </c>
      <c r="U72" s="9">
        <f ca="1">IFERROR(IF(Rating!J76=Worksheet_Com!$AF$11,1,IF(LEFT(Aircraft!C70,2)="RW",1,IF(AND(Aircraft!AO70="SETP",Aircraft!AX70="R"),1+VLOOKUP(MATCH(Aircraft!AY70,ACGearType,0),INDIRECT(CONCATENATE("SE_P","GearMod")),5),1+VLOOKUP(MATCH(Aircraft!AY70,ACGearType,0),INDIRECT(CONCATENATE(Aircraft!AO70,"GearMod")),5)))),1)</f>
        <v>1</v>
      </c>
      <c r="V72" s="9">
        <f ca="1">IFERROR(IF(Rating!J76=Worksheet_Com!$AF$11,1,IF(LEFT(Aircraft!C70,2)="RW",1,IF(AND(Aircraft!AO70="SETP",Aircraft!AX70="R"),1+VLOOKUP(MATCH(Aircraft!AY70,ACGearType,0),INDIRECT(CONCATENATE("SE_P","GearMod")),7),1+VLOOKUP(MATCH(Aircraft!AY70,ACGearType,0),INDIRECT(CONCATENATE(Aircraft!AO70,"GearMod")),7)))),1)</f>
        <v>1</v>
      </c>
      <c r="W72" s="9">
        <f>IFERROR(IF(VLOOKUP(Aircraft!C70,Aircraftlist,19)="",0,VLOOKUP(Aircraft!C70,Aircraftlist,19))+1,1)</f>
        <v>1</v>
      </c>
      <c r="X72" s="9">
        <f>IFERROR(VLOOKUP(Aircraft!C70,Aircraftlist,18)+1,1)</f>
        <v>1</v>
      </c>
      <c r="Y72" s="9">
        <f>IFERROR(1+(VLOOKUP(MATCH(Aircraft!AK70,AWtypes,0),AWCertChart,5)),1)</f>
        <v>1</v>
      </c>
      <c r="Z72" s="9">
        <f ca="1">IFERROR(1+(VLOOKUP(IF(LEFT(Aircraft!$AO70,2)="RW",2,1),INDIRECT(Rating!$J76),2)),1)</f>
        <v>1</v>
      </c>
      <c r="AA72" s="9">
        <f ca="1">IFERROR(1+(VLOOKUP(IF(LEFT(Aircraft!$AO70,2)="RW",2,1),INDIRECT(Rating!$J76),3)),1)</f>
        <v>1</v>
      </c>
      <c r="AB72" s="9">
        <f>IF(OR(Aircraft!S70="N",Aircraft!S70=""),1,'MGR Adjustment'!$AF$23+1)</f>
        <v>1</v>
      </c>
      <c r="AC72" s="9">
        <f>IFERROR(IF(AND(Aircraft!J70&gt;"",OR(Aircraft!P70="",Aircraft!P70=0)),'MGR Adjustment'!$AM$23)+1,1)</f>
        <v>1</v>
      </c>
      <c r="BC72">
        <v>68</v>
      </c>
      <c r="BD72" s="387" t="s">
        <v>2071</v>
      </c>
      <c r="BE72" t="s">
        <v>2072</v>
      </c>
      <c r="BF72" t="s">
        <v>2073</v>
      </c>
      <c r="BG72" t="str">
        <f t="shared" si="12"/>
        <v/>
      </c>
      <c r="BH72" t="str">
        <f t="shared" si="13"/>
        <v/>
      </c>
      <c r="BK72">
        <v>68</v>
      </c>
      <c r="BL72" s="157" t="s">
        <v>2074</v>
      </c>
      <c r="BM72" s="159">
        <v>0.08</v>
      </c>
    </row>
    <row r="73" spans="2:65">
      <c r="B73">
        <v>68</v>
      </c>
      <c r="C73" s="10" t="str">
        <f ca="1">IFERROR(IF(Aircraft!C71="","",IF(Aircraft!C71=0,VLOOKUP(Aircraft!P71,SE_p,2),VLOOKUP(Aircraft!P71,INDIRECT(Aircraft!AO71),2))),"")</f>
        <v/>
      </c>
      <c r="D73" s="15" t="str">
        <f>IFERROR(IF(LEFT(Aircraft!AO71,2)="RW",HLOOKUP(IF(Aircraft!AI71&gt;0,Aircraft!AI71,Aircraft!AE71),PistonRWLiabRate,SUM(MATCH(Aircraft!W71,PistonLiabLocMatch,0)+1)),IF(LEFT(Aircraft!AO71,2)="ME",HLOOKUP(IF(Aircraft!AI71&gt;0,Aircraft!AI71,Aircraft!AE71),PistonMELFWLiabRates,SUM(MATCH(Aircraft!W71,PistonLiabLocMatch,0)+1)),HLOOKUP(IF(Aircraft!AI71&gt;0,Aircraft!AI71,Aircraft!AE71),PistonFWLiabRate,SUM(MATCH(Aircraft!W71,PistonLiabLocMatch,0)+1)))),"")</f>
        <v/>
      </c>
      <c r="E73" s="15" t="str">
        <f>IFERROR(IF(Rating!AC77="Yes",0,PRODUCT(VLOOKUP(MATCH(Aircraft!$Y71,MedLimits,0),MedRate,3),Aircraft!$BB71)),"")</f>
        <v/>
      </c>
      <c r="F73" s="9">
        <f t="shared" ca="1" si="10"/>
        <v>1</v>
      </c>
      <c r="G73" s="9">
        <f t="shared" ca="1" si="11"/>
        <v>1</v>
      </c>
      <c r="H73" s="9">
        <f>IF(OR(Rating!$E$2=0,Rating!$E$2=""),1+$AG$14,Rating!$E$2+$AG$14+1)</f>
        <v>1.25</v>
      </c>
      <c r="I73" s="9">
        <f>IF(OR(Rating!$F$2=0,Rating!$F$2=""),1+$AG$14,Rating!$F$2+$AG$14+1)</f>
        <v>1.07</v>
      </c>
      <c r="J73" s="9">
        <f>IF(OR(Rating!$R77=0,Rating!$R77=""),1,Rating!$R77+1)</f>
        <v>1</v>
      </c>
      <c r="K73" s="9">
        <f>IF(OR(Rating!$T77=0,Rating!$T77=""),1,Rating!$T77+1)</f>
        <v>1</v>
      </c>
      <c r="L73" s="13" t="str">
        <f>IF(Aircraft!J71="","",ROUND(PRODUCT(ROUND(ROUND(C73*85%,6)/$E$4,6),G73),6))</f>
        <v/>
      </c>
      <c r="M73" s="15" t="str">
        <f>IF(Aircraft!J71="","",ROUND(PRODUCT(ROUND(ROUND(D73*85%,0)/$E$4,0),F73),0))</f>
        <v/>
      </c>
      <c r="N73" s="13" t="str">
        <f>IF(Aircraft!J71="","",ROUND(PRODUCT(I73,K73,L73),5))</f>
        <v/>
      </c>
      <c r="O73" s="11" t="str">
        <f>IF(Aircraft!J71="","",IFERROR(ROUND(PRODUCT(N73,Aircraft!P71),0),0))</f>
        <v/>
      </c>
      <c r="P73" s="11" t="str">
        <f>IF(Aircraft!J71="","",IFERROR(ROUND(PRODUCT(H73,M73,J73),0),""))</f>
        <v/>
      </c>
      <c r="Q73" s="11" t="str">
        <f>IF(Aircraft!J71="","",IFERROR(ROUND(PRODUCT(ROUND(ROUND(E73*85%,0)/$E$4,0),AC73),0),""))</f>
        <v/>
      </c>
      <c r="S73" t="str">
        <f>IFERROR(IF(VLOOKUP(Aircraft!C71,Aircraftlist,17)="M","Medium",IF(VLOOKUP(Aircraft!C71,Aircraftlist,17)="L","Light",IF(VLOOKUP(Aircraft!C71,Aircraftlist,17)="H","Heavy",""))),"")</f>
        <v/>
      </c>
      <c r="T73" s="9">
        <f ca="1">IFERROR(1+VLOOKUP(MATCH(S73,ACCATCHART,0),INDIRECT(CONCATENATE(Aircraft!AO71,"CATMOD")),5),1)</f>
        <v>1</v>
      </c>
      <c r="U73" s="9">
        <f ca="1">IFERROR(IF(Rating!J77=Worksheet_Com!$AF$11,1,IF(LEFT(Aircraft!C71,2)="RW",1,IF(AND(Aircraft!AO71="SETP",Aircraft!AX71="R"),1+VLOOKUP(MATCH(Aircraft!AY71,ACGearType,0),INDIRECT(CONCATENATE("SE_P","GearMod")),5),1+VLOOKUP(MATCH(Aircraft!AY71,ACGearType,0),INDIRECT(CONCATENATE(Aircraft!AO71,"GearMod")),5)))),1)</f>
        <v>1</v>
      </c>
      <c r="V73" s="9">
        <f ca="1">IFERROR(IF(Rating!J77=Worksheet_Com!$AF$11,1,IF(LEFT(Aircraft!C71,2)="RW",1,IF(AND(Aircraft!AO71="SETP",Aircraft!AX71="R"),1+VLOOKUP(MATCH(Aircraft!AY71,ACGearType,0),INDIRECT(CONCATENATE("SE_P","GearMod")),7),1+VLOOKUP(MATCH(Aircraft!AY71,ACGearType,0),INDIRECT(CONCATENATE(Aircraft!AO71,"GearMod")),7)))),1)</f>
        <v>1</v>
      </c>
      <c r="W73" s="9">
        <f>IFERROR(IF(VLOOKUP(Aircraft!C71,Aircraftlist,19)="",0,VLOOKUP(Aircraft!C71,Aircraftlist,19))+1,1)</f>
        <v>1</v>
      </c>
      <c r="X73" s="9">
        <f>IFERROR(VLOOKUP(Aircraft!C71,Aircraftlist,18)+1,1)</f>
        <v>1</v>
      </c>
      <c r="Y73" s="9">
        <f>IFERROR(1+(VLOOKUP(MATCH(Aircraft!AK71,AWtypes,0),AWCertChart,5)),1)</f>
        <v>1</v>
      </c>
      <c r="Z73" s="9">
        <f ca="1">IFERROR(1+(VLOOKUP(IF(LEFT(Aircraft!$AO71,2)="RW",2,1),INDIRECT(Rating!$J77),2)),1)</f>
        <v>1</v>
      </c>
      <c r="AA73" s="9">
        <f ca="1">IFERROR(1+(VLOOKUP(IF(LEFT(Aircraft!$AO71,2)="RW",2,1),INDIRECT(Rating!$J77),3)),1)</f>
        <v>1</v>
      </c>
      <c r="AB73" s="9">
        <f>IF(OR(Aircraft!S71="N",Aircraft!S71=""),1,'MGR Adjustment'!$AF$23+1)</f>
        <v>1</v>
      </c>
      <c r="AC73" s="9">
        <f>IFERROR(IF(AND(Aircraft!J71&gt;"",OR(Aircraft!P71="",Aircraft!P71=0)),'MGR Adjustment'!$AM$23)+1,1)</f>
        <v>1</v>
      </c>
      <c r="BC73">
        <v>69</v>
      </c>
      <c r="BD73" s="387" t="s">
        <v>2075</v>
      </c>
      <c r="BE73" t="s">
        <v>2076</v>
      </c>
      <c r="BF73" t="s">
        <v>2077</v>
      </c>
      <c r="BG73" t="str">
        <f t="shared" si="12"/>
        <v/>
      </c>
      <c r="BH73" t="str">
        <f t="shared" si="13"/>
        <v/>
      </c>
      <c r="BK73">
        <v>69</v>
      </c>
      <c r="BL73" s="157" t="s">
        <v>2078</v>
      </c>
      <c r="BM73" s="159">
        <v>0.05</v>
      </c>
    </row>
    <row r="74" spans="2:65">
      <c r="B74">
        <v>69</v>
      </c>
      <c r="C74" s="10" t="str">
        <f ca="1">IFERROR(IF(Aircraft!C72="","",IF(Aircraft!C72=0,VLOOKUP(Aircraft!P72,SE_p,2),VLOOKUP(Aircraft!P72,INDIRECT(Aircraft!AO72),2))),"")</f>
        <v/>
      </c>
      <c r="D74" s="15" t="str">
        <f>IFERROR(IF(LEFT(Aircraft!AO72,2)="RW",HLOOKUP(IF(Aircraft!AI72&gt;0,Aircraft!AI72,Aircraft!AE72),PistonRWLiabRate,SUM(MATCH(Aircraft!W72,PistonLiabLocMatch,0)+1)),IF(LEFT(Aircraft!AO72,2)="ME",HLOOKUP(IF(Aircraft!AI72&gt;0,Aircraft!AI72,Aircraft!AE72),PistonMELFWLiabRates,SUM(MATCH(Aircraft!W72,PistonLiabLocMatch,0)+1)),HLOOKUP(IF(Aircraft!AI72&gt;0,Aircraft!AI72,Aircraft!AE72),PistonFWLiabRate,SUM(MATCH(Aircraft!W72,PistonLiabLocMatch,0)+1)))),"")</f>
        <v/>
      </c>
      <c r="E74" s="15" t="str">
        <f>IFERROR(IF(Rating!AC78="Yes",0,PRODUCT(VLOOKUP(MATCH(Aircraft!$Y72,MedLimits,0),MedRate,3),Aircraft!$BB72)),"")</f>
        <v/>
      </c>
      <c r="F74" s="9">
        <f t="shared" ca="1" si="10"/>
        <v>1</v>
      </c>
      <c r="G74" s="9">
        <f t="shared" ca="1" si="11"/>
        <v>1</v>
      </c>
      <c r="H74" s="9">
        <f>IF(OR(Rating!$E$2=0,Rating!$E$2=""),1+$AG$14,Rating!$E$2+$AG$14+1)</f>
        <v>1.25</v>
      </c>
      <c r="I74" s="9">
        <f>IF(OR(Rating!$F$2=0,Rating!$F$2=""),1+$AG$14,Rating!$F$2+$AG$14+1)</f>
        <v>1.07</v>
      </c>
      <c r="J74" s="9">
        <f>IF(OR(Rating!$R78=0,Rating!$R78=""),1,Rating!$R78+1)</f>
        <v>1</v>
      </c>
      <c r="K74" s="9">
        <f>IF(OR(Rating!$T78=0,Rating!$T78=""),1,Rating!$T78+1)</f>
        <v>1</v>
      </c>
      <c r="L74" s="13" t="str">
        <f>IF(Aircraft!J72="","",ROUND(PRODUCT(ROUND(ROUND(C74*85%,6)/$E$4,6),G74),6))</f>
        <v/>
      </c>
      <c r="M74" s="15" t="str">
        <f>IF(Aircraft!J72="","",ROUND(PRODUCT(ROUND(ROUND(D74*85%,0)/$E$4,0),F74),0))</f>
        <v/>
      </c>
      <c r="N74" s="13" t="str">
        <f>IF(Aircraft!J72="","",ROUND(PRODUCT(I74,K74,L74),5))</f>
        <v/>
      </c>
      <c r="O74" s="11" t="str">
        <f>IF(Aircraft!J72="","",IFERROR(ROUND(PRODUCT(N74,Aircraft!P72),0),0))</f>
        <v/>
      </c>
      <c r="P74" s="11" t="str">
        <f>IF(Aircraft!J72="","",IFERROR(ROUND(PRODUCT(H74,M74,J74),0),""))</f>
        <v/>
      </c>
      <c r="Q74" s="11" t="str">
        <f>IF(Aircraft!J72="","",IFERROR(ROUND(PRODUCT(ROUND(ROUND(E74*85%,0)/$E$4,0),AC74),0),""))</f>
        <v/>
      </c>
      <c r="S74" t="str">
        <f>IFERROR(IF(VLOOKUP(Aircraft!C72,Aircraftlist,17)="M","Medium",IF(VLOOKUP(Aircraft!C72,Aircraftlist,17)="L","Light",IF(VLOOKUP(Aircraft!C72,Aircraftlist,17)="H","Heavy",""))),"")</f>
        <v/>
      </c>
      <c r="T74" s="9">
        <f ca="1">IFERROR(1+VLOOKUP(MATCH(S74,ACCATCHART,0),INDIRECT(CONCATENATE(Aircraft!AO72,"CATMOD")),5),1)</f>
        <v>1</v>
      </c>
      <c r="U74" s="9">
        <f ca="1">IFERROR(IF(Rating!J78=Worksheet_Com!$AF$11,1,IF(LEFT(Aircraft!C72,2)="RW",1,IF(AND(Aircraft!AO72="SETP",Aircraft!AX72="R"),1+VLOOKUP(MATCH(Aircraft!AY72,ACGearType,0),INDIRECT(CONCATENATE("SE_P","GearMod")),5),1+VLOOKUP(MATCH(Aircraft!AY72,ACGearType,0),INDIRECT(CONCATENATE(Aircraft!AO72,"GearMod")),5)))),1)</f>
        <v>1</v>
      </c>
      <c r="V74" s="9">
        <f ca="1">IFERROR(IF(Rating!J78=Worksheet_Com!$AF$11,1,IF(LEFT(Aircraft!C72,2)="RW",1,IF(AND(Aircraft!AO72="SETP",Aircraft!AX72="R"),1+VLOOKUP(MATCH(Aircraft!AY72,ACGearType,0),INDIRECT(CONCATENATE("SE_P","GearMod")),7),1+VLOOKUP(MATCH(Aircraft!AY72,ACGearType,0),INDIRECT(CONCATENATE(Aircraft!AO72,"GearMod")),7)))),1)</f>
        <v>1</v>
      </c>
      <c r="W74" s="9">
        <f>IFERROR(IF(VLOOKUP(Aircraft!C72,Aircraftlist,19)="",0,VLOOKUP(Aircraft!C72,Aircraftlist,19))+1,1)</f>
        <v>1</v>
      </c>
      <c r="X74" s="9">
        <f>IFERROR(VLOOKUP(Aircraft!C72,Aircraftlist,18)+1,1)</f>
        <v>1</v>
      </c>
      <c r="Y74" s="9">
        <f>IFERROR(1+(VLOOKUP(MATCH(Aircraft!AK72,AWtypes,0),AWCertChart,5)),1)</f>
        <v>1</v>
      </c>
      <c r="Z74" s="9">
        <f ca="1">IFERROR(1+(VLOOKUP(IF(LEFT(Aircraft!$AO72,2)="RW",2,1),INDIRECT(Rating!$J78),2)),1)</f>
        <v>1</v>
      </c>
      <c r="AA74" s="9">
        <f ca="1">IFERROR(1+(VLOOKUP(IF(LEFT(Aircraft!$AO72,2)="RW",2,1),INDIRECT(Rating!$J78),3)),1)</f>
        <v>1</v>
      </c>
      <c r="AB74" s="9">
        <f>IF(OR(Aircraft!S72="N",Aircraft!S72=""),1,'MGR Adjustment'!$AF$23+1)</f>
        <v>1</v>
      </c>
      <c r="AC74" s="9">
        <f>IFERROR(IF(AND(Aircraft!J72&gt;"",OR(Aircraft!P72="",Aircraft!P72=0)),'MGR Adjustment'!$AM$23)+1,1)</f>
        <v>1</v>
      </c>
      <c r="BC74">
        <v>70</v>
      </c>
      <c r="BD74" s="387" t="s">
        <v>2079</v>
      </c>
      <c r="BE74" t="s">
        <v>2076</v>
      </c>
      <c r="BF74" t="s">
        <v>2080</v>
      </c>
      <c r="BG74" t="str">
        <f t="shared" si="12"/>
        <v/>
      </c>
      <c r="BH74" t="str">
        <f t="shared" si="13"/>
        <v/>
      </c>
      <c r="BK74">
        <v>70</v>
      </c>
      <c r="BL74" s="157" t="s">
        <v>2081</v>
      </c>
      <c r="BM74" s="159">
        <v>0.09</v>
      </c>
    </row>
    <row r="75" spans="2:65">
      <c r="B75">
        <v>70</v>
      </c>
      <c r="C75" s="10" t="str">
        <f ca="1">IFERROR(IF(Aircraft!C73="","",IF(Aircraft!C73=0,VLOOKUP(Aircraft!P73,SE_p,2),VLOOKUP(Aircraft!P73,INDIRECT(Aircraft!AO73),2))),"")</f>
        <v/>
      </c>
      <c r="D75" s="15" t="str">
        <f>IFERROR(IF(LEFT(Aircraft!AO73,2)="RW",HLOOKUP(IF(Aircraft!AI73&gt;0,Aircraft!AI73,Aircraft!AE73),PistonRWLiabRate,SUM(MATCH(Aircraft!W73,PistonLiabLocMatch,0)+1)),IF(LEFT(Aircraft!AO73,2)="ME",HLOOKUP(IF(Aircraft!AI73&gt;0,Aircraft!AI73,Aircraft!AE73),PistonMELFWLiabRates,SUM(MATCH(Aircraft!W73,PistonLiabLocMatch,0)+1)),HLOOKUP(IF(Aircraft!AI73&gt;0,Aircraft!AI73,Aircraft!AE73),PistonFWLiabRate,SUM(MATCH(Aircraft!W73,PistonLiabLocMatch,0)+1)))),"")</f>
        <v/>
      </c>
      <c r="E75" s="15" t="str">
        <f>IFERROR(IF(Rating!AC79="Yes",0,PRODUCT(VLOOKUP(MATCH(Aircraft!$Y73,MedLimits,0),MedRate,3),Aircraft!$BB73)),"")</f>
        <v/>
      </c>
      <c r="F75" s="9">
        <f t="shared" ca="1" si="10"/>
        <v>1</v>
      </c>
      <c r="G75" s="9">
        <f t="shared" ca="1" si="11"/>
        <v>1</v>
      </c>
      <c r="H75" s="9">
        <f>IF(OR(Rating!$E$2=0,Rating!$E$2=""),1+$AG$14,Rating!$E$2+$AG$14+1)</f>
        <v>1.25</v>
      </c>
      <c r="I75" s="9">
        <f>IF(OR(Rating!$F$2=0,Rating!$F$2=""),1+$AG$14,Rating!$F$2+$AG$14+1)</f>
        <v>1.07</v>
      </c>
      <c r="J75" s="9">
        <f>IF(OR(Rating!$R79=0,Rating!$R79=""),1,Rating!$R79+1)</f>
        <v>1</v>
      </c>
      <c r="K75" s="9">
        <f>IF(OR(Rating!$T79=0,Rating!$T79=""),1,Rating!$T79+1)</f>
        <v>1</v>
      </c>
      <c r="L75" s="13" t="str">
        <f>IF(Aircraft!J73="","",ROUND(PRODUCT(ROUND(ROUND(C75*85%,6)/$E$4,6),G75),6))</f>
        <v/>
      </c>
      <c r="M75" s="15" t="str">
        <f>IF(Aircraft!J73="","",ROUND(PRODUCT(ROUND(ROUND(D75*85%,0)/$E$4,0),F75),0))</f>
        <v/>
      </c>
      <c r="N75" s="13" t="str">
        <f>IF(Aircraft!J73="","",ROUND(PRODUCT(I75,K75,L75),5))</f>
        <v/>
      </c>
      <c r="O75" s="11" t="str">
        <f>IF(Aircraft!J73="","",IFERROR(ROUND(PRODUCT(N75,Aircraft!P73),0),0))</f>
        <v/>
      </c>
      <c r="P75" s="11" t="str">
        <f>IF(Aircraft!J73="","",IFERROR(ROUND(PRODUCT(H75,M75,J75),0),""))</f>
        <v/>
      </c>
      <c r="Q75" s="11" t="str">
        <f>IF(Aircraft!J73="","",IFERROR(ROUND(PRODUCT(ROUND(ROUND(E75*85%,0)/$E$4,0),AC75),0),""))</f>
        <v/>
      </c>
      <c r="S75" t="str">
        <f>IFERROR(IF(VLOOKUP(Aircraft!C73,Aircraftlist,17)="M","Medium",IF(VLOOKUP(Aircraft!C73,Aircraftlist,17)="L","Light",IF(VLOOKUP(Aircraft!C73,Aircraftlist,17)="H","Heavy",""))),"")</f>
        <v/>
      </c>
      <c r="T75" s="9">
        <f ca="1">IFERROR(1+VLOOKUP(MATCH(S75,ACCATCHART,0),INDIRECT(CONCATENATE(Aircraft!AO73,"CATMOD")),5),1)</f>
        <v>1</v>
      </c>
      <c r="U75" s="9">
        <f ca="1">IFERROR(IF(Rating!J79=Worksheet_Com!$AF$11,1,IF(LEFT(Aircraft!C73,2)="RW",1,IF(AND(Aircraft!AO73="SETP",Aircraft!AX73="R"),1+VLOOKUP(MATCH(Aircraft!AY73,ACGearType,0),INDIRECT(CONCATENATE("SE_P","GearMod")),5),1+VLOOKUP(MATCH(Aircraft!AY73,ACGearType,0),INDIRECT(CONCATENATE(Aircraft!AO73,"GearMod")),5)))),1)</f>
        <v>1</v>
      </c>
      <c r="V75" s="9">
        <f ca="1">IFERROR(IF(Rating!J79=Worksheet_Com!$AF$11,1,IF(LEFT(Aircraft!C73,2)="RW",1,IF(AND(Aircraft!AO73="SETP",Aircraft!AX73="R"),1+VLOOKUP(MATCH(Aircraft!AY73,ACGearType,0),INDIRECT(CONCATENATE("SE_P","GearMod")),7),1+VLOOKUP(MATCH(Aircraft!AY73,ACGearType,0),INDIRECT(CONCATENATE(Aircraft!AO73,"GearMod")),7)))),1)</f>
        <v>1</v>
      </c>
      <c r="W75" s="9">
        <f>IFERROR(IF(VLOOKUP(Aircraft!C73,Aircraftlist,19)="",0,VLOOKUP(Aircraft!C73,Aircraftlist,19))+1,1)</f>
        <v>1</v>
      </c>
      <c r="X75" s="9">
        <f>IFERROR(VLOOKUP(Aircraft!C73,Aircraftlist,18)+1,1)</f>
        <v>1</v>
      </c>
      <c r="Y75" s="9">
        <f>IFERROR(1+(VLOOKUP(MATCH(Aircraft!AK73,AWtypes,0),AWCertChart,5)),1)</f>
        <v>1</v>
      </c>
      <c r="Z75" s="9">
        <f ca="1">IFERROR(1+(VLOOKUP(IF(LEFT(Aircraft!$AO73,2)="RW",2,1),INDIRECT(Rating!$J79),2)),1)</f>
        <v>1</v>
      </c>
      <c r="AA75" s="9">
        <f ca="1">IFERROR(1+(VLOOKUP(IF(LEFT(Aircraft!$AO73,2)="RW",2,1),INDIRECT(Rating!$J79),3)),1)</f>
        <v>1</v>
      </c>
      <c r="AB75" s="9">
        <f>IF(OR(Aircraft!S73="N",Aircraft!S73=""),1,'MGR Adjustment'!$AF$23+1)</f>
        <v>1</v>
      </c>
      <c r="AC75" s="9">
        <f>IFERROR(IF(AND(Aircraft!J73&gt;"",OR(Aircraft!P73="",Aircraft!P73=0)),'MGR Adjustment'!$AM$23)+1,1)</f>
        <v>1</v>
      </c>
      <c r="BC75">
        <v>71</v>
      </c>
      <c r="BD75" s="387" t="s">
        <v>2082</v>
      </c>
      <c r="BE75" t="s">
        <v>2083</v>
      </c>
      <c r="BF75" t="s">
        <v>2000</v>
      </c>
      <c r="BG75" t="str">
        <f t="shared" si="12"/>
        <v/>
      </c>
      <c r="BH75" t="str">
        <f t="shared" si="13"/>
        <v/>
      </c>
      <c r="BK75">
        <v>71</v>
      </c>
      <c r="BL75" s="157" t="s">
        <v>2084</v>
      </c>
      <c r="BM75" s="159">
        <v>0.04</v>
      </c>
    </row>
    <row r="76" spans="2:65">
      <c r="B76">
        <v>71</v>
      </c>
      <c r="C76" s="10" t="str">
        <f ca="1">IFERROR(IF(Aircraft!C74="","",IF(Aircraft!C74=0,VLOOKUP(Aircraft!P74,SE_p,2),VLOOKUP(Aircraft!P74,INDIRECT(Aircraft!AO74),2))),"")</f>
        <v/>
      </c>
      <c r="D76" s="15" t="str">
        <f>IFERROR(IF(LEFT(Aircraft!AO74,2)="RW",HLOOKUP(IF(Aircraft!AI74&gt;0,Aircraft!AI74,Aircraft!AE74),PistonRWLiabRate,SUM(MATCH(Aircraft!W74,PistonLiabLocMatch,0)+1)),IF(LEFT(Aircraft!AO74,2)="ME",HLOOKUP(IF(Aircraft!AI74&gt;0,Aircraft!AI74,Aircraft!AE74),PistonMELFWLiabRates,SUM(MATCH(Aircraft!W74,PistonLiabLocMatch,0)+1)),HLOOKUP(IF(Aircraft!AI74&gt;0,Aircraft!AI74,Aircraft!AE74),PistonFWLiabRate,SUM(MATCH(Aircraft!W74,PistonLiabLocMatch,0)+1)))),"")</f>
        <v/>
      </c>
      <c r="E76" s="15" t="str">
        <f>IFERROR(IF(Rating!AC80="Yes",0,PRODUCT(VLOOKUP(MATCH(Aircraft!$Y74,MedLimits,0),MedRate,3),Aircraft!$BB74)),"")</f>
        <v/>
      </c>
      <c r="F76" s="9">
        <f t="shared" ca="1" si="10"/>
        <v>1</v>
      </c>
      <c r="G76" s="9">
        <f t="shared" ca="1" si="11"/>
        <v>1</v>
      </c>
      <c r="H76" s="9">
        <f>IF(OR(Rating!$E$2=0,Rating!$E$2=""),1+$AG$14,Rating!$E$2+$AG$14+1)</f>
        <v>1.25</v>
      </c>
      <c r="I76" s="9">
        <f>IF(OR(Rating!$F$2=0,Rating!$F$2=""),1+$AG$14,Rating!$F$2+$AG$14+1)</f>
        <v>1.07</v>
      </c>
      <c r="J76" s="9">
        <f>IF(OR(Rating!$R80=0,Rating!$R80=""),1,Rating!$R80+1)</f>
        <v>1</v>
      </c>
      <c r="K76" s="9">
        <f>IF(OR(Rating!$T80=0,Rating!$T80=""),1,Rating!$T80+1)</f>
        <v>1</v>
      </c>
      <c r="L76" s="13" t="str">
        <f>IF(Aircraft!J74="","",ROUND(PRODUCT(ROUND(ROUND(C76*85%,6)/$E$4,6),G76),6))</f>
        <v/>
      </c>
      <c r="M76" s="15" t="str">
        <f>IF(Aircraft!J74="","",ROUND(PRODUCT(ROUND(ROUND(D76*85%,0)/$E$4,0),F76),0))</f>
        <v/>
      </c>
      <c r="N76" s="13" t="str">
        <f>IF(Aircraft!J74="","",ROUND(PRODUCT(I76,K76,L76),5))</f>
        <v/>
      </c>
      <c r="O76" s="11" t="str">
        <f>IF(Aircraft!J74="","",IFERROR(ROUND(PRODUCT(N76,Aircraft!P74),0),0))</f>
        <v/>
      </c>
      <c r="P76" s="11" t="str">
        <f>IF(Aircraft!J74="","",IFERROR(ROUND(PRODUCT(H76,M76,J76),0),""))</f>
        <v/>
      </c>
      <c r="Q76" s="11" t="str">
        <f>IF(Aircraft!J74="","",IFERROR(ROUND(PRODUCT(ROUND(ROUND(E76*85%,0)/$E$4,0),AC76),0),""))</f>
        <v/>
      </c>
      <c r="S76" t="str">
        <f>IFERROR(IF(VLOOKUP(Aircraft!C74,Aircraftlist,17)="M","Medium",IF(VLOOKUP(Aircraft!C74,Aircraftlist,17)="L","Light",IF(VLOOKUP(Aircraft!C74,Aircraftlist,17)="H","Heavy",""))),"")</f>
        <v/>
      </c>
      <c r="T76" s="9">
        <f ca="1">IFERROR(1+VLOOKUP(MATCH(S76,ACCATCHART,0),INDIRECT(CONCATENATE(Aircraft!AO74,"CATMOD")),5),1)</f>
        <v>1</v>
      </c>
      <c r="U76" s="9">
        <f ca="1">IFERROR(IF(Rating!J80=Worksheet_Com!$AF$11,1,IF(LEFT(Aircraft!C74,2)="RW",1,IF(AND(Aircraft!AO74="SETP",Aircraft!AX74="R"),1+VLOOKUP(MATCH(Aircraft!AY74,ACGearType,0),INDIRECT(CONCATENATE("SE_P","GearMod")),5),1+VLOOKUP(MATCH(Aircraft!AY74,ACGearType,0),INDIRECT(CONCATENATE(Aircraft!AO74,"GearMod")),5)))),1)</f>
        <v>1</v>
      </c>
      <c r="V76" s="9">
        <f ca="1">IFERROR(IF(Rating!J80=Worksheet_Com!$AF$11,1,IF(LEFT(Aircraft!C74,2)="RW",1,IF(AND(Aircraft!AO74="SETP",Aircraft!AX74="R"),1+VLOOKUP(MATCH(Aircraft!AY74,ACGearType,0),INDIRECT(CONCATENATE("SE_P","GearMod")),7),1+VLOOKUP(MATCH(Aircraft!AY74,ACGearType,0),INDIRECT(CONCATENATE(Aircraft!AO74,"GearMod")),7)))),1)</f>
        <v>1</v>
      </c>
      <c r="W76" s="9">
        <f>IFERROR(IF(VLOOKUP(Aircraft!C74,Aircraftlist,19)="",0,VLOOKUP(Aircraft!C74,Aircraftlist,19))+1,1)</f>
        <v>1</v>
      </c>
      <c r="X76" s="9">
        <f>IFERROR(VLOOKUP(Aircraft!C74,Aircraftlist,18)+1,1)</f>
        <v>1</v>
      </c>
      <c r="Y76" s="9">
        <f>IFERROR(1+(VLOOKUP(MATCH(Aircraft!AK74,AWtypes,0),AWCertChart,5)),1)</f>
        <v>1</v>
      </c>
      <c r="Z76" s="9">
        <f ca="1">IFERROR(1+(VLOOKUP(IF(LEFT(Aircraft!$AO74,2)="RW",2,1),INDIRECT(Rating!$J80),2)),1)</f>
        <v>1</v>
      </c>
      <c r="AA76" s="9">
        <f ca="1">IFERROR(1+(VLOOKUP(IF(LEFT(Aircraft!$AO74,2)="RW",2,1),INDIRECT(Rating!$J80),3)),1)</f>
        <v>1</v>
      </c>
      <c r="AB76" s="9">
        <f>IF(OR(Aircraft!S74="N",Aircraft!S74=""),1,'MGR Adjustment'!$AF$23+1)</f>
        <v>1</v>
      </c>
      <c r="AC76" s="9">
        <f>IFERROR(IF(AND(Aircraft!J74&gt;"",OR(Aircraft!P74="",Aircraft!P74=0)),'MGR Adjustment'!$AM$23)+1,1)</f>
        <v>1</v>
      </c>
      <c r="BC76">
        <v>72</v>
      </c>
      <c r="BD76" s="387" t="s">
        <v>2085</v>
      </c>
      <c r="BE76" t="s">
        <v>2086</v>
      </c>
      <c r="BF76" t="s">
        <v>2087</v>
      </c>
      <c r="BG76" t="str">
        <f t="shared" si="12"/>
        <v/>
      </c>
      <c r="BH76" t="str">
        <f t="shared" si="13"/>
        <v/>
      </c>
      <c r="BK76">
        <v>72</v>
      </c>
      <c r="BL76" s="157" t="s">
        <v>2088</v>
      </c>
      <c r="BM76" s="159">
        <v>0.1</v>
      </c>
    </row>
    <row r="77" spans="2:65">
      <c r="B77">
        <v>72</v>
      </c>
      <c r="C77" s="10" t="str">
        <f ca="1">IFERROR(IF(Aircraft!C75="","",IF(Aircraft!C75=0,VLOOKUP(Aircraft!P75,SE_p,2),VLOOKUP(Aircraft!P75,INDIRECT(Aircraft!AO75),2))),"")</f>
        <v/>
      </c>
      <c r="D77" s="15" t="str">
        <f>IFERROR(IF(LEFT(Aircraft!AO75,2)="RW",HLOOKUP(IF(Aircraft!AI75&gt;0,Aircraft!AI75,Aircraft!AE75),PistonRWLiabRate,SUM(MATCH(Aircraft!W75,PistonLiabLocMatch,0)+1)),IF(LEFT(Aircraft!AO75,2)="ME",HLOOKUP(IF(Aircraft!AI75&gt;0,Aircraft!AI75,Aircraft!AE75),PistonMELFWLiabRates,SUM(MATCH(Aircraft!W75,PistonLiabLocMatch,0)+1)),HLOOKUP(IF(Aircraft!AI75&gt;0,Aircraft!AI75,Aircraft!AE75),PistonFWLiabRate,SUM(MATCH(Aircraft!W75,PistonLiabLocMatch,0)+1)))),"")</f>
        <v/>
      </c>
      <c r="E77" s="15" t="str">
        <f>IFERROR(IF(Rating!AC81="Yes",0,PRODUCT(VLOOKUP(MATCH(Aircraft!$Y75,MedLimits,0),MedRate,3),Aircraft!$BB75)),"")</f>
        <v/>
      </c>
      <c r="F77" s="9">
        <f t="shared" ca="1" si="10"/>
        <v>1</v>
      </c>
      <c r="G77" s="9">
        <f t="shared" ca="1" si="11"/>
        <v>1</v>
      </c>
      <c r="H77" s="9">
        <f>IF(OR(Rating!$E$2=0,Rating!$E$2=""),1+$AG$14,Rating!$E$2+$AG$14+1)</f>
        <v>1.25</v>
      </c>
      <c r="I77" s="9">
        <f>IF(OR(Rating!$F$2=0,Rating!$F$2=""),1+$AG$14,Rating!$F$2+$AG$14+1)</f>
        <v>1.07</v>
      </c>
      <c r="J77" s="9">
        <f>IF(OR(Rating!$R81=0,Rating!$R81=""),1,Rating!$R81+1)</f>
        <v>1</v>
      </c>
      <c r="K77" s="9">
        <f>IF(OR(Rating!$T81=0,Rating!$T81=""),1,Rating!$T81+1)</f>
        <v>1</v>
      </c>
      <c r="L77" s="13" t="str">
        <f>IF(Aircraft!J75="","",ROUND(PRODUCT(ROUND(ROUND(C77*85%,6)/$E$4,6),G77),6))</f>
        <v/>
      </c>
      <c r="M77" s="15" t="str">
        <f>IF(Aircraft!J75="","",ROUND(PRODUCT(ROUND(ROUND(D77*85%,0)/$E$4,0),F77),0))</f>
        <v/>
      </c>
      <c r="N77" s="13" t="str">
        <f>IF(Aircraft!J75="","",ROUND(PRODUCT(I77,K77,L77),5))</f>
        <v/>
      </c>
      <c r="O77" s="11" t="str">
        <f>IF(Aircraft!J75="","",IFERROR(ROUND(PRODUCT(N77,Aircraft!P75),0),0))</f>
        <v/>
      </c>
      <c r="P77" s="11" t="str">
        <f>IF(Aircraft!J75="","",IFERROR(ROUND(PRODUCT(H77,M77,J77),0),""))</f>
        <v/>
      </c>
      <c r="Q77" s="11" t="str">
        <f>IF(Aircraft!J75="","",IFERROR(ROUND(PRODUCT(ROUND(ROUND(E77*85%,0)/$E$4,0),AC77),0),""))</f>
        <v/>
      </c>
      <c r="S77" t="str">
        <f>IFERROR(IF(VLOOKUP(Aircraft!C75,Aircraftlist,17)="M","Medium",IF(VLOOKUP(Aircraft!C75,Aircraftlist,17)="L","Light",IF(VLOOKUP(Aircraft!C75,Aircraftlist,17)="H","Heavy",""))),"")</f>
        <v/>
      </c>
      <c r="T77" s="9">
        <f ca="1">IFERROR(1+VLOOKUP(MATCH(S77,ACCATCHART,0),INDIRECT(CONCATENATE(Aircraft!AO75,"CATMOD")),5),1)</f>
        <v>1</v>
      </c>
      <c r="U77" s="9">
        <f ca="1">IFERROR(IF(Rating!J81=Worksheet_Com!$AF$11,1,IF(LEFT(Aircraft!C75,2)="RW",1,IF(AND(Aircraft!AO75="SETP",Aircraft!AX75="R"),1+VLOOKUP(MATCH(Aircraft!AY75,ACGearType,0),INDIRECT(CONCATENATE("SE_P","GearMod")),5),1+VLOOKUP(MATCH(Aircraft!AY75,ACGearType,0),INDIRECT(CONCATENATE(Aircraft!AO75,"GearMod")),5)))),1)</f>
        <v>1</v>
      </c>
      <c r="V77" s="9">
        <f ca="1">IFERROR(IF(Rating!J81=Worksheet_Com!$AF$11,1,IF(LEFT(Aircraft!C75,2)="RW",1,IF(AND(Aircraft!AO75="SETP",Aircraft!AX75="R"),1+VLOOKUP(MATCH(Aircraft!AY75,ACGearType,0),INDIRECT(CONCATENATE("SE_P","GearMod")),7),1+VLOOKUP(MATCH(Aircraft!AY75,ACGearType,0),INDIRECT(CONCATENATE(Aircraft!AO75,"GearMod")),7)))),1)</f>
        <v>1</v>
      </c>
      <c r="W77" s="9">
        <f>IFERROR(IF(VLOOKUP(Aircraft!C75,Aircraftlist,19)="",0,VLOOKUP(Aircraft!C75,Aircraftlist,19))+1,1)</f>
        <v>1</v>
      </c>
      <c r="X77" s="9">
        <f>IFERROR(VLOOKUP(Aircraft!C75,Aircraftlist,18)+1,1)</f>
        <v>1</v>
      </c>
      <c r="Y77" s="9">
        <f>IFERROR(1+(VLOOKUP(MATCH(Aircraft!AK75,AWtypes,0),AWCertChart,5)),1)</f>
        <v>1</v>
      </c>
      <c r="Z77" s="9">
        <f ca="1">IFERROR(1+(VLOOKUP(IF(LEFT(Aircraft!$AO75,2)="RW",2,1),INDIRECT(Rating!$J81),2)),1)</f>
        <v>1</v>
      </c>
      <c r="AA77" s="9">
        <f ca="1">IFERROR(1+(VLOOKUP(IF(LEFT(Aircraft!$AO75,2)="RW",2,1),INDIRECT(Rating!$J81),3)),1)</f>
        <v>1</v>
      </c>
      <c r="AB77" s="9">
        <f>IF(OR(Aircraft!S75="N",Aircraft!S75=""),1,'MGR Adjustment'!$AF$23+1)</f>
        <v>1</v>
      </c>
      <c r="AC77" s="9">
        <f>IFERROR(IF(AND(Aircraft!J75&gt;"",OR(Aircraft!P75="",Aircraft!P75=0)),'MGR Adjustment'!$AM$23)+1,1)</f>
        <v>1</v>
      </c>
      <c r="BC77">
        <v>73</v>
      </c>
      <c r="BD77" s="387" t="s">
        <v>2089</v>
      </c>
      <c r="BE77" t="s">
        <v>2090</v>
      </c>
      <c r="BF77" t="s">
        <v>2051</v>
      </c>
      <c r="BG77" t="str">
        <f t="shared" si="12"/>
        <v/>
      </c>
      <c r="BH77" t="str">
        <f t="shared" si="13"/>
        <v/>
      </c>
      <c r="BK77">
        <v>73</v>
      </c>
      <c r="BL77" s="157" t="s">
        <v>2091</v>
      </c>
      <c r="BM77" s="159">
        <v>0.05</v>
      </c>
    </row>
    <row r="78" spans="2:65">
      <c r="B78">
        <v>73</v>
      </c>
      <c r="C78" s="10" t="str">
        <f ca="1">IFERROR(IF(Aircraft!C76="","",IF(Aircraft!C76=0,VLOOKUP(Aircraft!P76,SE_p,2),VLOOKUP(Aircraft!P76,INDIRECT(Aircraft!AO76),2))),"")</f>
        <v/>
      </c>
      <c r="D78" s="15" t="str">
        <f>IFERROR(IF(LEFT(Aircraft!AO76,2)="RW",HLOOKUP(IF(Aircraft!AI76&gt;0,Aircraft!AI76,Aircraft!AE76),PistonRWLiabRate,SUM(MATCH(Aircraft!W76,PistonLiabLocMatch,0)+1)),IF(LEFT(Aircraft!AO76,2)="ME",HLOOKUP(IF(Aircraft!AI76&gt;0,Aircraft!AI76,Aircraft!AE76),PistonMELFWLiabRates,SUM(MATCH(Aircraft!W76,PistonLiabLocMatch,0)+1)),HLOOKUP(IF(Aircraft!AI76&gt;0,Aircraft!AI76,Aircraft!AE76),PistonFWLiabRate,SUM(MATCH(Aircraft!W76,PistonLiabLocMatch,0)+1)))),"")</f>
        <v/>
      </c>
      <c r="E78" s="15" t="str">
        <f>IFERROR(IF(Rating!AC82="Yes",0,PRODUCT(VLOOKUP(MATCH(Aircraft!$Y76,MedLimits,0),MedRate,3),Aircraft!$BB76)),"")</f>
        <v/>
      </c>
      <c r="F78" s="9">
        <f t="shared" ca="1" si="10"/>
        <v>1</v>
      </c>
      <c r="G78" s="9">
        <f t="shared" ca="1" si="11"/>
        <v>1</v>
      </c>
      <c r="H78" s="9">
        <f>IF(OR(Rating!$E$2=0,Rating!$E$2=""),1+$AG$14,Rating!$E$2+$AG$14+1)</f>
        <v>1.25</v>
      </c>
      <c r="I78" s="9">
        <f>IF(OR(Rating!$F$2=0,Rating!$F$2=""),1+$AG$14,Rating!$F$2+$AG$14+1)</f>
        <v>1.07</v>
      </c>
      <c r="J78" s="9">
        <f>IF(OR(Rating!$R82=0,Rating!$R82=""),1,Rating!$R82+1)</f>
        <v>1</v>
      </c>
      <c r="K78" s="9">
        <f>IF(OR(Rating!$T82=0,Rating!$T82=""),1,Rating!$T82+1)</f>
        <v>1</v>
      </c>
      <c r="L78" s="13" t="str">
        <f>IF(Aircraft!J76="","",ROUND(PRODUCT(ROUND(ROUND(C78*85%,6)/$E$4,6),G78),6))</f>
        <v/>
      </c>
      <c r="M78" s="15" t="str">
        <f>IF(Aircraft!J76="","",ROUND(PRODUCT(ROUND(ROUND(D78*85%,0)/$E$4,0),F78),0))</f>
        <v/>
      </c>
      <c r="N78" s="13" t="str">
        <f>IF(Aircraft!J76="","",ROUND(PRODUCT(I78,K78,L78),5))</f>
        <v/>
      </c>
      <c r="O78" s="11" t="str">
        <f>IF(Aircraft!J76="","",IFERROR(ROUND(PRODUCT(N78,Aircraft!P76),0),0))</f>
        <v/>
      </c>
      <c r="P78" s="11" t="str">
        <f>IF(Aircraft!J76="","",IFERROR(ROUND(PRODUCT(H78,M78,J78),0),""))</f>
        <v/>
      </c>
      <c r="Q78" s="11" t="str">
        <f>IF(Aircraft!J76="","",IFERROR(ROUND(PRODUCT(ROUND(ROUND(E78*85%,0)/$E$4,0),AC78),0),""))</f>
        <v/>
      </c>
      <c r="S78" t="str">
        <f>IFERROR(IF(VLOOKUP(Aircraft!C76,Aircraftlist,17)="M","Medium",IF(VLOOKUP(Aircraft!C76,Aircraftlist,17)="L","Light",IF(VLOOKUP(Aircraft!C76,Aircraftlist,17)="H","Heavy",""))),"")</f>
        <v/>
      </c>
      <c r="T78" s="9">
        <f ca="1">IFERROR(1+VLOOKUP(MATCH(S78,ACCATCHART,0),INDIRECT(CONCATENATE(Aircraft!AO76,"CATMOD")),5),1)</f>
        <v>1</v>
      </c>
      <c r="U78" s="9">
        <f ca="1">IFERROR(IF(Rating!J82=Worksheet_Com!$AF$11,1,IF(LEFT(Aircraft!C76,2)="RW",1,IF(AND(Aircraft!AO76="SETP",Aircraft!AX76="R"),1+VLOOKUP(MATCH(Aircraft!AY76,ACGearType,0),INDIRECT(CONCATENATE("SE_P","GearMod")),5),1+VLOOKUP(MATCH(Aircraft!AY76,ACGearType,0),INDIRECT(CONCATENATE(Aircraft!AO76,"GearMod")),5)))),1)</f>
        <v>1</v>
      </c>
      <c r="V78" s="9">
        <f ca="1">IFERROR(IF(Rating!J82=Worksheet_Com!$AF$11,1,IF(LEFT(Aircraft!C76,2)="RW",1,IF(AND(Aircraft!AO76="SETP",Aircraft!AX76="R"),1+VLOOKUP(MATCH(Aircraft!AY76,ACGearType,0),INDIRECT(CONCATENATE("SE_P","GearMod")),7),1+VLOOKUP(MATCH(Aircraft!AY76,ACGearType,0),INDIRECT(CONCATENATE(Aircraft!AO76,"GearMod")),7)))),1)</f>
        <v>1</v>
      </c>
      <c r="W78" s="9">
        <f>IFERROR(IF(VLOOKUP(Aircraft!C76,Aircraftlist,19)="",0,VLOOKUP(Aircraft!C76,Aircraftlist,19))+1,1)</f>
        <v>1</v>
      </c>
      <c r="X78" s="9">
        <f>IFERROR(VLOOKUP(Aircraft!C76,Aircraftlist,18)+1,1)</f>
        <v>1</v>
      </c>
      <c r="Y78" s="9">
        <f>IFERROR(1+(VLOOKUP(MATCH(Aircraft!AK76,AWtypes,0),AWCertChart,5)),1)</f>
        <v>1</v>
      </c>
      <c r="Z78" s="9">
        <f ca="1">IFERROR(1+(VLOOKUP(IF(LEFT(Aircraft!$AO76,2)="RW",2,1),INDIRECT(Rating!$J82),2)),1)</f>
        <v>1</v>
      </c>
      <c r="AA78" s="9">
        <f ca="1">IFERROR(1+(VLOOKUP(IF(LEFT(Aircraft!$AO76,2)="RW",2,1),INDIRECT(Rating!$J82),3)),1)</f>
        <v>1</v>
      </c>
      <c r="AB78" s="9">
        <f>IF(OR(Aircraft!S76="N",Aircraft!S76=""),1,'MGR Adjustment'!$AF$23+1)</f>
        <v>1</v>
      </c>
      <c r="AC78" s="9">
        <f>IFERROR(IF(AND(Aircraft!J76&gt;"",OR(Aircraft!P76="",Aircraft!P76=0)),'MGR Adjustment'!$AM$23)+1,1)</f>
        <v>1</v>
      </c>
      <c r="BC78">
        <v>74</v>
      </c>
      <c r="BD78" s="387" t="s">
        <v>2092</v>
      </c>
      <c r="BE78" t="s">
        <v>2093</v>
      </c>
      <c r="BF78" t="s">
        <v>2094</v>
      </c>
      <c r="BG78" t="str">
        <f t="shared" si="12"/>
        <v/>
      </c>
      <c r="BH78" t="str">
        <f t="shared" si="13"/>
        <v/>
      </c>
      <c r="BK78">
        <v>74</v>
      </c>
      <c r="BL78" s="157" t="s">
        <v>2095</v>
      </c>
      <c r="BM78" s="159">
        <v>0.1</v>
      </c>
    </row>
    <row r="79" spans="2:65">
      <c r="B79">
        <v>74</v>
      </c>
      <c r="C79" s="10" t="str">
        <f ca="1">IFERROR(IF(Aircraft!C77="","",IF(Aircraft!C77=0,VLOOKUP(Aircraft!P77,SE_p,2),VLOOKUP(Aircraft!P77,INDIRECT(Aircraft!AO77),2))),"")</f>
        <v/>
      </c>
      <c r="D79" s="15" t="str">
        <f>IFERROR(IF(LEFT(Aircraft!AO77,2)="RW",HLOOKUP(IF(Aircraft!AI77&gt;0,Aircraft!AI77,Aircraft!AE77),PistonRWLiabRate,SUM(MATCH(Aircraft!W77,PistonLiabLocMatch,0)+1)),IF(LEFT(Aircraft!AO77,2)="ME",HLOOKUP(IF(Aircraft!AI77&gt;0,Aircraft!AI77,Aircraft!AE77),PistonMELFWLiabRates,SUM(MATCH(Aircraft!W77,PistonLiabLocMatch,0)+1)),HLOOKUP(IF(Aircraft!AI77&gt;0,Aircraft!AI77,Aircraft!AE77),PistonFWLiabRate,SUM(MATCH(Aircraft!W77,PistonLiabLocMatch,0)+1)))),"")</f>
        <v/>
      </c>
      <c r="E79" s="15" t="str">
        <f>IFERROR(IF(Rating!AC83="Yes",0,PRODUCT(VLOOKUP(MATCH(Aircraft!$Y77,MedLimits,0),MedRate,3),Aircraft!$BB77)),"")</f>
        <v/>
      </c>
      <c r="F79" s="9">
        <f t="shared" ca="1" si="10"/>
        <v>1</v>
      </c>
      <c r="G79" s="9">
        <f t="shared" ca="1" si="11"/>
        <v>1</v>
      </c>
      <c r="H79" s="9">
        <f>IF(OR(Rating!$E$2=0,Rating!$E$2=""),1+$AG$14,Rating!$E$2+$AG$14+1)</f>
        <v>1.25</v>
      </c>
      <c r="I79" s="9">
        <f>IF(OR(Rating!$F$2=0,Rating!$F$2=""),1+$AG$14,Rating!$F$2+$AG$14+1)</f>
        <v>1.07</v>
      </c>
      <c r="J79" s="9">
        <f>IF(OR(Rating!$R83=0,Rating!$R83=""),1,Rating!$R83+1)</f>
        <v>1</v>
      </c>
      <c r="K79" s="9">
        <f>IF(OR(Rating!$T83=0,Rating!$T83=""),1,Rating!$T83+1)</f>
        <v>1</v>
      </c>
      <c r="L79" s="13" t="str">
        <f>IF(Aircraft!J77="","",ROUND(PRODUCT(ROUND(ROUND(C79*85%,6)/$E$4,6),G79),6))</f>
        <v/>
      </c>
      <c r="M79" s="15" t="str">
        <f>IF(Aircraft!J77="","",ROUND(PRODUCT(ROUND(ROUND(D79*85%,0)/$E$4,0),F79),0))</f>
        <v/>
      </c>
      <c r="N79" s="13" t="str">
        <f>IF(Aircraft!J77="","",ROUND(PRODUCT(I79,K79,L79),5))</f>
        <v/>
      </c>
      <c r="O79" s="11" t="str">
        <f>IF(Aircraft!J77="","",IFERROR(ROUND(PRODUCT(N79,Aircraft!P77),0),0))</f>
        <v/>
      </c>
      <c r="P79" s="11" t="str">
        <f>IF(Aircraft!J77="","",IFERROR(ROUND(PRODUCT(H79,M79,J79),0),""))</f>
        <v/>
      </c>
      <c r="Q79" s="11" t="str">
        <f>IF(Aircraft!J77="","",IFERROR(ROUND(PRODUCT(ROUND(ROUND(E79*85%,0)/$E$4,0),AC79),0),""))</f>
        <v/>
      </c>
      <c r="S79" t="str">
        <f>IFERROR(IF(VLOOKUP(Aircraft!C77,Aircraftlist,17)="M","Medium",IF(VLOOKUP(Aircraft!C77,Aircraftlist,17)="L","Light",IF(VLOOKUP(Aircraft!C77,Aircraftlist,17)="H","Heavy",""))),"")</f>
        <v/>
      </c>
      <c r="T79" s="9">
        <f ca="1">IFERROR(1+VLOOKUP(MATCH(S79,ACCATCHART,0),INDIRECT(CONCATENATE(Aircraft!AO77,"CATMOD")),5),1)</f>
        <v>1</v>
      </c>
      <c r="U79" s="9">
        <f ca="1">IFERROR(IF(Rating!J83=Worksheet_Com!$AF$11,1,IF(LEFT(Aircraft!C77,2)="RW",1,IF(AND(Aircraft!AO77="SETP",Aircraft!AX77="R"),1+VLOOKUP(MATCH(Aircraft!AY77,ACGearType,0),INDIRECT(CONCATENATE("SE_P","GearMod")),5),1+VLOOKUP(MATCH(Aircraft!AY77,ACGearType,0),INDIRECT(CONCATENATE(Aircraft!AO77,"GearMod")),5)))),1)</f>
        <v>1</v>
      </c>
      <c r="V79" s="9">
        <f ca="1">IFERROR(IF(Rating!J83=Worksheet_Com!$AF$11,1,IF(LEFT(Aircraft!C77,2)="RW",1,IF(AND(Aircraft!AO77="SETP",Aircraft!AX77="R"),1+VLOOKUP(MATCH(Aircraft!AY77,ACGearType,0),INDIRECT(CONCATENATE("SE_P","GearMod")),7),1+VLOOKUP(MATCH(Aircraft!AY77,ACGearType,0),INDIRECT(CONCATENATE(Aircraft!AO77,"GearMod")),7)))),1)</f>
        <v>1</v>
      </c>
      <c r="W79" s="9">
        <f>IFERROR(IF(VLOOKUP(Aircraft!C77,Aircraftlist,19)="",0,VLOOKUP(Aircraft!C77,Aircraftlist,19))+1,1)</f>
        <v>1</v>
      </c>
      <c r="X79" s="9">
        <f>IFERROR(VLOOKUP(Aircraft!C77,Aircraftlist,18)+1,1)</f>
        <v>1</v>
      </c>
      <c r="Y79" s="9">
        <f>IFERROR(1+(VLOOKUP(MATCH(Aircraft!AK77,AWtypes,0),AWCertChart,5)),1)</f>
        <v>1</v>
      </c>
      <c r="Z79" s="9">
        <f ca="1">IFERROR(1+(VLOOKUP(IF(LEFT(Aircraft!$AO77,2)="RW",2,1),INDIRECT(Rating!$J83),2)),1)</f>
        <v>1</v>
      </c>
      <c r="AA79" s="9">
        <f ca="1">IFERROR(1+(VLOOKUP(IF(LEFT(Aircraft!$AO77,2)="RW",2,1),INDIRECT(Rating!$J83),3)),1)</f>
        <v>1</v>
      </c>
      <c r="AB79" s="9">
        <f>IF(OR(Aircraft!S77="N",Aircraft!S77=""),1,'MGR Adjustment'!$AF$23+1)</f>
        <v>1</v>
      </c>
      <c r="AC79" s="9">
        <f>IFERROR(IF(AND(Aircraft!J77&gt;"",OR(Aircraft!P77="",Aircraft!P77=0)),'MGR Adjustment'!$AM$23)+1,1)</f>
        <v>1</v>
      </c>
      <c r="BC79">
        <v>75</v>
      </c>
      <c r="BD79" s="387" t="s">
        <v>2096</v>
      </c>
      <c r="BE79" t="s">
        <v>2097</v>
      </c>
      <c r="BF79" t="s">
        <v>2098</v>
      </c>
      <c r="BG79" t="str">
        <f t="shared" si="12"/>
        <v/>
      </c>
      <c r="BH79" t="str">
        <f t="shared" si="13"/>
        <v/>
      </c>
      <c r="BK79">
        <v>75</v>
      </c>
      <c r="BL79" s="157" t="s">
        <v>2099</v>
      </c>
      <c r="BM79" s="159">
        <v>0.09</v>
      </c>
    </row>
    <row r="80" spans="2:65">
      <c r="B80">
        <v>75</v>
      </c>
      <c r="C80" s="10" t="str">
        <f ca="1">IFERROR(IF(Aircraft!C78="","",IF(Aircraft!C78=0,VLOOKUP(Aircraft!P78,SE_p,2),VLOOKUP(Aircraft!P78,INDIRECT(Aircraft!AO78),2))),"")</f>
        <v/>
      </c>
      <c r="D80" s="15" t="str">
        <f>IFERROR(IF(LEFT(Aircraft!AO78,2)="RW",HLOOKUP(IF(Aircraft!AI78&gt;0,Aircraft!AI78,Aircraft!AE78),PistonRWLiabRate,SUM(MATCH(Aircraft!W78,PistonLiabLocMatch,0)+1)),IF(LEFT(Aircraft!AO78,2)="ME",HLOOKUP(IF(Aircraft!AI78&gt;0,Aircraft!AI78,Aircraft!AE78),PistonMELFWLiabRates,SUM(MATCH(Aircraft!W78,PistonLiabLocMatch,0)+1)),HLOOKUP(IF(Aircraft!AI78&gt;0,Aircraft!AI78,Aircraft!AE78),PistonFWLiabRate,SUM(MATCH(Aircraft!W78,PistonLiabLocMatch,0)+1)))),"")</f>
        <v/>
      </c>
      <c r="E80" s="15" t="str">
        <f>IFERROR(IF(Rating!AC84="Yes",0,PRODUCT(VLOOKUP(MATCH(Aircraft!$Y78,MedLimits,0),MedRate,3),Aircraft!$BB78)),"")</f>
        <v/>
      </c>
      <c r="F80" s="9">
        <f t="shared" ca="1" si="10"/>
        <v>1</v>
      </c>
      <c r="G80" s="9">
        <f t="shared" ca="1" si="11"/>
        <v>1</v>
      </c>
      <c r="H80" s="9">
        <f>IF(OR(Rating!$E$2=0,Rating!$E$2=""),1+$AG$14,Rating!$E$2+$AG$14+1)</f>
        <v>1.25</v>
      </c>
      <c r="I80" s="9">
        <f>IF(OR(Rating!$F$2=0,Rating!$F$2=""),1+$AG$14,Rating!$F$2+$AG$14+1)</f>
        <v>1.07</v>
      </c>
      <c r="J80" s="9">
        <f>IF(OR(Rating!$R84=0,Rating!$R84=""),1,Rating!$R84+1)</f>
        <v>1</v>
      </c>
      <c r="K80" s="9">
        <f>IF(OR(Rating!$T84=0,Rating!$T84=""),1,Rating!$T84+1)</f>
        <v>1</v>
      </c>
      <c r="L80" s="13" t="str">
        <f>IF(Aircraft!J78="","",ROUND(PRODUCT(ROUND(ROUND(C80*85%,6)/$E$4,6),G80),6))</f>
        <v/>
      </c>
      <c r="M80" s="15" t="str">
        <f>IF(Aircraft!J78="","",ROUND(PRODUCT(ROUND(ROUND(D80*85%,0)/$E$4,0),F80),0))</f>
        <v/>
      </c>
      <c r="N80" s="13" t="str">
        <f>IF(Aircraft!J78="","",ROUND(PRODUCT(I80,K80,L80),5))</f>
        <v/>
      </c>
      <c r="O80" s="11" t="str">
        <f>IF(Aircraft!J78="","",IFERROR(ROUND(PRODUCT(N80,Aircraft!P78),0),0))</f>
        <v/>
      </c>
      <c r="P80" s="11" t="str">
        <f>IF(Aircraft!J78="","",IFERROR(ROUND(PRODUCT(H80,M80,J80),0),""))</f>
        <v/>
      </c>
      <c r="Q80" s="11" t="str">
        <f>IF(Aircraft!J78="","",IFERROR(ROUND(PRODUCT(ROUND(ROUND(E80*85%,0)/$E$4,0),AC80),0),""))</f>
        <v/>
      </c>
      <c r="S80" t="str">
        <f>IFERROR(IF(VLOOKUP(Aircraft!C78,Aircraftlist,17)="M","Medium",IF(VLOOKUP(Aircraft!C78,Aircraftlist,17)="L","Light",IF(VLOOKUP(Aircraft!C78,Aircraftlist,17)="H","Heavy",""))),"")</f>
        <v/>
      </c>
      <c r="T80" s="9">
        <f ca="1">IFERROR(1+VLOOKUP(MATCH(S80,ACCATCHART,0),INDIRECT(CONCATENATE(Aircraft!AO78,"CATMOD")),5),1)</f>
        <v>1</v>
      </c>
      <c r="U80" s="9">
        <f ca="1">IFERROR(IF(Rating!J84=Worksheet_Com!$AF$11,1,IF(LEFT(Aircraft!C78,2)="RW",1,IF(AND(Aircraft!AO78="SETP",Aircraft!AX78="R"),1+VLOOKUP(MATCH(Aircraft!AY78,ACGearType,0),INDIRECT(CONCATENATE("SE_P","GearMod")),5),1+VLOOKUP(MATCH(Aircraft!AY78,ACGearType,0),INDIRECT(CONCATENATE(Aircraft!AO78,"GearMod")),5)))),1)</f>
        <v>1</v>
      </c>
      <c r="V80" s="9">
        <f ca="1">IFERROR(IF(Rating!J84=Worksheet_Com!$AF$11,1,IF(LEFT(Aircraft!C78,2)="RW",1,IF(AND(Aircraft!AO78="SETP",Aircraft!AX78="R"),1+VLOOKUP(MATCH(Aircraft!AY78,ACGearType,0),INDIRECT(CONCATENATE("SE_P","GearMod")),7),1+VLOOKUP(MATCH(Aircraft!AY78,ACGearType,0),INDIRECT(CONCATENATE(Aircraft!AO78,"GearMod")),7)))),1)</f>
        <v>1</v>
      </c>
      <c r="W80" s="9">
        <f>IFERROR(IF(VLOOKUP(Aircraft!C78,Aircraftlist,19)="",0,VLOOKUP(Aircraft!C78,Aircraftlist,19))+1,1)</f>
        <v>1</v>
      </c>
      <c r="X80" s="9">
        <f>IFERROR(VLOOKUP(Aircraft!C78,Aircraftlist,18)+1,1)</f>
        <v>1</v>
      </c>
      <c r="Y80" s="9">
        <f>IFERROR(1+(VLOOKUP(MATCH(Aircraft!AK78,AWtypes,0),AWCertChart,5)),1)</f>
        <v>1</v>
      </c>
      <c r="Z80" s="9">
        <f ca="1">IFERROR(1+(VLOOKUP(IF(LEFT(Aircraft!$AO78,2)="RW",2,1),INDIRECT(Rating!$J84),2)),1)</f>
        <v>1</v>
      </c>
      <c r="AA80" s="9">
        <f ca="1">IFERROR(1+(VLOOKUP(IF(LEFT(Aircraft!$AO78,2)="RW",2,1),INDIRECT(Rating!$J84),3)),1)</f>
        <v>1</v>
      </c>
      <c r="AB80" s="9">
        <f>IF(OR(Aircraft!S78="N",Aircraft!S78=""),1,'MGR Adjustment'!$AF$23+1)</f>
        <v>1</v>
      </c>
      <c r="AC80" s="9">
        <f>IFERROR(IF(AND(Aircraft!J78&gt;"",OR(Aircraft!P78="",Aircraft!P78=0)),'MGR Adjustment'!$AM$23)+1,1)</f>
        <v>1</v>
      </c>
      <c r="BC80">
        <v>76</v>
      </c>
      <c r="BD80" s="387" t="s">
        <v>2100</v>
      </c>
      <c r="BE80" t="s">
        <v>2097</v>
      </c>
      <c r="BF80" t="s">
        <v>2098</v>
      </c>
      <c r="BG80" t="str">
        <f t="shared" si="12"/>
        <v/>
      </c>
      <c r="BH80" t="str">
        <f t="shared" si="13"/>
        <v/>
      </c>
      <c r="BK80">
        <v>76</v>
      </c>
      <c r="BL80" s="157" t="s">
        <v>2101</v>
      </c>
      <c r="BM80" s="159">
        <v>0.1</v>
      </c>
    </row>
    <row r="81" spans="2:65">
      <c r="B81">
        <v>76</v>
      </c>
      <c r="C81" s="10" t="str">
        <f ca="1">IFERROR(IF(Aircraft!C79="","",IF(Aircraft!C79=0,VLOOKUP(Aircraft!P79,SE_p,2),VLOOKUP(Aircraft!P79,INDIRECT(Aircraft!AO79),2))),"")</f>
        <v/>
      </c>
      <c r="D81" s="15" t="str">
        <f>IFERROR(IF(LEFT(Aircraft!AO79,2)="RW",HLOOKUP(IF(Aircraft!AI79&gt;0,Aircraft!AI79,Aircraft!AE79),PistonRWLiabRate,SUM(MATCH(Aircraft!W79,PistonLiabLocMatch,0)+1)),IF(LEFT(Aircraft!AO79,2)="ME",HLOOKUP(IF(Aircraft!AI79&gt;0,Aircraft!AI79,Aircraft!AE79),PistonMELFWLiabRates,SUM(MATCH(Aircraft!W79,PistonLiabLocMatch,0)+1)),HLOOKUP(IF(Aircraft!AI79&gt;0,Aircraft!AI79,Aircraft!AE79),PistonFWLiabRate,SUM(MATCH(Aircraft!W79,PistonLiabLocMatch,0)+1)))),"")</f>
        <v/>
      </c>
      <c r="E81" s="15" t="str">
        <f>IFERROR(IF(Rating!AC85="Yes",0,PRODUCT(VLOOKUP(MATCH(Aircraft!$Y79,MedLimits,0),MedRate,3),Aircraft!$BB79)),"")</f>
        <v/>
      </c>
      <c r="F81" s="9">
        <f t="shared" ca="1" si="10"/>
        <v>1</v>
      </c>
      <c r="G81" s="9">
        <f t="shared" ca="1" si="11"/>
        <v>1</v>
      </c>
      <c r="H81" s="9">
        <f>IF(OR(Rating!$E$2=0,Rating!$E$2=""),1+$AG$14,Rating!$E$2+$AG$14+1)</f>
        <v>1.25</v>
      </c>
      <c r="I81" s="9">
        <f>IF(OR(Rating!$F$2=0,Rating!$F$2=""),1+$AG$14,Rating!$F$2+$AG$14+1)</f>
        <v>1.07</v>
      </c>
      <c r="J81" s="9">
        <f>IF(OR(Rating!$R85=0,Rating!$R85=""),1,Rating!$R85+1)</f>
        <v>1</v>
      </c>
      <c r="K81" s="9">
        <f>IF(OR(Rating!$T85=0,Rating!$T85=""),1,Rating!$T85+1)</f>
        <v>1</v>
      </c>
      <c r="L81" s="13" t="str">
        <f>IF(Aircraft!J79="","",ROUND(PRODUCT(ROUND(ROUND(C81*85%,6)/$E$4,6),G81),6))</f>
        <v/>
      </c>
      <c r="M81" s="15" t="str">
        <f>IF(Aircraft!J79="","",ROUND(PRODUCT(ROUND(ROUND(D81*85%,0)/$E$4,0),F81),0))</f>
        <v/>
      </c>
      <c r="N81" s="13" t="str">
        <f>IF(Aircraft!J79="","",ROUND(PRODUCT(I81,K81,L81),5))</f>
        <v/>
      </c>
      <c r="O81" s="11" t="str">
        <f>IF(Aircraft!J79="","",IFERROR(ROUND(PRODUCT(N81,Aircraft!P79),0),0))</f>
        <v/>
      </c>
      <c r="P81" s="11" t="str">
        <f>IF(Aircraft!J79="","",IFERROR(ROUND(PRODUCT(H81,M81,J81),0),""))</f>
        <v/>
      </c>
      <c r="Q81" s="11" t="str">
        <f>IF(Aircraft!J79="","",IFERROR(ROUND(PRODUCT(ROUND(ROUND(E81*85%,0)/$E$4,0),AC81),0),""))</f>
        <v/>
      </c>
      <c r="S81" t="str">
        <f>IFERROR(IF(VLOOKUP(Aircraft!C79,Aircraftlist,17)="M","Medium",IF(VLOOKUP(Aircraft!C79,Aircraftlist,17)="L","Light",IF(VLOOKUP(Aircraft!C79,Aircraftlist,17)="H","Heavy",""))),"")</f>
        <v/>
      </c>
      <c r="T81" s="9">
        <f ca="1">IFERROR(1+VLOOKUP(MATCH(S81,ACCATCHART,0),INDIRECT(CONCATENATE(Aircraft!AO79,"CATMOD")),5),1)</f>
        <v>1</v>
      </c>
      <c r="U81" s="9">
        <f ca="1">IFERROR(IF(Rating!J85=Worksheet_Com!$AF$11,1,IF(LEFT(Aircraft!C79,2)="RW",1,IF(AND(Aircraft!AO79="SETP",Aircraft!AX79="R"),1+VLOOKUP(MATCH(Aircraft!AY79,ACGearType,0),INDIRECT(CONCATENATE("SE_P","GearMod")),5),1+VLOOKUP(MATCH(Aircraft!AY79,ACGearType,0),INDIRECT(CONCATENATE(Aircraft!AO79,"GearMod")),5)))),1)</f>
        <v>1</v>
      </c>
      <c r="V81" s="9">
        <f ca="1">IFERROR(IF(Rating!J85=Worksheet_Com!$AF$11,1,IF(LEFT(Aircraft!C79,2)="RW",1,IF(AND(Aircraft!AO79="SETP",Aircraft!AX79="R"),1+VLOOKUP(MATCH(Aircraft!AY79,ACGearType,0),INDIRECT(CONCATENATE("SE_P","GearMod")),7),1+VLOOKUP(MATCH(Aircraft!AY79,ACGearType,0),INDIRECT(CONCATENATE(Aircraft!AO79,"GearMod")),7)))),1)</f>
        <v>1</v>
      </c>
      <c r="W81" s="9">
        <f>IFERROR(IF(VLOOKUP(Aircraft!C79,Aircraftlist,19)="",0,VLOOKUP(Aircraft!C79,Aircraftlist,19))+1,1)</f>
        <v>1</v>
      </c>
      <c r="X81" s="9">
        <f>IFERROR(VLOOKUP(Aircraft!C79,Aircraftlist,18)+1,1)</f>
        <v>1</v>
      </c>
      <c r="Y81" s="9">
        <f>IFERROR(1+(VLOOKUP(MATCH(Aircraft!AK79,AWtypes,0),AWCertChart,5)),1)</f>
        <v>1</v>
      </c>
      <c r="Z81" s="9">
        <f ca="1">IFERROR(1+(VLOOKUP(IF(LEFT(Aircraft!$AO79,2)="RW",2,1),INDIRECT(Rating!$J85),2)),1)</f>
        <v>1</v>
      </c>
      <c r="AA81" s="9">
        <f ca="1">IFERROR(1+(VLOOKUP(IF(LEFT(Aircraft!$AO79,2)="RW",2,1),INDIRECT(Rating!$J85),3)),1)</f>
        <v>1</v>
      </c>
      <c r="AB81" s="9">
        <f>IF(OR(Aircraft!S79="N",Aircraft!S79=""),1,'MGR Adjustment'!$AF$23+1)</f>
        <v>1</v>
      </c>
      <c r="AC81" s="9">
        <f>IFERROR(IF(AND(Aircraft!J79&gt;"",OR(Aircraft!P79="",Aircraft!P79=0)),'MGR Adjustment'!$AM$23)+1,1)</f>
        <v>1</v>
      </c>
      <c r="BC81">
        <v>77</v>
      </c>
      <c r="BD81" s="387" t="s">
        <v>2102</v>
      </c>
      <c r="BE81" t="s">
        <v>2103</v>
      </c>
      <c r="BF81" t="s">
        <v>2104</v>
      </c>
      <c r="BG81" t="str">
        <f t="shared" si="12"/>
        <v/>
      </c>
      <c r="BH81" t="str">
        <f t="shared" si="13"/>
        <v/>
      </c>
      <c r="BK81">
        <v>77</v>
      </c>
      <c r="BL81" s="157" t="s">
        <v>2105</v>
      </c>
      <c r="BM81" s="159">
        <v>0.12</v>
      </c>
    </row>
    <row r="82" spans="2:65">
      <c r="B82">
        <v>77</v>
      </c>
      <c r="C82" s="10" t="str">
        <f ca="1">IFERROR(IF(Aircraft!C80="","",IF(Aircraft!C80=0,VLOOKUP(Aircraft!P80,SE_p,2),VLOOKUP(Aircraft!P80,INDIRECT(Aircraft!AO80),2))),"")</f>
        <v/>
      </c>
      <c r="D82" s="15" t="str">
        <f>IFERROR(IF(LEFT(Aircraft!AO80,2)="RW",HLOOKUP(IF(Aircraft!AI80&gt;0,Aircraft!AI80,Aircraft!AE80),PistonRWLiabRate,SUM(MATCH(Aircraft!W80,PistonLiabLocMatch,0)+1)),IF(LEFT(Aircraft!AO80,2)="ME",HLOOKUP(IF(Aircraft!AI80&gt;0,Aircraft!AI80,Aircraft!AE80),PistonMELFWLiabRates,SUM(MATCH(Aircraft!W80,PistonLiabLocMatch,0)+1)),HLOOKUP(IF(Aircraft!AI80&gt;0,Aircraft!AI80,Aircraft!AE80),PistonFWLiabRate,SUM(MATCH(Aircraft!W80,PistonLiabLocMatch,0)+1)))),"")</f>
        <v/>
      </c>
      <c r="E82" s="15" t="str">
        <f>IFERROR(IF(Rating!AC86="Yes",0,PRODUCT(VLOOKUP(MATCH(Aircraft!$Y80,MedLimits,0),MedRate,3),Aircraft!$BB80)),"")</f>
        <v/>
      </c>
      <c r="F82" s="9">
        <f t="shared" ca="1" si="10"/>
        <v>1</v>
      </c>
      <c r="G82" s="9">
        <f t="shared" ca="1" si="11"/>
        <v>1</v>
      </c>
      <c r="H82" s="9">
        <f>IF(OR(Rating!$E$2=0,Rating!$E$2=""),1+$AG$14,Rating!$E$2+$AG$14+1)</f>
        <v>1.25</v>
      </c>
      <c r="I82" s="9">
        <f>IF(OR(Rating!$F$2=0,Rating!$F$2=""),1+$AG$14,Rating!$F$2+$AG$14+1)</f>
        <v>1.07</v>
      </c>
      <c r="J82" s="9">
        <f>IF(OR(Rating!$R86=0,Rating!$R86=""),1,Rating!$R86+1)</f>
        <v>1</v>
      </c>
      <c r="K82" s="9">
        <f>IF(OR(Rating!$T86=0,Rating!$T86=""),1,Rating!$T86+1)</f>
        <v>1</v>
      </c>
      <c r="L82" s="13" t="str">
        <f>IF(Aircraft!J80="","",ROUND(PRODUCT(ROUND(ROUND(C82*85%,6)/$E$4,6),G82),6))</f>
        <v/>
      </c>
      <c r="M82" s="15" t="str">
        <f>IF(Aircraft!J80="","",ROUND(PRODUCT(ROUND(ROUND(D82*85%,0)/$E$4,0),F82),0))</f>
        <v/>
      </c>
      <c r="N82" s="13" t="str">
        <f>IF(Aircraft!J80="","",ROUND(PRODUCT(I82,K82,L82),5))</f>
        <v/>
      </c>
      <c r="O82" s="11" t="str">
        <f>IF(Aircraft!J80="","",IFERROR(ROUND(PRODUCT(N82,Aircraft!P80),0),0))</f>
        <v/>
      </c>
      <c r="P82" s="11" t="str">
        <f>IF(Aircraft!J80="","",IFERROR(ROUND(PRODUCT(H82,M82,J82),0),""))</f>
        <v/>
      </c>
      <c r="Q82" s="11" t="str">
        <f>IF(Aircraft!J80="","",IFERROR(ROUND(PRODUCT(ROUND(ROUND(E82*85%,0)/$E$4,0),AC82),0),""))</f>
        <v/>
      </c>
      <c r="S82" t="str">
        <f>IFERROR(IF(VLOOKUP(Aircraft!C80,Aircraftlist,17)="M","Medium",IF(VLOOKUP(Aircraft!C80,Aircraftlist,17)="L","Light",IF(VLOOKUP(Aircraft!C80,Aircraftlist,17)="H","Heavy",""))),"")</f>
        <v/>
      </c>
      <c r="T82" s="9">
        <f ca="1">IFERROR(1+VLOOKUP(MATCH(S82,ACCATCHART,0),INDIRECT(CONCATENATE(Aircraft!AO80,"CATMOD")),5),1)</f>
        <v>1</v>
      </c>
      <c r="U82" s="9">
        <f ca="1">IFERROR(IF(Rating!J86=Worksheet_Com!$AF$11,1,IF(LEFT(Aircraft!C80,2)="RW",1,IF(AND(Aircraft!AO80="SETP",Aircraft!AX80="R"),1+VLOOKUP(MATCH(Aircraft!AY80,ACGearType,0),INDIRECT(CONCATENATE("SE_P","GearMod")),5),1+VLOOKUP(MATCH(Aircraft!AY80,ACGearType,0),INDIRECT(CONCATENATE(Aircraft!AO80,"GearMod")),5)))),1)</f>
        <v>1</v>
      </c>
      <c r="V82" s="9">
        <f ca="1">IFERROR(IF(Rating!J86=Worksheet_Com!$AF$11,1,IF(LEFT(Aircraft!C80,2)="RW",1,IF(AND(Aircraft!AO80="SETP",Aircraft!AX80="R"),1+VLOOKUP(MATCH(Aircraft!AY80,ACGearType,0),INDIRECT(CONCATENATE("SE_P","GearMod")),7),1+VLOOKUP(MATCH(Aircraft!AY80,ACGearType,0),INDIRECT(CONCATENATE(Aircraft!AO80,"GearMod")),7)))),1)</f>
        <v>1</v>
      </c>
      <c r="W82" s="9">
        <f>IFERROR(IF(VLOOKUP(Aircraft!C80,Aircraftlist,19)="",0,VLOOKUP(Aircraft!C80,Aircraftlist,19))+1,1)</f>
        <v>1</v>
      </c>
      <c r="X82" s="9">
        <f>IFERROR(VLOOKUP(Aircraft!C80,Aircraftlist,18)+1,1)</f>
        <v>1</v>
      </c>
      <c r="Y82" s="9">
        <f>IFERROR(1+(VLOOKUP(MATCH(Aircraft!AK80,AWtypes,0),AWCertChart,5)),1)</f>
        <v>1</v>
      </c>
      <c r="Z82" s="9">
        <f ca="1">IFERROR(1+(VLOOKUP(IF(LEFT(Aircraft!$AO80,2)="RW",2,1),INDIRECT(Rating!$J86),2)),1)</f>
        <v>1</v>
      </c>
      <c r="AA82" s="9">
        <f ca="1">IFERROR(1+(VLOOKUP(IF(LEFT(Aircraft!$AO80,2)="RW",2,1),INDIRECT(Rating!$J86),3)),1)</f>
        <v>1</v>
      </c>
      <c r="AB82" s="9">
        <f>IF(OR(Aircraft!S80="N",Aircraft!S80=""),1,'MGR Adjustment'!$AF$23+1)</f>
        <v>1</v>
      </c>
      <c r="AC82" s="9">
        <f>IFERROR(IF(AND(Aircraft!J80&gt;"",OR(Aircraft!P80="",Aircraft!P80=0)),'MGR Adjustment'!$AM$23)+1,1)</f>
        <v>1</v>
      </c>
      <c r="BC82">
        <v>78</v>
      </c>
      <c r="BD82" s="387" t="s">
        <v>2106</v>
      </c>
      <c r="BE82" t="s">
        <v>2103</v>
      </c>
      <c r="BF82" t="s">
        <v>2104</v>
      </c>
      <c r="BG82" t="str">
        <f t="shared" si="12"/>
        <v/>
      </c>
      <c r="BH82" t="str">
        <f t="shared" si="13"/>
        <v/>
      </c>
      <c r="BK82">
        <v>78</v>
      </c>
      <c r="BL82" s="157" t="s">
        <v>2107</v>
      </c>
      <c r="BM82" s="159">
        <v>0.12</v>
      </c>
    </row>
    <row r="83" spans="2:65">
      <c r="B83">
        <v>78</v>
      </c>
      <c r="C83" s="10" t="str">
        <f ca="1">IFERROR(IF(Aircraft!C81="","",IF(Aircraft!C81=0,VLOOKUP(Aircraft!P81,SE_p,2),VLOOKUP(Aircraft!P81,INDIRECT(Aircraft!AO81),2))),"")</f>
        <v/>
      </c>
      <c r="D83" s="15" t="str">
        <f>IFERROR(IF(LEFT(Aircraft!AO81,2)="RW",HLOOKUP(IF(Aircraft!AI81&gt;0,Aircraft!AI81,Aircraft!AE81),PistonRWLiabRate,SUM(MATCH(Aircraft!W81,PistonLiabLocMatch,0)+1)),IF(LEFT(Aircraft!AO81,2)="ME",HLOOKUP(IF(Aircraft!AI81&gt;0,Aircraft!AI81,Aircraft!AE81),PistonMELFWLiabRates,SUM(MATCH(Aircraft!W81,PistonLiabLocMatch,0)+1)),HLOOKUP(IF(Aircraft!AI81&gt;0,Aircraft!AI81,Aircraft!AE81),PistonFWLiabRate,SUM(MATCH(Aircraft!W81,PistonLiabLocMatch,0)+1)))),"")</f>
        <v/>
      </c>
      <c r="E83" s="15" t="str">
        <f>IFERROR(IF(Rating!AC87="Yes",0,PRODUCT(VLOOKUP(MATCH(Aircraft!$Y81,MedLimits,0),MedRate,3),Aircraft!$BB81)),"")</f>
        <v/>
      </c>
      <c r="F83" s="9">
        <f t="shared" ca="1" si="10"/>
        <v>1</v>
      </c>
      <c r="G83" s="9">
        <f t="shared" ca="1" si="11"/>
        <v>1</v>
      </c>
      <c r="H83" s="9">
        <f>IF(OR(Rating!$E$2=0,Rating!$E$2=""),1+$AG$14,Rating!$E$2+$AG$14+1)</f>
        <v>1.25</v>
      </c>
      <c r="I83" s="9">
        <f>IF(OR(Rating!$F$2=0,Rating!$F$2=""),1+$AG$14,Rating!$F$2+$AG$14+1)</f>
        <v>1.07</v>
      </c>
      <c r="J83" s="9">
        <f>IF(OR(Rating!$R87=0,Rating!$R87=""),1,Rating!$R87+1)</f>
        <v>1</v>
      </c>
      <c r="K83" s="9">
        <f>IF(OR(Rating!$T87=0,Rating!$T87=""),1,Rating!$T87+1)</f>
        <v>1</v>
      </c>
      <c r="L83" s="13" t="str">
        <f>IF(Aircraft!J81="","",ROUND(PRODUCT(ROUND(ROUND(C83*85%,6)/$E$4,6),G83),6))</f>
        <v/>
      </c>
      <c r="M83" s="15" t="str">
        <f>IF(Aircraft!J81="","",ROUND(PRODUCT(ROUND(ROUND(D83*85%,0)/$E$4,0),F83),0))</f>
        <v/>
      </c>
      <c r="N83" s="13" t="str">
        <f>IF(Aircraft!J81="","",ROUND(PRODUCT(I83,K83,L83),5))</f>
        <v/>
      </c>
      <c r="O83" s="11" t="str">
        <f>IF(Aircraft!J81="","",IFERROR(ROUND(PRODUCT(N83,Aircraft!P81),0),0))</f>
        <v/>
      </c>
      <c r="P83" s="11" t="str">
        <f>IF(Aircraft!J81="","",IFERROR(ROUND(PRODUCT(H83,M83,J83),0),""))</f>
        <v/>
      </c>
      <c r="Q83" s="11" t="str">
        <f>IF(Aircraft!J81="","",IFERROR(ROUND(PRODUCT(ROUND(ROUND(E83*85%,0)/$E$4,0),AC83),0),""))</f>
        <v/>
      </c>
      <c r="S83" t="str">
        <f>IFERROR(IF(VLOOKUP(Aircraft!C81,Aircraftlist,17)="M","Medium",IF(VLOOKUP(Aircraft!C81,Aircraftlist,17)="L","Light",IF(VLOOKUP(Aircraft!C81,Aircraftlist,17)="H","Heavy",""))),"")</f>
        <v/>
      </c>
      <c r="T83" s="9">
        <f ca="1">IFERROR(1+VLOOKUP(MATCH(S83,ACCATCHART,0),INDIRECT(CONCATENATE(Aircraft!AO81,"CATMOD")),5),1)</f>
        <v>1</v>
      </c>
      <c r="U83" s="9">
        <f ca="1">IFERROR(IF(Rating!J87=Worksheet_Com!$AF$11,1,IF(LEFT(Aircraft!C81,2)="RW",1,IF(AND(Aircraft!AO81="SETP",Aircraft!AX81="R"),1+VLOOKUP(MATCH(Aircraft!AY81,ACGearType,0),INDIRECT(CONCATENATE("SE_P","GearMod")),5),1+VLOOKUP(MATCH(Aircraft!AY81,ACGearType,0),INDIRECT(CONCATENATE(Aircraft!AO81,"GearMod")),5)))),1)</f>
        <v>1</v>
      </c>
      <c r="V83" s="9">
        <f ca="1">IFERROR(IF(Rating!J87=Worksheet_Com!$AF$11,1,IF(LEFT(Aircraft!C81,2)="RW",1,IF(AND(Aircraft!AO81="SETP",Aircraft!AX81="R"),1+VLOOKUP(MATCH(Aircraft!AY81,ACGearType,0),INDIRECT(CONCATENATE("SE_P","GearMod")),7),1+VLOOKUP(MATCH(Aircraft!AY81,ACGearType,0),INDIRECT(CONCATENATE(Aircraft!AO81,"GearMod")),7)))),1)</f>
        <v>1</v>
      </c>
      <c r="W83" s="9">
        <f>IFERROR(IF(VLOOKUP(Aircraft!C81,Aircraftlist,19)="",0,VLOOKUP(Aircraft!C81,Aircraftlist,19))+1,1)</f>
        <v>1</v>
      </c>
      <c r="X83" s="9">
        <f>IFERROR(VLOOKUP(Aircraft!C81,Aircraftlist,18)+1,1)</f>
        <v>1</v>
      </c>
      <c r="Y83" s="9">
        <f>IFERROR(1+(VLOOKUP(MATCH(Aircraft!AK81,AWtypes,0),AWCertChart,5)),1)</f>
        <v>1</v>
      </c>
      <c r="Z83" s="9">
        <f ca="1">IFERROR(1+(VLOOKUP(IF(LEFT(Aircraft!$AO81,2)="RW",2,1),INDIRECT(Rating!$J87),2)),1)</f>
        <v>1</v>
      </c>
      <c r="AA83" s="9">
        <f ca="1">IFERROR(1+(VLOOKUP(IF(LEFT(Aircraft!$AO81,2)="RW",2,1),INDIRECT(Rating!$J87),3)),1)</f>
        <v>1</v>
      </c>
      <c r="AB83" s="9">
        <f>IF(OR(Aircraft!S81="N",Aircraft!S81=""),1,'MGR Adjustment'!$AF$23+1)</f>
        <v>1</v>
      </c>
      <c r="AC83" s="9">
        <f>IFERROR(IF(AND(Aircraft!J81&gt;"",OR(Aircraft!P81="",Aircraft!P81=0)),'MGR Adjustment'!$AM$23)+1,1)</f>
        <v>1</v>
      </c>
      <c r="BC83">
        <v>79</v>
      </c>
      <c r="BD83" s="387" t="s">
        <v>2108</v>
      </c>
      <c r="BE83" t="s">
        <v>2103</v>
      </c>
      <c r="BF83" t="s">
        <v>2104</v>
      </c>
      <c r="BG83" t="str">
        <f t="shared" si="12"/>
        <v/>
      </c>
      <c r="BH83" t="str">
        <f t="shared" si="13"/>
        <v/>
      </c>
      <c r="BK83">
        <v>79</v>
      </c>
      <c r="BL83" s="157" t="s">
        <v>2109</v>
      </c>
      <c r="BM83" s="159">
        <v>0.09</v>
      </c>
    </row>
    <row r="84" spans="2:65">
      <c r="B84">
        <v>79</v>
      </c>
      <c r="C84" s="10" t="str">
        <f ca="1">IFERROR(IF(Aircraft!C82="","",IF(Aircraft!C82=0,VLOOKUP(Aircraft!P82,SE_p,2),VLOOKUP(Aircraft!P82,INDIRECT(Aircraft!AO82),2))),"")</f>
        <v/>
      </c>
      <c r="D84" s="15" t="str">
        <f>IFERROR(IF(LEFT(Aircraft!AO82,2)="RW",HLOOKUP(IF(Aircraft!AI82&gt;0,Aircraft!AI82,Aircraft!AE82),PistonRWLiabRate,SUM(MATCH(Aircraft!W82,PistonLiabLocMatch,0)+1)),IF(LEFT(Aircraft!AO82,2)="ME",HLOOKUP(IF(Aircraft!AI82&gt;0,Aircraft!AI82,Aircraft!AE82),PistonMELFWLiabRates,SUM(MATCH(Aircraft!W82,PistonLiabLocMatch,0)+1)),HLOOKUP(IF(Aircraft!AI82&gt;0,Aircraft!AI82,Aircraft!AE82),PistonFWLiabRate,SUM(MATCH(Aircraft!W82,PistonLiabLocMatch,0)+1)))),"")</f>
        <v/>
      </c>
      <c r="E84" s="15" t="str">
        <f>IFERROR(IF(Rating!AC88="Yes",0,PRODUCT(VLOOKUP(MATCH(Aircraft!$Y82,MedLimits,0),MedRate,3),Aircraft!$BB82)),"")</f>
        <v/>
      </c>
      <c r="F84" s="9">
        <f t="shared" ca="1" si="10"/>
        <v>1</v>
      </c>
      <c r="G84" s="9">
        <f t="shared" ca="1" si="11"/>
        <v>1</v>
      </c>
      <c r="H84" s="9">
        <f>IF(OR(Rating!$E$2=0,Rating!$E$2=""),1+$AG$14,Rating!$E$2+$AG$14+1)</f>
        <v>1.25</v>
      </c>
      <c r="I84" s="9">
        <f>IF(OR(Rating!$F$2=0,Rating!$F$2=""),1+$AG$14,Rating!$F$2+$AG$14+1)</f>
        <v>1.07</v>
      </c>
      <c r="J84" s="9">
        <f>IF(OR(Rating!$R88=0,Rating!$R88=""),1,Rating!$R88+1)</f>
        <v>1</v>
      </c>
      <c r="K84" s="9">
        <f>IF(OR(Rating!$T88=0,Rating!$T88=""),1,Rating!$T88+1)</f>
        <v>1</v>
      </c>
      <c r="L84" s="13" t="str">
        <f>IF(Aircraft!J82="","",ROUND(PRODUCT(ROUND(ROUND(C84*85%,6)/$E$4,6),G84),6))</f>
        <v/>
      </c>
      <c r="M84" s="15" t="str">
        <f>IF(Aircraft!J82="","",ROUND(PRODUCT(ROUND(ROUND(D84*85%,0)/$E$4,0),F84),0))</f>
        <v/>
      </c>
      <c r="N84" s="13" t="str">
        <f>IF(Aircraft!J82="","",ROUND(PRODUCT(I84,K84,L84),5))</f>
        <v/>
      </c>
      <c r="O84" s="11" t="str">
        <f>IF(Aircraft!J82="","",IFERROR(ROUND(PRODUCT(N84,Aircraft!P82),0),0))</f>
        <v/>
      </c>
      <c r="P84" s="11" t="str">
        <f>IF(Aircraft!J82="","",IFERROR(ROUND(PRODUCT(H84,M84,J84),0),""))</f>
        <v/>
      </c>
      <c r="Q84" s="11" t="str">
        <f>IF(Aircraft!J82="","",IFERROR(ROUND(PRODUCT(ROUND(ROUND(E84*85%,0)/$E$4,0),AC84),0),""))</f>
        <v/>
      </c>
      <c r="S84" t="str">
        <f>IFERROR(IF(VLOOKUP(Aircraft!C82,Aircraftlist,17)="M","Medium",IF(VLOOKUP(Aircraft!C82,Aircraftlist,17)="L","Light",IF(VLOOKUP(Aircraft!C82,Aircraftlist,17)="H","Heavy",""))),"")</f>
        <v/>
      </c>
      <c r="T84" s="9">
        <f ca="1">IFERROR(1+VLOOKUP(MATCH(S84,ACCATCHART,0),INDIRECT(CONCATENATE(Aircraft!AO82,"CATMOD")),5),1)</f>
        <v>1</v>
      </c>
      <c r="U84" s="9">
        <f ca="1">IFERROR(IF(Rating!J88=Worksheet_Com!$AF$11,1,IF(LEFT(Aircraft!C82,2)="RW",1,IF(AND(Aircraft!AO82="SETP",Aircraft!AX82="R"),1+VLOOKUP(MATCH(Aircraft!AY82,ACGearType,0),INDIRECT(CONCATENATE("SE_P","GearMod")),5),1+VLOOKUP(MATCH(Aircraft!AY82,ACGearType,0),INDIRECT(CONCATENATE(Aircraft!AO82,"GearMod")),5)))),1)</f>
        <v>1</v>
      </c>
      <c r="V84" s="9">
        <f ca="1">IFERROR(IF(Rating!J88=Worksheet_Com!$AF$11,1,IF(LEFT(Aircraft!C82,2)="RW",1,IF(AND(Aircraft!AO82="SETP",Aircraft!AX82="R"),1+VLOOKUP(MATCH(Aircraft!AY82,ACGearType,0),INDIRECT(CONCATENATE("SE_P","GearMod")),7),1+VLOOKUP(MATCH(Aircraft!AY82,ACGearType,0),INDIRECT(CONCATENATE(Aircraft!AO82,"GearMod")),7)))),1)</f>
        <v>1</v>
      </c>
      <c r="W84" s="9">
        <f>IFERROR(IF(VLOOKUP(Aircraft!C82,Aircraftlist,19)="",0,VLOOKUP(Aircraft!C82,Aircraftlist,19))+1,1)</f>
        <v>1</v>
      </c>
      <c r="X84" s="9">
        <f>IFERROR(VLOOKUP(Aircraft!C82,Aircraftlist,18)+1,1)</f>
        <v>1</v>
      </c>
      <c r="Y84" s="9">
        <f>IFERROR(1+(VLOOKUP(MATCH(Aircraft!AK82,AWtypes,0),AWCertChart,5)),1)</f>
        <v>1</v>
      </c>
      <c r="Z84" s="9">
        <f ca="1">IFERROR(1+(VLOOKUP(IF(LEFT(Aircraft!$AO82,2)="RW",2,1),INDIRECT(Rating!$J88),2)),1)</f>
        <v>1</v>
      </c>
      <c r="AA84" s="9">
        <f ca="1">IFERROR(1+(VLOOKUP(IF(LEFT(Aircraft!$AO82,2)="RW",2,1),INDIRECT(Rating!$J88),3)),1)</f>
        <v>1</v>
      </c>
      <c r="AB84" s="9">
        <f>IF(OR(Aircraft!S82="N",Aircraft!S82=""),1,'MGR Adjustment'!$AF$23+1)</f>
        <v>1</v>
      </c>
      <c r="AC84" s="9">
        <f>IFERROR(IF(AND(Aircraft!J82&gt;"",OR(Aircraft!P82="",Aircraft!P82=0)),'MGR Adjustment'!$AM$23)+1,1)</f>
        <v>1</v>
      </c>
      <c r="BC84">
        <v>80</v>
      </c>
      <c r="BD84" s="387" t="s">
        <v>2110</v>
      </c>
      <c r="BE84" t="s">
        <v>2103</v>
      </c>
      <c r="BF84" t="s">
        <v>2104</v>
      </c>
      <c r="BG84" t="str">
        <f t="shared" si="12"/>
        <v/>
      </c>
      <c r="BH84" t="str">
        <f t="shared" si="13"/>
        <v/>
      </c>
      <c r="BK84">
        <v>80</v>
      </c>
      <c r="BL84" s="157" t="s">
        <v>2111</v>
      </c>
      <c r="BM84" s="159">
        <v>5.8000000000000003E-2</v>
      </c>
    </row>
    <row r="85" spans="2:65">
      <c r="B85">
        <v>80</v>
      </c>
      <c r="C85" s="10" t="str">
        <f ca="1">IFERROR(IF(Aircraft!C83="","",IF(Aircraft!C83=0,VLOOKUP(Aircraft!P83,SE_p,2),VLOOKUP(Aircraft!P83,INDIRECT(Aircraft!AO83),2))),"")</f>
        <v/>
      </c>
      <c r="D85" s="15" t="str">
        <f>IFERROR(IF(LEFT(Aircraft!AO83,2)="RW",HLOOKUP(IF(Aircraft!AI83&gt;0,Aircraft!AI83,Aircraft!AE83),PistonRWLiabRate,SUM(MATCH(Aircraft!W83,PistonLiabLocMatch,0)+1)),IF(LEFT(Aircraft!AO83,2)="ME",HLOOKUP(IF(Aircraft!AI83&gt;0,Aircraft!AI83,Aircraft!AE83),PistonMELFWLiabRates,SUM(MATCH(Aircraft!W83,PistonLiabLocMatch,0)+1)),HLOOKUP(IF(Aircraft!AI83&gt;0,Aircraft!AI83,Aircraft!AE83),PistonFWLiabRate,SUM(MATCH(Aircraft!W83,PistonLiabLocMatch,0)+1)))),"")</f>
        <v/>
      </c>
      <c r="E85" s="15" t="str">
        <f>IFERROR(IF(Rating!AC89="Yes",0,PRODUCT(VLOOKUP(MATCH(Aircraft!$Y83,MedLimits,0),MedRate,3),Aircraft!$BB83)),"")</f>
        <v/>
      </c>
      <c r="F85" s="9">
        <f t="shared" ca="1" si="10"/>
        <v>1</v>
      </c>
      <c r="G85" s="9">
        <f t="shared" ca="1" si="11"/>
        <v>1</v>
      </c>
      <c r="H85" s="9">
        <f>IF(OR(Rating!$E$2=0,Rating!$E$2=""),1+$AG$14,Rating!$E$2+$AG$14+1)</f>
        <v>1.25</v>
      </c>
      <c r="I85" s="9">
        <f>IF(OR(Rating!$F$2=0,Rating!$F$2=""),1+$AG$14,Rating!$F$2+$AG$14+1)</f>
        <v>1.07</v>
      </c>
      <c r="J85" s="9">
        <f>IF(OR(Rating!$R89=0,Rating!$R89=""),1,Rating!$R89+1)</f>
        <v>1</v>
      </c>
      <c r="K85" s="9">
        <f>IF(OR(Rating!$T89=0,Rating!$T89=""),1,Rating!$T89+1)</f>
        <v>1</v>
      </c>
      <c r="L85" s="13" t="str">
        <f>IF(Aircraft!J83="","",ROUND(PRODUCT(ROUND(ROUND(C85*85%,6)/$E$4,6),G85),6))</f>
        <v/>
      </c>
      <c r="M85" s="15" t="str">
        <f>IF(Aircraft!J83="","",ROUND(PRODUCT(ROUND(ROUND(D85*85%,0)/$E$4,0),F85),0))</f>
        <v/>
      </c>
      <c r="N85" s="13" t="str">
        <f>IF(Aircraft!J83="","",ROUND(PRODUCT(I85,K85,L85),5))</f>
        <v/>
      </c>
      <c r="O85" s="11" t="str">
        <f>IF(Aircraft!J83="","",IFERROR(ROUND(PRODUCT(N85,Aircraft!P83),0),0))</f>
        <v/>
      </c>
      <c r="P85" s="11" t="str">
        <f>IF(Aircraft!J83="","",IFERROR(ROUND(PRODUCT(H85,M85,J85),0),""))</f>
        <v/>
      </c>
      <c r="Q85" s="11" t="str">
        <f>IF(Aircraft!J83="","",IFERROR(ROUND(PRODUCT(ROUND(ROUND(E85*85%,0)/$E$4,0),AC85),0),""))</f>
        <v/>
      </c>
      <c r="S85" t="str">
        <f>IFERROR(IF(VLOOKUP(Aircraft!C83,Aircraftlist,17)="M","Medium",IF(VLOOKUP(Aircraft!C83,Aircraftlist,17)="L","Light",IF(VLOOKUP(Aircraft!C83,Aircraftlist,17)="H","Heavy",""))),"")</f>
        <v/>
      </c>
      <c r="T85" s="9">
        <f ca="1">IFERROR(1+VLOOKUP(MATCH(S85,ACCATCHART,0),INDIRECT(CONCATENATE(Aircraft!AO83,"CATMOD")),5),1)</f>
        <v>1</v>
      </c>
      <c r="U85" s="9">
        <f ca="1">IFERROR(IF(Rating!J89=Worksheet_Com!$AF$11,1,IF(LEFT(Aircraft!C83,2)="RW",1,IF(AND(Aircraft!AO83="SETP",Aircraft!AX83="R"),1+VLOOKUP(MATCH(Aircraft!AY83,ACGearType,0),INDIRECT(CONCATENATE("SE_P","GearMod")),5),1+VLOOKUP(MATCH(Aircraft!AY83,ACGearType,0),INDIRECT(CONCATENATE(Aircraft!AO83,"GearMod")),5)))),1)</f>
        <v>1</v>
      </c>
      <c r="V85" s="9">
        <f ca="1">IFERROR(IF(Rating!J89=Worksheet_Com!$AF$11,1,IF(LEFT(Aircraft!C83,2)="RW",1,IF(AND(Aircraft!AO83="SETP",Aircraft!AX83="R"),1+VLOOKUP(MATCH(Aircraft!AY83,ACGearType,0),INDIRECT(CONCATENATE("SE_P","GearMod")),7),1+VLOOKUP(MATCH(Aircraft!AY83,ACGearType,0),INDIRECT(CONCATENATE(Aircraft!AO83,"GearMod")),7)))),1)</f>
        <v>1</v>
      </c>
      <c r="W85" s="9">
        <f>IFERROR(IF(VLOOKUP(Aircraft!C83,Aircraftlist,19)="",0,VLOOKUP(Aircraft!C83,Aircraftlist,19))+1,1)</f>
        <v>1</v>
      </c>
      <c r="X85" s="9">
        <f>IFERROR(VLOOKUP(Aircraft!C83,Aircraftlist,18)+1,1)</f>
        <v>1</v>
      </c>
      <c r="Y85" s="9">
        <f>IFERROR(1+(VLOOKUP(MATCH(Aircraft!AK83,AWtypes,0),AWCertChart,5)),1)</f>
        <v>1</v>
      </c>
      <c r="Z85" s="9">
        <f ca="1">IFERROR(1+(VLOOKUP(IF(LEFT(Aircraft!$AO83,2)="RW",2,1),INDIRECT(Rating!$J89),2)),1)</f>
        <v>1</v>
      </c>
      <c r="AA85" s="9">
        <f ca="1">IFERROR(1+(VLOOKUP(IF(LEFT(Aircraft!$AO83,2)="RW",2,1),INDIRECT(Rating!$J89),3)),1)</f>
        <v>1</v>
      </c>
      <c r="AB85" s="9">
        <f>IF(OR(Aircraft!S83="N",Aircraft!S83=""),1,'MGR Adjustment'!$AF$23+1)</f>
        <v>1</v>
      </c>
      <c r="AC85" s="9">
        <f>IFERROR(IF(AND(Aircraft!J83&gt;"",OR(Aircraft!P83="",Aircraft!P83=0)),'MGR Adjustment'!$AM$23)+1,1)</f>
        <v>1</v>
      </c>
      <c r="BC85">
        <v>81</v>
      </c>
      <c r="BD85" s="387" t="s">
        <v>2112</v>
      </c>
      <c r="BE85" t="s">
        <v>2104</v>
      </c>
      <c r="BF85" t="s">
        <v>2113</v>
      </c>
      <c r="BG85" t="str">
        <f t="shared" si="12"/>
        <v/>
      </c>
      <c r="BH85" t="str">
        <f t="shared" si="13"/>
        <v/>
      </c>
      <c r="BK85">
        <v>81</v>
      </c>
      <c r="BL85" s="157" t="s">
        <v>2114</v>
      </c>
      <c r="BM85" s="159">
        <v>0.05</v>
      </c>
    </row>
    <row r="86" spans="2:65">
      <c r="P86" s="11">
        <f ca="1">SUM(P6:P85)</f>
        <v>5971</v>
      </c>
      <c r="BC86">
        <v>82</v>
      </c>
      <c r="BD86" s="387" t="s">
        <v>2115</v>
      </c>
      <c r="BE86" t="s">
        <v>2104</v>
      </c>
      <c r="BF86" t="s">
        <v>2113</v>
      </c>
      <c r="BG86" t="str">
        <f t="shared" si="12"/>
        <v/>
      </c>
      <c r="BH86" t="str">
        <f t="shared" si="13"/>
        <v/>
      </c>
      <c r="BK86">
        <v>82</v>
      </c>
      <c r="BL86" s="157" t="s">
        <v>2116</v>
      </c>
      <c r="BM86" s="159">
        <v>0.1</v>
      </c>
    </row>
    <row r="87" spans="2:65">
      <c r="BC87">
        <v>83</v>
      </c>
      <c r="BD87" s="387" t="s">
        <v>2117</v>
      </c>
      <c r="BE87" t="s">
        <v>2104</v>
      </c>
      <c r="BF87" t="s">
        <v>2113</v>
      </c>
      <c r="BG87" t="str">
        <f t="shared" si="12"/>
        <v/>
      </c>
      <c r="BH87" t="str">
        <f t="shared" si="13"/>
        <v/>
      </c>
      <c r="BK87">
        <v>83</v>
      </c>
      <c r="BL87" s="157" t="s">
        <v>2118</v>
      </c>
      <c r="BM87" s="159">
        <v>0.1</v>
      </c>
    </row>
    <row r="88" spans="2:65">
      <c r="BC88">
        <v>84</v>
      </c>
      <c r="BD88" s="387" t="s">
        <v>2119</v>
      </c>
      <c r="BE88" t="s">
        <v>2104</v>
      </c>
      <c r="BF88" t="s">
        <v>2113</v>
      </c>
      <c r="BG88" t="str">
        <f t="shared" si="12"/>
        <v/>
      </c>
      <c r="BH88" t="str">
        <f t="shared" si="13"/>
        <v/>
      </c>
      <c r="BK88">
        <v>84</v>
      </c>
      <c r="BL88" s="157" t="s">
        <v>2120</v>
      </c>
      <c r="BM88" s="159">
        <v>0.09</v>
      </c>
    </row>
    <row r="89" spans="2:65">
      <c r="B89" t="s">
        <v>2121</v>
      </c>
      <c r="BC89">
        <v>85</v>
      </c>
      <c r="BD89" s="387" t="s">
        <v>2122</v>
      </c>
      <c r="BE89" t="s">
        <v>2123</v>
      </c>
      <c r="BF89" t="s">
        <v>2123</v>
      </c>
      <c r="BG89" t="str">
        <f t="shared" si="12"/>
        <v/>
      </c>
      <c r="BH89" t="str">
        <f t="shared" si="13"/>
        <v/>
      </c>
      <c r="BK89">
        <v>85</v>
      </c>
      <c r="BL89" s="157" t="s">
        <v>2124</v>
      </c>
      <c r="BM89" s="159">
        <v>0.03</v>
      </c>
    </row>
    <row r="90" spans="2:65">
      <c r="BC90">
        <v>86</v>
      </c>
      <c r="BD90" s="387" t="s">
        <v>2125</v>
      </c>
      <c r="BE90" t="s">
        <v>2123</v>
      </c>
      <c r="BF90" t="s">
        <v>2123</v>
      </c>
      <c r="BG90" t="str">
        <f t="shared" si="12"/>
        <v/>
      </c>
      <c r="BH90" t="str">
        <f t="shared" si="13"/>
        <v/>
      </c>
      <c r="BK90">
        <v>86</v>
      </c>
      <c r="BL90" s="157" t="s">
        <v>2126</v>
      </c>
      <c r="BM90" s="159">
        <v>0.1</v>
      </c>
    </row>
    <row r="91" spans="2:65">
      <c r="B91" t="s">
        <v>1841</v>
      </c>
      <c r="BC91">
        <v>87</v>
      </c>
      <c r="BD91" s="387" t="s">
        <v>2127</v>
      </c>
      <c r="BE91" t="s">
        <v>2128</v>
      </c>
      <c r="BF91" t="s">
        <v>2129</v>
      </c>
      <c r="BG91" t="str">
        <f t="shared" si="12"/>
        <v/>
      </c>
      <c r="BH91" t="str">
        <f t="shared" si="13"/>
        <v/>
      </c>
      <c r="BK91">
        <v>87</v>
      </c>
      <c r="BL91" s="157" t="s">
        <v>2130</v>
      </c>
      <c r="BM91" s="159">
        <v>0.05</v>
      </c>
    </row>
    <row r="92" spans="2:65" ht="15">
      <c r="B92" s="2"/>
      <c r="C92" s="2"/>
      <c r="D92" s="2" t="s">
        <v>2131</v>
      </c>
      <c r="E92" s="2" t="s">
        <v>2132</v>
      </c>
      <c r="F92" s="2" t="s">
        <v>2133</v>
      </c>
      <c r="G92" s="2" t="s">
        <v>2134</v>
      </c>
      <c r="H92" s="7" t="s">
        <v>2135</v>
      </c>
      <c r="I92" s="2"/>
      <c r="J92" s="2"/>
      <c r="BC92">
        <v>88</v>
      </c>
      <c r="BD92" s="387" t="s">
        <v>2136</v>
      </c>
      <c r="BE92" t="s">
        <v>2137</v>
      </c>
      <c r="BF92" t="s">
        <v>1898</v>
      </c>
      <c r="BG92" t="str">
        <f t="shared" si="12"/>
        <v/>
      </c>
      <c r="BH92" t="str">
        <f t="shared" si="13"/>
        <v/>
      </c>
      <c r="BK92">
        <v>88</v>
      </c>
      <c r="BL92" s="157" t="s">
        <v>2138</v>
      </c>
      <c r="BM92" s="159">
        <v>0.08</v>
      </c>
    </row>
    <row r="93" spans="2:65" ht="15">
      <c r="B93" s="2" t="str">
        <f>IF('Additional Cov.'!U6="rotorwing","RW",IF(AND('Additional Cov.'!U6="Multi",'Additional Cov.'!X5="Piston"),"ME","SEL"))</f>
        <v>SEL</v>
      </c>
      <c r="C93" s="2"/>
      <c r="D93" s="341">
        <f>IF(B93="RW",HLOOKUP('Additional Cov.'!X6,PistonRWLiabRate,SUM(MATCH('Additional Cov.'!T5,PistonLiabLocMatch,0)+1)),IF(B93="ME",HLOOKUP('Additional Cov.'!X6,PistonMELFWLiabRates,SUM(MATCH('Additional Cov.'!T5,PistonLiabLocMatch,0)+1)),HLOOKUP('Additional Cov.'!X6,PistonFWLiabRate,SUM(MATCH('Additional Cov.'!T5,PistonLiabLocMatch,0)+1))))</f>
        <v>454</v>
      </c>
      <c r="E93" s="340">
        <f ca="1">IFERROR(1+(VLOOKUP(IF(B93="RW",2,1),INDIRECT('Additional Cov.'!X4),2)),1)</f>
        <v>3</v>
      </c>
      <c r="F93" s="339">
        <f>1+Rating!E2</f>
        <v>1.25</v>
      </c>
      <c r="G93" s="2">
        <f ca="1">ROUND(PRODUCT(D93,E93,F93),0)</f>
        <v>1703</v>
      </c>
      <c r="H93" s="7">
        <f ca="1">IF('Additional Cov.'!A37="","",CEILING(PRODUCT('Additional Cov.'!U4,G93),10))</f>
        <v>180</v>
      </c>
      <c r="I93" s="2"/>
      <c r="J93" s="2"/>
      <c r="BC93">
        <v>89</v>
      </c>
      <c r="BD93" s="387" t="s">
        <v>2139</v>
      </c>
      <c r="BE93" t="s">
        <v>2140</v>
      </c>
      <c r="BF93" t="s">
        <v>2098</v>
      </c>
      <c r="BG93" t="str">
        <f t="shared" si="12"/>
        <v/>
      </c>
      <c r="BH93" t="str">
        <f t="shared" si="13"/>
        <v/>
      </c>
      <c r="BK93">
        <v>89</v>
      </c>
      <c r="BL93" s="157" t="s">
        <v>2141</v>
      </c>
      <c r="BM93" s="159">
        <v>0.06</v>
      </c>
    </row>
    <row r="94" spans="2:65">
      <c r="BC94">
        <v>90</v>
      </c>
      <c r="BD94" s="387" t="s">
        <v>2142</v>
      </c>
      <c r="BE94" t="s">
        <v>2140</v>
      </c>
      <c r="BF94" t="s">
        <v>2098</v>
      </c>
      <c r="BG94" t="str">
        <f t="shared" si="12"/>
        <v/>
      </c>
      <c r="BH94" t="str">
        <f t="shared" si="13"/>
        <v/>
      </c>
      <c r="BK94">
        <v>90</v>
      </c>
      <c r="BL94" s="157" t="s">
        <v>2143</v>
      </c>
      <c r="BM94" s="159">
        <v>0.08</v>
      </c>
    </row>
    <row r="95" spans="2:65">
      <c r="B95" t="s">
        <v>1774</v>
      </c>
      <c r="BC95">
        <v>91</v>
      </c>
      <c r="BD95" s="387" t="s">
        <v>2144</v>
      </c>
      <c r="BE95" t="s">
        <v>2140</v>
      </c>
      <c r="BF95" t="s">
        <v>2098</v>
      </c>
      <c r="BG95" t="str">
        <f t="shared" si="12"/>
        <v/>
      </c>
      <c r="BH95" t="str">
        <f t="shared" si="13"/>
        <v/>
      </c>
      <c r="BK95">
        <v>91</v>
      </c>
      <c r="BL95" s="157" t="s">
        <v>2145</v>
      </c>
      <c r="BM95" s="159">
        <v>0.06</v>
      </c>
    </row>
    <row r="96" spans="2:65" ht="15">
      <c r="B96" s="2" t="str">
        <f>IF('Additional Cov.'!U6="Rotorwing","RW",IF('Additional Cov.'!U6="Multi","ME",IF(AND('Additional Cov.'!U6="Single",'Additional Cov.'!X5="Piston"),"SE","SE")))</f>
        <v>SE</v>
      </c>
      <c r="C96" s="2" t="str">
        <f>IF('Additional Cov.'!X5="Piston","_P",IF(AND(B96="RW",'Additional Cov.'!X5="Turbine"),"_T","TP"))</f>
        <v>TP</v>
      </c>
      <c r="D96" s="2" t="str">
        <f>IF(C96="SETP",C96,CONCATENATE(B96,C96))</f>
        <v>SETP</v>
      </c>
      <c r="E96" s="2" t="s">
        <v>2146</v>
      </c>
      <c r="F96" s="2" t="s">
        <v>2147</v>
      </c>
      <c r="G96" s="2" t="s">
        <v>2148</v>
      </c>
      <c r="H96" s="2" t="s">
        <v>2149</v>
      </c>
      <c r="I96" s="342" t="s">
        <v>2150</v>
      </c>
      <c r="J96" s="2"/>
      <c r="K96" s="2"/>
      <c r="L96" s="2"/>
      <c r="BC96">
        <v>92</v>
      </c>
      <c r="BD96" s="387" t="s">
        <v>2151</v>
      </c>
      <c r="BE96" t="s">
        <v>2152</v>
      </c>
      <c r="BF96" t="s">
        <v>2153</v>
      </c>
      <c r="BG96" t="str">
        <f t="shared" si="12"/>
        <v/>
      </c>
      <c r="BH96" t="str">
        <f t="shared" si="13"/>
        <v/>
      </c>
      <c r="BK96">
        <v>92</v>
      </c>
      <c r="BL96" s="157" t="s">
        <v>2154</v>
      </c>
      <c r="BM96" s="159">
        <v>0.1</v>
      </c>
    </row>
    <row r="97" spans="2:65" ht="15">
      <c r="B97" s="2"/>
      <c r="C97" s="2"/>
      <c r="D97" s="2"/>
      <c r="E97" s="2">
        <f ca="1">IFERROR(IF('Additional Cov.'!T9="","",IF('Additional Cov.'!T9=0,VLOOKUP('Additional Cov.'!T9,SE_p,2),VLOOKUP('Additional Cov.'!T9,INDIRECT(D96),2))),"")</f>
        <v>2.2189999999999998E-2</v>
      </c>
      <c r="F97" s="2">
        <f ca="1">IFERROR(1+(VLOOKUP(IF(Worksheet_Com!B93="RW",2,1),INDIRECT('Additional Cov.'!X4),3)),1)</f>
        <v>1.75</v>
      </c>
      <c r="G97" s="339">
        <f>1+Rating!F2</f>
        <v>1.07</v>
      </c>
      <c r="H97" s="2">
        <f ca="1">ROUND(PRODUCT('Additional Cov.'!T9,E97,F97,G97),0)</f>
        <v>10388</v>
      </c>
      <c r="I97" s="7" t="str">
        <f>IF('Additional Cov.'!A38="","",CEILING(PRODUCT('Additional Cov.'!U4,H97),10))</f>
        <v/>
      </c>
      <c r="J97" s="2"/>
      <c r="K97" s="2"/>
      <c r="L97" s="2"/>
      <c r="BC97">
        <v>93</v>
      </c>
      <c r="BD97" s="387" t="s">
        <v>2155</v>
      </c>
      <c r="BE97" t="s">
        <v>2156</v>
      </c>
      <c r="BF97" t="s">
        <v>2157</v>
      </c>
      <c r="BG97" t="str">
        <f t="shared" si="12"/>
        <v/>
      </c>
      <c r="BH97" t="str">
        <f t="shared" si="13"/>
        <v/>
      </c>
      <c r="BK97">
        <v>93</v>
      </c>
      <c r="BL97" s="157" t="s">
        <v>2158</v>
      </c>
      <c r="BM97" s="159">
        <v>0.11</v>
      </c>
    </row>
    <row r="98" spans="2:65">
      <c r="BC98">
        <v>94</v>
      </c>
      <c r="BD98" s="387" t="s">
        <v>2159</v>
      </c>
      <c r="BE98" t="s">
        <v>2051</v>
      </c>
      <c r="BF98" t="s">
        <v>1898</v>
      </c>
      <c r="BG98" t="str">
        <f t="shared" si="12"/>
        <v/>
      </c>
      <c r="BH98" t="str">
        <f t="shared" si="13"/>
        <v/>
      </c>
      <c r="BK98">
        <v>94</v>
      </c>
      <c r="BL98" s="157" t="s">
        <v>2160</v>
      </c>
      <c r="BM98" s="159">
        <v>0.05</v>
      </c>
    </row>
    <row r="99" spans="2:65">
      <c r="BC99">
        <v>95</v>
      </c>
      <c r="BD99" s="387" t="s">
        <v>2161</v>
      </c>
      <c r="BE99" t="s">
        <v>2162</v>
      </c>
      <c r="BF99" t="s">
        <v>2163</v>
      </c>
      <c r="BG99" t="str">
        <f t="shared" si="12"/>
        <v/>
      </c>
      <c r="BH99" t="str">
        <f t="shared" si="13"/>
        <v/>
      </c>
      <c r="BK99">
        <v>95</v>
      </c>
      <c r="BL99" s="157" t="s">
        <v>2164</v>
      </c>
      <c r="BM99" s="159">
        <v>0.05</v>
      </c>
    </row>
    <row r="100" spans="2:65">
      <c r="B100" t="str">
        <f>CONCATENATE("Any fixed wing land ",'Additional Cov.'!U6," engine aircraft bearing a Standard category Airworthiness Certificate having no more than ",'Additional Cov.'!X6," total seats and no more than ",'Additional Cov.'!V7," total horsepower.")</f>
        <v>Any fixed wing land Single engine aircraft bearing a Standard category Airworthiness Certificate having no more than 6 total seats and no more than 10000 total horsepower.</v>
      </c>
      <c r="BC100">
        <v>96</v>
      </c>
      <c r="BD100" s="387" t="s">
        <v>2165</v>
      </c>
      <c r="BE100" t="s">
        <v>2162</v>
      </c>
      <c r="BF100" t="s">
        <v>2163</v>
      </c>
      <c r="BG100" t="str">
        <f t="shared" si="12"/>
        <v/>
      </c>
      <c r="BH100" t="str">
        <f t="shared" si="13"/>
        <v/>
      </c>
      <c r="BK100">
        <v>96</v>
      </c>
      <c r="BL100" s="157" t="s">
        <v>2166</v>
      </c>
      <c r="BM100" s="159">
        <v>7.0000000000000007E-2</v>
      </c>
    </row>
    <row r="101" spans="2:65">
      <c r="B101" t="str">
        <f>CONCATENATE("Any fixed wing land ",'Additional Cov.'!X5," engine aircraft bearing a Standard category Airworthiness Certificate having no more than ",'Additional Cov.'!X6," total seats and having a certificated gross weight not in excess of 12,500 pounds.")</f>
        <v>Any fixed wing land Turbine engine aircraft bearing a Standard category Airworthiness Certificate having no more than 6 total seats and having a certificated gross weight not in excess of 12,500 pounds.</v>
      </c>
      <c r="BC101">
        <v>97</v>
      </c>
      <c r="BD101" s="387" t="s">
        <v>2167</v>
      </c>
      <c r="BE101" t="s">
        <v>2162</v>
      </c>
      <c r="BF101" t="s">
        <v>2163</v>
      </c>
      <c r="BG101" t="str">
        <f t="shared" si="12"/>
        <v/>
      </c>
      <c r="BH101" t="str">
        <f t="shared" si="13"/>
        <v/>
      </c>
      <c r="BK101">
        <v>97</v>
      </c>
      <c r="BL101" s="157" t="s">
        <v>2168</v>
      </c>
      <c r="BM101" s="159">
        <v>0.05</v>
      </c>
    </row>
    <row r="102" spans="2:65">
      <c r="B102" t="str">
        <f>CONCATENATE("Any single ",'Additional Cov.'!X5," engine rotorwing land aircraft bearing a Standard category Airworthiness Certificate having no more than ",'Additional Cov.'!X6," total seats and having a certificated gross weight not in excess of 12,500 pounds.")</f>
        <v>Any single Turbine engine rotorwing land aircraft bearing a Standard category Airworthiness Certificate having no more than 6 total seats and having a certificated gross weight not in excess of 12,500 pounds.</v>
      </c>
      <c r="BC102">
        <v>98</v>
      </c>
      <c r="BD102" s="387" t="s">
        <v>2169</v>
      </c>
      <c r="BE102" t="s">
        <v>2017</v>
      </c>
      <c r="BF102" t="s">
        <v>2017</v>
      </c>
      <c r="BG102" t="str">
        <f t="shared" si="12"/>
        <v/>
      </c>
      <c r="BH102" t="str">
        <f t="shared" si="13"/>
        <v/>
      </c>
      <c r="BK102">
        <v>98</v>
      </c>
      <c r="BL102" s="157" t="s">
        <v>2170</v>
      </c>
      <c r="BM102" s="159">
        <v>8.5000000000000006E-2</v>
      </c>
    </row>
    <row r="103" spans="2:65">
      <c r="B103" t="s">
        <v>2171</v>
      </c>
      <c r="BC103">
        <v>99</v>
      </c>
      <c r="BD103" s="387" t="s">
        <v>2172</v>
      </c>
      <c r="BE103" t="s">
        <v>2017</v>
      </c>
      <c r="BF103" t="s">
        <v>2017</v>
      </c>
      <c r="BG103" t="str">
        <f t="shared" si="12"/>
        <v/>
      </c>
      <c r="BH103" t="str">
        <f t="shared" si="13"/>
        <v/>
      </c>
      <c r="BK103">
        <v>99</v>
      </c>
      <c r="BL103" s="157" t="s">
        <v>2173</v>
      </c>
      <c r="BM103" s="159">
        <v>0.1</v>
      </c>
    </row>
    <row r="104" spans="2:65">
      <c r="BC104">
        <v>100</v>
      </c>
      <c r="BD104" s="387" t="s">
        <v>2174</v>
      </c>
      <c r="BE104" t="s">
        <v>2175</v>
      </c>
      <c r="BF104" t="s">
        <v>2176</v>
      </c>
      <c r="BG104" t="str">
        <f t="shared" si="12"/>
        <v/>
      </c>
      <c r="BH104" t="str">
        <f t="shared" si="13"/>
        <v/>
      </c>
      <c r="BK104">
        <v>100</v>
      </c>
      <c r="BL104" s="157" t="s">
        <v>2177</v>
      </c>
      <c r="BM104" s="159">
        <v>0.1</v>
      </c>
    </row>
    <row r="105" spans="2:65">
      <c r="BC105">
        <v>101</v>
      </c>
      <c r="BD105" s="387" t="s">
        <v>2178</v>
      </c>
      <c r="BE105" t="s">
        <v>2179</v>
      </c>
      <c r="BF105" t="s">
        <v>2180</v>
      </c>
      <c r="BG105" t="str">
        <f t="shared" si="12"/>
        <v/>
      </c>
      <c r="BH105" t="str">
        <f t="shared" si="13"/>
        <v/>
      </c>
      <c r="BK105">
        <v>101</v>
      </c>
      <c r="BL105" s="157" t="s">
        <v>2181</v>
      </c>
      <c r="BM105" s="159">
        <v>7.0000000000000007E-2</v>
      </c>
    </row>
    <row r="106" spans="2:65">
      <c r="BC106">
        <v>102</v>
      </c>
      <c r="BD106" s="387" t="s">
        <v>2182</v>
      </c>
      <c r="BE106" t="s">
        <v>2183</v>
      </c>
      <c r="BF106" t="s">
        <v>1976</v>
      </c>
      <c r="BG106" t="str">
        <f t="shared" si="12"/>
        <v/>
      </c>
      <c r="BH106" t="str">
        <f t="shared" si="13"/>
        <v/>
      </c>
      <c r="BK106">
        <v>102</v>
      </c>
      <c r="BL106" s="157" t="s">
        <v>2184</v>
      </c>
      <c r="BM106" s="159">
        <v>0.03</v>
      </c>
    </row>
    <row r="107" spans="2:65">
      <c r="BC107">
        <v>103</v>
      </c>
      <c r="BD107" s="387" t="s">
        <v>2185</v>
      </c>
      <c r="BE107" t="s">
        <v>2183</v>
      </c>
      <c r="BF107" t="s">
        <v>1976</v>
      </c>
      <c r="BG107" t="str">
        <f t="shared" si="12"/>
        <v/>
      </c>
      <c r="BH107" t="str">
        <f t="shared" si="13"/>
        <v/>
      </c>
      <c r="BK107">
        <v>103</v>
      </c>
      <c r="BL107" s="157" t="s">
        <v>2186</v>
      </c>
      <c r="BM107" s="159">
        <v>0.08</v>
      </c>
    </row>
    <row r="108" spans="2:65">
      <c r="BC108">
        <v>104</v>
      </c>
      <c r="BD108" s="387" t="s">
        <v>2187</v>
      </c>
      <c r="BE108" t="s">
        <v>2188</v>
      </c>
      <c r="BF108" t="s">
        <v>2188</v>
      </c>
      <c r="BG108" t="str">
        <f t="shared" si="12"/>
        <v/>
      </c>
      <c r="BH108" t="str">
        <f t="shared" si="13"/>
        <v/>
      </c>
      <c r="BK108">
        <v>104</v>
      </c>
      <c r="BL108" s="157" t="s">
        <v>2189</v>
      </c>
      <c r="BM108" s="159">
        <v>0.03</v>
      </c>
    </row>
    <row r="109" spans="2:65">
      <c r="BC109">
        <v>105</v>
      </c>
      <c r="BD109" s="387" t="s">
        <v>2190</v>
      </c>
      <c r="BE109" t="s">
        <v>2188</v>
      </c>
      <c r="BF109" t="s">
        <v>2188</v>
      </c>
      <c r="BG109" t="str">
        <f t="shared" si="12"/>
        <v/>
      </c>
      <c r="BH109" t="str">
        <f t="shared" si="13"/>
        <v/>
      </c>
      <c r="BK109">
        <v>105</v>
      </c>
      <c r="BL109" s="157" t="s">
        <v>2191</v>
      </c>
      <c r="BM109" s="159">
        <v>0.08</v>
      </c>
    </row>
    <row r="110" spans="2:65">
      <c r="BC110">
        <v>106</v>
      </c>
      <c r="BD110" s="387" t="s">
        <v>2192</v>
      </c>
      <c r="BE110" t="s">
        <v>2188</v>
      </c>
      <c r="BF110" t="s">
        <v>2188</v>
      </c>
      <c r="BG110" t="str">
        <f t="shared" si="12"/>
        <v/>
      </c>
      <c r="BH110" t="str">
        <f t="shared" si="13"/>
        <v/>
      </c>
      <c r="BK110">
        <v>106</v>
      </c>
      <c r="BL110" s="157" t="s">
        <v>2193</v>
      </c>
      <c r="BM110" s="159">
        <v>0.06</v>
      </c>
    </row>
    <row r="111" spans="2:65">
      <c r="BC111">
        <v>107</v>
      </c>
      <c r="BD111" s="387" t="s">
        <v>2194</v>
      </c>
      <c r="BE111" t="s">
        <v>1987</v>
      </c>
      <c r="BF111" t="s">
        <v>2123</v>
      </c>
      <c r="BG111" t="str">
        <f t="shared" si="12"/>
        <v/>
      </c>
      <c r="BH111" t="str">
        <f t="shared" si="13"/>
        <v/>
      </c>
      <c r="BK111">
        <v>107</v>
      </c>
      <c r="BL111" s="157" t="s">
        <v>2195</v>
      </c>
      <c r="BM111" s="159">
        <v>0.1</v>
      </c>
    </row>
    <row r="112" spans="2:65">
      <c r="BC112">
        <v>108</v>
      </c>
      <c r="BD112" s="387" t="s">
        <v>2196</v>
      </c>
      <c r="BE112" t="s">
        <v>2197</v>
      </c>
      <c r="BF112" t="s">
        <v>2094</v>
      </c>
      <c r="BG112" t="str">
        <f t="shared" si="12"/>
        <v/>
      </c>
      <c r="BH112" t="str">
        <f t="shared" si="13"/>
        <v/>
      </c>
      <c r="BK112">
        <v>108</v>
      </c>
      <c r="BL112" s="157" t="s">
        <v>2198</v>
      </c>
      <c r="BM112" s="159">
        <v>0.1</v>
      </c>
    </row>
    <row r="113" spans="55:65">
      <c r="BC113">
        <v>109</v>
      </c>
      <c r="BD113" s="387" t="s">
        <v>2199</v>
      </c>
      <c r="BE113" t="s">
        <v>2200</v>
      </c>
      <c r="BF113" t="s">
        <v>2098</v>
      </c>
      <c r="BG113" t="str">
        <f t="shared" si="12"/>
        <v/>
      </c>
      <c r="BH113" t="str">
        <f t="shared" si="13"/>
        <v/>
      </c>
      <c r="BK113">
        <v>109</v>
      </c>
      <c r="BL113" s="157" t="s">
        <v>2201</v>
      </c>
      <c r="BM113" s="159">
        <v>0.1</v>
      </c>
    </row>
    <row r="114" spans="55:65">
      <c r="BC114">
        <v>110</v>
      </c>
      <c r="BD114" s="387" t="s">
        <v>2202</v>
      </c>
      <c r="BE114" t="s">
        <v>2203</v>
      </c>
      <c r="BF114" t="s">
        <v>2204</v>
      </c>
      <c r="BG114" t="str">
        <f t="shared" si="12"/>
        <v/>
      </c>
      <c r="BH114" t="str">
        <f t="shared" si="13"/>
        <v/>
      </c>
      <c r="BK114">
        <v>110</v>
      </c>
      <c r="BL114" s="157" t="s">
        <v>2205</v>
      </c>
      <c r="BM114" s="159">
        <v>0.1</v>
      </c>
    </row>
    <row r="115" spans="55:65">
      <c r="BC115">
        <v>111</v>
      </c>
      <c r="BD115" s="387" t="s">
        <v>2206</v>
      </c>
      <c r="BE115" t="s">
        <v>2203</v>
      </c>
      <c r="BF115" t="s">
        <v>2204</v>
      </c>
      <c r="BG115" t="str">
        <f t="shared" si="12"/>
        <v/>
      </c>
      <c r="BH115" t="str">
        <f t="shared" si="13"/>
        <v/>
      </c>
      <c r="BK115">
        <v>111</v>
      </c>
      <c r="BL115" s="157" t="s">
        <v>2207</v>
      </c>
      <c r="BM115" s="159">
        <v>0.06</v>
      </c>
    </row>
    <row r="116" spans="55:65">
      <c r="BC116">
        <v>112</v>
      </c>
      <c r="BD116" s="387" t="s">
        <v>2208</v>
      </c>
      <c r="BE116" t="s">
        <v>2209</v>
      </c>
      <c r="BF116" t="s">
        <v>2087</v>
      </c>
      <c r="BG116" t="str">
        <f t="shared" si="12"/>
        <v/>
      </c>
      <c r="BH116" t="str">
        <f t="shared" si="13"/>
        <v/>
      </c>
      <c r="BK116">
        <v>112</v>
      </c>
      <c r="BL116" s="157" t="s">
        <v>2210</v>
      </c>
      <c r="BM116" s="159">
        <v>0.1</v>
      </c>
    </row>
    <row r="117" spans="55:65">
      <c r="BC117">
        <v>113</v>
      </c>
      <c r="BD117" s="387" t="s">
        <v>2211</v>
      </c>
      <c r="BE117" t="s">
        <v>2209</v>
      </c>
      <c r="BF117" t="s">
        <v>2087</v>
      </c>
      <c r="BG117" t="str">
        <f t="shared" si="12"/>
        <v/>
      </c>
      <c r="BH117" t="str">
        <f t="shared" si="13"/>
        <v/>
      </c>
      <c r="BK117">
        <v>113</v>
      </c>
      <c r="BL117" s="157" t="s">
        <v>2212</v>
      </c>
      <c r="BM117" s="159">
        <v>6.3200000000000006E-2</v>
      </c>
    </row>
    <row r="118" spans="55:65">
      <c r="BC118">
        <v>114</v>
      </c>
      <c r="BD118" s="387" t="s">
        <v>2213</v>
      </c>
      <c r="BE118" t="s">
        <v>2214</v>
      </c>
      <c r="BF118" t="s">
        <v>2215</v>
      </c>
      <c r="BG118" t="str">
        <f t="shared" si="12"/>
        <v/>
      </c>
      <c r="BH118" t="str">
        <f t="shared" si="13"/>
        <v/>
      </c>
      <c r="BK118">
        <v>114</v>
      </c>
      <c r="BL118" s="157" t="s">
        <v>2216</v>
      </c>
      <c r="BM118" s="159">
        <v>0.05</v>
      </c>
    </row>
    <row r="119" spans="55:65">
      <c r="BC119">
        <v>115</v>
      </c>
      <c r="BD119" s="387" t="s">
        <v>2217</v>
      </c>
      <c r="BE119" t="s">
        <v>2218</v>
      </c>
      <c r="BF119" t="s">
        <v>2219</v>
      </c>
      <c r="BG119" t="str">
        <f t="shared" si="12"/>
        <v/>
      </c>
      <c r="BH119" t="str">
        <f t="shared" si="13"/>
        <v/>
      </c>
      <c r="BK119">
        <v>115</v>
      </c>
      <c r="BL119" s="157" t="s">
        <v>2220</v>
      </c>
      <c r="BM119" s="159">
        <v>0.08</v>
      </c>
    </row>
    <row r="120" spans="55:65">
      <c r="BC120">
        <v>116</v>
      </c>
      <c r="BD120" s="387" t="s">
        <v>2221</v>
      </c>
      <c r="BE120" t="s">
        <v>2222</v>
      </c>
      <c r="BF120" t="s">
        <v>2004</v>
      </c>
      <c r="BG120" t="str">
        <f t="shared" si="12"/>
        <v/>
      </c>
      <c r="BH120" t="str">
        <f t="shared" si="13"/>
        <v/>
      </c>
      <c r="BK120">
        <v>116</v>
      </c>
      <c r="BL120" s="157" t="s">
        <v>2223</v>
      </c>
      <c r="BM120" s="159">
        <v>0.06</v>
      </c>
    </row>
    <row r="121" spans="55:65">
      <c r="BC121">
        <v>117</v>
      </c>
      <c r="BD121" s="387" t="s">
        <v>2224</v>
      </c>
      <c r="BE121" t="s">
        <v>2225</v>
      </c>
      <c r="BF121" t="s">
        <v>2226</v>
      </c>
      <c r="BG121" t="str">
        <f t="shared" si="12"/>
        <v/>
      </c>
      <c r="BH121" t="str">
        <f t="shared" si="13"/>
        <v/>
      </c>
      <c r="BK121">
        <v>117</v>
      </c>
      <c r="BL121" s="157" t="s">
        <v>2227</v>
      </c>
      <c r="BM121" s="159">
        <v>0.05</v>
      </c>
    </row>
    <row r="122" spans="55:65">
      <c r="BC122">
        <v>118</v>
      </c>
      <c r="BD122" s="387" t="s">
        <v>2228</v>
      </c>
      <c r="BE122" t="s">
        <v>1856</v>
      </c>
      <c r="BF122" t="s">
        <v>2229</v>
      </c>
      <c r="BG122" t="str">
        <f t="shared" si="12"/>
        <v/>
      </c>
      <c r="BH122" t="str">
        <f t="shared" si="13"/>
        <v/>
      </c>
      <c r="BK122">
        <v>118</v>
      </c>
      <c r="BL122" s="157" t="s">
        <v>2230</v>
      </c>
      <c r="BM122" s="159">
        <v>0.06</v>
      </c>
    </row>
    <row r="123" spans="55:65">
      <c r="BC123">
        <v>119</v>
      </c>
      <c r="BD123" s="387" t="s">
        <v>2231</v>
      </c>
      <c r="BE123" t="s">
        <v>1856</v>
      </c>
      <c r="BF123" t="s">
        <v>2229</v>
      </c>
      <c r="BG123" t="str">
        <f t="shared" si="12"/>
        <v/>
      </c>
      <c r="BH123" t="str">
        <f t="shared" si="13"/>
        <v/>
      </c>
      <c r="BK123">
        <v>119</v>
      </c>
      <c r="BL123" s="157" t="s">
        <v>2232</v>
      </c>
      <c r="BM123" s="159">
        <v>0.05</v>
      </c>
    </row>
    <row r="124" spans="55:65">
      <c r="BC124">
        <v>120</v>
      </c>
      <c r="BD124" s="387" t="s">
        <v>2233</v>
      </c>
      <c r="BE124" t="s">
        <v>2234</v>
      </c>
      <c r="BF124" t="s">
        <v>1838</v>
      </c>
      <c r="BG124" t="str">
        <f t="shared" si="12"/>
        <v/>
      </c>
      <c r="BH124" t="str">
        <f t="shared" si="13"/>
        <v/>
      </c>
      <c r="BK124">
        <v>120</v>
      </c>
      <c r="BL124" s="158" t="s">
        <v>2235</v>
      </c>
      <c r="BM124" s="159">
        <v>0.04</v>
      </c>
    </row>
    <row r="125" spans="55:65">
      <c r="BC125">
        <v>121</v>
      </c>
      <c r="BD125" s="387" t="s">
        <v>2236</v>
      </c>
      <c r="BE125" t="s">
        <v>2234</v>
      </c>
      <c r="BF125" t="s">
        <v>1838</v>
      </c>
      <c r="BG125" t="str">
        <f t="shared" si="12"/>
        <v/>
      </c>
      <c r="BH125" t="str">
        <f t="shared" si="13"/>
        <v/>
      </c>
      <c r="BK125">
        <v>121</v>
      </c>
      <c r="BL125" s="157" t="s">
        <v>2237</v>
      </c>
      <c r="BM125" s="159">
        <v>0.08</v>
      </c>
    </row>
    <row r="126" spans="55:65">
      <c r="BC126">
        <v>122</v>
      </c>
      <c r="BD126" s="387" t="s">
        <v>2238</v>
      </c>
      <c r="BE126" t="s">
        <v>2239</v>
      </c>
      <c r="BF126" t="s">
        <v>2240</v>
      </c>
      <c r="BG126" t="str">
        <f t="shared" si="12"/>
        <v/>
      </c>
      <c r="BH126" t="str">
        <f t="shared" si="13"/>
        <v/>
      </c>
      <c r="BK126">
        <v>122</v>
      </c>
      <c r="BL126" s="157" t="s">
        <v>2241</v>
      </c>
      <c r="BM126" s="159">
        <v>0.05</v>
      </c>
    </row>
    <row r="127" spans="55:65">
      <c r="BC127">
        <v>123</v>
      </c>
      <c r="BD127" s="387" t="s">
        <v>2242</v>
      </c>
      <c r="BE127" t="s">
        <v>2243</v>
      </c>
      <c r="BF127" t="s">
        <v>2244</v>
      </c>
      <c r="BG127" t="str">
        <f t="shared" si="12"/>
        <v/>
      </c>
      <c r="BH127" t="str">
        <f t="shared" si="13"/>
        <v/>
      </c>
      <c r="BK127">
        <v>123</v>
      </c>
      <c r="BL127" s="157" t="s">
        <v>2245</v>
      </c>
      <c r="BM127" s="159">
        <v>7.0000000000000007E-2</v>
      </c>
    </row>
    <row r="128" spans="55:65">
      <c r="BC128">
        <v>124</v>
      </c>
      <c r="BD128" s="387" t="s">
        <v>2246</v>
      </c>
      <c r="BE128" t="s">
        <v>2247</v>
      </c>
      <c r="BF128" t="s">
        <v>1904</v>
      </c>
      <c r="BG128" t="str">
        <f t="shared" si="12"/>
        <v/>
      </c>
      <c r="BH128" t="str">
        <f t="shared" si="13"/>
        <v/>
      </c>
      <c r="BK128">
        <v>124</v>
      </c>
      <c r="BL128" s="157" t="s">
        <v>2248</v>
      </c>
      <c r="BM128" s="159">
        <v>0.1</v>
      </c>
    </row>
    <row r="129" spans="55:65">
      <c r="BC129">
        <v>125</v>
      </c>
      <c r="BD129" s="387" t="s">
        <v>2249</v>
      </c>
      <c r="BE129" t="s">
        <v>2250</v>
      </c>
      <c r="BF129" t="s">
        <v>2251</v>
      </c>
      <c r="BG129" t="str">
        <f t="shared" si="12"/>
        <v/>
      </c>
      <c r="BH129" t="str">
        <f t="shared" si="13"/>
        <v/>
      </c>
      <c r="BK129">
        <v>125</v>
      </c>
      <c r="BL129" s="157" t="s">
        <v>2252</v>
      </c>
      <c r="BM129" s="159">
        <v>0.08</v>
      </c>
    </row>
    <row r="130" spans="55:65">
      <c r="BC130">
        <v>126</v>
      </c>
      <c r="BD130" s="387" t="s">
        <v>2253</v>
      </c>
      <c r="BE130" t="s">
        <v>2254</v>
      </c>
      <c r="BF130" t="s">
        <v>2255</v>
      </c>
      <c r="BG130" t="str">
        <f t="shared" si="12"/>
        <v/>
      </c>
      <c r="BH130" t="str">
        <f t="shared" si="13"/>
        <v/>
      </c>
      <c r="BK130">
        <v>126</v>
      </c>
      <c r="BL130" s="157" t="s">
        <v>2256</v>
      </c>
      <c r="BM130" s="159">
        <v>0.05</v>
      </c>
    </row>
    <row r="131" spans="55:65">
      <c r="BC131">
        <v>127</v>
      </c>
      <c r="BD131" s="387" t="s">
        <v>2257</v>
      </c>
      <c r="BE131" t="s">
        <v>2258</v>
      </c>
      <c r="BF131" t="s">
        <v>1980</v>
      </c>
      <c r="BG131" t="str">
        <f t="shared" si="12"/>
        <v/>
      </c>
      <c r="BH131" t="str">
        <f t="shared" si="13"/>
        <v/>
      </c>
      <c r="BK131">
        <v>127</v>
      </c>
      <c r="BL131" s="157" t="s">
        <v>2259</v>
      </c>
      <c r="BM131" s="159">
        <v>0.05</v>
      </c>
    </row>
    <row r="132" spans="55:65">
      <c r="BC132">
        <v>128</v>
      </c>
      <c r="BD132" s="387" t="s">
        <v>2260</v>
      </c>
      <c r="BE132" t="s">
        <v>2258</v>
      </c>
      <c r="BF132" t="s">
        <v>1980</v>
      </c>
      <c r="BG132" t="str">
        <f t="shared" si="12"/>
        <v/>
      </c>
      <c r="BH132" t="str">
        <f t="shared" si="13"/>
        <v/>
      </c>
      <c r="BK132">
        <v>128</v>
      </c>
      <c r="BL132" s="157" t="s">
        <v>2261</v>
      </c>
      <c r="BM132" s="159">
        <v>0.09</v>
      </c>
    </row>
    <row r="133" spans="55:65">
      <c r="BC133">
        <v>129</v>
      </c>
      <c r="BD133" s="387" t="s">
        <v>2262</v>
      </c>
      <c r="BE133" t="s">
        <v>2263</v>
      </c>
      <c r="BF133" t="s">
        <v>2264</v>
      </c>
      <c r="BG133" t="str">
        <f t="shared" si="12"/>
        <v/>
      </c>
      <c r="BH133" t="str">
        <f t="shared" si="13"/>
        <v/>
      </c>
      <c r="BK133">
        <v>129</v>
      </c>
      <c r="BL133" s="157" t="s">
        <v>2265</v>
      </c>
      <c r="BM133" s="159">
        <v>0.09</v>
      </c>
    </row>
    <row r="134" spans="55:65">
      <c r="BC134">
        <v>130</v>
      </c>
      <c r="BD134" s="387" t="s">
        <v>2266</v>
      </c>
      <c r="BE134" t="s">
        <v>2267</v>
      </c>
      <c r="BF134" t="s">
        <v>2268</v>
      </c>
      <c r="BG134" t="str">
        <f t="shared" ref="BG134:BG197" si="14">IFERROR(IF(AU135=FALSE,"",VLOOKUP(MATCH(AU135,KYTAXLOC,0),KYMUNITAXTABLE,3)),"No Tax")</f>
        <v/>
      </c>
      <c r="BH134" t="str">
        <f t="shared" ref="BH134:BH197" si="15">IFERROR(IF(AW135=FALSE,"",VLOOKUP(MATCH(AW135,KYTAXLOC,0),KYMUNITAXTABLE,3)),"No Tax")</f>
        <v/>
      </c>
      <c r="BK134">
        <v>130</v>
      </c>
      <c r="BL134" s="157" t="s">
        <v>2269</v>
      </c>
      <c r="BM134" s="159">
        <v>0.06</v>
      </c>
    </row>
    <row r="135" spans="55:65">
      <c r="BC135">
        <v>131</v>
      </c>
      <c r="BD135" s="387" t="s">
        <v>2270</v>
      </c>
      <c r="BE135" t="s">
        <v>2267</v>
      </c>
      <c r="BF135" t="s">
        <v>2268</v>
      </c>
      <c r="BG135" t="str">
        <f t="shared" si="14"/>
        <v/>
      </c>
      <c r="BH135" t="str">
        <f t="shared" si="15"/>
        <v/>
      </c>
      <c r="BK135">
        <v>131</v>
      </c>
      <c r="BL135" s="157" t="s">
        <v>2271</v>
      </c>
      <c r="BM135" s="159">
        <v>0.06</v>
      </c>
    </row>
    <row r="136" spans="55:65">
      <c r="BC136">
        <v>132</v>
      </c>
      <c r="BD136" s="387" t="s">
        <v>2272</v>
      </c>
      <c r="BE136" t="s">
        <v>2267</v>
      </c>
      <c r="BF136" t="s">
        <v>2268</v>
      </c>
      <c r="BG136" t="str">
        <f t="shared" si="14"/>
        <v/>
      </c>
      <c r="BH136" t="str">
        <f t="shared" si="15"/>
        <v/>
      </c>
      <c r="BK136">
        <v>132</v>
      </c>
      <c r="BL136" s="157" t="s">
        <v>2273</v>
      </c>
      <c r="BM136" s="159">
        <v>0.05</v>
      </c>
    </row>
    <row r="137" spans="55:65">
      <c r="BC137">
        <v>133</v>
      </c>
      <c r="BD137" s="387" t="s">
        <v>2274</v>
      </c>
      <c r="BE137" t="s">
        <v>2267</v>
      </c>
      <c r="BF137" t="s">
        <v>2268</v>
      </c>
      <c r="BG137" t="str">
        <f t="shared" si="14"/>
        <v/>
      </c>
      <c r="BH137" t="str">
        <f t="shared" si="15"/>
        <v/>
      </c>
      <c r="BK137">
        <v>133</v>
      </c>
      <c r="BL137" s="158" t="s">
        <v>2275</v>
      </c>
      <c r="BM137" s="159">
        <v>0.03</v>
      </c>
    </row>
    <row r="138" spans="55:65">
      <c r="BC138">
        <v>134</v>
      </c>
      <c r="BD138" s="387" t="s">
        <v>2276</v>
      </c>
      <c r="BE138" t="s">
        <v>2267</v>
      </c>
      <c r="BF138" t="s">
        <v>2268</v>
      </c>
      <c r="BG138" t="str">
        <f t="shared" si="14"/>
        <v/>
      </c>
      <c r="BH138" t="str">
        <f t="shared" si="15"/>
        <v/>
      </c>
      <c r="BK138">
        <v>134</v>
      </c>
      <c r="BL138" s="157" t="s">
        <v>2277</v>
      </c>
      <c r="BM138" s="159">
        <v>0.03</v>
      </c>
    </row>
    <row r="139" spans="55:65">
      <c r="BC139">
        <v>135</v>
      </c>
      <c r="BD139" s="387" t="s">
        <v>2278</v>
      </c>
      <c r="BE139" t="s">
        <v>2267</v>
      </c>
      <c r="BF139" t="s">
        <v>2268</v>
      </c>
      <c r="BG139" t="str">
        <f t="shared" si="14"/>
        <v/>
      </c>
      <c r="BH139" t="str">
        <f t="shared" si="15"/>
        <v/>
      </c>
      <c r="BK139">
        <v>135</v>
      </c>
      <c r="BL139" s="157" t="s">
        <v>2279</v>
      </c>
      <c r="BM139" s="159">
        <v>7.0000000000000007E-2</v>
      </c>
    </row>
    <row r="140" spans="55:65">
      <c r="BC140">
        <v>136</v>
      </c>
      <c r="BD140" s="387" t="s">
        <v>2280</v>
      </c>
      <c r="BE140" t="s">
        <v>2267</v>
      </c>
      <c r="BF140" t="s">
        <v>2268</v>
      </c>
      <c r="BG140" t="str">
        <f t="shared" si="14"/>
        <v/>
      </c>
      <c r="BH140" t="str">
        <f t="shared" si="15"/>
        <v/>
      </c>
      <c r="BK140">
        <v>136</v>
      </c>
      <c r="BL140" s="157" t="s">
        <v>2281</v>
      </c>
      <c r="BM140" s="159">
        <v>0.05</v>
      </c>
    </row>
    <row r="141" spans="55:65">
      <c r="BC141">
        <v>137</v>
      </c>
      <c r="BD141" s="387" t="s">
        <v>2282</v>
      </c>
      <c r="BE141" t="s">
        <v>2267</v>
      </c>
      <c r="BF141" t="s">
        <v>2268</v>
      </c>
      <c r="BG141" t="str">
        <f t="shared" si="14"/>
        <v/>
      </c>
      <c r="BH141" t="str">
        <f t="shared" si="15"/>
        <v/>
      </c>
      <c r="BK141">
        <v>137</v>
      </c>
      <c r="BL141" s="157" t="s">
        <v>2283</v>
      </c>
      <c r="BM141" s="159">
        <v>0.05</v>
      </c>
    </row>
    <row r="142" spans="55:65">
      <c r="BC142">
        <v>138</v>
      </c>
      <c r="BD142" s="387" t="s">
        <v>2284</v>
      </c>
      <c r="BE142" t="s">
        <v>2267</v>
      </c>
      <c r="BF142" t="s">
        <v>2268</v>
      </c>
      <c r="BG142" t="str">
        <f t="shared" si="14"/>
        <v/>
      </c>
      <c r="BH142" t="str">
        <f t="shared" si="15"/>
        <v/>
      </c>
      <c r="BK142">
        <v>138</v>
      </c>
      <c r="BL142" s="157" t="s">
        <v>2285</v>
      </c>
      <c r="BM142" s="159">
        <v>0.05</v>
      </c>
    </row>
    <row r="143" spans="55:65">
      <c r="BC143">
        <v>139</v>
      </c>
      <c r="BD143" s="387" t="s">
        <v>2286</v>
      </c>
      <c r="BE143" t="s">
        <v>2267</v>
      </c>
      <c r="BF143" t="s">
        <v>2268</v>
      </c>
      <c r="BG143" t="str">
        <f t="shared" si="14"/>
        <v/>
      </c>
      <c r="BH143" t="str">
        <f t="shared" si="15"/>
        <v/>
      </c>
      <c r="BK143">
        <v>139</v>
      </c>
      <c r="BL143" s="157" t="s">
        <v>2287</v>
      </c>
      <c r="BM143" s="159">
        <v>0.06</v>
      </c>
    </row>
    <row r="144" spans="55:65">
      <c r="BC144">
        <v>140</v>
      </c>
      <c r="BD144" s="387" t="s">
        <v>2288</v>
      </c>
      <c r="BE144" t="s">
        <v>2289</v>
      </c>
      <c r="BF144" t="s">
        <v>2290</v>
      </c>
      <c r="BG144" t="str">
        <f t="shared" si="14"/>
        <v/>
      </c>
      <c r="BH144" t="str">
        <f t="shared" si="15"/>
        <v/>
      </c>
      <c r="BK144">
        <v>140</v>
      </c>
      <c r="BL144" s="157" t="s">
        <v>2291</v>
      </c>
      <c r="BM144" s="159">
        <v>0.05</v>
      </c>
    </row>
    <row r="145" spans="55:65">
      <c r="BC145">
        <v>141</v>
      </c>
      <c r="BD145" s="387" t="s">
        <v>2292</v>
      </c>
      <c r="BE145" t="s">
        <v>2289</v>
      </c>
      <c r="BF145" t="s">
        <v>2290</v>
      </c>
      <c r="BG145" t="str">
        <f t="shared" si="14"/>
        <v/>
      </c>
      <c r="BH145" t="str">
        <f t="shared" si="15"/>
        <v/>
      </c>
      <c r="BK145">
        <v>141</v>
      </c>
      <c r="BL145" s="157" t="s">
        <v>2293</v>
      </c>
      <c r="BM145" s="159">
        <v>0.05</v>
      </c>
    </row>
    <row r="146" spans="55:65">
      <c r="BC146">
        <v>142</v>
      </c>
      <c r="BD146" s="387" t="s">
        <v>2294</v>
      </c>
      <c r="BE146" t="s">
        <v>2295</v>
      </c>
      <c r="BF146" t="s">
        <v>2296</v>
      </c>
      <c r="BG146" t="str">
        <f t="shared" si="14"/>
        <v/>
      </c>
      <c r="BH146" t="str">
        <f t="shared" si="15"/>
        <v/>
      </c>
      <c r="BK146">
        <v>142</v>
      </c>
      <c r="BL146" s="157" t="s">
        <v>2297</v>
      </c>
      <c r="BM146" s="159">
        <v>0.05</v>
      </c>
    </row>
    <row r="147" spans="55:65">
      <c r="BC147">
        <v>143</v>
      </c>
      <c r="BD147" s="387" t="s">
        <v>2298</v>
      </c>
      <c r="BE147" t="s">
        <v>2295</v>
      </c>
      <c r="BF147" t="s">
        <v>2296</v>
      </c>
      <c r="BG147" t="str">
        <f t="shared" si="14"/>
        <v/>
      </c>
      <c r="BH147" t="str">
        <f t="shared" si="15"/>
        <v/>
      </c>
      <c r="BK147">
        <v>143</v>
      </c>
      <c r="BL147" s="157" t="s">
        <v>2299</v>
      </c>
      <c r="BM147" s="159">
        <v>0.1</v>
      </c>
    </row>
    <row r="148" spans="55:65">
      <c r="BC148">
        <v>144</v>
      </c>
      <c r="BD148" s="387" t="s">
        <v>2300</v>
      </c>
      <c r="BE148" t="s">
        <v>2295</v>
      </c>
      <c r="BF148" t="s">
        <v>2296</v>
      </c>
      <c r="BG148" t="str">
        <f t="shared" si="14"/>
        <v/>
      </c>
      <c r="BH148" t="str">
        <f t="shared" si="15"/>
        <v/>
      </c>
      <c r="BK148">
        <v>144</v>
      </c>
      <c r="BL148" s="157" t="s">
        <v>2301</v>
      </c>
      <c r="BM148" s="159">
        <v>0.1</v>
      </c>
    </row>
    <row r="149" spans="55:65">
      <c r="BC149">
        <v>145</v>
      </c>
      <c r="BD149" s="387" t="s">
        <v>2302</v>
      </c>
      <c r="BE149" t="s">
        <v>2295</v>
      </c>
      <c r="BF149" t="s">
        <v>2296</v>
      </c>
      <c r="BG149" t="str">
        <f t="shared" si="14"/>
        <v/>
      </c>
      <c r="BH149" t="str">
        <f t="shared" si="15"/>
        <v/>
      </c>
      <c r="BK149">
        <v>145</v>
      </c>
      <c r="BL149" s="157" t="s">
        <v>2303</v>
      </c>
      <c r="BM149" s="159">
        <v>0.05</v>
      </c>
    </row>
    <row r="150" spans="55:65">
      <c r="BC150">
        <v>146</v>
      </c>
      <c r="BD150" s="387" t="s">
        <v>2304</v>
      </c>
      <c r="BE150" t="s">
        <v>2305</v>
      </c>
      <c r="BF150" t="s">
        <v>2009</v>
      </c>
      <c r="BG150" t="str">
        <f t="shared" si="14"/>
        <v/>
      </c>
      <c r="BH150" t="str">
        <f t="shared" si="15"/>
        <v/>
      </c>
      <c r="BK150">
        <v>146</v>
      </c>
      <c r="BL150" s="157" t="s">
        <v>2306</v>
      </c>
      <c r="BM150" s="159">
        <v>0.105</v>
      </c>
    </row>
    <row r="151" spans="55:65">
      <c r="BC151">
        <v>147</v>
      </c>
      <c r="BD151" s="387" t="s">
        <v>2307</v>
      </c>
      <c r="BE151" t="s">
        <v>2305</v>
      </c>
      <c r="BF151" t="s">
        <v>1931</v>
      </c>
      <c r="BG151" t="str">
        <f t="shared" si="14"/>
        <v/>
      </c>
      <c r="BH151" t="str">
        <f t="shared" si="15"/>
        <v/>
      </c>
      <c r="BK151">
        <v>147</v>
      </c>
      <c r="BL151" s="157" t="s">
        <v>2308</v>
      </c>
      <c r="BM151" s="159">
        <v>0.03</v>
      </c>
    </row>
    <row r="152" spans="55:65">
      <c r="BC152">
        <v>148</v>
      </c>
      <c r="BD152" s="387" t="s">
        <v>2309</v>
      </c>
      <c r="BE152" t="s">
        <v>2305</v>
      </c>
      <c r="BF152" t="s">
        <v>2009</v>
      </c>
      <c r="BG152" t="str">
        <f t="shared" si="14"/>
        <v/>
      </c>
      <c r="BH152" t="str">
        <f t="shared" si="15"/>
        <v/>
      </c>
      <c r="BK152">
        <v>148</v>
      </c>
      <c r="BL152" s="157" t="s">
        <v>2310</v>
      </c>
      <c r="BM152" s="159">
        <v>5.7500000000000002E-2</v>
      </c>
    </row>
    <row r="153" spans="55:65">
      <c r="BC153">
        <v>149</v>
      </c>
      <c r="BD153" s="387" t="s">
        <v>2311</v>
      </c>
      <c r="BE153" t="s">
        <v>2305</v>
      </c>
      <c r="BF153" t="s">
        <v>2009</v>
      </c>
      <c r="BG153" t="str">
        <f t="shared" si="14"/>
        <v/>
      </c>
      <c r="BH153" t="str">
        <f t="shared" si="15"/>
        <v/>
      </c>
      <c r="BK153">
        <v>149</v>
      </c>
      <c r="BL153" s="157" t="s">
        <v>2312</v>
      </c>
      <c r="BM153" s="159">
        <v>0.1</v>
      </c>
    </row>
    <row r="154" spans="55:65">
      <c r="BC154">
        <v>150</v>
      </c>
      <c r="BD154" s="387" t="s">
        <v>2313</v>
      </c>
      <c r="BE154" t="s">
        <v>2305</v>
      </c>
      <c r="BF154" t="s">
        <v>2009</v>
      </c>
      <c r="BG154" t="str">
        <f t="shared" si="14"/>
        <v/>
      </c>
      <c r="BH154" t="str">
        <f t="shared" si="15"/>
        <v/>
      </c>
      <c r="BK154">
        <v>150</v>
      </c>
      <c r="BL154" s="157" t="s">
        <v>2314</v>
      </c>
      <c r="BM154" s="159">
        <v>0.08</v>
      </c>
    </row>
    <row r="155" spans="55:65">
      <c r="BC155">
        <v>151</v>
      </c>
      <c r="BD155" s="387" t="s">
        <v>2315</v>
      </c>
      <c r="BE155" t="s">
        <v>2305</v>
      </c>
      <c r="BF155" t="s">
        <v>2009</v>
      </c>
      <c r="BG155" t="str">
        <f t="shared" si="14"/>
        <v/>
      </c>
      <c r="BH155" t="str">
        <f t="shared" si="15"/>
        <v/>
      </c>
      <c r="BK155">
        <v>151</v>
      </c>
      <c r="BL155" s="157" t="s">
        <v>2316</v>
      </c>
      <c r="BM155" s="159">
        <v>0.11</v>
      </c>
    </row>
    <row r="156" spans="55:65">
      <c r="BC156">
        <v>152</v>
      </c>
      <c r="BD156" s="387" t="s">
        <v>2317</v>
      </c>
      <c r="BE156" t="s">
        <v>2305</v>
      </c>
      <c r="BF156" t="s">
        <v>2244</v>
      </c>
      <c r="BG156" t="str">
        <f t="shared" si="14"/>
        <v/>
      </c>
      <c r="BH156" t="str">
        <f t="shared" si="15"/>
        <v/>
      </c>
      <c r="BK156">
        <v>152</v>
      </c>
      <c r="BL156" s="157" t="s">
        <v>2318</v>
      </c>
      <c r="BM156" s="159">
        <v>0.08</v>
      </c>
    </row>
    <row r="157" spans="55:65">
      <c r="BC157">
        <v>153</v>
      </c>
      <c r="BD157" s="387" t="s">
        <v>2319</v>
      </c>
      <c r="BE157" t="s">
        <v>2305</v>
      </c>
      <c r="BF157" t="s">
        <v>2009</v>
      </c>
      <c r="BG157" t="str">
        <f t="shared" si="14"/>
        <v/>
      </c>
      <c r="BH157" t="str">
        <f t="shared" si="15"/>
        <v/>
      </c>
      <c r="BK157">
        <v>153</v>
      </c>
      <c r="BL157" s="157" t="s">
        <v>2320</v>
      </c>
      <c r="BM157" s="159">
        <v>0.1</v>
      </c>
    </row>
    <row r="158" spans="55:65">
      <c r="BC158">
        <v>154</v>
      </c>
      <c r="BD158" s="387" t="s">
        <v>2321</v>
      </c>
      <c r="BE158" t="s">
        <v>2305</v>
      </c>
      <c r="BF158" t="s">
        <v>2009</v>
      </c>
      <c r="BG158" t="str">
        <f t="shared" si="14"/>
        <v/>
      </c>
      <c r="BH158" t="str">
        <f t="shared" si="15"/>
        <v/>
      </c>
      <c r="BK158">
        <v>154</v>
      </c>
      <c r="BL158" s="157" t="s">
        <v>2322</v>
      </c>
      <c r="BM158" s="159">
        <v>0.06</v>
      </c>
    </row>
    <row r="159" spans="55:65">
      <c r="BC159">
        <v>155</v>
      </c>
      <c r="BD159" s="387" t="s">
        <v>2323</v>
      </c>
      <c r="BE159" t="s">
        <v>2305</v>
      </c>
      <c r="BF159" t="s">
        <v>2009</v>
      </c>
      <c r="BG159" t="str">
        <f t="shared" si="14"/>
        <v/>
      </c>
      <c r="BH159" t="str">
        <f t="shared" si="15"/>
        <v/>
      </c>
      <c r="BK159">
        <v>155</v>
      </c>
      <c r="BL159" s="157" t="s">
        <v>2324</v>
      </c>
      <c r="BM159" s="159">
        <v>0.08</v>
      </c>
    </row>
    <row r="160" spans="55:65">
      <c r="BC160">
        <v>156</v>
      </c>
      <c r="BD160" s="387" t="s">
        <v>2325</v>
      </c>
      <c r="BE160" t="s">
        <v>2305</v>
      </c>
      <c r="BF160" t="s">
        <v>2009</v>
      </c>
      <c r="BG160" t="str">
        <f t="shared" si="14"/>
        <v/>
      </c>
      <c r="BH160" t="str">
        <f t="shared" si="15"/>
        <v/>
      </c>
      <c r="BK160">
        <v>156</v>
      </c>
      <c r="BL160" s="157" t="s">
        <v>2326</v>
      </c>
      <c r="BM160" s="159">
        <v>0.1</v>
      </c>
    </row>
    <row r="161" spans="55:65">
      <c r="BC161">
        <v>157</v>
      </c>
      <c r="BD161" s="387" t="s">
        <v>2327</v>
      </c>
      <c r="BE161" t="s">
        <v>2305</v>
      </c>
      <c r="BF161" t="s">
        <v>2009</v>
      </c>
      <c r="BG161" t="str">
        <f t="shared" si="14"/>
        <v/>
      </c>
      <c r="BH161" t="str">
        <f t="shared" si="15"/>
        <v/>
      </c>
      <c r="BK161">
        <v>157</v>
      </c>
      <c r="BL161" s="157" t="s">
        <v>2328</v>
      </c>
      <c r="BM161" s="159">
        <v>0.1</v>
      </c>
    </row>
    <row r="162" spans="55:65">
      <c r="BC162">
        <v>158</v>
      </c>
      <c r="BD162" s="387" t="s">
        <v>2329</v>
      </c>
      <c r="BE162" t="s">
        <v>2305</v>
      </c>
      <c r="BF162" t="s">
        <v>2009</v>
      </c>
      <c r="BG162" t="str">
        <f t="shared" si="14"/>
        <v/>
      </c>
      <c r="BH162" t="str">
        <f t="shared" si="15"/>
        <v/>
      </c>
      <c r="BK162">
        <v>158</v>
      </c>
      <c r="BL162" s="157" t="s">
        <v>2330</v>
      </c>
      <c r="BM162" s="159">
        <v>0.08</v>
      </c>
    </row>
    <row r="163" spans="55:65">
      <c r="BC163">
        <v>159</v>
      </c>
      <c r="BD163" s="387" t="s">
        <v>2331</v>
      </c>
      <c r="BE163" t="s">
        <v>2305</v>
      </c>
      <c r="BF163" t="s">
        <v>2009</v>
      </c>
      <c r="BG163" t="str">
        <f t="shared" si="14"/>
        <v/>
      </c>
      <c r="BH163" t="str">
        <f t="shared" si="15"/>
        <v/>
      </c>
      <c r="BK163">
        <v>159</v>
      </c>
      <c r="BL163" s="157" t="s">
        <v>2332</v>
      </c>
      <c r="BM163" s="159">
        <v>0.05</v>
      </c>
    </row>
    <row r="164" spans="55:65">
      <c r="BC164">
        <v>160</v>
      </c>
      <c r="BD164" s="387" t="s">
        <v>2333</v>
      </c>
      <c r="BE164" t="s">
        <v>2305</v>
      </c>
      <c r="BF164" t="s">
        <v>2009</v>
      </c>
      <c r="BG164" t="str">
        <f t="shared" si="14"/>
        <v/>
      </c>
      <c r="BH164" t="str">
        <f t="shared" si="15"/>
        <v/>
      </c>
      <c r="BK164">
        <v>160</v>
      </c>
      <c r="BL164" s="157" t="s">
        <v>2334</v>
      </c>
      <c r="BM164" s="159">
        <v>0.05</v>
      </c>
    </row>
    <row r="165" spans="55:65">
      <c r="BC165">
        <v>161</v>
      </c>
      <c r="BD165" s="387" t="s">
        <v>2335</v>
      </c>
      <c r="BE165" t="s">
        <v>2305</v>
      </c>
      <c r="BF165" t="s">
        <v>2009</v>
      </c>
      <c r="BG165" t="str">
        <f t="shared" si="14"/>
        <v/>
      </c>
      <c r="BH165" t="str">
        <f t="shared" si="15"/>
        <v/>
      </c>
      <c r="BK165">
        <v>161</v>
      </c>
      <c r="BL165" s="157" t="s">
        <v>2336</v>
      </c>
      <c r="BM165" s="159">
        <v>0.1</v>
      </c>
    </row>
    <row r="166" spans="55:65">
      <c r="BC166">
        <v>162</v>
      </c>
      <c r="BD166" s="387" t="s">
        <v>2337</v>
      </c>
      <c r="BE166" t="s">
        <v>2305</v>
      </c>
      <c r="BF166" t="s">
        <v>2009</v>
      </c>
      <c r="BG166" t="str">
        <f t="shared" si="14"/>
        <v/>
      </c>
      <c r="BH166" t="str">
        <f t="shared" si="15"/>
        <v/>
      </c>
      <c r="BK166">
        <v>162</v>
      </c>
      <c r="BL166" s="157" t="s">
        <v>2338</v>
      </c>
      <c r="BM166" s="159">
        <v>9.7500000000000003E-2</v>
      </c>
    </row>
    <row r="167" spans="55:65">
      <c r="BC167">
        <v>163</v>
      </c>
      <c r="BD167" s="387" t="s">
        <v>2339</v>
      </c>
      <c r="BE167" t="s">
        <v>2340</v>
      </c>
      <c r="BF167" t="s">
        <v>2037</v>
      </c>
      <c r="BG167" t="str">
        <f t="shared" si="14"/>
        <v/>
      </c>
      <c r="BH167" t="str">
        <f t="shared" si="15"/>
        <v/>
      </c>
      <c r="BK167">
        <v>163</v>
      </c>
      <c r="BL167" s="157" t="s">
        <v>2341</v>
      </c>
      <c r="BM167" s="159">
        <v>0.05</v>
      </c>
    </row>
    <row r="168" spans="55:65">
      <c r="BC168">
        <v>164</v>
      </c>
      <c r="BD168" s="387" t="s">
        <v>2342</v>
      </c>
      <c r="BE168" t="s">
        <v>2340</v>
      </c>
      <c r="BF168" t="s">
        <v>2037</v>
      </c>
      <c r="BG168" t="str">
        <f t="shared" si="14"/>
        <v/>
      </c>
      <c r="BH168" t="str">
        <f t="shared" si="15"/>
        <v/>
      </c>
      <c r="BK168">
        <v>164</v>
      </c>
      <c r="BL168" s="157" t="s">
        <v>2343</v>
      </c>
      <c r="BM168" s="159">
        <v>0.03</v>
      </c>
    </row>
    <row r="169" spans="55:65">
      <c r="BC169">
        <v>165</v>
      </c>
      <c r="BD169" s="387" t="s">
        <v>2344</v>
      </c>
      <c r="BE169" t="s">
        <v>2345</v>
      </c>
      <c r="BF169" t="s">
        <v>2346</v>
      </c>
      <c r="BG169" t="str">
        <f t="shared" si="14"/>
        <v/>
      </c>
      <c r="BH169" t="str">
        <f t="shared" si="15"/>
        <v/>
      </c>
      <c r="BK169">
        <v>165</v>
      </c>
      <c r="BL169" s="157" t="s">
        <v>2347</v>
      </c>
      <c r="BM169" s="159">
        <v>0.05</v>
      </c>
    </row>
    <row r="170" spans="55:65">
      <c r="BC170">
        <v>166</v>
      </c>
      <c r="BD170" s="387" t="s">
        <v>2348</v>
      </c>
      <c r="BE170" t="s">
        <v>2345</v>
      </c>
      <c r="BF170" t="s">
        <v>2346</v>
      </c>
      <c r="BG170" t="str">
        <f t="shared" si="14"/>
        <v/>
      </c>
      <c r="BH170" t="str">
        <f t="shared" si="15"/>
        <v/>
      </c>
      <c r="BK170">
        <v>166</v>
      </c>
      <c r="BL170" s="157" t="s">
        <v>2349</v>
      </c>
      <c r="BM170" s="159">
        <v>0.1</v>
      </c>
    </row>
    <row r="171" spans="55:65">
      <c r="BC171">
        <v>167</v>
      </c>
      <c r="BD171" s="387" t="s">
        <v>2350</v>
      </c>
      <c r="BE171" t="s">
        <v>2255</v>
      </c>
      <c r="BF171" t="s">
        <v>2255</v>
      </c>
      <c r="BG171" t="str">
        <f t="shared" si="14"/>
        <v/>
      </c>
      <c r="BH171" t="str">
        <f t="shared" si="15"/>
        <v/>
      </c>
      <c r="BK171">
        <v>167</v>
      </c>
      <c r="BL171" s="157" t="s">
        <v>2351</v>
      </c>
      <c r="BM171" s="159">
        <v>0.05</v>
      </c>
    </row>
    <row r="172" spans="55:65">
      <c r="BC172">
        <v>168</v>
      </c>
      <c r="BD172" s="387" t="s">
        <v>2352</v>
      </c>
      <c r="BE172" t="s">
        <v>2255</v>
      </c>
      <c r="BF172" t="s">
        <v>2353</v>
      </c>
      <c r="BG172" t="str">
        <f t="shared" si="14"/>
        <v/>
      </c>
      <c r="BH172" t="str">
        <f t="shared" si="15"/>
        <v/>
      </c>
      <c r="BK172">
        <v>168</v>
      </c>
      <c r="BL172" s="157" t="s">
        <v>2354</v>
      </c>
      <c r="BM172" s="159">
        <v>7.0000000000000007E-2</v>
      </c>
    </row>
    <row r="173" spans="55:65">
      <c r="BC173">
        <v>169</v>
      </c>
      <c r="BD173" s="387" t="s">
        <v>2355</v>
      </c>
      <c r="BE173" t="s">
        <v>2356</v>
      </c>
      <c r="BF173" t="s">
        <v>2357</v>
      </c>
      <c r="BG173" t="str">
        <f t="shared" si="14"/>
        <v/>
      </c>
      <c r="BH173" t="str">
        <f t="shared" si="15"/>
        <v/>
      </c>
      <c r="BK173">
        <v>169</v>
      </c>
      <c r="BL173" s="157" t="s">
        <v>2358</v>
      </c>
      <c r="BM173" s="159">
        <v>0.03</v>
      </c>
    </row>
    <row r="174" spans="55:65">
      <c r="BC174">
        <v>170</v>
      </c>
      <c r="BD174" s="387" t="s">
        <v>2359</v>
      </c>
      <c r="BE174" t="s">
        <v>2360</v>
      </c>
      <c r="BF174" t="s">
        <v>2080</v>
      </c>
      <c r="BG174" t="str">
        <f t="shared" si="14"/>
        <v/>
      </c>
      <c r="BH174" t="str">
        <f t="shared" si="15"/>
        <v/>
      </c>
      <c r="BK174">
        <v>170</v>
      </c>
      <c r="BL174" s="157" t="s">
        <v>2361</v>
      </c>
      <c r="BM174" s="159">
        <v>0.1</v>
      </c>
    </row>
    <row r="175" spans="55:65">
      <c r="BC175">
        <v>171</v>
      </c>
      <c r="BD175" s="387" t="s">
        <v>2362</v>
      </c>
      <c r="BE175" t="s">
        <v>2363</v>
      </c>
      <c r="BF175" t="s">
        <v>2163</v>
      </c>
      <c r="BG175" t="str">
        <f t="shared" si="14"/>
        <v/>
      </c>
      <c r="BH175" t="str">
        <f t="shared" si="15"/>
        <v/>
      </c>
      <c r="BK175">
        <v>171</v>
      </c>
      <c r="BL175" s="157" t="s">
        <v>2364</v>
      </c>
      <c r="BM175" s="159">
        <v>0.05</v>
      </c>
    </row>
    <row r="176" spans="55:65">
      <c r="BC176">
        <v>172</v>
      </c>
      <c r="BD176" s="387" t="s">
        <v>2365</v>
      </c>
      <c r="BE176" t="s">
        <v>2366</v>
      </c>
      <c r="BF176" t="s">
        <v>449</v>
      </c>
      <c r="BG176" t="str">
        <f t="shared" si="14"/>
        <v/>
      </c>
      <c r="BH176" t="str">
        <f t="shared" si="15"/>
        <v/>
      </c>
      <c r="BK176">
        <v>172</v>
      </c>
      <c r="BL176" s="157" t="s">
        <v>2367</v>
      </c>
      <c r="BM176" s="159">
        <v>0.1</v>
      </c>
    </row>
    <row r="177" spans="55:65">
      <c r="BC177">
        <v>173</v>
      </c>
      <c r="BD177" s="387" t="s">
        <v>2368</v>
      </c>
      <c r="BE177" t="s">
        <v>2366</v>
      </c>
      <c r="BF177" t="s">
        <v>449</v>
      </c>
      <c r="BG177" t="str">
        <f t="shared" si="14"/>
        <v/>
      </c>
      <c r="BH177" t="str">
        <f t="shared" si="15"/>
        <v/>
      </c>
      <c r="BK177">
        <v>173</v>
      </c>
      <c r="BL177" s="157" t="s">
        <v>2369</v>
      </c>
      <c r="BM177" s="159">
        <v>8.5000000000000006E-2</v>
      </c>
    </row>
    <row r="178" spans="55:65">
      <c r="BC178">
        <v>174</v>
      </c>
      <c r="BD178" s="387" t="s">
        <v>2370</v>
      </c>
      <c r="BE178" t="s">
        <v>2366</v>
      </c>
      <c r="BF178" t="s">
        <v>449</v>
      </c>
      <c r="BG178" t="str">
        <f t="shared" si="14"/>
        <v/>
      </c>
      <c r="BH178" t="str">
        <f t="shared" si="15"/>
        <v/>
      </c>
      <c r="BK178">
        <v>174</v>
      </c>
      <c r="BL178" s="157" t="s">
        <v>2371</v>
      </c>
      <c r="BM178" s="159">
        <v>0.08</v>
      </c>
    </row>
    <row r="179" spans="55:65">
      <c r="BC179">
        <v>175</v>
      </c>
      <c r="BD179" s="387" t="s">
        <v>2372</v>
      </c>
      <c r="BE179" t="s">
        <v>2373</v>
      </c>
      <c r="BF179" t="s">
        <v>2374</v>
      </c>
      <c r="BG179" t="str">
        <f t="shared" si="14"/>
        <v/>
      </c>
      <c r="BH179" t="str">
        <f t="shared" si="15"/>
        <v/>
      </c>
      <c r="BK179">
        <v>175</v>
      </c>
      <c r="BL179" s="157" t="s">
        <v>2375</v>
      </c>
      <c r="BM179" s="159">
        <v>7.0000000000000007E-2</v>
      </c>
    </row>
    <row r="180" spans="55:65">
      <c r="BC180">
        <v>176</v>
      </c>
      <c r="BD180" s="387" t="s">
        <v>2376</v>
      </c>
      <c r="BE180" t="s">
        <v>2377</v>
      </c>
      <c r="BF180" t="s">
        <v>2378</v>
      </c>
      <c r="BG180" t="str">
        <f t="shared" si="14"/>
        <v/>
      </c>
      <c r="BH180" t="str">
        <f t="shared" si="15"/>
        <v/>
      </c>
      <c r="BK180">
        <v>176</v>
      </c>
      <c r="BL180" s="157" t="s">
        <v>2379</v>
      </c>
      <c r="BM180" s="159">
        <v>0.05</v>
      </c>
    </row>
    <row r="181" spans="55:65">
      <c r="BC181">
        <v>177</v>
      </c>
      <c r="BD181" s="387" t="s">
        <v>2380</v>
      </c>
      <c r="BE181" t="s">
        <v>2377</v>
      </c>
      <c r="BF181" t="s">
        <v>2378</v>
      </c>
      <c r="BG181" t="str">
        <f t="shared" si="14"/>
        <v/>
      </c>
      <c r="BH181" t="str">
        <f t="shared" si="15"/>
        <v/>
      </c>
      <c r="BK181">
        <v>177</v>
      </c>
      <c r="BL181" s="157" t="s">
        <v>2381</v>
      </c>
      <c r="BM181" s="159">
        <v>0.08</v>
      </c>
    </row>
    <row r="182" spans="55:65">
      <c r="BC182">
        <v>178</v>
      </c>
      <c r="BD182" s="387" t="s">
        <v>2382</v>
      </c>
      <c r="BE182" t="s">
        <v>2383</v>
      </c>
      <c r="BF182" t="s">
        <v>2384</v>
      </c>
      <c r="BG182" t="str">
        <f t="shared" si="14"/>
        <v/>
      </c>
      <c r="BH182" t="str">
        <f t="shared" si="15"/>
        <v/>
      </c>
      <c r="BK182">
        <v>178</v>
      </c>
      <c r="BL182" s="157" t="s">
        <v>2385</v>
      </c>
      <c r="BM182" s="159">
        <v>0.05</v>
      </c>
    </row>
    <row r="183" spans="55:65">
      <c r="BC183">
        <v>179</v>
      </c>
      <c r="BD183" s="387" t="s">
        <v>2386</v>
      </c>
      <c r="BE183" t="s">
        <v>2383</v>
      </c>
      <c r="BF183" t="s">
        <v>2384</v>
      </c>
      <c r="BG183" t="str">
        <f t="shared" si="14"/>
        <v/>
      </c>
      <c r="BH183" t="str">
        <f t="shared" si="15"/>
        <v/>
      </c>
      <c r="BK183">
        <v>179</v>
      </c>
      <c r="BL183" s="157" t="s">
        <v>2387</v>
      </c>
      <c r="BM183" s="159">
        <v>0.06</v>
      </c>
    </row>
    <row r="184" spans="55:65">
      <c r="BC184">
        <v>180</v>
      </c>
      <c r="BD184" s="387" t="s">
        <v>2388</v>
      </c>
      <c r="BE184" t="s">
        <v>2389</v>
      </c>
      <c r="BF184" t="s">
        <v>2390</v>
      </c>
      <c r="BG184" t="str">
        <f t="shared" si="14"/>
        <v/>
      </c>
      <c r="BH184" t="str">
        <f t="shared" si="15"/>
        <v/>
      </c>
      <c r="BK184">
        <v>180</v>
      </c>
      <c r="BL184" s="157" t="s">
        <v>2391</v>
      </c>
      <c r="BM184" s="159">
        <v>0.04</v>
      </c>
    </row>
    <row r="185" spans="55:65">
      <c r="BC185">
        <v>181</v>
      </c>
      <c r="BD185" s="387" t="s">
        <v>2392</v>
      </c>
      <c r="BE185" t="s">
        <v>2393</v>
      </c>
      <c r="BF185" t="s">
        <v>2394</v>
      </c>
      <c r="BG185" t="str">
        <f t="shared" si="14"/>
        <v/>
      </c>
      <c r="BH185" t="str">
        <f t="shared" si="15"/>
        <v/>
      </c>
      <c r="BK185">
        <v>181</v>
      </c>
      <c r="BL185" s="157" t="s">
        <v>2395</v>
      </c>
      <c r="BM185" s="159">
        <v>0.05</v>
      </c>
    </row>
    <row r="186" spans="55:65">
      <c r="BC186">
        <v>182</v>
      </c>
      <c r="BD186" s="387" t="s">
        <v>2396</v>
      </c>
      <c r="BE186" t="s">
        <v>2397</v>
      </c>
      <c r="BF186" t="s">
        <v>2394</v>
      </c>
      <c r="BG186" t="str">
        <f t="shared" si="14"/>
        <v/>
      </c>
      <c r="BH186" t="str">
        <f t="shared" si="15"/>
        <v/>
      </c>
      <c r="BK186">
        <v>182</v>
      </c>
      <c r="BL186" s="157" t="s">
        <v>2398</v>
      </c>
      <c r="BM186" s="159">
        <v>0.1</v>
      </c>
    </row>
    <row r="187" spans="55:65">
      <c r="BC187">
        <v>183</v>
      </c>
      <c r="BD187" s="387" t="s">
        <v>2399</v>
      </c>
      <c r="BE187" t="s">
        <v>2400</v>
      </c>
      <c r="BF187" t="s">
        <v>2394</v>
      </c>
      <c r="BG187" t="str">
        <f t="shared" si="14"/>
        <v/>
      </c>
      <c r="BH187" t="str">
        <f t="shared" si="15"/>
        <v/>
      </c>
      <c r="BK187">
        <v>183</v>
      </c>
      <c r="BL187" s="157" t="s">
        <v>2401</v>
      </c>
      <c r="BM187" s="159">
        <v>0.1</v>
      </c>
    </row>
    <row r="188" spans="55:65">
      <c r="BC188">
        <v>184</v>
      </c>
      <c r="BD188" s="387" t="s">
        <v>2402</v>
      </c>
      <c r="BE188" t="s">
        <v>2403</v>
      </c>
      <c r="BF188" t="s">
        <v>1927</v>
      </c>
      <c r="BG188" t="str">
        <f t="shared" si="14"/>
        <v/>
      </c>
      <c r="BH188" t="str">
        <f t="shared" si="15"/>
        <v/>
      </c>
      <c r="BK188">
        <v>184</v>
      </c>
      <c r="BL188" s="157" t="s">
        <v>2404</v>
      </c>
      <c r="BM188" s="159">
        <v>0.11</v>
      </c>
    </row>
    <row r="189" spans="55:65">
      <c r="BC189">
        <v>185</v>
      </c>
      <c r="BD189" s="387" t="s">
        <v>2405</v>
      </c>
      <c r="BE189" t="s">
        <v>2406</v>
      </c>
      <c r="BF189" t="s">
        <v>2407</v>
      </c>
      <c r="BG189" t="str">
        <f t="shared" si="14"/>
        <v/>
      </c>
      <c r="BH189" t="str">
        <f t="shared" si="15"/>
        <v/>
      </c>
      <c r="BK189">
        <v>185</v>
      </c>
      <c r="BL189" s="157" t="s">
        <v>2408</v>
      </c>
      <c r="BM189" s="159">
        <v>8.5000000000000006E-2</v>
      </c>
    </row>
    <row r="190" spans="55:65">
      <c r="BC190">
        <v>186</v>
      </c>
      <c r="BD190" s="387" t="s">
        <v>2409</v>
      </c>
      <c r="BE190" t="s">
        <v>2406</v>
      </c>
      <c r="BF190" t="s">
        <v>2407</v>
      </c>
      <c r="BG190" t="str">
        <f t="shared" si="14"/>
        <v/>
      </c>
      <c r="BH190" t="str">
        <f t="shared" si="15"/>
        <v/>
      </c>
      <c r="BK190">
        <v>186</v>
      </c>
      <c r="BL190" s="157" t="s">
        <v>2410</v>
      </c>
      <c r="BM190" s="159">
        <v>0.05</v>
      </c>
    </row>
    <row r="191" spans="55:65">
      <c r="BC191">
        <v>187</v>
      </c>
      <c r="BD191" s="387" t="s">
        <v>2411</v>
      </c>
      <c r="BE191" t="s">
        <v>2406</v>
      </c>
      <c r="BF191" t="s">
        <v>2407</v>
      </c>
      <c r="BG191" t="str">
        <f t="shared" si="14"/>
        <v/>
      </c>
      <c r="BH191" t="str">
        <f t="shared" si="15"/>
        <v/>
      </c>
      <c r="BK191">
        <v>187</v>
      </c>
      <c r="BL191" s="157" t="s">
        <v>2412</v>
      </c>
      <c r="BM191" s="159">
        <v>0.1</v>
      </c>
    </row>
    <row r="192" spans="55:65">
      <c r="BC192">
        <v>188</v>
      </c>
      <c r="BD192" s="387" t="s">
        <v>2413</v>
      </c>
      <c r="BE192" t="s">
        <v>2406</v>
      </c>
      <c r="BF192" t="s">
        <v>2407</v>
      </c>
      <c r="BG192" t="str">
        <f t="shared" si="14"/>
        <v/>
      </c>
      <c r="BH192" t="str">
        <f t="shared" si="15"/>
        <v/>
      </c>
      <c r="BK192">
        <v>188</v>
      </c>
      <c r="BL192" s="157" t="s">
        <v>2414</v>
      </c>
      <c r="BM192" s="159">
        <v>0.05</v>
      </c>
    </row>
    <row r="193" spans="55:65">
      <c r="BC193">
        <v>189</v>
      </c>
      <c r="BD193" s="387" t="s">
        <v>2415</v>
      </c>
      <c r="BE193" t="s">
        <v>2416</v>
      </c>
      <c r="BF193" t="s">
        <v>2417</v>
      </c>
      <c r="BG193" t="str">
        <f t="shared" si="14"/>
        <v/>
      </c>
      <c r="BH193" t="str">
        <f t="shared" si="15"/>
        <v/>
      </c>
      <c r="BK193">
        <v>189</v>
      </c>
      <c r="BL193" s="157" t="s">
        <v>2418</v>
      </c>
      <c r="BM193" s="159">
        <v>0.04</v>
      </c>
    </row>
    <row r="194" spans="55:65">
      <c r="BC194">
        <v>190</v>
      </c>
      <c r="BD194" s="387" t="s">
        <v>2419</v>
      </c>
      <c r="BE194" t="s">
        <v>2416</v>
      </c>
      <c r="BF194" t="s">
        <v>2417</v>
      </c>
      <c r="BG194" t="str">
        <f t="shared" si="14"/>
        <v/>
      </c>
      <c r="BH194" t="str">
        <f t="shared" si="15"/>
        <v/>
      </c>
      <c r="BK194">
        <v>190</v>
      </c>
      <c r="BL194" s="157" t="s">
        <v>2420</v>
      </c>
      <c r="BM194" s="159">
        <v>0.06</v>
      </c>
    </row>
    <row r="195" spans="55:65">
      <c r="BC195">
        <v>191</v>
      </c>
      <c r="BD195" s="387" t="s">
        <v>2421</v>
      </c>
      <c r="BE195" t="s">
        <v>2422</v>
      </c>
      <c r="BF195" t="s">
        <v>2423</v>
      </c>
      <c r="BG195" t="str">
        <f t="shared" si="14"/>
        <v/>
      </c>
      <c r="BH195" t="str">
        <f t="shared" si="15"/>
        <v/>
      </c>
      <c r="BK195">
        <v>191</v>
      </c>
      <c r="BL195" s="158" t="s">
        <v>2424</v>
      </c>
      <c r="BM195" s="159">
        <v>0.09</v>
      </c>
    </row>
    <row r="196" spans="55:65">
      <c r="BC196">
        <v>192</v>
      </c>
      <c r="BD196" s="387" t="s">
        <v>2425</v>
      </c>
      <c r="BE196" t="s">
        <v>2422</v>
      </c>
      <c r="BF196" t="s">
        <v>2423</v>
      </c>
      <c r="BG196" t="str">
        <f t="shared" si="14"/>
        <v/>
      </c>
      <c r="BH196" t="str">
        <f t="shared" si="15"/>
        <v/>
      </c>
      <c r="BK196">
        <v>192</v>
      </c>
      <c r="BL196" s="157" t="s">
        <v>2426</v>
      </c>
      <c r="BM196" s="159">
        <v>0.12</v>
      </c>
    </row>
    <row r="197" spans="55:65">
      <c r="BC197">
        <v>193</v>
      </c>
      <c r="BD197" s="387" t="s">
        <v>2427</v>
      </c>
      <c r="BE197" t="s">
        <v>2428</v>
      </c>
      <c r="BF197" t="s">
        <v>2429</v>
      </c>
      <c r="BG197" t="str">
        <f t="shared" si="14"/>
        <v/>
      </c>
      <c r="BH197" t="str">
        <f t="shared" si="15"/>
        <v/>
      </c>
      <c r="BK197">
        <v>193</v>
      </c>
      <c r="BL197" s="157" t="s">
        <v>2430</v>
      </c>
      <c r="BM197" s="159">
        <v>0.08</v>
      </c>
    </row>
    <row r="198" spans="55:65">
      <c r="BC198">
        <v>194</v>
      </c>
      <c r="BD198" s="387" t="s">
        <v>2431</v>
      </c>
      <c r="BE198" t="s">
        <v>2432</v>
      </c>
      <c r="BF198" t="s">
        <v>2433</v>
      </c>
      <c r="BG198" t="str">
        <f t="shared" ref="BG198:BG261" si="16">IFERROR(IF(AU199=FALSE,"",VLOOKUP(MATCH(AU199,KYTAXLOC,0),KYMUNITAXTABLE,3)),"No Tax")</f>
        <v/>
      </c>
      <c r="BH198" t="str">
        <f t="shared" ref="BH198:BH261" si="17">IFERROR(IF(AW199=FALSE,"",VLOOKUP(MATCH(AW199,KYTAXLOC,0),KYMUNITAXTABLE,3)),"No Tax")</f>
        <v/>
      </c>
      <c r="BK198">
        <v>194</v>
      </c>
      <c r="BL198" s="157" t="s">
        <v>2434</v>
      </c>
      <c r="BM198" s="159">
        <v>0.05</v>
      </c>
    </row>
    <row r="199" spans="55:65">
      <c r="BC199">
        <v>195</v>
      </c>
      <c r="BD199" s="387" t="s">
        <v>2435</v>
      </c>
      <c r="BE199" t="s">
        <v>2432</v>
      </c>
      <c r="BF199" t="s">
        <v>2433</v>
      </c>
      <c r="BG199" t="str">
        <f t="shared" si="16"/>
        <v/>
      </c>
      <c r="BH199" t="str">
        <f t="shared" si="17"/>
        <v/>
      </c>
      <c r="BK199">
        <v>195</v>
      </c>
      <c r="BL199" s="158" t="s">
        <v>2436</v>
      </c>
      <c r="BM199" s="159">
        <v>0.04</v>
      </c>
    </row>
    <row r="200" spans="55:65">
      <c r="BC200">
        <v>196</v>
      </c>
      <c r="BD200" s="387" t="s">
        <v>2437</v>
      </c>
      <c r="BE200" t="s">
        <v>2438</v>
      </c>
      <c r="BF200" t="s">
        <v>2439</v>
      </c>
      <c r="BG200" t="str">
        <f t="shared" si="16"/>
        <v/>
      </c>
      <c r="BH200" t="str">
        <f t="shared" si="17"/>
        <v/>
      </c>
      <c r="BK200">
        <v>196</v>
      </c>
      <c r="BL200" s="157" t="s">
        <v>2440</v>
      </c>
      <c r="BM200" s="159" t="s">
        <v>2441</v>
      </c>
    </row>
    <row r="201" spans="55:65">
      <c r="BC201">
        <v>197</v>
      </c>
      <c r="BD201" s="387" t="s">
        <v>2442</v>
      </c>
      <c r="BE201" t="s">
        <v>2438</v>
      </c>
      <c r="BF201" t="s">
        <v>2439</v>
      </c>
      <c r="BG201" t="str">
        <f t="shared" si="16"/>
        <v/>
      </c>
      <c r="BH201" t="str">
        <f t="shared" si="17"/>
        <v/>
      </c>
      <c r="BK201">
        <v>197</v>
      </c>
      <c r="BL201" s="157" t="s">
        <v>2443</v>
      </c>
      <c r="BM201" s="159">
        <v>0.03</v>
      </c>
    </row>
    <row r="202" spans="55:65">
      <c r="BC202">
        <v>198</v>
      </c>
      <c r="BD202" s="387" t="s">
        <v>2444</v>
      </c>
      <c r="BE202" t="s">
        <v>2438</v>
      </c>
      <c r="BF202" t="s">
        <v>2439</v>
      </c>
      <c r="BG202" t="str">
        <f t="shared" si="16"/>
        <v/>
      </c>
      <c r="BH202" t="str">
        <f t="shared" si="17"/>
        <v/>
      </c>
      <c r="BK202">
        <v>198</v>
      </c>
      <c r="BL202" s="157" t="s">
        <v>2445</v>
      </c>
      <c r="BM202" s="159">
        <v>7.0000000000000007E-2</v>
      </c>
    </row>
    <row r="203" spans="55:65">
      <c r="BC203">
        <v>199</v>
      </c>
      <c r="BD203" s="387" t="s">
        <v>2446</v>
      </c>
      <c r="BE203" t="s">
        <v>2447</v>
      </c>
      <c r="BF203" t="s">
        <v>2448</v>
      </c>
      <c r="BG203" t="str">
        <f t="shared" si="16"/>
        <v/>
      </c>
      <c r="BH203" t="str">
        <f t="shared" si="17"/>
        <v/>
      </c>
      <c r="BK203">
        <v>199</v>
      </c>
      <c r="BL203" s="157" t="s">
        <v>2449</v>
      </c>
      <c r="BM203" s="159">
        <v>0.1</v>
      </c>
    </row>
    <row r="204" spans="55:65">
      <c r="BC204">
        <v>200</v>
      </c>
      <c r="BD204" s="387" t="s">
        <v>2450</v>
      </c>
      <c r="BE204" t="s">
        <v>2447</v>
      </c>
      <c r="BF204" t="s">
        <v>2448</v>
      </c>
      <c r="BG204" t="str">
        <f t="shared" si="16"/>
        <v/>
      </c>
      <c r="BH204" t="str">
        <f t="shared" si="17"/>
        <v/>
      </c>
      <c r="BK204">
        <v>200</v>
      </c>
      <c r="BL204" s="157" t="s">
        <v>2451</v>
      </c>
      <c r="BM204" s="159">
        <v>0.08</v>
      </c>
    </row>
    <row r="205" spans="55:65">
      <c r="BC205">
        <v>201</v>
      </c>
      <c r="BD205" s="387" t="s">
        <v>2452</v>
      </c>
      <c r="BE205" t="s">
        <v>2447</v>
      </c>
      <c r="BF205" t="s">
        <v>2448</v>
      </c>
      <c r="BG205" t="str">
        <f t="shared" si="16"/>
        <v/>
      </c>
      <c r="BH205" t="str">
        <f t="shared" si="17"/>
        <v/>
      </c>
      <c r="BK205">
        <v>201</v>
      </c>
      <c r="BL205" s="157" t="s">
        <v>2453</v>
      </c>
      <c r="BM205" s="159">
        <v>0.1</v>
      </c>
    </row>
    <row r="206" spans="55:65">
      <c r="BC206">
        <v>202</v>
      </c>
      <c r="BD206" s="387" t="s">
        <v>2454</v>
      </c>
      <c r="BE206" t="s">
        <v>2455</v>
      </c>
      <c r="BF206" t="s">
        <v>1908</v>
      </c>
      <c r="BG206" t="str">
        <f t="shared" si="16"/>
        <v/>
      </c>
      <c r="BH206" t="str">
        <f t="shared" si="17"/>
        <v/>
      </c>
      <c r="BK206">
        <v>202</v>
      </c>
      <c r="BL206" s="157" t="s">
        <v>2456</v>
      </c>
      <c r="BM206" s="159">
        <v>0.05</v>
      </c>
    </row>
    <row r="207" spans="55:65">
      <c r="BC207">
        <v>203</v>
      </c>
      <c r="BD207" s="387" t="s">
        <v>2457</v>
      </c>
      <c r="BE207" t="s">
        <v>2458</v>
      </c>
      <c r="BF207" t="s">
        <v>992</v>
      </c>
      <c r="BG207" t="str">
        <f t="shared" si="16"/>
        <v/>
      </c>
      <c r="BH207" t="str">
        <f t="shared" si="17"/>
        <v/>
      </c>
      <c r="BK207">
        <v>203</v>
      </c>
      <c r="BL207" s="157" t="s">
        <v>2459</v>
      </c>
      <c r="BM207" s="159">
        <v>0.08</v>
      </c>
    </row>
    <row r="208" spans="55:65">
      <c r="BC208">
        <v>204</v>
      </c>
      <c r="BD208" s="387" t="s">
        <v>2460</v>
      </c>
      <c r="BE208" t="s">
        <v>2461</v>
      </c>
      <c r="BF208" t="s">
        <v>2462</v>
      </c>
      <c r="BG208" t="str">
        <f t="shared" si="16"/>
        <v/>
      </c>
      <c r="BH208" t="str">
        <f t="shared" si="17"/>
        <v/>
      </c>
      <c r="BK208">
        <v>204</v>
      </c>
      <c r="BL208" s="157" t="s">
        <v>2463</v>
      </c>
      <c r="BM208" s="159">
        <v>0.1</v>
      </c>
    </row>
    <row r="209" spans="55:65">
      <c r="BC209">
        <v>205</v>
      </c>
      <c r="BD209" s="387" t="s">
        <v>2464</v>
      </c>
      <c r="BE209" t="s">
        <v>2461</v>
      </c>
      <c r="BF209" t="s">
        <v>2462</v>
      </c>
      <c r="BG209" t="str">
        <f t="shared" si="16"/>
        <v/>
      </c>
      <c r="BH209" t="str">
        <f t="shared" si="17"/>
        <v/>
      </c>
      <c r="BK209">
        <v>205</v>
      </c>
      <c r="BL209" s="157" t="s">
        <v>2465</v>
      </c>
      <c r="BM209" s="159">
        <v>0.05</v>
      </c>
    </row>
    <row r="210" spans="55:65">
      <c r="BC210">
        <v>206</v>
      </c>
      <c r="BD210" s="387" t="s">
        <v>2466</v>
      </c>
      <c r="BE210" t="s">
        <v>2461</v>
      </c>
      <c r="BF210" t="s">
        <v>2268</v>
      </c>
      <c r="BG210" t="str">
        <f t="shared" si="16"/>
        <v/>
      </c>
      <c r="BH210" t="str">
        <f t="shared" si="17"/>
        <v/>
      </c>
      <c r="BK210">
        <v>206</v>
      </c>
      <c r="BL210" s="157" t="s">
        <v>2467</v>
      </c>
      <c r="BM210" s="159">
        <v>0.08</v>
      </c>
    </row>
    <row r="211" spans="55:65">
      <c r="BC211">
        <v>207</v>
      </c>
      <c r="BD211" s="387" t="s">
        <v>2468</v>
      </c>
      <c r="BE211" t="s">
        <v>2461</v>
      </c>
      <c r="BF211" t="s">
        <v>2462</v>
      </c>
      <c r="BG211" t="str">
        <f t="shared" si="16"/>
        <v/>
      </c>
      <c r="BH211" t="str">
        <f t="shared" si="17"/>
        <v/>
      </c>
      <c r="BK211">
        <v>207</v>
      </c>
      <c r="BL211" s="157" t="s">
        <v>2469</v>
      </c>
      <c r="BM211" s="159">
        <v>0.06</v>
      </c>
    </row>
    <row r="212" spans="55:65">
      <c r="BC212">
        <v>208</v>
      </c>
      <c r="BD212" s="387" t="s">
        <v>2470</v>
      </c>
      <c r="BE212" t="s">
        <v>2461</v>
      </c>
      <c r="BF212" t="s">
        <v>2462</v>
      </c>
      <c r="BG212" t="str">
        <f t="shared" si="16"/>
        <v/>
      </c>
      <c r="BH212" t="str">
        <f t="shared" si="17"/>
        <v/>
      </c>
      <c r="BK212">
        <v>208</v>
      </c>
      <c r="BL212" s="157" t="s">
        <v>2471</v>
      </c>
      <c r="BM212" s="159" t="s">
        <v>2441</v>
      </c>
    </row>
    <row r="213" spans="55:65">
      <c r="BC213">
        <v>209</v>
      </c>
      <c r="BD213" s="387" t="s">
        <v>2472</v>
      </c>
      <c r="BE213" t="s">
        <v>2461</v>
      </c>
      <c r="BF213" t="s">
        <v>2462</v>
      </c>
      <c r="BG213" t="str">
        <f t="shared" si="16"/>
        <v/>
      </c>
      <c r="BH213" t="str">
        <f t="shared" si="17"/>
        <v/>
      </c>
      <c r="BK213">
        <v>209</v>
      </c>
      <c r="BL213" s="157" t="s">
        <v>2473</v>
      </c>
      <c r="BM213" s="159">
        <v>0.05</v>
      </c>
    </row>
    <row r="214" spans="55:65">
      <c r="BC214">
        <v>210</v>
      </c>
      <c r="BD214" s="387" t="s">
        <v>2474</v>
      </c>
      <c r="BE214" t="s">
        <v>2475</v>
      </c>
      <c r="BF214" t="s">
        <v>2000</v>
      </c>
      <c r="BG214" t="str">
        <f t="shared" si="16"/>
        <v/>
      </c>
      <c r="BH214" t="str">
        <f t="shared" si="17"/>
        <v/>
      </c>
      <c r="BK214">
        <v>210</v>
      </c>
      <c r="BL214" s="157" t="s">
        <v>2476</v>
      </c>
      <c r="BM214" s="159">
        <v>0.08</v>
      </c>
    </row>
    <row r="215" spans="55:65">
      <c r="BC215">
        <v>211</v>
      </c>
      <c r="BD215" s="387" t="s">
        <v>2477</v>
      </c>
      <c r="BE215" t="s">
        <v>2478</v>
      </c>
      <c r="BF215" t="s">
        <v>1861</v>
      </c>
      <c r="BG215" t="str">
        <f t="shared" si="16"/>
        <v/>
      </c>
      <c r="BH215" t="str">
        <f t="shared" si="17"/>
        <v/>
      </c>
      <c r="BK215">
        <v>211</v>
      </c>
      <c r="BL215" s="157" t="s">
        <v>2479</v>
      </c>
      <c r="BM215" s="159">
        <v>0.05</v>
      </c>
    </row>
    <row r="216" spans="55:65">
      <c r="BC216">
        <v>212</v>
      </c>
      <c r="BD216" s="387" t="s">
        <v>2480</v>
      </c>
      <c r="BE216" t="s">
        <v>2478</v>
      </c>
      <c r="BF216" t="s">
        <v>1861</v>
      </c>
      <c r="BG216" t="str">
        <f t="shared" si="16"/>
        <v/>
      </c>
      <c r="BH216" t="str">
        <f t="shared" si="17"/>
        <v/>
      </c>
      <c r="BK216">
        <v>212</v>
      </c>
      <c r="BL216" s="157" t="s">
        <v>2481</v>
      </c>
      <c r="BM216" s="159">
        <v>0.1</v>
      </c>
    </row>
    <row r="217" spans="55:65">
      <c r="BC217">
        <v>213</v>
      </c>
      <c r="BD217" s="387" t="s">
        <v>2482</v>
      </c>
      <c r="BE217" t="s">
        <v>2483</v>
      </c>
      <c r="BF217" t="s">
        <v>2484</v>
      </c>
      <c r="BG217" t="str">
        <f t="shared" si="16"/>
        <v/>
      </c>
      <c r="BH217" t="str">
        <f t="shared" si="17"/>
        <v/>
      </c>
      <c r="BK217">
        <v>213</v>
      </c>
      <c r="BL217" s="157" t="s">
        <v>2485</v>
      </c>
      <c r="BM217" s="159">
        <v>7.0000000000000007E-2</v>
      </c>
    </row>
    <row r="218" spans="55:65">
      <c r="BC218">
        <v>214</v>
      </c>
      <c r="BD218" s="387" t="s">
        <v>2486</v>
      </c>
      <c r="BE218" t="s">
        <v>2487</v>
      </c>
      <c r="BF218" t="s">
        <v>449</v>
      </c>
      <c r="BG218" t="str">
        <f t="shared" si="16"/>
        <v/>
      </c>
      <c r="BH218" t="str">
        <f t="shared" si="17"/>
        <v/>
      </c>
      <c r="BK218">
        <v>214</v>
      </c>
      <c r="BL218" s="157" t="s">
        <v>2488</v>
      </c>
      <c r="BM218" s="159">
        <v>7.0000000000000007E-2</v>
      </c>
    </row>
    <row r="219" spans="55:65">
      <c r="BC219">
        <v>215</v>
      </c>
      <c r="BD219" s="387" t="s">
        <v>2489</v>
      </c>
      <c r="BE219" t="s">
        <v>2490</v>
      </c>
      <c r="BF219" t="s">
        <v>2073</v>
      </c>
      <c r="BG219" t="str">
        <f t="shared" si="16"/>
        <v/>
      </c>
      <c r="BH219" t="str">
        <f t="shared" si="17"/>
        <v/>
      </c>
      <c r="BK219">
        <v>215</v>
      </c>
      <c r="BL219" s="157" t="s">
        <v>2491</v>
      </c>
      <c r="BM219" s="159">
        <v>0.03</v>
      </c>
    </row>
    <row r="220" spans="55:65">
      <c r="BC220">
        <v>216</v>
      </c>
      <c r="BD220" s="387" t="s">
        <v>2492</v>
      </c>
      <c r="BE220" t="s">
        <v>2493</v>
      </c>
      <c r="BF220" t="s">
        <v>2226</v>
      </c>
      <c r="BG220" t="str">
        <f t="shared" si="16"/>
        <v/>
      </c>
      <c r="BH220" t="str">
        <f t="shared" si="17"/>
        <v/>
      </c>
      <c r="BK220">
        <v>216</v>
      </c>
      <c r="BL220" s="157" t="s">
        <v>2494</v>
      </c>
      <c r="BM220" s="159">
        <v>0.08</v>
      </c>
    </row>
    <row r="221" spans="55:65">
      <c r="BC221">
        <v>217</v>
      </c>
      <c r="BD221" s="387" t="s">
        <v>2495</v>
      </c>
      <c r="BE221" t="s">
        <v>2493</v>
      </c>
      <c r="BF221" t="s">
        <v>2496</v>
      </c>
      <c r="BG221" t="str">
        <f t="shared" si="16"/>
        <v/>
      </c>
      <c r="BH221" t="str">
        <f t="shared" si="17"/>
        <v/>
      </c>
      <c r="BK221">
        <v>217</v>
      </c>
      <c r="BL221" s="157" t="s">
        <v>2497</v>
      </c>
      <c r="BM221" s="159">
        <v>0.05</v>
      </c>
    </row>
    <row r="222" spans="55:65">
      <c r="BC222">
        <v>218</v>
      </c>
      <c r="BD222" s="387" t="s">
        <v>2498</v>
      </c>
      <c r="BE222" t="s">
        <v>2499</v>
      </c>
      <c r="BF222" t="s">
        <v>2500</v>
      </c>
      <c r="BG222" t="str">
        <f t="shared" si="16"/>
        <v/>
      </c>
      <c r="BH222" t="str">
        <f t="shared" si="17"/>
        <v/>
      </c>
      <c r="BK222">
        <v>218</v>
      </c>
      <c r="BL222" s="157" t="s">
        <v>2501</v>
      </c>
      <c r="BM222" s="159">
        <v>0.05</v>
      </c>
    </row>
    <row r="223" spans="55:65">
      <c r="BC223">
        <v>219</v>
      </c>
      <c r="BD223" s="387" t="s">
        <v>2502</v>
      </c>
      <c r="BE223" t="s">
        <v>2499</v>
      </c>
      <c r="BF223" t="s">
        <v>2500</v>
      </c>
      <c r="BG223" t="str">
        <f t="shared" si="16"/>
        <v/>
      </c>
      <c r="BH223" t="str">
        <f t="shared" si="17"/>
        <v/>
      </c>
      <c r="BK223">
        <v>219</v>
      </c>
      <c r="BL223" s="157" t="s">
        <v>2503</v>
      </c>
      <c r="BM223" s="159">
        <v>9.1999999999999998E-2</v>
      </c>
    </row>
    <row r="224" spans="55:65">
      <c r="BC224">
        <v>220</v>
      </c>
      <c r="BD224" s="387" t="s">
        <v>2504</v>
      </c>
      <c r="BE224" t="s">
        <v>2505</v>
      </c>
      <c r="BF224" t="s">
        <v>2506</v>
      </c>
      <c r="BG224" t="str">
        <f t="shared" si="16"/>
        <v/>
      </c>
      <c r="BH224" t="str">
        <f t="shared" si="17"/>
        <v/>
      </c>
      <c r="BK224">
        <v>220</v>
      </c>
      <c r="BL224" s="158" t="s">
        <v>2507</v>
      </c>
      <c r="BM224" s="159">
        <v>0.12</v>
      </c>
    </row>
    <row r="225" spans="55:65">
      <c r="BC225">
        <v>221</v>
      </c>
      <c r="BD225" s="387" t="s">
        <v>2508</v>
      </c>
      <c r="BE225" t="s">
        <v>2509</v>
      </c>
      <c r="BF225" t="s">
        <v>1908</v>
      </c>
      <c r="BG225" t="str">
        <f t="shared" si="16"/>
        <v/>
      </c>
      <c r="BH225" t="str">
        <f t="shared" si="17"/>
        <v/>
      </c>
      <c r="BK225">
        <v>221</v>
      </c>
      <c r="BL225" s="157" t="s">
        <v>2510</v>
      </c>
      <c r="BM225" s="159">
        <v>0.08</v>
      </c>
    </row>
    <row r="226" spans="55:65">
      <c r="BC226">
        <v>222</v>
      </c>
      <c r="BD226" s="387" t="s">
        <v>2511</v>
      </c>
      <c r="BE226" t="s">
        <v>2509</v>
      </c>
      <c r="BF226" t="s">
        <v>1908</v>
      </c>
      <c r="BG226" t="str">
        <f t="shared" si="16"/>
        <v/>
      </c>
      <c r="BH226" t="str">
        <f t="shared" si="17"/>
        <v/>
      </c>
      <c r="BK226">
        <v>222</v>
      </c>
      <c r="BL226" s="157" t="s">
        <v>2512</v>
      </c>
      <c r="BM226" s="159">
        <v>0.05</v>
      </c>
    </row>
    <row r="227" spans="55:65">
      <c r="BC227">
        <v>223</v>
      </c>
      <c r="BD227" s="387" t="s">
        <v>2513</v>
      </c>
      <c r="BE227" t="s">
        <v>2509</v>
      </c>
      <c r="BF227" t="s">
        <v>1908</v>
      </c>
      <c r="BG227" t="str">
        <f t="shared" si="16"/>
        <v/>
      </c>
      <c r="BH227" t="str">
        <f t="shared" si="17"/>
        <v/>
      </c>
      <c r="BK227">
        <v>223</v>
      </c>
      <c r="BL227" s="157" t="s">
        <v>2514</v>
      </c>
      <c r="BM227" s="159">
        <v>0.05</v>
      </c>
    </row>
    <row r="228" spans="55:65">
      <c r="BC228">
        <v>224</v>
      </c>
      <c r="BD228" s="387" t="s">
        <v>2515</v>
      </c>
      <c r="BE228" t="s">
        <v>2516</v>
      </c>
      <c r="BF228" t="s">
        <v>1955</v>
      </c>
      <c r="BG228" t="str">
        <f t="shared" si="16"/>
        <v/>
      </c>
      <c r="BH228" t="str">
        <f t="shared" si="17"/>
        <v/>
      </c>
      <c r="BK228">
        <v>224</v>
      </c>
      <c r="BL228" s="157" t="s">
        <v>2517</v>
      </c>
      <c r="BM228" s="159">
        <v>0.1</v>
      </c>
    </row>
    <row r="229" spans="55:65">
      <c r="BC229">
        <v>225</v>
      </c>
      <c r="BD229" s="387" t="s">
        <v>2518</v>
      </c>
      <c r="BE229" t="s">
        <v>1838</v>
      </c>
      <c r="BF229" t="s">
        <v>1866</v>
      </c>
      <c r="BG229" t="str">
        <f t="shared" si="16"/>
        <v/>
      </c>
      <c r="BH229" t="str">
        <f t="shared" si="17"/>
        <v/>
      </c>
      <c r="BK229">
        <v>225</v>
      </c>
      <c r="BL229" s="157" t="s">
        <v>2519</v>
      </c>
      <c r="BM229" s="159">
        <v>0.04</v>
      </c>
    </row>
    <row r="230" spans="55:65">
      <c r="BC230">
        <v>226</v>
      </c>
      <c r="BD230" s="387" t="s">
        <v>2520</v>
      </c>
      <c r="BE230" t="s">
        <v>2521</v>
      </c>
      <c r="BF230" t="s">
        <v>1838</v>
      </c>
      <c r="BG230" t="str">
        <f t="shared" si="16"/>
        <v/>
      </c>
      <c r="BH230" t="str">
        <f t="shared" si="17"/>
        <v/>
      </c>
      <c r="BK230">
        <v>226</v>
      </c>
      <c r="BL230" s="157" t="s">
        <v>2522</v>
      </c>
      <c r="BM230" s="159">
        <v>0.05</v>
      </c>
    </row>
    <row r="231" spans="55:65">
      <c r="BC231">
        <v>227</v>
      </c>
      <c r="BD231" s="387" t="s">
        <v>2523</v>
      </c>
      <c r="BE231" t="s">
        <v>2524</v>
      </c>
      <c r="BF231" t="s">
        <v>1876</v>
      </c>
      <c r="BG231" t="str">
        <f t="shared" si="16"/>
        <v/>
      </c>
      <c r="BH231" t="str">
        <f t="shared" si="17"/>
        <v/>
      </c>
      <c r="BK231">
        <v>227</v>
      </c>
      <c r="BL231" s="157" t="s">
        <v>2525</v>
      </c>
      <c r="BM231" s="159">
        <v>0.04</v>
      </c>
    </row>
    <row r="232" spans="55:65">
      <c r="BC232">
        <v>228</v>
      </c>
      <c r="BD232" s="387" t="s">
        <v>2526</v>
      </c>
      <c r="BE232" t="s">
        <v>2527</v>
      </c>
      <c r="BF232" t="s">
        <v>1955</v>
      </c>
      <c r="BG232" t="str">
        <f t="shared" si="16"/>
        <v/>
      </c>
      <c r="BH232" t="str">
        <f t="shared" si="17"/>
        <v/>
      </c>
      <c r="BK232">
        <v>228</v>
      </c>
      <c r="BL232" s="157" t="s">
        <v>1071</v>
      </c>
      <c r="BM232" s="159">
        <v>0.09</v>
      </c>
    </row>
    <row r="233" spans="55:65">
      <c r="BC233">
        <v>229</v>
      </c>
      <c r="BD233" s="387" t="s">
        <v>2528</v>
      </c>
      <c r="BE233" t="s">
        <v>2527</v>
      </c>
      <c r="BF233" t="s">
        <v>1955</v>
      </c>
      <c r="BG233" t="str">
        <f t="shared" si="16"/>
        <v/>
      </c>
      <c r="BH233" t="str">
        <f t="shared" si="17"/>
        <v/>
      </c>
      <c r="BK233">
        <v>229</v>
      </c>
      <c r="BL233" s="157" t="s">
        <v>2529</v>
      </c>
      <c r="BM233" s="159">
        <v>5.7500000000000002E-2</v>
      </c>
    </row>
    <row r="234" spans="55:65">
      <c r="BC234">
        <v>230</v>
      </c>
      <c r="BD234" s="387" t="s">
        <v>2530</v>
      </c>
      <c r="BE234" t="s">
        <v>2531</v>
      </c>
      <c r="BF234" t="s">
        <v>1939</v>
      </c>
      <c r="BG234" t="str">
        <f t="shared" si="16"/>
        <v/>
      </c>
      <c r="BH234" t="str">
        <f t="shared" si="17"/>
        <v/>
      </c>
      <c r="BK234">
        <v>230</v>
      </c>
      <c r="BL234" s="157" t="s">
        <v>2532</v>
      </c>
      <c r="BM234" s="159">
        <v>7.0000000000000007E-2</v>
      </c>
    </row>
    <row r="235" spans="55:65">
      <c r="BC235">
        <v>231</v>
      </c>
      <c r="BD235" s="387" t="s">
        <v>2533</v>
      </c>
      <c r="BE235" t="s">
        <v>2534</v>
      </c>
      <c r="BF235" t="s">
        <v>2176</v>
      </c>
      <c r="BG235" t="str">
        <f t="shared" si="16"/>
        <v/>
      </c>
      <c r="BH235" t="str">
        <f t="shared" si="17"/>
        <v/>
      </c>
      <c r="BK235">
        <v>231</v>
      </c>
      <c r="BL235" s="157" t="s">
        <v>2535</v>
      </c>
      <c r="BM235" s="159">
        <v>0.09</v>
      </c>
    </row>
    <row r="236" spans="55:65">
      <c r="BC236">
        <v>232</v>
      </c>
      <c r="BD236" s="387" t="s">
        <v>2536</v>
      </c>
      <c r="BE236" t="s">
        <v>2537</v>
      </c>
      <c r="BF236" t="s">
        <v>2073</v>
      </c>
      <c r="BG236" t="str">
        <f t="shared" si="16"/>
        <v/>
      </c>
      <c r="BH236" t="str">
        <f t="shared" si="17"/>
        <v/>
      </c>
      <c r="BK236">
        <v>232</v>
      </c>
      <c r="BL236" s="157" t="s">
        <v>2538</v>
      </c>
      <c r="BM236" s="159">
        <v>0.08</v>
      </c>
    </row>
    <row r="237" spans="55:65">
      <c r="BC237">
        <v>233</v>
      </c>
      <c r="BD237" s="387" t="s">
        <v>2539</v>
      </c>
      <c r="BE237" t="s">
        <v>2537</v>
      </c>
      <c r="BF237" t="s">
        <v>2073</v>
      </c>
      <c r="BG237" t="str">
        <f t="shared" si="16"/>
        <v/>
      </c>
      <c r="BH237" t="str">
        <f t="shared" si="17"/>
        <v/>
      </c>
      <c r="BK237">
        <v>233</v>
      </c>
      <c r="BL237" s="157" t="s">
        <v>2540</v>
      </c>
      <c r="BM237" s="159">
        <v>0.05</v>
      </c>
    </row>
    <row r="238" spans="55:65">
      <c r="BC238">
        <v>234</v>
      </c>
      <c r="BD238" s="387" t="s">
        <v>2541</v>
      </c>
      <c r="BE238" t="s">
        <v>2537</v>
      </c>
      <c r="BF238" t="s">
        <v>2073</v>
      </c>
      <c r="BG238" t="str">
        <f t="shared" si="16"/>
        <v/>
      </c>
      <c r="BH238" t="str">
        <f t="shared" si="17"/>
        <v/>
      </c>
      <c r="BK238">
        <v>234</v>
      </c>
      <c r="BL238" s="157" t="s">
        <v>2542</v>
      </c>
      <c r="BM238" s="159">
        <v>0.1</v>
      </c>
    </row>
    <row r="239" spans="55:65">
      <c r="BC239">
        <v>235</v>
      </c>
      <c r="BD239" s="387" t="s">
        <v>2543</v>
      </c>
      <c r="BE239" t="s">
        <v>2544</v>
      </c>
      <c r="BF239" t="s">
        <v>1931</v>
      </c>
      <c r="BG239" t="str">
        <f t="shared" si="16"/>
        <v/>
      </c>
      <c r="BH239" t="str">
        <f t="shared" si="17"/>
        <v/>
      </c>
      <c r="BK239">
        <v>235</v>
      </c>
      <c r="BL239" s="157" t="s">
        <v>2545</v>
      </c>
      <c r="BM239" s="159">
        <v>0.05</v>
      </c>
    </row>
    <row r="240" spans="55:65">
      <c r="BC240">
        <v>236</v>
      </c>
      <c r="BD240" s="387" t="s">
        <v>2546</v>
      </c>
      <c r="BE240" t="s">
        <v>2547</v>
      </c>
      <c r="BF240" t="s">
        <v>2417</v>
      </c>
      <c r="BG240" t="str">
        <f t="shared" si="16"/>
        <v/>
      </c>
      <c r="BH240" t="str">
        <f t="shared" si="17"/>
        <v/>
      </c>
      <c r="BK240">
        <v>236</v>
      </c>
      <c r="BL240" s="157" t="s">
        <v>2548</v>
      </c>
      <c r="BM240" s="159">
        <v>0.05</v>
      </c>
    </row>
    <row r="241" spans="55:65">
      <c r="BC241">
        <v>237</v>
      </c>
      <c r="BD241" s="387" t="s">
        <v>2549</v>
      </c>
      <c r="BE241" t="s">
        <v>2550</v>
      </c>
      <c r="BF241" t="s">
        <v>1943</v>
      </c>
      <c r="BG241" t="str">
        <f t="shared" si="16"/>
        <v/>
      </c>
      <c r="BH241" t="str">
        <f t="shared" si="17"/>
        <v/>
      </c>
      <c r="BK241">
        <v>237</v>
      </c>
      <c r="BL241" s="157" t="s">
        <v>2551</v>
      </c>
      <c r="BM241" s="159">
        <v>0.05</v>
      </c>
    </row>
    <row r="242" spans="55:65">
      <c r="BC242">
        <v>238</v>
      </c>
      <c r="BD242" s="387" t="s">
        <v>2552</v>
      </c>
      <c r="BE242" t="s">
        <v>2550</v>
      </c>
      <c r="BF242" t="s">
        <v>1943</v>
      </c>
      <c r="BG242" t="str">
        <f t="shared" si="16"/>
        <v/>
      </c>
      <c r="BH242" t="str">
        <f t="shared" si="17"/>
        <v/>
      </c>
      <c r="BK242">
        <v>238</v>
      </c>
      <c r="BL242" s="157" t="s">
        <v>2553</v>
      </c>
      <c r="BM242" s="159">
        <v>0.05</v>
      </c>
    </row>
    <row r="243" spans="55:65">
      <c r="BC243">
        <v>239</v>
      </c>
      <c r="BD243" s="387" t="s">
        <v>2554</v>
      </c>
      <c r="BE243" t="s">
        <v>2550</v>
      </c>
      <c r="BF243" t="s">
        <v>1943</v>
      </c>
      <c r="BG243" t="str">
        <f t="shared" si="16"/>
        <v/>
      </c>
      <c r="BH243" t="str">
        <f t="shared" si="17"/>
        <v/>
      </c>
      <c r="BK243">
        <v>239</v>
      </c>
      <c r="BL243" s="157" t="s">
        <v>2555</v>
      </c>
      <c r="BM243" s="159">
        <v>0.1</v>
      </c>
    </row>
    <row r="244" spans="55:65">
      <c r="BC244">
        <v>240</v>
      </c>
      <c r="BD244" s="387" t="s">
        <v>2556</v>
      </c>
      <c r="BE244" t="s">
        <v>2557</v>
      </c>
      <c r="BF244" t="s">
        <v>1861</v>
      </c>
      <c r="BG244" t="str">
        <f t="shared" si="16"/>
        <v/>
      </c>
      <c r="BH244" t="str">
        <f t="shared" si="17"/>
        <v/>
      </c>
      <c r="BK244">
        <v>240</v>
      </c>
      <c r="BL244" s="157" t="s">
        <v>2558</v>
      </c>
      <c r="BM244" s="159">
        <v>0.06</v>
      </c>
    </row>
    <row r="245" spans="55:65">
      <c r="BC245">
        <v>241</v>
      </c>
      <c r="BD245" s="387" t="s">
        <v>2559</v>
      </c>
      <c r="BE245" t="s">
        <v>2560</v>
      </c>
      <c r="BF245" t="s">
        <v>2561</v>
      </c>
      <c r="BG245" t="str">
        <f t="shared" si="16"/>
        <v/>
      </c>
      <c r="BH245" t="str">
        <f t="shared" si="17"/>
        <v/>
      </c>
      <c r="BK245">
        <v>241</v>
      </c>
      <c r="BL245" s="157" t="s">
        <v>2562</v>
      </c>
      <c r="BM245" s="159">
        <v>0.1</v>
      </c>
    </row>
    <row r="246" spans="55:65">
      <c r="BC246">
        <v>242</v>
      </c>
      <c r="BD246" s="387" t="s">
        <v>2563</v>
      </c>
      <c r="BE246" t="s">
        <v>2564</v>
      </c>
      <c r="BF246" t="s">
        <v>2565</v>
      </c>
      <c r="BG246" t="str">
        <f t="shared" si="16"/>
        <v/>
      </c>
      <c r="BH246" t="str">
        <f t="shared" si="17"/>
        <v/>
      </c>
      <c r="BK246">
        <v>242</v>
      </c>
      <c r="BL246" s="157" t="s">
        <v>2566</v>
      </c>
      <c r="BM246" s="159">
        <v>0.03</v>
      </c>
    </row>
    <row r="247" spans="55:65">
      <c r="BC247">
        <v>243</v>
      </c>
      <c r="BD247" s="387" t="s">
        <v>2567</v>
      </c>
      <c r="BE247" t="s">
        <v>2564</v>
      </c>
      <c r="BF247" t="s">
        <v>2565</v>
      </c>
      <c r="BG247" t="str">
        <f t="shared" si="16"/>
        <v/>
      </c>
      <c r="BH247" t="str">
        <f t="shared" si="17"/>
        <v/>
      </c>
      <c r="BK247">
        <v>243</v>
      </c>
      <c r="BL247" s="157" t="s">
        <v>2568</v>
      </c>
      <c r="BM247" s="159">
        <v>0.05</v>
      </c>
    </row>
    <row r="248" spans="55:65">
      <c r="BC248">
        <v>244</v>
      </c>
      <c r="BD248" s="387" t="s">
        <v>2569</v>
      </c>
      <c r="BE248" t="s">
        <v>2570</v>
      </c>
      <c r="BF248" t="s">
        <v>2571</v>
      </c>
      <c r="BG248" t="str">
        <f t="shared" si="16"/>
        <v/>
      </c>
      <c r="BH248" t="str">
        <f t="shared" si="17"/>
        <v/>
      </c>
      <c r="BK248">
        <v>244</v>
      </c>
      <c r="BL248" s="157" t="s">
        <v>2572</v>
      </c>
      <c r="BM248" s="159">
        <v>0.05</v>
      </c>
    </row>
    <row r="249" spans="55:65">
      <c r="BC249">
        <v>245</v>
      </c>
      <c r="BD249" s="387" t="s">
        <v>2573</v>
      </c>
      <c r="BE249" t="s">
        <v>2570</v>
      </c>
      <c r="BF249" t="s">
        <v>2571</v>
      </c>
      <c r="BG249" t="str">
        <f t="shared" si="16"/>
        <v/>
      </c>
      <c r="BH249" t="str">
        <f t="shared" si="17"/>
        <v/>
      </c>
      <c r="BK249">
        <v>245</v>
      </c>
      <c r="BL249" s="157" t="s">
        <v>2574</v>
      </c>
      <c r="BM249" s="159">
        <v>0.12</v>
      </c>
    </row>
    <row r="250" spans="55:65">
      <c r="BC250">
        <v>246</v>
      </c>
      <c r="BD250" s="387" t="s">
        <v>2575</v>
      </c>
      <c r="BE250" t="s">
        <v>2576</v>
      </c>
      <c r="BF250" t="s">
        <v>1984</v>
      </c>
      <c r="BG250" t="str">
        <f t="shared" si="16"/>
        <v/>
      </c>
      <c r="BH250" t="str">
        <f t="shared" si="17"/>
        <v/>
      </c>
      <c r="BK250">
        <v>246</v>
      </c>
      <c r="BL250" s="158" t="s">
        <v>2577</v>
      </c>
      <c r="BM250" s="159">
        <v>0.08</v>
      </c>
    </row>
    <row r="251" spans="55:65">
      <c r="BC251">
        <v>247</v>
      </c>
      <c r="BD251" s="387" t="s">
        <v>2578</v>
      </c>
      <c r="BE251" t="s">
        <v>2579</v>
      </c>
      <c r="BF251" t="s">
        <v>2390</v>
      </c>
      <c r="BG251" t="str">
        <f t="shared" si="16"/>
        <v/>
      </c>
      <c r="BH251" t="str">
        <f t="shared" si="17"/>
        <v/>
      </c>
      <c r="BK251">
        <v>247</v>
      </c>
      <c r="BL251" s="157" t="s">
        <v>2580</v>
      </c>
      <c r="BM251" s="159">
        <v>0.05</v>
      </c>
    </row>
    <row r="252" spans="55:65">
      <c r="BC252">
        <v>248</v>
      </c>
      <c r="BD252" s="387" t="s">
        <v>2581</v>
      </c>
      <c r="BE252" t="s">
        <v>2582</v>
      </c>
      <c r="BF252" t="s">
        <v>2583</v>
      </c>
      <c r="BG252" t="str">
        <f t="shared" si="16"/>
        <v/>
      </c>
      <c r="BH252" t="str">
        <f t="shared" si="17"/>
        <v/>
      </c>
      <c r="BK252">
        <v>248</v>
      </c>
      <c r="BL252" s="157" t="s">
        <v>2584</v>
      </c>
      <c r="BM252" s="159">
        <v>0.06</v>
      </c>
    </row>
    <row r="253" spans="55:65">
      <c r="BC253">
        <v>249</v>
      </c>
      <c r="BD253" s="387" t="s">
        <v>2585</v>
      </c>
      <c r="BE253" t="s">
        <v>2586</v>
      </c>
      <c r="BF253" t="s">
        <v>2583</v>
      </c>
      <c r="BG253" t="str">
        <f t="shared" si="16"/>
        <v/>
      </c>
      <c r="BH253" t="str">
        <f t="shared" si="17"/>
        <v/>
      </c>
      <c r="BK253">
        <v>249</v>
      </c>
      <c r="BL253" s="157" t="s">
        <v>2587</v>
      </c>
      <c r="BM253" s="159">
        <v>7.4999999999999997E-2</v>
      </c>
    </row>
    <row r="254" spans="55:65">
      <c r="BC254">
        <v>250</v>
      </c>
      <c r="BD254" s="387" t="s">
        <v>2588</v>
      </c>
      <c r="BE254" t="s">
        <v>2589</v>
      </c>
      <c r="BF254" t="s">
        <v>2590</v>
      </c>
      <c r="BG254" t="str">
        <f t="shared" si="16"/>
        <v/>
      </c>
      <c r="BH254" t="str">
        <f t="shared" si="17"/>
        <v/>
      </c>
      <c r="BK254">
        <v>250</v>
      </c>
      <c r="BL254" s="157" t="s">
        <v>2591</v>
      </c>
      <c r="BM254" s="159">
        <v>4.4999999999999998E-2</v>
      </c>
    </row>
    <row r="255" spans="55:65">
      <c r="BC255">
        <v>251</v>
      </c>
      <c r="BD255" s="387" t="s">
        <v>2592</v>
      </c>
      <c r="BE255" t="s">
        <v>2589</v>
      </c>
      <c r="BF255" t="s">
        <v>2590</v>
      </c>
      <c r="BG255" t="str">
        <f t="shared" si="16"/>
        <v/>
      </c>
      <c r="BH255" t="str">
        <f t="shared" si="17"/>
        <v/>
      </c>
      <c r="BK255">
        <v>251</v>
      </c>
      <c r="BL255" s="157" t="s">
        <v>2593</v>
      </c>
      <c r="BM255" s="159">
        <v>7.0000000000000007E-2</v>
      </c>
    </row>
    <row r="256" spans="55:65">
      <c r="BC256">
        <v>252</v>
      </c>
      <c r="BD256" s="387" t="s">
        <v>2594</v>
      </c>
      <c r="BE256" t="s">
        <v>2595</v>
      </c>
      <c r="BF256" t="s">
        <v>2433</v>
      </c>
      <c r="BG256" t="str">
        <f t="shared" si="16"/>
        <v/>
      </c>
      <c r="BH256" t="str">
        <f t="shared" si="17"/>
        <v/>
      </c>
      <c r="BK256">
        <v>252</v>
      </c>
      <c r="BL256" s="157" t="s">
        <v>2596</v>
      </c>
      <c r="BM256" s="159">
        <v>0.08</v>
      </c>
    </row>
    <row r="257" spans="55:65">
      <c r="BC257">
        <v>253</v>
      </c>
      <c r="BD257" s="387" t="s">
        <v>2597</v>
      </c>
      <c r="BE257" t="s">
        <v>2595</v>
      </c>
      <c r="BF257" t="s">
        <v>2433</v>
      </c>
      <c r="BG257" t="str">
        <f t="shared" si="16"/>
        <v/>
      </c>
      <c r="BH257" t="str">
        <f t="shared" si="17"/>
        <v/>
      </c>
      <c r="BK257">
        <v>253</v>
      </c>
      <c r="BL257" s="157" t="s">
        <v>2598</v>
      </c>
      <c r="BM257" s="159">
        <v>0.1</v>
      </c>
    </row>
    <row r="258" spans="55:65">
      <c r="BC258">
        <v>254</v>
      </c>
      <c r="BD258" s="387" t="s">
        <v>2599</v>
      </c>
      <c r="BE258" t="s">
        <v>2600</v>
      </c>
      <c r="BF258" t="s">
        <v>2000</v>
      </c>
      <c r="BG258" t="str">
        <f t="shared" si="16"/>
        <v/>
      </c>
      <c r="BH258" t="str">
        <f t="shared" si="17"/>
        <v/>
      </c>
      <c r="BK258">
        <v>254</v>
      </c>
      <c r="BL258" s="157" t="s">
        <v>2601</v>
      </c>
      <c r="BM258" s="159">
        <v>0.05</v>
      </c>
    </row>
    <row r="259" spans="55:65">
      <c r="BC259">
        <v>255</v>
      </c>
      <c r="BD259" s="387" t="s">
        <v>2602</v>
      </c>
      <c r="BE259" t="s">
        <v>2600</v>
      </c>
      <c r="BF259" t="s">
        <v>2000</v>
      </c>
      <c r="BG259" t="str">
        <f t="shared" si="16"/>
        <v/>
      </c>
      <c r="BH259" t="str">
        <f t="shared" si="17"/>
        <v/>
      </c>
      <c r="BK259">
        <v>255</v>
      </c>
      <c r="BL259" s="157" t="s">
        <v>2603</v>
      </c>
      <c r="BM259" s="159">
        <v>0.1</v>
      </c>
    </row>
    <row r="260" spans="55:65">
      <c r="BC260">
        <v>256</v>
      </c>
      <c r="BD260" s="387" t="s">
        <v>2604</v>
      </c>
      <c r="BE260" t="s">
        <v>2605</v>
      </c>
      <c r="BF260" t="s">
        <v>2051</v>
      </c>
      <c r="BG260" t="str">
        <f t="shared" si="16"/>
        <v/>
      </c>
      <c r="BH260" t="str">
        <f t="shared" si="17"/>
        <v/>
      </c>
      <c r="BK260">
        <v>256</v>
      </c>
      <c r="BL260" s="157" t="s">
        <v>2606</v>
      </c>
      <c r="BM260" s="159">
        <v>0.04</v>
      </c>
    </row>
    <row r="261" spans="55:65">
      <c r="BC261">
        <v>257</v>
      </c>
      <c r="BD261" s="387" t="s">
        <v>2607</v>
      </c>
      <c r="BE261" t="s">
        <v>2608</v>
      </c>
      <c r="BF261" t="s">
        <v>2561</v>
      </c>
      <c r="BG261" t="str">
        <f t="shared" si="16"/>
        <v/>
      </c>
      <c r="BH261" t="str">
        <f t="shared" si="17"/>
        <v/>
      </c>
      <c r="BK261">
        <v>257</v>
      </c>
      <c r="BL261" s="157" t="s">
        <v>2609</v>
      </c>
      <c r="BM261" s="159">
        <v>0.05</v>
      </c>
    </row>
    <row r="262" spans="55:65">
      <c r="BC262">
        <v>258</v>
      </c>
      <c r="BD262" s="387" t="s">
        <v>2610</v>
      </c>
      <c r="BE262" t="s">
        <v>2611</v>
      </c>
      <c r="BF262" t="s">
        <v>2612</v>
      </c>
      <c r="BG262" t="str">
        <f t="shared" ref="BG262:BG269" si="18">IFERROR(IF(AU263=FALSE,"",VLOOKUP(MATCH(AU263,KYTAXLOC,0),KYMUNITAXTABLE,3)),"No Tax")</f>
        <v/>
      </c>
      <c r="BH262" t="str">
        <f t="shared" ref="BH262:BH269" si="19">IFERROR(IF(AW263=FALSE,"",VLOOKUP(MATCH(AW263,KYTAXLOC,0),KYMUNITAXTABLE,3)),"No Tax")</f>
        <v/>
      </c>
      <c r="BK262">
        <v>258</v>
      </c>
      <c r="BL262" s="157" t="s">
        <v>2613</v>
      </c>
      <c r="BM262" s="159">
        <v>9.5000000000000001E-2</v>
      </c>
    </row>
    <row r="263" spans="55:65">
      <c r="BC263">
        <v>259</v>
      </c>
      <c r="BD263" s="387" t="s">
        <v>2614</v>
      </c>
      <c r="BE263" t="s">
        <v>2615</v>
      </c>
      <c r="BF263" t="s">
        <v>1931</v>
      </c>
      <c r="BG263" t="str">
        <f t="shared" si="18"/>
        <v/>
      </c>
      <c r="BH263" t="str">
        <f t="shared" si="19"/>
        <v/>
      </c>
      <c r="BK263">
        <v>259</v>
      </c>
      <c r="BL263" s="157" t="s">
        <v>2616</v>
      </c>
      <c r="BM263" s="159">
        <v>9.1999999999999998E-2</v>
      </c>
    </row>
    <row r="264" spans="55:65">
      <c r="BC264">
        <v>260</v>
      </c>
      <c r="BD264" s="387" t="s">
        <v>2617</v>
      </c>
      <c r="BE264" t="s">
        <v>2618</v>
      </c>
      <c r="BF264" t="s">
        <v>2240</v>
      </c>
      <c r="BG264" t="str">
        <f t="shared" si="18"/>
        <v/>
      </c>
      <c r="BH264" t="str">
        <f t="shared" si="19"/>
        <v/>
      </c>
      <c r="BK264">
        <v>260</v>
      </c>
      <c r="BL264" s="158" t="s">
        <v>2619</v>
      </c>
      <c r="BM264" s="159">
        <v>7.2499999999999995E-2</v>
      </c>
    </row>
    <row r="265" spans="55:65">
      <c r="BC265">
        <v>261</v>
      </c>
      <c r="BD265" s="387" t="s">
        <v>2620</v>
      </c>
      <c r="BE265" t="s">
        <v>2621</v>
      </c>
      <c r="BF265" t="s">
        <v>1995</v>
      </c>
      <c r="BG265" t="str">
        <f t="shared" si="18"/>
        <v/>
      </c>
      <c r="BH265" t="str">
        <f t="shared" si="19"/>
        <v/>
      </c>
      <c r="BK265">
        <v>261</v>
      </c>
      <c r="BL265" s="157" t="s">
        <v>2622</v>
      </c>
      <c r="BM265" s="159">
        <v>0.05</v>
      </c>
    </row>
    <row r="266" spans="55:65">
      <c r="BC266">
        <v>262</v>
      </c>
      <c r="BD266" s="387" t="s">
        <v>2623</v>
      </c>
      <c r="BE266" t="s">
        <v>2621</v>
      </c>
      <c r="BF266" t="s">
        <v>1995</v>
      </c>
      <c r="BG266" t="str">
        <f t="shared" si="18"/>
        <v/>
      </c>
      <c r="BH266" t="str">
        <f t="shared" si="19"/>
        <v/>
      </c>
      <c r="BK266">
        <v>262</v>
      </c>
      <c r="BL266" s="157" t="s">
        <v>2624</v>
      </c>
      <c r="BM266" s="159">
        <v>0.1</v>
      </c>
    </row>
    <row r="267" spans="55:65">
      <c r="BC267">
        <v>263</v>
      </c>
      <c r="BD267" s="387" t="s">
        <v>2625</v>
      </c>
      <c r="BE267" t="s">
        <v>2626</v>
      </c>
      <c r="BF267" t="s">
        <v>2044</v>
      </c>
      <c r="BG267" t="str">
        <f t="shared" si="18"/>
        <v/>
      </c>
      <c r="BH267" t="str">
        <f t="shared" si="19"/>
        <v/>
      </c>
      <c r="BK267">
        <v>263</v>
      </c>
      <c r="BL267" s="157" t="s">
        <v>2627</v>
      </c>
      <c r="BM267" s="159">
        <v>0.12</v>
      </c>
    </row>
    <row r="268" spans="55:65">
      <c r="BC268">
        <v>264</v>
      </c>
      <c r="BD268" s="387" t="s">
        <v>2628</v>
      </c>
      <c r="BE268" t="s">
        <v>2629</v>
      </c>
      <c r="BF268" t="s">
        <v>2630</v>
      </c>
      <c r="BG268" t="str">
        <f t="shared" si="18"/>
        <v/>
      </c>
      <c r="BH268" t="str">
        <f t="shared" si="19"/>
        <v/>
      </c>
      <c r="BK268">
        <v>264</v>
      </c>
      <c r="BL268" s="157" t="s">
        <v>2631</v>
      </c>
      <c r="BM268" s="159">
        <v>0.08</v>
      </c>
    </row>
    <row r="269" spans="55:65">
      <c r="BC269">
        <v>265</v>
      </c>
      <c r="BD269" s="387" t="s">
        <v>2632</v>
      </c>
      <c r="BE269" t="s">
        <v>2629</v>
      </c>
      <c r="BF269" t="s">
        <v>2630</v>
      </c>
      <c r="BG269" t="str">
        <f t="shared" si="18"/>
        <v/>
      </c>
      <c r="BH269" t="str">
        <f t="shared" si="19"/>
        <v/>
      </c>
      <c r="BK269">
        <v>265</v>
      </c>
      <c r="BL269" s="157" t="s">
        <v>2633</v>
      </c>
      <c r="BM269" s="159">
        <v>0.1</v>
      </c>
    </row>
    <row r="270" spans="55:65">
      <c r="BK270">
        <v>266</v>
      </c>
      <c r="BL270" s="158" t="s">
        <v>2634</v>
      </c>
      <c r="BM270" s="159">
        <v>0.05</v>
      </c>
    </row>
    <row r="271" spans="55:65">
      <c r="BK271">
        <v>267</v>
      </c>
      <c r="BL271" s="158" t="s">
        <v>2635</v>
      </c>
      <c r="BM271" s="159">
        <v>0.1</v>
      </c>
    </row>
    <row r="272" spans="55:65">
      <c r="BK272">
        <v>268</v>
      </c>
      <c r="BL272" s="157" t="s">
        <v>2636</v>
      </c>
      <c r="BM272" s="159">
        <v>0.05</v>
      </c>
    </row>
    <row r="273" spans="63:65">
      <c r="BK273">
        <v>269</v>
      </c>
      <c r="BL273" s="157" t="s">
        <v>2637</v>
      </c>
      <c r="BM273" s="159">
        <v>0.09</v>
      </c>
    </row>
    <row r="274" spans="63:65">
      <c r="BK274">
        <v>270</v>
      </c>
      <c r="BL274" s="157" t="s">
        <v>2638</v>
      </c>
      <c r="BM274" s="159">
        <v>0.05</v>
      </c>
    </row>
    <row r="275" spans="63:65">
      <c r="BK275">
        <v>271</v>
      </c>
      <c r="BL275" s="157" t="s">
        <v>2639</v>
      </c>
      <c r="BM275" s="159">
        <v>0.1</v>
      </c>
    </row>
    <row r="276" spans="63:65">
      <c r="BK276">
        <v>272</v>
      </c>
      <c r="BL276" s="157" t="s">
        <v>2640</v>
      </c>
      <c r="BM276" s="159">
        <v>0.05</v>
      </c>
    </row>
    <row r="277" spans="63:65">
      <c r="BK277">
        <v>273</v>
      </c>
      <c r="BL277" s="157" t="s">
        <v>2641</v>
      </c>
      <c r="BM277" s="159">
        <v>0.1</v>
      </c>
    </row>
    <row r="278" spans="63:65">
      <c r="BK278">
        <v>274</v>
      </c>
      <c r="BL278" s="157" t="s">
        <v>2642</v>
      </c>
      <c r="BM278" s="159">
        <v>0.05</v>
      </c>
    </row>
    <row r="279" spans="63:65">
      <c r="BK279">
        <v>275</v>
      </c>
      <c r="BL279" s="157" t="s">
        <v>2643</v>
      </c>
      <c r="BM279" s="159">
        <v>0.05</v>
      </c>
    </row>
    <row r="280" spans="63:65">
      <c r="BK280">
        <v>276</v>
      </c>
      <c r="BL280" s="157" t="s">
        <v>2644</v>
      </c>
      <c r="BM280" s="159">
        <v>0.1</v>
      </c>
    </row>
    <row r="281" spans="63:65">
      <c r="BK281">
        <v>277</v>
      </c>
      <c r="BL281" s="157" t="s">
        <v>2645</v>
      </c>
      <c r="BM281" s="159">
        <v>0.09</v>
      </c>
    </row>
    <row r="282" spans="63:65">
      <c r="BK282">
        <v>278</v>
      </c>
      <c r="BL282" s="157" t="s">
        <v>2646</v>
      </c>
      <c r="BM282" s="159">
        <v>0.1</v>
      </c>
    </row>
    <row r="283" spans="63:65">
      <c r="BK283">
        <v>279</v>
      </c>
      <c r="BL283" s="157" t="s">
        <v>2647</v>
      </c>
      <c r="BM283" s="159">
        <v>7.4999999999999997E-2</v>
      </c>
    </row>
    <row r="284" spans="63:65">
      <c r="BK284">
        <v>280</v>
      </c>
      <c r="BL284" s="157" t="s">
        <v>2648</v>
      </c>
      <c r="BM284" s="159">
        <v>0.1</v>
      </c>
    </row>
    <row r="285" spans="63:65">
      <c r="BK285">
        <v>281</v>
      </c>
      <c r="BL285" s="157" t="s">
        <v>2649</v>
      </c>
      <c r="BM285" s="159">
        <v>0.08</v>
      </c>
    </row>
    <row r="286" spans="63:65">
      <c r="BK286">
        <v>282</v>
      </c>
      <c r="BL286" s="157" t="s">
        <v>2650</v>
      </c>
      <c r="BM286" s="159">
        <v>7.0000000000000007E-2</v>
      </c>
    </row>
    <row r="287" spans="63:65">
      <c r="BK287">
        <v>283</v>
      </c>
      <c r="BL287" s="157" t="s">
        <v>2651</v>
      </c>
      <c r="BM287" s="159">
        <v>4.9000000000000002E-2</v>
      </c>
    </row>
    <row r="288" spans="63:65">
      <c r="BK288">
        <v>284</v>
      </c>
      <c r="BL288" s="157" t="s">
        <v>2652</v>
      </c>
      <c r="BM288" s="159">
        <v>0.08</v>
      </c>
    </row>
    <row r="289" spans="63:65">
      <c r="BK289">
        <v>285</v>
      </c>
      <c r="BL289" s="157" t="s">
        <v>2653</v>
      </c>
      <c r="BM289" s="159">
        <v>0.1</v>
      </c>
    </row>
    <row r="290" spans="63:65">
      <c r="BK290">
        <v>286</v>
      </c>
      <c r="BL290" s="157" t="s">
        <v>2654</v>
      </c>
      <c r="BM290" s="159">
        <v>0.08</v>
      </c>
    </row>
    <row r="291" spans="63:65">
      <c r="BK291">
        <v>287</v>
      </c>
      <c r="BL291" s="157" t="s">
        <v>2655</v>
      </c>
      <c r="BM291" s="159">
        <v>0.1</v>
      </c>
    </row>
    <row r="292" spans="63:65">
      <c r="BK292">
        <v>288</v>
      </c>
      <c r="BL292" s="157" t="s">
        <v>2656</v>
      </c>
      <c r="BM292" s="159">
        <v>0.05</v>
      </c>
    </row>
    <row r="293" spans="63:65">
      <c r="BK293">
        <v>289</v>
      </c>
      <c r="BL293" s="157" t="s">
        <v>2657</v>
      </c>
      <c r="BM293" s="159">
        <v>5.5E-2</v>
      </c>
    </row>
    <row r="294" spans="63:65">
      <c r="BK294">
        <v>290</v>
      </c>
      <c r="BL294" s="157" t="s">
        <v>2658</v>
      </c>
      <c r="BM294" s="159">
        <v>0.1</v>
      </c>
    </row>
    <row r="295" spans="63:65">
      <c r="BK295">
        <v>291</v>
      </c>
      <c r="BL295" s="157" t="s">
        <v>2659</v>
      </c>
      <c r="BM295" s="159">
        <v>0.1</v>
      </c>
    </row>
    <row r="296" spans="63:65">
      <c r="BK296">
        <v>292</v>
      </c>
      <c r="BL296" s="157" t="s">
        <v>2660</v>
      </c>
      <c r="BM296" s="159">
        <v>0.08</v>
      </c>
    </row>
    <row r="297" spans="63:65">
      <c r="BK297">
        <v>293</v>
      </c>
      <c r="BL297" s="157" t="s">
        <v>2661</v>
      </c>
      <c r="BM297" s="159">
        <v>0.05</v>
      </c>
    </row>
    <row r="298" spans="63:65">
      <c r="BK298">
        <v>294</v>
      </c>
      <c r="BL298" s="157" t="s">
        <v>2662</v>
      </c>
      <c r="BM298" s="159">
        <v>0.05</v>
      </c>
    </row>
    <row r="299" spans="63:65">
      <c r="BK299">
        <v>295</v>
      </c>
      <c r="BL299" s="157" t="s">
        <v>2663</v>
      </c>
      <c r="BM299" s="159">
        <v>0.1</v>
      </c>
    </row>
    <row r="300" spans="63:65">
      <c r="BK300">
        <v>296</v>
      </c>
      <c r="BL300" s="157" t="s">
        <v>2664</v>
      </c>
      <c r="BM300" s="159">
        <v>0.05</v>
      </c>
    </row>
    <row r="301" spans="63:65">
      <c r="BK301">
        <v>297</v>
      </c>
      <c r="BL301" s="157" t="s">
        <v>2665</v>
      </c>
      <c r="BM301" s="159">
        <v>0.09</v>
      </c>
    </row>
    <row r="302" spans="63:65">
      <c r="BK302">
        <v>298</v>
      </c>
      <c r="BL302" s="157" t="s">
        <v>2666</v>
      </c>
      <c r="BM302" s="159">
        <v>0.05</v>
      </c>
    </row>
    <row r="303" spans="63:65">
      <c r="BK303">
        <v>299</v>
      </c>
      <c r="BL303" s="158" t="s">
        <v>2667</v>
      </c>
      <c r="BM303" s="159">
        <v>0.08</v>
      </c>
    </row>
    <row r="304" spans="63:65">
      <c r="BK304">
        <v>300</v>
      </c>
      <c r="BL304" s="157" t="s">
        <v>2668</v>
      </c>
      <c r="BM304" s="159">
        <v>0.06</v>
      </c>
    </row>
    <row r="305" spans="63:65">
      <c r="BK305">
        <v>301</v>
      </c>
      <c r="BL305" s="157" t="s">
        <v>2669</v>
      </c>
      <c r="BM305" s="159">
        <v>0.08</v>
      </c>
    </row>
    <row r="306" spans="63:65">
      <c r="BK306">
        <v>302</v>
      </c>
      <c r="BL306" s="157" t="s">
        <v>2670</v>
      </c>
      <c r="BM306" s="159">
        <v>7.0000000000000007E-2</v>
      </c>
    </row>
    <row r="307" spans="63:65">
      <c r="BK307">
        <v>303</v>
      </c>
      <c r="BL307" s="157" t="s">
        <v>2671</v>
      </c>
      <c r="BM307" s="159">
        <v>7.4999999999999997E-2</v>
      </c>
    </row>
    <row r="308" spans="63:65">
      <c r="BK308">
        <v>304</v>
      </c>
      <c r="BL308" s="157" t="s">
        <v>2672</v>
      </c>
      <c r="BM308" s="159">
        <v>5.5E-2</v>
      </c>
    </row>
    <row r="309" spans="63:65">
      <c r="BK309">
        <v>305</v>
      </c>
      <c r="BL309" s="157" t="s">
        <v>2673</v>
      </c>
      <c r="BM309" s="159">
        <v>0.12</v>
      </c>
    </row>
    <row r="310" spans="63:65">
      <c r="BK310">
        <v>306</v>
      </c>
      <c r="BL310" s="157" t="s">
        <v>2674</v>
      </c>
      <c r="BM310" s="159">
        <v>0.11</v>
      </c>
    </row>
    <row r="311" spans="63:65">
      <c r="BK311">
        <v>307</v>
      </c>
      <c r="BL311" s="157" t="s">
        <v>2675</v>
      </c>
      <c r="BM311" s="159">
        <v>0.1</v>
      </c>
    </row>
    <row r="312" spans="63:65">
      <c r="BK312">
        <v>308</v>
      </c>
      <c r="BL312" s="157" t="s">
        <v>2676</v>
      </c>
      <c r="BM312" s="159">
        <v>0.05</v>
      </c>
    </row>
    <row r="313" spans="63:65">
      <c r="BK313">
        <v>309</v>
      </c>
      <c r="BL313" s="157" t="s">
        <v>2677</v>
      </c>
      <c r="BM313" s="159">
        <v>0.08</v>
      </c>
    </row>
    <row r="314" spans="63:65">
      <c r="BK314">
        <v>310</v>
      </c>
      <c r="BL314" s="157" t="s">
        <v>2678</v>
      </c>
      <c r="BM314" s="159">
        <v>0.1</v>
      </c>
    </row>
    <row r="315" spans="63:65">
      <c r="BK315">
        <v>311</v>
      </c>
      <c r="BL315" s="157" t="s">
        <v>2679</v>
      </c>
      <c r="BM315" s="159">
        <v>0.05</v>
      </c>
    </row>
    <row r="316" spans="63:65">
      <c r="BK316">
        <v>312</v>
      </c>
      <c r="BL316" s="157" t="s">
        <v>2680</v>
      </c>
      <c r="BM316" s="159">
        <v>0.08</v>
      </c>
    </row>
    <row r="317" spans="63:65">
      <c r="BK317">
        <v>313</v>
      </c>
      <c r="BL317" s="157" t="s">
        <v>2681</v>
      </c>
      <c r="BM317" s="159">
        <v>0.05</v>
      </c>
    </row>
    <row r="318" spans="63:65">
      <c r="BK318">
        <v>314</v>
      </c>
      <c r="BL318" s="157" t="s">
        <v>2682</v>
      </c>
      <c r="BM318" s="159">
        <v>0.04</v>
      </c>
    </row>
    <row r="319" spans="63:65">
      <c r="BK319">
        <v>315</v>
      </c>
      <c r="BL319" s="157" t="s">
        <v>2683</v>
      </c>
      <c r="BM319" s="159">
        <v>0.06</v>
      </c>
    </row>
    <row r="320" spans="63:65">
      <c r="BK320">
        <v>316</v>
      </c>
      <c r="BL320" s="157" t="s">
        <v>2684</v>
      </c>
      <c r="BM320" s="159">
        <v>0.05</v>
      </c>
    </row>
    <row r="321" spans="63:65">
      <c r="BK321">
        <v>317</v>
      </c>
      <c r="BL321" s="157" t="s">
        <v>2685</v>
      </c>
      <c r="BM321" s="159">
        <v>0.05</v>
      </c>
    </row>
    <row r="322" spans="63:65">
      <c r="BK322">
        <v>318</v>
      </c>
      <c r="BL322" s="157" t="s">
        <v>2686</v>
      </c>
      <c r="BM322" s="159">
        <v>0.1</v>
      </c>
    </row>
    <row r="323" spans="63:65">
      <c r="BK323">
        <v>319</v>
      </c>
      <c r="BL323" s="157" t="s">
        <v>2687</v>
      </c>
      <c r="BM323" s="159">
        <v>7.0000000000000007E-2</v>
      </c>
    </row>
    <row r="324" spans="63:65">
      <c r="BK324">
        <v>320</v>
      </c>
      <c r="BL324" s="157" t="s">
        <v>2688</v>
      </c>
      <c r="BM324" s="159">
        <v>7.0000000000000007E-2</v>
      </c>
    </row>
    <row r="325" spans="63:65">
      <c r="BK325">
        <v>321</v>
      </c>
      <c r="BL325" s="157" t="s">
        <v>2689</v>
      </c>
      <c r="BM325" s="159">
        <v>0.08</v>
      </c>
    </row>
    <row r="326" spans="63:65">
      <c r="BK326">
        <v>322</v>
      </c>
      <c r="BL326" s="157" t="s">
        <v>2690</v>
      </c>
      <c r="BM326" s="159">
        <v>0.1</v>
      </c>
    </row>
    <row r="327" spans="63:65">
      <c r="BK327">
        <v>323</v>
      </c>
      <c r="BL327" s="157" t="s">
        <v>2691</v>
      </c>
      <c r="BM327" s="159">
        <v>0.08</v>
      </c>
    </row>
    <row r="328" spans="63:65">
      <c r="BK328">
        <v>324</v>
      </c>
      <c r="BL328" s="157" t="s">
        <v>2692</v>
      </c>
      <c r="BM328" s="159">
        <v>0.05</v>
      </c>
    </row>
    <row r="329" spans="63:65">
      <c r="BK329">
        <v>325</v>
      </c>
      <c r="BL329" s="157" t="s">
        <v>2693</v>
      </c>
      <c r="BM329" s="159">
        <v>0.09</v>
      </c>
    </row>
    <row r="330" spans="63:65">
      <c r="BK330">
        <v>326</v>
      </c>
      <c r="BL330" s="158" t="s">
        <v>2694</v>
      </c>
      <c r="BM330" s="159">
        <v>0.05</v>
      </c>
    </row>
    <row r="331" spans="63:65">
      <c r="BK331">
        <v>327</v>
      </c>
      <c r="BL331" s="157" t="s">
        <v>2695</v>
      </c>
      <c r="BM331" s="159">
        <v>7.0000000000000007E-2</v>
      </c>
    </row>
    <row r="332" spans="63:65">
      <c r="BK332">
        <v>328</v>
      </c>
      <c r="BL332" s="157" t="s">
        <v>2696</v>
      </c>
      <c r="BM332" s="159">
        <v>7.0000000000000007E-2</v>
      </c>
    </row>
    <row r="333" spans="63:65">
      <c r="BK333">
        <v>329</v>
      </c>
      <c r="BL333" s="157" t="s">
        <v>2697</v>
      </c>
      <c r="BM333" s="159">
        <v>0.05</v>
      </c>
    </row>
    <row r="334" spans="63:65">
      <c r="BK334">
        <v>330</v>
      </c>
      <c r="BL334" s="157" t="s">
        <v>2698</v>
      </c>
      <c r="BM334" s="159">
        <v>0.05</v>
      </c>
    </row>
    <row r="335" spans="63:65">
      <c r="BK335">
        <v>331</v>
      </c>
      <c r="BL335" s="157" t="s">
        <v>2699</v>
      </c>
      <c r="BM335" s="159">
        <v>0.05</v>
      </c>
    </row>
    <row r="336" spans="63:65">
      <c r="BK336">
        <v>332</v>
      </c>
      <c r="BL336" s="157" t="s">
        <v>2700</v>
      </c>
      <c r="BM336" s="159">
        <v>0.1</v>
      </c>
    </row>
    <row r="337" spans="63:65">
      <c r="BK337">
        <v>333</v>
      </c>
      <c r="BL337" s="157" t="s">
        <v>2701</v>
      </c>
      <c r="BM337" s="159">
        <v>0.1</v>
      </c>
    </row>
    <row r="338" spans="63:65">
      <c r="BK338">
        <v>334</v>
      </c>
      <c r="BL338" s="157" t="s">
        <v>2702</v>
      </c>
      <c r="BM338" s="159">
        <v>0.05</v>
      </c>
    </row>
    <row r="339" spans="63:65">
      <c r="BK339">
        <v>335</v>
      </c>
      <c r="BL339" s="157" t="s">
        <v>2703</v>
      </c>
      <c r="BM339" s="159">
        <v>0.05</v>
      </c>
    </row>
    <row r="340" spans="63:65">
      <c r="BK340">
        <v>336</v>
      </c>
      <c r="BL340" s="157" t="s">
        <v>2704</v>
      </c>
      <c r="BM340" s="159">
        <v>6.5000000000000002E-2</v>
      </c>
    </row>
    <row r="341" spans="63:65">
      <c r="BK341">
        <v>337</v>
      </c>
      <c r="BL341" s="157" t="s">
        <v>2705</v>
      </c>
      <c r="BM341" s="159" t="s">
        <v>2441</v>
      </c>
    </row>
    <row r="342" spans="63:65">
      <c r="BK342">
        <v>338</v>
      </c>
      <c r="BL342" s="157" t="s">
        <v>2706</v>
      </c>
      <c r="BM342" s="159">
        <v>7.0000000000000007E-2</v>
      </c>
    </row>
    <row r="343" spans="63:65">
      <c r="BK343">
        <v>339</v>
      </c>
      <c r="BL343" s="157" t="s">
        <v>2707</v>
      </c>
      <c r="BM343" s="159">
        <v>0.06</v>
      </c>
    </row>
    <row r="344" spans="63:65">
      <c r="BK344">
        <v>340</v>
      </c>
      <c r="BL344" s="157" t="s">
        <v>2708</v>
      </c>
      <c r="BM344" s="159">
        <v>0.06</v>
      </c>
    </row>
    <row r="345" spans="63:65">
      <c r="BK345">
        <v>341</v>
      </c>
      <c r="BL345" s="157" t="s">
        <v>2709</v>
      </c>
      <c r="BM345" s="159">
        <v>0.1</v>
      </c>
    </row>
    <row r="346" spans="63:65">
      <c r="BK346">
        <v>342</v>
      </c>
      <c r="BL346" s="157" t="s">
        <v>2710</v>
      </c>
      <c r="BM346" s="159">
        <v>0.06</v>
      </c>
    </row>
    <row r="347" spans="63:65">
      <c r="BK347">
        <v>343</v>
      </c>
      <c r="BL347" s="157" t="s">
        <v>2711</v>
      </c>
      <c r="BM347" s="159">
        <v>0.03</v>
      </c>
    </row>
    <row r="348" spans="63:65">
      <c r="BK348">
        <v>344</v>
      </c>
      <c r="BL348" s="157" t="s">
        <v>2712</v>
      </c>
      <c r="BM348" s="159">
        <v>0.05</v>
      </c>
    </row>
    <row r="349" spans="63:65">
      <c r="BK349">
        <v>345</v>
      </c>
      <c r="BL349" s="157" t="s">
        <v>2713</v>
      </c>
      <c r="BM349" s="159">
        <v>0.06</v>
      </c>
    </row>
    <row r="350" spans="63:65">
      <c r="BK350">
        <v>346</v>
      </c>
      <c r="BL350" s="158" t="s">
        <v>2714</v>
      </c>
      <c r="BM350" s="159">
        <v>0.1</v>
      </c>
    </row>
    <row r="351" spans="63:65">
      <c r="BK351">
        <v>347</v>
      </c>
      <c r="BL351" s="157" t="s">
        <v>2715</v>
      </c>
      <c r="BM351" s="159">
        <v>0.05</v>
      </c>
    </row>
    <row r="352" spans="63:65">
      <c r="BK352">
        <v>348</v>
      </c>
      <c r="BL352" s="157" t="s">
        <v>2716</v>
      </c>
      <c r="BM352" s="159">
        <v>0.05</v>
      </c>
    </row>
    <row r="353" spans="63:65">
      <c r="BK353">
        <v>349</v>
      </c>
      <c r="BL353" s="157" t="s">
        <v>2717</v>
      </c>
      <c r="BM353" s="159">
        <v>0.06</v>
      </c>
    </row>
    <row r="354" spans="63:65">
      <c r="BK354">
        <v>350</v>
      </c>
      <c r="BL354" s="157" t="s">
        <v>2718</v>
      </c>
      <c r="BM354" s="159">
        <v>0.09</v>
      </c>
    </row>
    <row r="355" spans="63:65">
      <c r="BK355">
        <v>351</v>
      </c>
      <c r="BL355" s="157" t="s">
        <v>2719</v>
      </c>
      <c r="BM355" s="159">
        <v>0.1</v>
      </c>
    </row>
    <row r="356" spans="63:65">
      <c r="BK356">
        <v>352</v>
      </c>
      <c r="BL356" s="157" t="s">
        <v>2720</v>
      </c>
      <c r="BM356" s="159">
        <v>7.0000000000000007E-2</v>
      </c>
    </row>
    <row r="357" spans="63:65">
      <c r="BK357">
        <v>353</v>
      </c>
      <c r="BL357" s="157" t="s">
        <v>2721</v>
      </c>
      <c r="BM357" s="159">
        <v>0.05</v>
      </c>
    </row>
    <row r="358" spans="63:65">
      <c r="BK358">
        <v>354</v>
      </c>
      <c r="BL358" s="157" t="s">
        <v>2722</v>
      </c>
      <c r="BM358" s="159">
        <v>0.12</v>
      </c>
    </row>
    <row r="359" spans="63:65">
      <c r="BK359">
        <v>355</v>
      </c>
      <c r="BL359" s="157" t="s">
        <v>2723</v>
      </c>
      <c r="BM359" s="159">
        <v>0.08</v>
      </c>
    </row>
    <row r="360" spans="63:65">
      <c r="BK360">
        <v>356</v>
      </c>
      <c r="BL360" s="157" t="s">
        <v>2724</v>
      </c>
      <c r="BM360" s="159">
        <v>0.08</v>
      </c>
    </row>
    <row r="361" spans="63:65">
      <c r="BK361">
        <v>357</v>
      </c>
      <c r="BL361" s="157" t="s">
        <v>2725</v>
      </c>
      <c r="BM361" s="159">
        <v>7.0000000000000007E-2</v>
      </c>
    </row>
    <row r="362" spans="63:65">
      <c r="BK362">
        <v>358</v>
      </c>
      <c r="BL362" s="157" t="s">
        <v>2726</v>
      </c>
      <c r="BM362" s="159">
        <v>0.05</v>
      </c>
    </row>
    <row r="363" spans="63:65">
      <c r="BK363">
        <v>359</v>
      </c>
      <c r="BL363" s="157" t="s">
        <v>2727</v>
      </c>
      <c r="BM363" s="159">
        <v>0.05</v>
      </c>
    </row>
    <row r="364" spans="63:65">
      <c r="BK364">
        <v>360</v>
      </c>
      <c r="BL364" s="157" t="s">
        <v>2728</v>
      </c>
      <c r="BM364" s="159">
        <v>0.06</v>
      </c>
    </row>
    <row r="365" spans="63:65">
      <c r="BK365">
        <v>361</v>
      </c>
      <c r="BL365" s="157" t="s">
        <v>2729</v>
      </c>
      <c r="BM365" s="159">
        <v>0.05</v>
      </c>
    </row>
    <row r="366" spans="63:65">
      <c r="BK366">
        <v>362</v>
      </c>
      <c r="BL366" s="157" t="s">
        <v>2730</v>
      </c>
      <c r="BM366" s="159">
        <v>0.06</v>
      </c>
    </row>
    <row r="367" spans="63:65">
      <c r="BK367">
        <v>363</v>
      </c>
      <c r="BL367" s="157" t="s">
        <v>2731</v>
      </c>
      <c r="BM367" s="159">
        <v>0.06</v>
      </c>
    </row>
    <row r="368" spans="63:65">
      <c r="BK368">
        <v>364</v>
      </c>
      <c r="BL368" s="157" t="s">
        <v>2732</v>
      </c>
      <c r="BM368" s="159">
        <v>0.1</v>
      </c>
    </row>
    <row r="369" spans="63:65">
      <c r="BK369">
        <v>365</v>
      </c>
      <c r="BL369" s="157" t="s">
        <v>2733</v>
      </c>
      <c r="BM369" s="159">
        <v>0.12</v>
      </c>
    </row>
    <row r="370" spans="63:65">
      <c r="BK370">
        <v>366</v>
      </c>
      <c r="BL370" s="157" t="s">
        <v>2734</v>
      </c>
      <c r="BM370" s="159">
        <v>0.06</v>
      </c>
    </row>
    <row r="371" spans="63:65">
      <c r="BK371">
        <v>367</v>
      </c>
      <c r="BL371" s="157" t="s">
        <v>2735</v>
      </c>
      <c r="BM371" s="159">
        <v>0.09</v>
      </c>
    </row>
    <row r="372" spans="63:65">
      <c r="BK372">
        <v>368</v>
      </c>
      <c r="BL372" s="158" t="s">
        <v>2736</v>
      </c>
      <c r="BM372" s="159">
        <v>0.05</v>
      </c>
    </row>
    <row r="373" spans="63:65">
      <c r="BK373">
        <v>369</v>
      </c>
      <c r="BL373" s="157" t="s">
        <v>2737</v>
      </c>
      <c r="BM373" s="159">
        <v>0.05</v>
      </c>
    </row>
    <row r="374" spans="63:65">
      <c r="BK374">
        <v>370</v>
      </c>
      <c r="BL374" s="157" t="s">
        <v>2738</v>
      </c>
      <c r="BM374" s="159">
        <v>0.1</v>
      </c>
    </row>
    <row r="375" spans="63:65">
      <c r="BK375">
        <v>371</v>
      </c>
      <c r="BL375" s="157" t="s">
        <v>2739</v>
      </c>
      <c r="BM375" s="159">
        <v>0.05</v>
      </c>
    </row>
    <row r="376" spans="63:65">
      <c r="BK376">
        <v>372</v>
      </c>
      <c r="BL376" s="157" t="s">
        <v>2740</v>
      </c>
      <c r="BM376" s="159" t="s">
        <v>2441</v>
      </c>
    </row>
    <row r="377" spans="63:65">
      <c r="BK377">
        <v>373</v>
      </c>
      <c r="BL377" s="157" t="s">
        <v>2741</v>
      </c>
      <c r="BM377" s="159">
        <v>0.04</v>
      </c>
    </row>
    <row r="378" spans="63:65">
      <c r="BK378">
        <v>374</v>
      </c>
      <c r="BL378" s="157" t="s">
        <v>2742</v>
      </c>
      <c r="BM378" s="159">
        <v>0.05</v>
      </c>
    </row>
    <row r="379" spans="63:65">
      <c r="BK379">
        <v>375</v>
      </c>
      <c r="BL379" s="157" t="s">
        <v>2743</v>
      </c>
      <c r="BM379" s="159">
        <v>0.08</v>
      </c>
    </row>
    <row r="380" spans="63:65">
      <c r="BK380">
        <v>376</v>
      </c>
      <c r="BL380" s="157" t="s">
        <v>2744</v>
      </c>
      <c r="BM380" s="159">
        <v>0.05</v>
      </c>
    </row>
    <row r="381" spans="63:65">
      <c r="BK381">
        <v>377</v>
      </c>
      <c r="BL381" s="157" t="s">
        <v>2745</v>
      </c>
      <c r="BM381" s="159">
        <v>0.05</v>
      </c>
    </row>
    <row r="382" spans="63:65">
      <c r="BK382">
        <v>378</v>
      </c>
      <c r="BL382" s="158" t="s">
        <v>2746</v>
      </c>
      <c r="BM382" s="159">
        <v>0.15</v>
      </c>
    </row>
    <row r="383" spans="63:65">
      <c r="BK383">
        <v>379</v>
      </c>
      <c r="BL383" s="157" t="s">
        <v>2747</v>
      </c>
      <c r="BM383" s="159">
        <v>0.1</v>
      </c>
    </row>
    <row r="384" spans="63:65">
      <c r="BK384">
        <v>380</v>
      </c>
      <c r="BL384" s="157" t="s">
        <v>2748</v>
      </c>
      <c r="BM384" s="159">
        <v>0.12</v>
      </c>
    </row>
    <row r="385" spans="63:65">
      <c r="BK385">
        <v>381</v>
      </c>
      <c r="BL385" s="157" t="s">
        <v>2749</v>
      </c>
      <c r="BM385" s="159">
        <v>0.06</v>
      </c>
    </row>
    <row r="386" spans="63:65">
      <c r="BK386">
        <v>382</v>
      </c>
      <c r="BL386" s="157" t="s">
        <v>2750</v>
      </c>
      <c r="BM386" s="159">
        <v>0.08</v>
      </c>
    </row>
    <row r="387" spans="63:65">
      <c r="BK387">
        <v>383</v>
      </c>
      <c r="BL387" s="158" t="s">
        <v>2751</v>
      </c>
      <c r="BM387" s="159">
        <v>0.05</v>
      </c>
    </row>
    <row r="388" spans="63:65">
      <c r="BK388">
        <v>384</v>
      </c>
      <c r="BL388" s="158" t="s">
        <v>2752</v>
      </c>
      <c r="BM388" s="159">
        <v>0.1</v>
      </c>
    </row>
    <row r="389" spans="63:65">
      <c r="BK389">
        <v>385</v>
      </c>
      <c r="BL389" s="157" t="s">
        <v>2753</v>
      </c>
      <c r="BM389" s="159">
        <v>0.05</v>
      </c>
    </row>
    <row r="390" spans="63:65">
      <c r="BK390">
        <v>386</v>
      </c>
      <c r="BL390" s="157" t="s">
        <v>2754</v>
      </c>
      <c r="BM390" s="159">
        <v>8.8999999999999996E-2</v>
      </c>
    </row>
    <row r="391" spans="63:65">
      <c r="BK391">
        <v>387</v>
      </c>
      <c r="BL391" s="157" t="s">
        <v>2755</v>
      </c>
      <c r="BM391" s="159">
        <v>6.4000000000000001E-2</v>
      </c>
    </row>
    <row r="392" spans="63:65">
      <c r="BK392">
        <v>388</v>
      </c>
      <c r="BL392" s="157" t="s">
        <v>2756</v>
      </c>
      <c r="BM392" s="159">
        <v>0.1</v>
      </c>
    </row>
    <row r="393" spans="63:65">
      <c r="BK393">
        <v>389</v>
      </c>
      <c r="BL393" s="157" t="s">
        <v>2757</v>
      </c>
      <c r="BM393" s="159">
        <v>0.05</v>
      </c>
    </row>
    <row r="394" spans="63:65">
      <c r="BK394">
        <v>390</v>
      </c>
      <c r="BL394" s="157" t="s">
        <v>2758</v>
      </c>
      <c r="BM394" s="159">
        <v>0.06</v>
      </c>
    </row>
    <row r="395" spans="63:65">
      <c r="BK395">
        <v>391</v>
      </c>
      <c r="BL395" s="157" t="s">
        <v>2759</v>
      </c>
      <c r="BM395" s="159">
        <v>6.7500000000000004E-2</v>
      </c>
    </row>
    <row r="396" spans="63:65">
      <c r="BK396">
        <v>392</v>
      </c>
      <c r="BL396" s="157" t="s">
        <v>2760</v>
      </c>
      <c r="BM396" s="159">
        <v>7.0000000000000007E-2</v>
      </c>
    </row>
    <row r="397" spans="63:65">
      <c r="BK397">
        <v>393</v>
      </c>
      <c r="BL397" s="157" t="s">
        <v>2761</v>
      </c>
      <c r="BM397" s="159">
        <v>0.08</v>
      </c>
    </row>
    <row r="398" spans="63:65">
      <c r="BK398">
        <v>394</v>
      </c>
      <c r="BL398" s="157" t="s">
        <v>2762</v>
      </c>
      <c r="BM398" s="159">
        <v>0.05</v>
      </c>
    </row>
    <row r="399" spans="63:65">
      <c r="BK399">
        <v>395</v>
      </c>
      <c r="BL399" s="157" t="s">
        <v>2763</v>
      </c>
      <c r="BM399" s="159">
        <v>0.05</v>
      </c>
    </row>
    <row r="400" spans="63:65">
      <c r="BK400">
        <v>396</v>
      </c>
      <c r="BL400" s="157" t="s">
        <v>2764</v>
      </c>
      <c r="BM400" s="159">
        <v>7.0000000000000007E-2</v>
      </c>
    </row>
    <row r="401" spans="63:65">
      <c r="BK401">
        <v>397</v>
      </c>
      <c r="BL401" s="157" t="s">
        <v>2765</v>
      </c>
      <c r="BM401" s="159">
        <v>0.05</v>
      </c>
    </row>
    <row r="402" spans="63:65">
      <c r="BK402">
        <v>398</v>
      </c>
      <c r="BL402" s="157" t="s">
        <v>2766</v>
      </c>
      <c r="BM402" s="159">
        <v>0.08</v>
      </c>
    </row>
    <row r="403" spans="63:65">
      <c r="BK403">
        <v>399</v>
      </c>
      <c r="BL403" s="157" t="s">
        <v>2767</v>
      </c>
      <c r="BM403" s="159">
        <v>0.1</v>
      </c>
    </row>
    <row r="404" spans="63:65">
      <c r="BK404">
        <v>400</v>
      </c>
      <c r="BL404" s="157" t="s">
        <v>2768</v>
      </c>
      <c r="BM404" s="159">
        <v>0.05</v>
      </c>
    </row>
    <row r="405" spans="63:65">
      <c r="BK405">
        <v>401</v>
      </c>
      <c r="BL405" s="157" t="s">
        <v>2769</v>
      </c>
      <c r="BM405" s="159">
        <v>0.08</v>
      </c>
    </row>
    <row r="406" spans="63:65">
      <c r="BK406">
        <v>402</v>
      </c>
      <c r="BL406" s="157" t="s">
        <v>2770</v>
      </c>
      <c r="BM406" s="159">
        <v>0.06</v>
      </c>
    </row>
    <row r="407" spans="63:65">
      <c r="BK407">
        <v>403</v>
      </c>
      <c r="BL407" s="157" t="s">
        <v>2771</v>
      </c>
      <c r="BM407" s="159">
        <v>0.05</v>
      </c>
    </row>
    <row r="408" spans="63:65">
      <c r="BK408">
        <v>404</v>
      </c>
      <c r="BL408" s="157" t="s">
        <v>2772</v>
      </c>
      <c r="BM408" s="159">
        <v>0.08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O62"/>
  <sheetViews>
    <sheetView workbookViewId="0">
      <selection activeCell="H2" sqref="H2:H9"/>
    </sheetView>
  </sheetViews>
  <sheetFormatPr defaultRowHeight="14.25"/>
  <cols>
    <col min="2" max="2" width="16.25" customWidth="1"/>
    <col min="3" max="3" width="10" bestFit="1" customWidth="1"/>
    <col min="5" max="6" width="13.125" bestFit="1" customWidth="1"/>
    <col min="8" max="8" width="21.875" customWidth="1"/>
  </cols>
  <sheetData>
    <row r="1" spans="1:15" ht="15" thickBot="1">
      <c r="A1" t="s">
        <v>2773</v>
      </c>
      <c r="C1" t="s">
        <v>2774</v>
      </c>
      <c r="E1" t="s">
        <v>2775</v>
      </c>
      <c r="I1" t="s">
        <v>805</v>
      </c>
      <c r="M1" s="933" t="s">
        <v>2776</v>
      </c>
      <c r="N1" s="933"/>
      <c r="O1" t="s">
        <v>2777</v>
      </c>
    </row>
    <row r="2" spans="1:15">
      <c r="A2" t="s">
        <v>9</v>
      </c>
      <c r="C2">
        <v>1000</v>
      </c>
      <c r="F2" s="38" t="s">
        <v>2778</v>
      </c>
      <c r="G2">
        <v>1</v>
      </c>
      <c r="H2" t="s">
        <v>2779</v>
      </c>
      <c r="I2" t="s">
        <v>154</v>
      </c>
      <c r="K2" t="s">
        <v>122</v>
      </c>
      <c r="M2">
        <v>1</v>
      </c>
      <c r="N2" t="s">
        <v>2780</v>
      </c>
      <c r="O2" t="s">
        <v>2777</v>
      </c>
    </row>
    <row r="3" spans="1:15">
      <c r="A3" t="s">
        <v>11</v>
      </c>
      <c r="C3" s="8">
        <v>3000</v>
      </c>
      <c r="F3" s="39" t="s">
        <v>2781</v>
      </c>
      <c r="G3">
        <v>2</v>
      </c>
      <c r="H3" t="s">
        <v>2782</v>
      </c>
      <c r="I3" t="s">
        <v>147</v>
      </c>
      <c r="K3" t="s">
        <v>130</v>
      </c>
      <c r="M3">
        <v>2</v>
      </c>
      <c r="N3" t="s">
        <v>2783</v>
      </c>
    </row>
    <row r="4" spans="1:15">
      <c r="C4" s="8">
        <v>5000</v>
      </c>
      <c r="F4" s="39" t="s">
        <v>2784</v>
      </c>
      <c r="G4">
        <v>3</v>
      </c>
      <c r="H4" t="s">
        <v>2785</v>
      </c>
      <c r="I4" t="s">
        <v>2786</v>
      </c>
      <c r="K4" t="s">
        <v>364</v>
      </c>
      <c r="M4">
        <v>3</v>
      </c>
      <c r="N4" t="s">
        <v>2787</v>
      </c>
    </row>
    <row r="5" spans="1:15">
      <c r="C5" s="8">
        <v>10000</v>
      </c>
      <c r="F5" s="39" t="s">
        <v>2788</v>
      </c>
      <c r="G5">
        <v>4</v>
      </c>
      <c r="H5" t="s">
        <v>2789</v>
      </c>
      <c r="I5" t="s">
        <v>121</v>
      </c>
      <c r="K5" t="s">
        <v>753</v>
      </c>
      <c r="L5" t="s">
        <v>2790</v>
      </c>
      <c r="M5">
        <v>4</v>
      </c>
      <c r="N5" t="s">
        <v>2791</v>
      </c>
    </row>
    <row r="6" spans="1:15">
      <c r="F6" s="39" t="s">
        <v>2792</v>
      </c>
      <c r="G6">
        <v>5</v>
      </c>
      <c r="H6" t="s">
        <v>2793</v>
      </c>
      <c r="I6" t="s">
        <v>129</v>
      </c>
      <c r="M6">
        <v>5</v>
      </c>
      <c r="N6" t="s">
        <v>2791</v>
      </c>
    </row>
    <row r="7" spans="1:15">
      <c r="F7" s="39" t="s">
        <v>38</v>
      </c>
      <c r="G7">
        <v>6</v>
      </c>
      <c r="H7" t="s">
        <v>2794</v>
      </c>
      <c r="I7" t="s">
        <v>451</v>
      </c>
      <c r="M7">
        <v>6</v>
      </c>
      <c r="N7" t="s">
        <v>2795</v>
      </c>
    </row>
    <row r="8" spans="1:15">
      <c r="F8" s="41" t="s">
        <v>2796</v>
      </c>
      <c r="G8">
        <v>7</v>
      </c>
      <c r="H8" t="s">
        <v>2797</v>
      </c>
      <c r="M8">
        <v>7</v>
      </c>
      <c r="N8" t="s">
        <v>2798</v>
      </c>
    </row>
    <row r="9" spans="1:15" ht="15" thickBot="1">
      <c r="F9" s="40" t="s">
        <v>2799</v>
      </c>
      <c r="G9">
        <v>8</v>
      </c>
      <c r="H9" t="s">
        <v>2800</v>
      </c>
      <c r="M9">
        <v>8</v>
      </c>
      <c r="N9" t="s">
        <v>2795</v>
      </c>
    </row>
    <row r="10" spans="1:15">
      <c r="A10" t="s">
        <v>2801</v>
      </c>
      <c r="F10" t="str">
        <f>IFERROR(IF(AND(LEFT(#REF!,2)="RW",#REF!="F"),"Fixed",VLOOKUP(MATCH(E2,F2:F9,0),G2:H9,2)),"")</f>
        <v/>
      </c>
      <c r="M10">
        <v>9</v>
      </c>
      <c r="N10" t="s">
        <v>2798</v>
      </c>
    </row>
    <row r="12" spans="1:15">
      <c r="A12" t="s">
        <v>2802</v>
      </c>
    </row>
    <row r="13" spans="1:15">
      <c r="A13" t="s">
        <v>2803</v>
      </c>
    </row>
    <row r="14" spans="1:15">
      <c r="A14" t="s">
        <v>2804</v>
      </c>
    </row>
    <row r="15" spans="1:15">
      <c r="A15" t="s">
        <v>2805</v>
      </c>
    </row>
    <row r="16" spans="1:15">
      <c r="A16" t="s">
        <v>2806</v>
      </c>
    </row>
    <row r="17" spans="1:12">
      <c r="A17" t="s">
        <v>2807</v>
      </c>
    </row>
    <row r="18" spans="1:12">
      <c r="A18" t="s">
        <v>855</v>
      </c>
    </row>
    <row r="19" spans="1:12">
      <c r="A19" t="s">
        <v>2808</v>
      </c>
      <c r="E19" s="166"/>
      <c r="F19" s="166"/>
      <c r="G19" s="166"/>
      <c r="H19" s="166"/>
      <c r="K19" s="166"/>
      <c r="L19" s="166"/>
    </row>
    <row r="20" spans="1:12">
      <c r="A20" t="s">
        <v>2809</v>
      </c>
      <c r="E20" s="166"/>
      <c r="F20" s="166"/>
      <c r="G20" s="166"/>
      <c r="H20" s="166"/>
      <c r="K20" s="166"/>
      <c r="L20" s="166"/>
    </row>
    <row r="21" spans="1:12">
      <c r="A21" t="s">
        <v>2810</v>
      </c>
      <c r="E21" s="166"/>
      <c r="F21" s="166"/>
      <c r="G21" s="166"/>
      <c r="H21" s="166"/>
      <c r="K21" s="166"/>
      <c r="L21" s="166"/>
    </row>
    <row r="22" spans="1:12">
      <c r="A22" t="s">
        <v>2811</v>
      </c>
      <c r="E22" s="166"/>
      <c r="F22" s="166"/>
      <c r="G22" s="166"/>
      <c r="H22" s="166"/>
      <c r="K22" s="166"/>
      <c r="L22" s="166"/>
    </row>
    <row r="23" spans="1:12">
      <c r="A23" t="s">
        <v>2812</v>
      </c>
      <c r="B23" t="b">
        <f>IF('Data-UW'!I13="HI",TRUE,FALSE)</f>
        <v>0</v>
      </c>
      <c r="E23" s="166"/>
      <c r="F23" s="166"/>
      <c r="G23" s="166"/>
      <c r="H23" s="166"/>
      <c r="K23" s="166"/>
      <c r="L23" s="166"/>
    </row>
    <row r="24" spans="1:12">
      <c r="A24" t="s">
        <v>2813</v>
      </c>
      <c r="E24" s="166"/>
      <c r="F24" s="166"/>
      <c r="G24" s="166"/>
      <c r="H24" s="166"/>
      <c r="K24" s="166"/>
      <c r="L24" s="166"/>
    </row>
    <row r="25" spans="1:12">
      <c r="A25" t="s">
        <v>2814</v>
      </c>
    </row>
    <row r="26" spans="1:12">
      <c r="A26" t="s">
        <v>2815</v>
      </c>
    </row>
    <row r="27" spans="1:12">
      <c r="A27" t="s">
        <v>2816</v>
      </c>
    </row>
    <row r="28" spans="1:12">
      <c r="A28" t="s">
        <v>2817</v>
      </c>
      <c r="B28" t="b">
        <f>IF('Data-UW'!I13="KS",TRUE,FALSE)</f>
        <v>0</v>
      </c>
      <c r="F28" s="36"/>
    </row>
    <row r="29" spans="1:12">
      <c r="A29" t="s">
        <v>1853</v>
      </c>
    </row>
    <row r="30" spans="1:12">
      <c r="A30" t="s">
        <v>2818</v>
      </c>
    </row>
    <row r="31" spans="1:12">
      <c r="A31" t="s">
        <v>2819</v>
      </c>
      <c r="D31" s="11"/>
    </row>
    <row r="32" spans="1:12">
      <c r="A32" t="s">
        <v>2820</v>
      </c>
      <c r="D32" s="11"/>
      <c r="I32" s="166"/>
      <c r="J32" s="166"/>
    </row>
    <row r="33" spans="1:10">
      <c r="A33" t="s">
        <v>2821</v>
      </c>
      <c r="D33" s="11"/>
      <c r="I33" s="166"/>
      <c r="J33" s="166"/>
    </row>
    <row r="34" spans="1:10">
      <c r="A34" t="s">
        <v>2822</v>
      </c>
      <c r="D34" s="11"/>
      <c r="I34" s="166"/>
      <c r="J34" s="166"/>
    </row>
    <row r="35" spans="1:10">
      <c r="A35" t="s">
        <v>2823</v>
      </c>
      <c r="I35" s="166"/>
      <c r="J35" s="166"/>
    </row>
    <row r="36" spans="1:10">
      <c r="A36" t="s">
        <v>2824</v>
      </c>
      <c r="I36" s="166"/>
      <c r="J36" s="166"/>
    </row>
    <row r="37" spans="1:10">
      <c r="A37" t="s">
        <v>2825</v>
      </c>
      <c r="I37" s="166"/>
      <c r="J37" s="166"/>
    </row>
    <row r="38" spans="1:10">
      <c r="A38" t="s">
        <v>2826</v>
      </c>
    </row>
    <row r="39" spans="1:10">
      <c r="A39" t="s">
        <v>2827</v>
      </c>
    </row>
    <row r="40" spans="1:10">
      <c r="A40" t="s">
        <v>2828</v>
      </c>
    </row>
    <row r="41" spans="1:10">
      <c r="A41" t="s">
        <v>2829</v>
      </c>
    </row>
    <row r="42" spans="1:10">
      <c r="A42" t="s">
        <v>1842</v>
      </c>
    </row>
    <row r="43" spans="1:10">
      <c r="A43" t="s">
        <v>2830</v>
      </c>
    </row>
    <row r="44" spans="1:10">
      <c r="A44" t="s">
        <v>2831</v>
      </c>
    </row>
    <row r="45" spans="1:10">
      <c r="A45" t="s">
        <v>2832</v>
      </c>
    </row>
    <row r="46" spans="1:10">
      <c r="A46" t="s">
        <v>2833</v>
      </c>
    </row>
    <row r="47" spans="1:10">
      <c r="A47" t="s">
        <v>2834</v>
      </c>
      <c r="B47" t="b">
        <f>IF('Data-UW'!I13="OH",TRUE,FALSE)</f>
        <v>0</v>
      </c>
    </row>
    <row r="48" spans="1:10">
      <c r="A48" t="s">
        <v>2835</v>
      </c>
    </row>
    <row r="49" spans="1:1">
      <c r="A49" t="s">
        <v>2836</v>
      </c>
    </row>
    <row r="50" spans="1:1">
      <c r="A50" t="s">
        <v>2837</v>
      </c>
    </row>
    <row r="51" spans="1:1">
      <c r="A51" t="s">
        <v>2838</v>
      </c>
    </row>
    <row r="52" spans="1:1">
      <c r="A52" t="s">
        <v>2839</v>
      </c>
    </row>
    <row r="53" spans="1:1">
      <c r="A53" t="s">
        <v>2840</v>
      </c>
    </row>
    <row r="54" spans="1:1">
      <c r="A54" t="s">
        <v>2841</v>
      </c>
    </row>
    <row r="55" spans="1:1">
      <c r="A55" t="s">
        <v>2842</v>
      </c>
    </row>
    <row r="56" spans="1:1">
      <c r="A56" t="s">
        <v>2843</v>
      </c>
    </row>
    <row r="57" spans="1:1">
      <c r="A57" t="s">
        <v>2844</v>
      </c>
    </row>
    <row r="58" spans="1:1">
      <c r="A58" t="s">
        <v>2845</v>
      </c>
    </row>
    <row r="59" spans="1:1">
      <c r="A59" t="s">
        <v>2846</v>
      </c>
    </row>
    <row r="60" spans="1:1">
      <c r="A60" t="s">
        <v>1847</v>
      </c>
    </row>
    <row r="61" spans="1:1">
      <c r="A61" t="s">
        <v>2847</v>
      </c>
    </row>
    <row r="62" spans="1:1">
      <c r="A62" t="s">
        <v>2848</v>
      </c>
    </row>
  </sheetData>
  <mergeCells count="1">
    <mergeCell ref="M1:N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6B4DF-3B09-41DC-A2E0-DE8DC6009E54}">
  <sheetPr codeName="Sheet13"/>
  <dimension ref="B1:N134"/>
  <sheetViews>
    <sheetView workbookViewId="0">
      <selection activeCell="J4" sqref="J4"/>
    </sheetView>
  </sheetViews>
  <sheetFormatPr defaultRowHeight="14.25"/>
  <cols>
    <col min="3" max="3" width="18.875" customWidth="1"/>
    <col min="4" max="4" width="22.75" customWidth="1"/>
    <col min="5" max="5" width="16.75" customWidth="1"/>
    <col min="7" max="7" width="16.625" customWidth="1"/>
    <col min="8" max="8" width="12" customWidth="1"/>
  </cols>
  <sheetData>
    <row r="1" spans="2:14">
      <c r="M1" t="s">
        <v>2873</v>
      </c>
    </row>
    <row r="2" spans="2:14" ht="15" thickBot="1">
      <c r="M2" s="29">
        <v>6.0000000000000001E-3</v>
      </c>
    </row>
    <row r="3" spans="2:14" ht="15" thickTop="1">
      <c r="B3" s="934" t="s">
        <v>2874</v>
      </c>
      <c r="C3" s="935"/>
      <c r="D3" s="935"/>
      <c r="E3" s="935"/>
      <c r="F3" s="935"/>
      <c r="G3" s="935"/>
      <c r="H3" s="936"/>
      <c r="I3" s="937" t="s">
        <v>2875</v>
      </c>
      <c r="J3" s="933"/>
      <c r="K3" s="933"/>
      <c r="L3" s="933"/>
      <c r="M3" s="933"/>
      <c r="N3" s="933"/>
    </row>
    <row r="4" spans="2:14">
      <c r="B4" s="478" t="s">
        <v>33</v>
      </c>
      <c r="C4" t="s">
        <v>2876</v>
      </c>
      <c r="D4" t="s">
        <v>2877</v>
      </c>
      <c r="E4" t="s">
        <v>2878</v>
      </c>
      <c r="F4" t="s">
        <v>2879</v>
      </c>
      <c r="G4" t="s">
        <v>2880</v>
      </c>
      <c r="H4" s="479" t="s">
        <v>2881</v>
      </c>
      <c r="I4" t="s">
        <v>2882</v>
      </c>
      <c r="J4" t="s">
        <v>2877</v>
      </c>
      <c r="K4" t="s">
        <v>2883</v>
      </c>
      <c r="L4" t="s">
        <v>2884</v>
      </c>
      <c r="M4" t="s">
        <v>2880</v>
      </c>
      <c r="N4" t="s">
        <v>2881</v>
      </c>
    </row>
    <row r="5" spans="2:14" ht="15">
      <c r="B5" s="478">
        <v>1</v>
      </c>
      <c r="C5" s="463">
        <f>-3.7303226*10^-18*(POWER(Aircraft!P4,3))</f>
        <v>-3.7303226000000001E-3</v>
      </c>
      <c r="D5" s="463">
        <f>1.656606504786*10^-12*POWER(Aircraft!P4,2)</f>
        <v>1.6566065047859999E-2</v>
      </c>
      <c r="E5" s="463">
        <f>-2.78081193910144*10^-7*Aircraft!P4</f>
        <v>-2.7808119391014401E-2</v>
      </c>
      <c r="G5">
        <v>2.9582653068117099E-2</v>
      </c>
      <c r="H5" s="605">
        <f>IF(Aircraft!J4="","",IF(ROUND(SUM(C5:G5),6)&lt;$M$2,$M$2,ROUND(SUM(C5:G5),6)))</f>
        <v>1.461E-2</v>
      </c>
      <c r="I5">
        <f>(4*Aircraft!P4)-15</f>
        <v>399985</v>
      </c>
    </row>
    <row r="6" spans="2:14" ht="15">
      <c r="B6" s="478">
        <v>2</v>
      </c>
      <c r="C6" s="463">
        <f>-3.7303226*10^-18*(POWER(Aircraft!P5,3))</f>
        <v>-3.7303226000000001E-3</v>
      </c>
      <c r="D6" s="463">
        <f>1.656606504786*10^-12*POWER(Aircraft!P5,2)</f>
        <v>1.6566065047859999E-2</v>
      </c>
      <c r="E6" s="463">
        <f>-2.78081193910144*10^-7*Aircraft!P5</f>
        <v>-2.7808119391014401E-2</v>
      </c>
      <c r="G6">
        <v>2.9582653068117099E-2</v>
      </c>
      <c r="H6" s="605">
        <f>IF(Aircraft!J5="","",IF(ROUND(SUM(C6:G6),6)&lt;$M$2,$M$2,ROUND(SUM(C6:G6),6)))</f>
        <v>1.461E-2</v>
      </c>
    </row>
    <row r="7" spans="2:14" ht="15">
      <c r="B7" s="478">
        <v>3</v>
      </c>
      <c r="C7" s="463">
        <f>-3.7303226*10^-18*(POWER(Aircraft!P6,3))</f>
        <v>-3.7303226000000001E-3</v>
      </c>
      <c r="D7" s="463">
        <f>1.656606504786*10^-12*POWER(Aircraft!P6,2)</f>
        <v>1.6566065047859999E-2</v>
      </c>
      <c r="E7" s="463">
        <f>-2.78081193910144*10^-7*Aircraft!P6</f>
        <v>-2.7808119391014401E-2</v>
      </c>
      <c r="G7">
        <v>2.9582653068117099E-2</v>
      </c>
      <c r="H7" s="605">
        <f>IF(Aircraft!J6="","",IF(ROUND(SUM(C7:G7),6)&lt;$M$2,$M$2,ROUND(SUM(C7:G7),6)))</f>
        <v>1.461E-2</v>
      </c>
    </row>
    <row r="8" spans="2:14" ht="15">
      <c r="B8" s="478">
        <v>4</v>
      </c>
      <c r="C8" s="463">
        <f>-3.7303226*10^-18*(POWER(Aircraft!P7,3))</f>
        <v>0</v>
      </c>
      <c r="D8" s="463">
        <f>1.656606504786*10^-12*POWER(Aircraft!P7,2)</f>
        <v>0</v>
      </c>
      <c r="E8" s="463">
        <f>-2.78081193910144*10^-7*Aircraft!P7</f>
        <v>0</v>
      </c>
      <c r="G8">
        <v>2.9582653068117099E-2</v>
      </c>
      <c r="H8" s="605">
        <f>IF(Aircraft!J7="","",IF(ROUND(SUM(C8:G8),6)&lt;$M$2,$M$2,ROUND(SUM(C8:G8),6)))</f>
        <v>2.9583000000000002E-2</v>
      </c>
    </row>
    <row r="9" spans="2:14" ht="15">
      <c r="B9" s="478">
        <v>5</v>
      </c>
      <c r="C9" s="463">
        <f>-3.7303226*10^-18*(POWER(Aircraft!P8,3))</f>
        <v>0</v>
      </c>
      <c r="D9" s="463">
        <f>1.656606504786*10^-12*POWER(Aircraft!P8,2)</f>
        <v>0</v>
      </c>
      <c r="E9" s="463">
        <f>-2.78081193910144*10^-7*Aircraft!P8</f>
        <v>0</v>
      </c>
      <c r="G9">
        <v>2.9582653068117099E-2</v>
      </c>
      <c r="H9" s="605" t="str">
        <f>IF(Aircraft!J8="","",IF(ROUND(SUM(C9:G9),6)&lt;$M$2,$M$2,ROUND(SUM(C9:G9),6)))</f>
        <v/>
      </c>
    </row>
    <row r="10" spans="2:14" ht="15">
      <c r="B10" s="478">
        <v>6</v>
      </c>
      <c r="C10" s="463">
        <f>-3.7303226*10^-18*(POWER(Aircraft!P9,3))</f>
        <v>0</v>
      </c>
      <c r="D10" s="463">
        <f>1.656606504786*10^-12*POWER(Aircraft!P9,2)</f>
        <v>0</v>
      </c>
      <c r="E10" s="463">
        <f>-2.78081193910144*10^-7*Aircraft!P9</f>
        <v>0</v>
      </c>
      <c r="G10">
        <v>2.9582653068117099E-2</v>
      </c>
      <c r="H10" s="605" t="str">
        <f>IF(Aircraft!J9="","",IF(ROUND(SUM(C10:G10),6)&lt;$M$2,$M$2,ROUND(SUM(C10:G10),6)))</f>
        <v/>
      </c>
    </row>
    <row r="11" spans="2:14" ht="15">
      <c r="B11" s="478">
        <v>7</v>
      </c>
      <c r="C11" s="463">
        <f>-3.7303226*10^-18*(POWER(Aircraft!P10,3))</f>
        <v>0</v>
      </c>
      <c r="D11" s="463">
        <f>1.656606504786*10^-12*POWER(Aircraft!P10,2)</f>
        <v>0</v>
      </c>
      <c r="E11" s="463">
        <f>-2.78081193910144*10^-7*Aircraft!P10</f>
        <v>0</v>
      </c>
      <c r="G11">
        <v>2.9582653068117099E-2</v>
      </c>
      <c r="H11" s="605" t="str">
        <f>IF(Aircraft!J10="","",IF(ROUND(SUM(C11:G11),6)&lt;$M$2,$M$2,ROUND(SUM(C11:G11),6)))</f>
        <v/>
      </c>
    </row>
    <row r="12" spans="2:14" ht="15">
      <c r="B12" s="478">
        <v>8</v>
      </c>
      <c r="C12" s="463">
        <f>-3.7303226*10^-18*(POWER(Aircraft!P11,3))</f>
        <v>0</v>
      </c>
      <c r="D12" s="463">
        <f>1.656606504786*10^-12*POWER(Aircraft!P11,2)</f>
        <v>0</v>
      </c>
      <c r="E12" s="463">
        <f>-2.78081193910144*10^-7*Aircraft!P11</f>
        <v>0</v>
      </c>
      <c r="G12">
        <v>2.9582653068117099E-2</v>
      </c>
      <c r="H12" s="605" t="str">
        <f>IF(Aircraft!J11="","",IF(ROUND(SUM(C12:G12),6)&lt;$M$2,$M$2,ROUND(SUM(C12:G12),6)))</f>
        <v/>
      </c>
    </row>
    <row r="13" spans="2:14" ht="15">
      <c r="B13" s="478">
        <v>9</v>
      </c>
      <c r="C13" s="463">
        <f>-3.7303226*10^-18*(POWER(Aircraft!P12,3))</f>
        <v>0</v>
      </c>
      <c r="D13" s="463">
        <f>1.656606504786*10^-12*POWER(Aircraft!P12,2)</f>
        <v>0</v>
      </c>
      <c r="E13" s="463">
        <f>-2.78081193910144*10^-7*Aircraft!P12</f>
        <v>0</v>
      </c>
      <c r="G13">
        <v>2.9582653068117099E-2</v>
      </c>
      <c r="H13" s="605" t="str">
        <f>IF(Aircraft!J12="","",IF(ROUND(SUM(C13:G13),6)&lt;$M$2,$M$2,ROUND(SUM(C13:G13),6)))</f>
        <v/>
      </c>
    </row>
    <row r="14" spans="2:14" ht="15">
      <c r="B14" s="478">
        <v>10</v>
      </c>
      <c r="C14" s="463">
        <f>-3.7303226*10^-18*(POWER(Aircraft!P13,3))</f>
        <v>0</v>
      </c>
      <c r="D14" s="463">
        <f>1.656606504786*10^-12*POWER(Aircraft!P13,2)</f>
        <v>0</v>
      </c>
      <c r="E14" s="463">
        <f>-2.78081193910144*10^-7*Aircraft!P13</f>
        <v>0</v>
      </c>
      <c r="G14">
        <v>2.9582653068117099E-2</v>
      </c>
      <c r="H14" s="605" t="str">
        <f>IF(Aircraft!J13="","",IF(ROUND(SUM(C14:G14),6)&lt;$M$2,$M$2,ROUND(SUM(C14:G14),6)))</f>
        <v/>
      </c>
    </row>
    <row r="15" spans="2:14" ht="15">
      <c r="B15" s="478">
        <v>11</v>
      </c>
      <c r="C15" s="463">
        <f>-3.7303226*10^-18*(POWER(Aircraft!P14,3))</f>
        <v>0</v>
      </c>
      <c r="D15" s="463">
        <f>1.656606504786*10^-12*POWER(Aircraft!P14,2)</f>
        <v>0</v>
      </c>
      <c r="E15" s="463">
        <f>-2.78081193910144*10^-7*Aircraft!P14</f>
        <v>0</v>
      </c>
      <c r="G15">
        <v>2.9582653068117099E-2</v>
      </c>
      <c r="H15" s="605" t="str">
        <f>IF(Aircraft!J14="","",IF(ROUND(SUM(C15:G15),6)&lt;$M$2,$M$2,ROUND(SUM(C15:G15),6)))</f>
        <v/>
      </c>
    </row>
    <row r="16" spans="2:14" ht="15">
      <c r="B16" s="478">
        <v>12</v>
      </c>
      <c r="C16" s="463">
        <f>-3.7303226*10^-18*(POWER(Aircraft!P15,3))</f>
        <v>0</v>
      </c>
      <c r="D16" s="463">
        <f>1.656606504786*10^-12*POWER(Aircraft!P15,2)</f>
        <v>0</v>
      </c>
      <c r="E16" s="463">
        <f>-2.78081193910144*10^-7*Aircraft!P15</f>
        <v>0</v>
      </c>
      <c r="G16">
        <v>2.9582653068117099E-2</v>
      </c>
      <c r="H16" s="605" t="str">
        <f>IF(Aircraft!J15="","",IF(ROUND(SUM(C16:G16),6)&lt;$M$2,$M$2,ROUND(SUM(C16:G16),6)))</f>
        <v/>
      </c>
    </row>
    <row r="17" spans="2:8" ht="15">
      <c r="B17" s="478">
        <v>13</v>
      </c>
      <c r="C17" s="463">
        <f>-3.7303226*10^-18*(POWER(Aircraft!P16,3))</f>
        <v>0</v>
      </c>
      <c r="D17" s="463">
        <f>1.656606504786*10^-12*POWER(Aircraft!P16,2)</f>
        <v>0</v>
      </c>
      <c r="E17" s="463">
        <f>-2.78081193910144*10^-7*Aircraft!P16</f>
        <v>0</v>
      </c>
      <c r="G17">
        <v>2.9582653068117099E-2</v>
      </c>
      <c r="H17" s="605" t="str">
        <f>IF(Aircraft!J16="","",IF(ROUND(SUM(C17:G17),6)&lt;$M$2,$M$2,ROUND(SUM(C17:G17),6)))</f>
        <v/>
      </c>
    </row>
    <row r="18" spans="2:8" ht="15">
      <c r="B18" s="478">
        <v>14</v>
      </c>
      <c r="C18" s="463">
        <f>-3.7303226*10^-18*(POWER(Aircraft!P17,3))</f>
        <v>0</v>
      </c>
      <c r="D18" s="463">
        <f>1.656606504786*10^-12*POWER(Aircraft!P17,2)</f>
        <v>0</v>
      </c>
      <c r="E18" s="463">
        <f>-2.78081193910144*10^-7*Aircraft!P17</f>
        <v>0</v>
      </c>
      <c r="G18">
        <v>2.9582653068117099E-2</v>
      </c>
      <c r="H18" s="605" t="str">
        <f>IF(Aircraft!J17="","",IF(ROUND(SUM(C18:G18),6)&lt;$M$2,$M$2,ROUND(SUM(C18:G18),6)))</f>
        <v/>
      </c>
    </row>
    <row r="19" spans="2:8" ht="15">
      <c r="B19" s="478">
        <v>15</v>
      </c>
      <c r="C19" s="463">
        <f>-3.7303226*10^-18*(POWER(Aircraft!P18,3))</f>
        <v>0</v>
      </c>
      <c r="D19" s="463">
        <f>1.656606504786*10^-12*POWER(Aircraft!P18,2)</f>
        <v>0</v>
      </c>
      <c r="E19" s="463">
        <f>-2.78081193910144*10^-7*Aircraft!P18</f>
        <v>0</v>
      </c>
      <c r="G19">
        <v>2.9582653068117099E-2</v>
      </c>
      <c r="H19" s="605" t="str">
        <f>IF(Aircraft!J18="","",IF(ROUND(SUM(C19:G19),6)&lt;$M$2,$M$2,ROUND(SUM(C19:G19),6)))</f>
        <v/>
      </c>
    </row>
    <row r="20" spans="2:8" ht="15">
      <c r="B20" s="478">
        <v>16</v>
      </c>
      <c r="C20" s="463">
        <f>-3.7303226*10^-18*(POWER(Aircraft!P19,3))</f>
        <v>0</v>
      </c>
      <c r="D20" s="463">
        <f>1.656606504786*10^-12*POWER(Aircraft!P19,2)</f>
        <v>0</v>
      </c>
      <c r="E20" s="463">
        <f>-2.78081193910144*10^-7*Aircraft!P19</f>
        <v>0</v>
      </c>
      <c r="G20">
        <v>2.9582653068117099E-2</v>
      </c>
      <c r="H20" s="605" t="str">
        <f>IF(Aircraft!J19="","",IF(ROUND(SUM(C20:G20),6)&lt;$M$2,$M$2,ROUND(SUM(C20:G20),6)))</f>
        <v/>
      </c>
    </row>
    <row r="21" spans="2:8" ht="15">
      <c r="B21" s="478">
        <v>17</v>
      </c>
      <c r="C21" s="463">
        <f>-3.7303226*10^-18*(POWER(Aircraft!P20,3))</f>
        <v>0</v>
      </c>
      <c r="D21" s="463">
        <f>1.656606504786*10^-12*POWER(Aircraft!P20,2)</f>
        <v>0</v>
      </c>
      <c r="E21" s="463">
        <f>-2.78081193910144*10^-7*Aircraft!P20</f>
        <v>0</v>
      </c>
      <c r="G21">
        <v>2.9582653068117099E-2</v>
      </c>
      <c r="H21" s="605" t="str">
        <f>IF(Aircraft!J20="","",IF(ROUND(SUM(C21:G21),6)&lt;$M$2,$M$2,ROUND(SUM(C21:G21),6)))</f>
        <v/>
      </c>
    </row>
    <row r="22" spans="2:8" ht="15">
      <c r="B22" s="478">
        <v>18</v>
      </c>
      <c r="C22" s="463">
        <f>-3.7303226*10^-18*(POWER(Aircraft!P21,3))</f>
        <v>0</v>
      </c>
      <c r="D22" s="463">
        <f>1.656606504786*10^-12*POWER(Aircraft!P21,2)</f>
        <v>0</v>
      </c>
      <c r="E22" s="463">
        <f>-2.78081193910144*10^-7*Aircraft!P21</f>
        <v>0</v>
      </c>
      <c r="G22">
        <v>2.9582653068117099E-2</v>
      </c>
      <c r="H22" s="605" t="str">
        <f>IF(Aircraft!J21="","",IF(ROUND(SUM(C22:G22),6)&lt;$M$2,$M$2,ROUND(SUM(C22:G22),6)))</f>
        <v/>
      </c>
    </row>
    <row r="23" spans="2:8" ht="15">
      <c r="B23" s="478">
        <v>19</v>
      </c>
      <c r="C23" s="463">
        <f>-3.7303226*10^-18*(POWER(Aircraft!P22,3))</f>
        <v>0</v>
      </c>
      <c r="D23" s="463">
        <f>1.656606504786*10^-12*POWER(Aircraft!P22,2)</f>
        <v>0</v>
      </c>
      <c r="E23" s="463">
        <f>-2.78081193910144*10^-7*Aircraft!P22</f>
        <v>0</v>
      </c>
      <c r="G23">
        <v>2.9582653068117099E-2</v>
      </c>
      <c r="H23" s="605" t="str">
        <f>IF(Aircraft!J22="","",IF(ROUND(SUM(C23:G23),6)&lt;$M$2,$M$2,ROUND(SUM(C23:G23),6)))</f>
        <v/>
      </c>
    </row>
    <row r="24" spans="2:8" ht="15">
      <c r="B24" s="478">
        <v>20</v>
      </c>
      <c r="C24" s="463">
        <f>-3.7303226*10^-18*(POWER(Aircraft!P23,3))</f>
        <v>0</v>
      </c>
      <c r="D24" s="463">
        <f>1.656606504786*10^-12*POWER(Aircraft!P23,2)</f>
        <v>0</v>
      </c>
      <c r="E24" s="463">
        <f>-2.78081193910144*10^-7*Aircraft!P23</f>
        <v>0</v>
      </c>
      <c r="G24">
        <v>2.9582653068117099E-2</v>
      </c>
      <c r="H24" s="605" t="str">
        <f>IF(Aircraft!J23="","",IF(ROUND(SUM(C24:G24),6)&lt;$M$2,$M$2,ROUND(SUM(C24:G24),6)))</f>
        <v/>
      </c>
    </row>
    <row r="25" spans="2:8" ht="15">
      <c r="B25" s="478">
        <v>21</v>
      </c>
      <c r="C25" s="463">
        <f>-3.7303226*10^-18*(POWER(Aircraft!P24,3))</f>
        <v>0</v>
      </c>
      <c r="D25" s="463">
        <f>1.656606504786*10^-12*POWER(Aircraft!P24,2)</f>
        <v>0</v>
      </c>
      <c r="E25" s="463">
        <f>-2.78081193910144*10^-7*Aircraft!P24</f>
        <v>0</v>
      </c>
      <c r="G25">
        <v>2.9582653068117099E-2</v>
      </c>
      <c r="H25" s="605" t="str">
        <f>IF(Aircraft!J24="","",IF(ROUND(SUM(C25:G25),6)&lt;$M$2,$M$2,ROUND(SUM(C25:G25),6)))</f>
        <v/>
      </c>
    </row>
    <row r="26" spans="2:8" ht="15">
      <c r="B26" s="478">
        <v>22</v>
      </c>
      <c r="C26" s="463">
        <f>-3.7303226*10^-18*(POWER(Aircraft!P25,3))</f>
        <v>0</v>
      </c>
      <c r="D26" s="463">
        <f>1.656606504786*10^-12*POWER(Aircraft!P25,2)</f>
        <v>0</v>
      </c>
      <c r="E26" s="463">
        <f>-2.78081193910144*10^-7*Aircraft!P25</f>
        <v>0</v>
      </c>
      <c r="G26">
        <v>2.9582653068117099E-2</v>
      </c>
      <c r="H26" s="605" t="str">
        <f>IF(Aircraft!J25="","",IF(ROUND(SUM(C26:G26),6)&lt;$M$2,$M$2,ROUND(SUM(C26:G26),6)))</f>
        <v/>
      </c>
    </row>
    <row r="27" spans="2:8" ht="15">
      <c r="B27" s="478">
        <v>23</v>
      </c>
      <c r="C27" s="463">
        <f>-3.7303226*10^-18*(POWER(Aircraft!P26,3))</f>
        <v>0</v>
      </c>
      <c r="D27" s="463">
        <f>1.656606504786*10^-12*POWER(Aircraft!P26,2)</f>
        <v>0</v>
      </c>
      <c r="E27" s="463">
        <f>-2.78081193910144*10^-7*Aircraft!P26</f>
        <v>0</v>
      </c>
      <c r="G27">
        <v>2.9582653068117099E-2</v>
      </c>
      <c r="H27" s="605" t="str">
        <f>IF(Aircraft!J26="","",IF(ROUND(SUM(C27:G27),6)&lt;$M$2,$M$2,ROUND(SUM(C27:G27),6)))</f>
        <v/>
      </c>
    </row>
    <row r="28" spans="2:8" ht="15">
      <c r="B28" s="478">
        <v>24</v>
      </c>
      <c r="C28" s="463">
        <f>-3.7303226*10^-18*(POWER(Aircraft!P27,3))</f>
        <v>0</v>
      </c>
      <c r="D28" s="463">
        <f>1.656606504786*10^-12*POWER(Aircraft!P27,2)</f>
        <v>0</v>
      </c>
      <c r="E28" s="463">
        <f>-2.78081193910144*10^-7*Aircraft!P27</f>
        <v>0</v>
      </c>
      <c r="G28">
        <v>2.9582653068117099E-2</v>
      </c>
      <c r="H28" s="605" t="str">
        <f>IF(Aircraft!J27="","",IF(ROUND(SUM(C28:G28),6)&lt;$M$2,$M$2,ROUND(SUM(C28:G28),6)))</f>
        <v/>
      </c>
    </row>
    <row r="29" spans="2:8" ht="15">
      <c r="B29" s="478">
        <v>25</v>
      </c>
      <c r="C29" s="463">
        <f>-3.7303226*10^-18*(POWER(Aircraft!P28,3))</f>
        <v>0</v>
      </c>
      <c r="D29" s="463">
        <f>1.656606504786*10^-12*POWER(Aircraft!P28,2)</f>
        <v>0</v>
      </c>
      <c r="E29" s="463">
        <f>-2.78081193910144*10^-7*Aircraft!P28</f>
        <v>0</v>
      </c>
      <c r="G29">
        <v>2.9582653068117099E-2</v>
      </c>
      <c r="H29" s="605" t="str">
        <f>IF(Aircraft!J28="","",IF(ROUND(SUM(C29:G29),6)&lt;$M$2,$M$2,ROUND(SUM(C29:G29),6)))</f>
        <v/>
      </c>
    </row>
    <row r="30" spans="2:8" ht="15">
      <c r="B30" s="478">
        <v>26</v>
      </c>
      <c r="C30" s="463">
        <f>-3.7303226*10^-18*(POWER(Aircraft!P29,3))</f>
        <v>0</v>
      </c>
      <c r="D30" s="463">
        <f>1.656606504786*10^-12*POWER(Aircraft!P29,2)</f>
        <v>0</v>
      </c>
      <c r="E30" s="463">
        <f>-2.78081193910144*10^-7*Aircraft!P29</f>
        <v>0</v>
      </c>
      <c r="G30">
        <v>2.9582653068117099E-2</v>
      </c>
      <c r="H30" s="605" t="str">
        <f>IF(Aircraft!J29="","",IF(ROUND(SUM(C30:G30),6)&lt;$M$2,$M$2,ROUND(SUM(C30:G30),6)))</f>
        <v/>
      </c>
    </row>
    <row r="31" spans="2:8" ht="15">
      <c r="B31" s="478">
        <v>27</v>
      </c>
      <c r="C31" s="463">
        <f>-3.7303226*10^-18*(POWER(Aircraft!P30,3))</f>
        <v>0</v>
      </c>
      <c r="D31" s="463">
        <f>1.656606504786*10^-12*POWER(Aircraft!P30,2)</f>
        <v>0</v>
      </c>
      <c r="E31" s="463">
        <f>-2.78081193910144*10^-7*Aircraft!P30</f>
        <v>0</v>
      </c>
      <c r="G31">
        <v>2.9582653068117099E-2</v>
      </c>
      <c r="H31" s="605" t="str">
        <f>IF(Aircraft!J30="","",IF(ROUND(SUM(C31:G31),6)&lt;$M$2,$M$2,ROUND(SUM(C31:G31),6)))</f>
        <v/>
      </c>
    </row>
    <row r="32" spans="2:8" ht="15">
      <c r="B32" s="478">
        <v>28</v>
      </c>
      <c r="C32" s="463">
        <f>-3.7303226*10^-18*(POWER(Aircraft!P31,3))</f>
        <v>0</v>
      </c>
      <c r="D32" s="463">
        <f>1.656606504786*10^-12*POWER(Aircraft!P31,2)</f>
        <v>0</v>
      </c>
      <c r="E32" s="463">
        <f>-2.78081193910144*10^-7*Aircraft!P31</f>
        <v>0</v>
      </c>
      <c r="G32">
        <v>2.9582653068117099E-2</v>
      </c>
      <c r="H32" s="605" t="str">
        <f>IF(Aircraft!J31="","",IF(ROUND(SUM(C32:G32),6)&lt;$M$2,$M$2,ROUND(SUM(C32:G32),6)))</f>
        <v/>
      </c>
    </row>
    <row r="33" spans="2:8" ht="15">
      <c r="B33" s="478">
        <v>29</v>
      </c>
      <c r="C33" s="463">
        <f>-3.7303226*10^-18*(POWER(Aircraft!P32,3))</f>
        <v>0</v>
      </c>
      <c r="D33" s="463">
        <f>1.656606504786*10^-12*POWER(Aircraft!P32,2)</f>
        <v>0</v>
      </c>
      <c r="E33" s="463">
        <f>-2.78081193910144*10^-7*Aircraft!P32</f>
        <v>0</v>
      </c>
      <c r="G33">
        <v>2.9582653068117099E-2</v>
      </c>
      <c r="H33" s="605" t="str">
        <f>IF(Aircraft!J32="","",IF(ROUND(SUM(C33:G33),6)&lt;$M$2,$M$2,ROUND(SUM(C33:G33),6)))</f>
        <v/>
      </c>
    </row>
    <row r="34" spans="2:8" ht="15">
      <c r="B34" s="478">
        <v>30</v>
      </c>
      <c r="C34" s="463">
        <f>-3.7303226*10^-18*(POWER(Aircraft!P33,3))</f>
        <v>0</v>
      </c>
      <c r="D34" s="463">
        <f>1.656606504786*10^-12*POWER(Aircraft!P33,2)</f>
        <v>0</v>
      </c>
      <c r="E34" s="463">
        <f>-2.78081193910144*10^-7*Aircraft!P33</f>
        <v>0</v>
      </c>
      <c r="G34">
        <v>2.9582653068117099E-2</v>
      </c>
      <c r="H34" s="605" t="str">
        <f>IF(Aircraft!J33="","",IF(ROUND(SUM(C34:G34),6)&lt;$M$2,$M$2,ROUND(SUM(C34:G34),6)))</f>
        <v/>
      </c>
    </row>
    <row r="35" spans="2:8" ht="15">
      <c r="B35" s="478">
        <v>31</v>
      </c>
      <c r="C35" s="463">
        <f>-3.7303226*10^-18*(POWER(Aircraft!P34,3))</f>
        <v>0</v>
      </c>
      <c r="D35" s="463">
        <f>1.656606504786*10^-12*POWER(Aircraft!P34,2)</f>
        <v>0</v>
      </c>
      <c r="E35" s="463">
        <f>-2.78081193910144*10^-7*Aircraft!P34</f>
        <v>0</v>
      </c>
      <c r="G35">
        <v>2.9582653068117099E-2</v>
      </c>
      <c r="H35" s="605" t="str">
        <f>IF(Aircraft!J34="","",IF(ROUND(SUM(C35:G35),6)&lt;$M$2,$M$2,ROUND(SUM(C35:G35),6)))</f>
        <v/>
      </c>
    </row>
    <row r="36" spans="2:8" ht="15">
      <c r="B36" s="478">
        <v>32</v>
      </c>
      <c r="C36" s="463">
        <f>-3.7303226*10^-18*(POWER(Aircraft!P35,3))</f>
        <v>0</v>
      </c>
      <c r="D36" s="463">
        <f>1.656606504786*10^-12*POWER(Aircraft!P35,2)</f>
        <v>0</v>
      </c>
      <c r="E36" s="463">
        <f>-2.78081193910144*10^-7*Aircraft!P35</f>
        <v>0</v>
      </c>
      <c r="G36">
        <v>2.9582653068117099E-2</v>
      </c>
      <c r="H36" s="605" t="str">
        <f>IF(Aircraft!J35="","",IF(ROUND(SUM(C36:G36),6)&lt;$M$2,$M$2,ROUND(SUM(C36:G36),6)))</f>
        <v/>
      </c>
    </row>
    <row r="37" spans="2:8" ht="15">
      <c r="B37" s="478">
        <v>33</v>
      </c>
      <c r="C37" s="463">
        <f>-3.7303226*10^-18*(POWER(Aircraft!P36,3))</f>
        <v>0</v>
      </c>
      <c r="D37" s="463">
        <f>1.656606504786*10^-12*POWER(Aircraft!P36,2)</f>
        <v>0</v>
      </c>
      <c r="E37" s="463">
        <f>-2.78081193910144*10^-7*Aircraft!P36</f>
        <v>0</v>
      </c>
      <c r="G37">
        <v>2.9582653068117099E-2</v>
      </c>
      <c r="H37" s="605" t="str">
        <f>IF(Aircraft!J36="","",IF(ROUND(SUM(C37:G37),6)&lt;$M$2,$M$2,ROUND(SUM(C37:G37),6)))</f>
        <v/>
      </c>
    </row>
    <row r="38" spans="2:8" ht="15">
      <c r="B38" s="478">
        <v>34</v>
      </c>
      <c r="C38" s="463">
        <f>-3.7303226*10^-18*(POWER(Aircraft!P37,3))</f>
        <v>0</v>
      </c>
      <c r="D38" s="463">
        <f>1.656606504786*10^-12*POWER(Aircraft!P37,2)</f>
        <v>0</v>
      </c>
      <c r="E38" s="463">
        <f>-2.78081193910144*10^-7*Aircraft!P37</f>
        <v>0</v>
      </c>
      <c r="G38">
        <v>2.9582653068117099E-2</v>
      </c>
      <c r="H38" s="605" t="str">
        <f>IF(Aircraft!J37="","",IF(ROUND(SUM(C38:G38),6)&lt;$M$2,$M$2,ROUND(SUM(C38:G38),6)))</f>
        <v/>
      </c>
    </row>
    <row r="39" spans="2:8" ht="15">
      <c r="B39" s="478">
        <v>35</v>
      </c>
      <c r="C39" s="463">
        <f>-3.7303226*10^-18*(POWER(Aircraft!P38,3))</f>
        <v>0</v>
      </c>
      <c r="D39" s="463">
        <f>1.656606504786*10^-12*POWER(Aircraft!P38,2)</f>
        <v>0</v>
      </c>
      <c r="E39" s="463">
        <f>-2.78081193910144*10^-7*Aircraft!P38</f>
        <v>0</v>
      </c>
      <c r="G39">
        <v>2.9582653068117099E-2</v>
      </c>
      <c r="H39" s="605" t="str">
        <f>IF(Aircraft!J38="","",IF(ROUND(SUM(C39:G39),6)&lt;$M$2,$M$2,ROUND(SUM(C39:G39),6)))</f>
        <v/>
      </c>
    </row>
    <row r="40" spans="2:8" ht="15">
      <c r="B40" s="478">
        <v>36</v>
      </c>
      <c r="C40" s="463">
        <f>-3.7303226*10^-18*(POWER(Aircraft!P39,3))</f>
        <v>0</v>
      </c>
      <c r="D40" s="463">
        <f>1.656606504786*10^-12*POWER(Aircraft!P39,2)</f>
        <v>0</v>
      </c>
      <c r="E40" s="463">
        <f>-2.78081193910144*10^-7*Aircraft!P39</f>
        <v>0</v>
      </c>
      <c r="G40">
        <v>2.9582653068117099E-2</v>
      </c>
      <c r="H40" s="605" t="str">
        <f>IF(Aircraft!J39="","",IF(ROUND(SUM(C40:G40),6)&lt;$M$2,$M$2,ROUND(SUM(C40:G40),6)))</f>
        <v/>
      </c>
    </row>
    <row r="41" spans="2:8" ht="15">
      <c r="B41" s="478">
        <v>37</v>
      </c>
      <c r="C41" s="463">
        <f>-3.7303226*10^-18*(POWER(Aircraft!P40,3))</f>
        <v>0</v>
      </c>
      <c r="D41" s="463">
        <f>1.656606504786*10^-12*POWER(Aircraft!P40,2)</f>
        <v>0</v>
      </c>
      <c r="E41" s="463">
        <f>-2.78081193910144*10^-7*Aircraft!P40</f>
        <v>0</v>
      </c>
      <c r="G41">
        <v>2.9582653068117099E-2</v>
      </c>
      <c r="H41" s="605" t="str">
        <f>IF(Aircraft!J40="","",IF(ROUND(SUM(C41:G41),6)&lt;$M$2,$M$2,ROUND(SUM(C41:G41),6)))</f>
        <v/>
      </c>
    </row>
    <row r="42" spans="2:8" ht="15">
      <c r="B42" s="478">
        <v>38</v>
      </c>
      <c r="C42" s="463">
        <f>-3.7303226*10^-18*(POWER(Aircraft!P41,3))</f>
        <v>0</v>
      </c>
      <c r="D42" s="463">
        <f>1.656606504786*10^-12*POWER(Aircraft!P41,2)</f>
        <v>0</v>
      </c>
      <c r="E42" s="463">
        <f>-2.78081193910144*10^-7*Aircraft!P41</f>
        <v>0</v>
      </c>
      <c r="G42">
        <v>2.9582653068117099E-2</v>
      </c>
      <c r="H42" s="605" t="str">
        <f>IF(Aircraft!J41="","",IF(ROUND(SUM(C42:G42),6)&lt;$M$2,$M$2,ROUND(SUM(C42:G42),6)))</f>
        <v/>
      </c>
    </row>
    <row r="43" spans="2:8" ht="15">
      <c r="B43" s="478">
        <v>39</v>
      </c>
      <c r="C43" s="463">
        <f>-3.7303226*10^-18*(POWER(Aircraft!P42,3))</f>
        <v>0</v>
      </c>
      <c r="D43" s="463">
        <f>1.656606504786*10^-12*POWER(Aircraft!P42,2)</f>
        <v>0</v>
      </c>
      <c r="E43" s="463">
        <f>-2.78081193910144*10^-7*Aircraft!P42</f>
        <v>0</v>
      </c>
      <c r="G43">
        <v>2.9582653068117099E-2</v>
      </c>
      <c r="H43" s="605" t="str">
        <f>IF(Aircraft!J42="","",IF(ROUND(SUM(C43:G43),6)&lt;$M$2,$M$2,ROUND(SUM(C43:G43),6)))</f>
        <v/>
      </c>
    </row>
    <row r="44" spans="2:8" ht="15">
      <c r="B44" s="478">
        <v>40</v>
      </c>
      <c r="C44" s="463">
        <f>-3.7303226*10^-18*(POWER(Aircraft!P43,3))</f>
        <v>0</v>
      </c>
      <c r="D44" s="463">
        <f>1.656606504786*10^-12*POWER(Aircraft!P43,2)</f>
        <v>0</v>
      </c>
      <c r="E44" s="463">
        <f>-2.78081193910144*10^-7*Aircraft!P43</f>
        <v>0</v>
      </c>
      <c r="G44">
        <v>2.9582653068117099E-2</v>
      </c>
      <c r="H44" s="605" t="str">
        <f>IF(Aircraft!J43="","",IF(ROUND(SUM(C44:G44),6)&lt;$M$2,$M$2,ROUND(SUM(C44:G44),6)))</f>
        <v/>
      </c>
    </row>
    <row r="45" spans="2:8" ht="15">
      <c r="B45" s="478">
        <v>41</v>
      </c>
      <c r="C45" s="463">
        <f>-3.7303226*10^-18*(POWER(Aircraft!P44,3))</f>
        <v>0</v>
      </c>
      <c r="D45" s="463">
        <f>1.656606504786*10^-12*POWER(Aircraft!P44,2)</f>
        <v>0</v>
      </c>
      <c r="E45" s="463">
        <f>-2.78081193910144*10^-7*Aircraft!P44</f>
        <v>0</v>
      </c>
      <c r="G45">
        <v>2.9582653068117099E-2</v>
      </c>
      <c r="H45" s="605" t="str">
        <f>IF(Aircraft!J44="","",IF(ROUND(SUM(C45:G45),6)&lt;$M$2,$M$2,ROUND(SUM(C45:G45),6)))</f>
        <v/>
      </c>
    </row>
    <row r="46" spans="2:8" ht="15">
      <c r="B46" s="478">
        <v>42</v>
      </c>
      <c r="C46" s="463">
        <f>-3.7303226*10^-18*(POWER(Aircraft!P45,3))</f>
        <v>0</v>
      </c>
      <c r="D46" s="463">
        <f>1.656606504786*10^-12*POWER(Aircraft!P45,2)</f>
        <v>0</v>
      </c>
      <c r="E46" s="463">
        <f>-2.78081193910144*10^-7*Aircraft!P45</f>
        <v>0</v>
      </c>
      <c r="G46">
        <v>2.9582653068117099E-2</v>
      </c>
      <c r="H46" s="605" t="str">
        <f>IF(Aircraft!J45="","",IF(ROUND(SUM(C46:G46),6)&lt;$M$2,$M$2,ROUND(SUM(C46:G46),6)))</f>
        <v/>
      </c>
    </row>
    <row r="47" spans="2:8" ht="15">
      <c r="B47" s="478">
        <v>43</v>
      </c>
      <c r="C47" s="463">
        <f>-3.7303226*10^-18*(POWER(Aircraft!P46,3))</f>
        <v>0</v>
      </c>
      <c r="D47" s="463">
        <f>1.656606504786*10^-12*POWER(Aircraft!P46,2)</f>
        <v>0</v>
      </c>
      <c r="E47" s="463">
        <f>-2.78081193910144*10^-7*Aircraft!P46</f>
        <v>0</v>
      </c>
      <c r="G47">
        <v>2.9582653068117099E-2</v>
      </c>
      <c r="H47" s="605" t="str">
        <f>IF(Aircraft!J46="","",IF(ROUND(SUM(C47:G47),6)&lt;$M$2,$M$2,ROUND(SUM(C47:G47),6)))</f>
        <v/>
      </c>
    </row>
    <row r="48" spans="2:8" ht="15">
      <c r="B48" s="478">
        <v>44</v>
      </c>
      <c r="C48" s="463">
        <f>-3.7303226*10^-18*(POWER(Aircraft!P47,3))</f>
        <v>0</v>
      </c>
      <c r="D48" s="463">
        <f>1.656606504786*10^-12*POWER(Aircraft!P47,2)</f>
        <v>0</v>
      </c>
      <c r="E48" s="463">
        <f>-2.78081193910144*10^-7*Aircraft!P47</f>
        <v>0</v>
      </c>
      <c r="G48">
        <v>2.9582653068117099E-2</v>
      </c>
      <c r="H48" s="605" t="str">
        <f>IF(Aircraft!J47="","",IF(ROUND(SUM(C48:G48),6)&lt;$M$2,$M$2,ROUND(SUM(C48:G48),6)))</f>
        <v/>
      </c>
    </row>
    <row r="49" spans="2:8" ht="15">
      <c r="B49" s="478">
        <v>45</v>
      </c>
      <c r="C49" s="463">
        <f>-3.7303226*10^-18*(POWER(Aircraft!P48,3))</f>
        <v>0</v>
      </c>
      <c r="D49" s="463">
        <f>1.656606504786*10^-12*POWER(Aircraft!P48,2)</f>
        <v>0</v>
      </c>
      <c r="E49" s="463">
        <f>-2.78081193910144*10^-7*Aircraft!P48</f>
        <v>0</v>
      </c>
      <c r="G49">
        <v>2.9582653068117099E-2</v>
      </c>
      <c r="H49" s="605" t="str">
        <f>IF(Aircraft!J48="","",IF(ROUND(SUM(C49:G49),6)&lt;$M$2,$M$2,ROUND(SUM(C49:G49),6)))</f>
        <v/>
      </c>
    </row>
    <row r="50" spans="2:8" ht="15">
      <c r="B50" s="478">
        <v>46</v>
      </c>
      <c r="C50" s="463">
        <f>-3.7303226*10^-18*(POWER(Aircraft!P49,3))</f>
        <v>0</v>
      </c>
      <c r="D50" s="463">
        <f>1.656606504786*10^-12*POWER(Aircraft!P49,2)</f>
        <v>0</v>
      </c>
      <c r="E50" s="463">
        <f>-2.78081193910144*10^-7*Aircraft!P49</f>
        <v>0</v>
      </c>
      <c r="G50">
        <v>2.9582653068117099E-2</v>
      </c>
      <c r="H50" s="605" t="str">
        <f>IF(Aircraft!J49="","",IF(ROUND(SUM(C50:G50),6)&lt;$M$2,$M$2,ROUND(SUM(C50:G50),6)))</f>
        <v/>
      </c>
    </row>
    <row r="51" spans="2:8" ht="15">
      <c r="B51" s="478">
        <v>47</v>
      </c>
      <c r="C51" s="463">
        <f>-3.7303226*10^-18*(POWER(Aircraft!P50,3))</f>
        <v>0</v>
      </c>
      <c r="D51" s="463">
        <f>1.656606504786*10^-12*POWER(Aircraft!P50,2)</f>
        <v>0</v>
      </c>
      <c r="E51" s="463">
        <f>-2.78081193910144*10^-7*Aircraft!P50</f>
        <v>0</v>
      </c>
      <c r="G51">
        <v>2.9582653068117099E-2</v>
      </c>
      <c r="H51" s="605" t="str">
        <f>IF(Aircraft!J50="","",IF(ROUND(SUM(C51:G51),6)&lt;$M$2,$M$2,ROUND(SUM(C51:G51),6)))</f>
        <v/>
      </c>
    </row>
    <row r="52" spans="2:8" ht="15">
      <c r="B52" s="478">
        <v>48</v>
      </c>
      <c r="C52" s="463">
        <f>-3.7303226*10^-18*(POWER(Aircraft!P51,3))</f>
        <v>0</v>
      </c>
      <c r="D52" s="463">
        <f>1.656606504786*10^-12*POWER(Aircraft!P51,2)</f>
        <v>0</v>
      </c>
      <c r="E52" s="463">
        <f>-2.78081193910144*10^-7*Aircraft!P51</f>
        <v>0</v>
      </c>
      <c r="G52">
        <v>2.9582653068117099E-2</v>
      </c>
      <c r="H52" s="605" t="str">
        <f>IF(Aircraft!J51="","",IF(ROUND(SUM(C52:G52),6)&lt;$M$2,$M$2,ROUND(SUM(C52:G52),6)))</f>
        <v/>
      </c>
    </row>
    <row r="53" spans="2:8" ht="15">
      <c r="B53" s="478">
        <v>49</v>
      </c>
      <c r="C53" s="463">
        <f>-3.7303226*10^-18*(POWER(Aircraft!P52,3))</f>
        <v>0</v>
      </c>
      <c r="D53" s="463">
        <f>1.656606504786*10^-12*POWER(Aircraft!P52,2)</f>
        <v>0</v>
      </c>
      <c r="E53" s="463">
        <f>-2.78081193910144*10^-7*Aircraft!P52</f>
        <v>0</v>
      </c>
      <c r="G53">
        <v>2.9582653068117099E-2</v>
      </c>
      <c r="H53" s="605" t="str">
        <f>IF(Aircraft!J52="","",IF(ROUND(SUM(C53:G53),6)&lt;$M$2,$M$2,ROUND(SUM(C53:G53),6)))</f>
        <v/>
      </c>
    </row>
    <row r="54" spans="2:8" ht="15">
      <c r="B54" s="478">
        <v>50</v>
      </c>
      <c r="C54" s="463">
        <f>-3.7303226*10^-18*(POWER(Aircraft!P53,3))</f>
        <v>0</v>
      </c>
      <c r="D54" s="463">
        <f>1.656606504786*10^-12*POWER(Aircraft!P53,2)</f>
        <v>0</v>
      </c>
      <c r="E54" s="463">
        <f>-2.78081193910144*10^-7*Aircraft!P53</f>
        <v>0</v>
      </c>
      <c r="G54">
        <v>2.9582653068117099E-2</v>
      </c>
      <c r="H54" s="605" t="str">
        <f>IF(Aircraft!J53="","",IF(ROUND(SUM(C54:G54),6)&lt;$M$2,$M$2,ROUND(SUM(C54:G54),6)))</f>
        <v/>
      </c>
    </row>
    <row r="55" spans="2:8" ht="15">
      <c r="B55" s="478">
        <v>51</v>
      </c>
      <c r="C55" s="463">
        <f>-3.7303226*10^-18*(POWER(Aircraft!P54,3))</f>
        <v>0</v>
      </c>
      <c r="D55" s="463">
        <f>1.656606504786*10^-12*POWER(Aircraft!P54,2)</f>
        <v>0</v>
      </c>
      <c r="E55" s="463">
        <f>-2.78081193910144*10^-7*Aircraft!P54</f>
        <v>0</v>
      </c>
      <c r="G55">
        <v>2.9582653068117099E-2</v>
      </c>
      <c r="H55" s="605" t="str">
        <f>IF(Aircraft!J54="","",IF(ROUND(SUM(C55:G55),6)&lt;$M$2,$M$2,ROUND(SUM(C55:G55),6)))</f>
        <v/>
      </c>
    </row>
    <row r="56" spans="2:8" ht="15">
      <c r="B56" s="478">
        <v>52</v>
      </c>
      <c r="C56" s="463">
        <f>-3.7303226*10^-18*(POWER(Aircraft!P55,3))</f>
        <v>0</v>
      </c>
      <c r="D56" s="463">
        <f>1.656606504786*10^-12*POWER(Aircraft!P55,2)</f>
        <v>0</v>
      </c>
      <c r="E56" s="463">
        <f>-2.78081193910144*10^-7*Aircraft!P55</f>
        <v>0</v>
      </c>
      <c r="G56">
        <v>2.9582653068117099E-2</v>
      </c>
      <c r="H56" s="605" t="str">
        <f>IF(Aircraft!J55="","",IF(ROUND(SUM(C56:G56),6)&lt;$M$2,$M$2,ROUND(SUM(C56:G56),6)))</f>
        <v/>
      </c>
    </row>
    <row r="57" spans="2:8" ht="15">
      <c r="B57" s="478">
        <v>53</v>
      </c>
      <c r="C57" s="463">
        <f>-3.7303226*10^-18*(POWER(Aircraft!P56,3))</f>
        <v>0</v>
      </c>
      <c r="D57" s="463">
        <f>1.656606504786*10^-12*POWER(Aircraft!P56,2)</f>
        <v>0</v>
      </c>
      <c r="E57" s="463">
        <f>-2.78081193910144*10^-7*Aircraft!P56</f>
        <v>0</v>
      </c>
      <c r="G57">
        <v>2.9582653068117099E-2</v>
      </c>
      <c r="H57" s="605" t="str">
        <f>IF(Aircraft!J56="","",IF(ROUND(SUM(C57:G57),6)&lt;$M$2,$M$2,ROUND(SUM(C57:G57),6)))</f>
        <v/>
      </c>
    </row>
    <row r="58" spans="2:8" ht="15">
      <c r="B58" s="478">
        <v>54</v>
      </c>
      <c r="C58" s="463">
        <f>-3.7303226*10^-18*(POWER(Aircraft!P57,3))</f>
        <v>0</v>
      </c>
      <c r="D58" s="463">
        <f>1.656606504786*10^-12*POWER(Aircraft!P57,2)</f>
        <v>0</v>
      </c>
      <c r="E58" s="463">
        <f>-2.78081193910144*10^-7*Aircraft!P57</f>
        <v>0</v>
      </c>
      <c r="G58">
        <v>2.9582653068117099E-2</v>
      </c>
      <c r="H58" s="605" t="str">
        <f>IF(Aircraft!J57="","",IF(ROUND(SUM(C58:G58),6)&lt;$M$2,$M$2,ROUND(SUM(C58:G58),6)))</f>
        <v/>
      </c>
    </row>
    <row r="59" spans="2:8" ht="15">
      <c r="B59" s="478">
        <v>55</v>
      </c>
      <c r="C59" s="463">
        <f>-3.7303226*10^-18*(POWER(Aircraft!P58,3))</f>
        <v>0</v>
      </c>
      <c r="D59" s="463">
        <f>1.656606504786*10^-12*POWER(Aircraft!P58,2)</f>
        <v>0</v>
      </c>
      <c r="E59" s="463">
        <f>-2.78081193910144*10^-7*Aircraft!P58</f>
        <v>0</v>
      </c>
      <c r="G59">
        <v>2.9582653068117099E-2</v>
      </c>
      <c r="H59" s="605" t="str">
        <f>IF(Aircraft!J58="","",IF(ROUND(SUM(C59:G59),6)&lt;$M$2,$M$2,ROUND(SUM(C59:G59),6)))</f>
        <v/>
      </c>
    </row>
    <row r="60" spans="2:8" ht="15">
      <c r="B60" s="478">
        <v>56</v>
      </c>
      <c r="C60" s="463">
        <f>-3.7303226*10^-18*(POWER(Aircraft!P59,3))</f>
        <v>0</v>
      </c>
      <c r="D60" s="463">
        <f>1.656606504786*10^-12*POWER(Aircraft!P59,2)</f>
        <v>0</v>
      </c>
      <c r="E60" s="463">
        <f>-2.78081193910144*10^-7*Aircraft!P59</f>
        <v>0</v>
      </c>
      <c r="G60">
        <v>2.9582653068117099E-2</v>
      </c>
      <c r="H60" s="605" t="str">
        <f>IF(Aircraft!J59="","",IF(ROUND(SUM(C60:G60),6)&lt;$M$2,$M$2,ROUND(SUM(C60:G60),6)))</f>
        <v/>
      </c>
    </row>
    <row r="61" spans="2:8" ht="15">
      <c r="B61" s="478">
        <v>57</v>
      </c>
      <c r="C61" s="463">
        <f>-3.7303226*10^-18*(POWER(Aircraft!P60,3))</f>
        <v>0</v>
      </c>
      <c r="D61" s="463">
        <f>1.656606504786*10^-12*POWER(Aircraft!P60,2)</f>
        <v>0</v>
      </c>
      <c r="E61" s="463">
        <f>-2.78081193910144*10^-7*Aircraft!P60</f>
        <v>0</v>
      </c>
      <c r="G61">
        <v>2.9582653068117099E-2</v>
      </c>
      <c r="H61" s="605" t="str">
        <f>IF(Aircraft!J60="","",IF(ROUND(SUM(C61:G61),6)&lt;$M$2,$M$2,ROUND(SUM(C61:G61),6)))</f>
        <v/>
      </c>
    </row>
    <row r="62" spans="2:8" ht="15">
      <c r="B62" s="478">
        <v>58</v>
      </c>
      <c r="C62" s="463">
        <f>-3.7303226*10^-18*(POWER(Aircraft!P61,3))</f>
        <v>0</v>
      </c>
      <c r="D62" s="463">
        <f>1.656606504786*10^-12*POWER(Aircraft!P61,2)</f>
        <v>0</v>
      </c>
      <c r="E62" s="463">
        <f>-2.78081193910144*10^-7*Aircraft!P61</f>
        <v>0</v>
      </c>
      <c r="G62">
        <v>2.9582653068117099E-2</v>
      </c>
      <c r="H62" s="605" t="str">
        <f>IF(Aircraft!J61="","",IF(ROUND(SUM(C62:G62),6)&lt;$M$2,$M$2,ROUND(SUM(C62:G62),6)))</f>
        <v/>
      </c>
    </row>
    <row r="63" spans="2:8" ht="15">
      <c r="B63" s="478">
        <v>59</v>
      </c>
      <c r="C63" s="463">
        <f>-3.7303226*10^-18*(POWER(Aircraft!P62,3))</f>
        <v>0</v>
      </c>
      <c r="D63" s="463">
        <f>1.656606504786*10^-12*POWER(Aircraft!P62,2)</f>
        <v>0</v>
      </c>
      <c r="E63" s="463">
        <f>-2.78081193910144*10^-7*Aircraft!P62</f>
        <v>0</v>
      </c>
      <c r="G63">
        <v>2.9582653068117099E-2</v>
      </c>
      <c r="H63" s="605" t="str">
        <f>IF(Aircraft!J62="","",IF(ROUND(SUM(C63:G63),6)&lt;$M$2,$M$2,ROUND(SUM(C63:G63),6)))</f>
        <v/>
      </c>
    </row>
    <row r="64" spans="2:8" ht="15">
      <c r="B64" s="478">
        <v>60</v>
      </c>
      <c r="C64" s="463">
        <f>-3.7303226*10^-18*(POWER(Aircraft!P63,3))</f>
        <v>0</v>
      </c>
      <c r="D64" s="463">
        <f>1.656606504786*10^-12*POWER(Aircraft!P63,2)</f>
        <v>0</v>
      </c>
      <c r="E64" s="463">
        <f>-2.78081193910144*10^-7*Aircraft!P63</f>
        <v>0</v>
      </c>
      <c r="G64">
        <v>2.9582653068117099E-2</v>
      </c>
      <c r="H64" s="605" t="str">
        <f>IF(Aircraft!J63="","",IF(ROUND(SUM(C64:G64),6)&lt;$M$2,$M$2,ROUND(SUM(C64:G64),6)))</f>
        <v/>
      </c>
    </row>
    <row r="65" spans="2:8" ht="15">
      <c r="B65" s="478">
        <v>61</v>
      </c>
      <c r="C65" s="463">
        <f>-3.7303226*10^-18*(POWER(Aircraft!P64,3))</f>
        <v>0</v>
      </c>
      <c r="D65" s="463">
        <f>1.656606504786*10^-12*POWER(Aircraft!P64,2)</f>
        <v>0</v>
      </c>
      <c r="E65" s="463">
        <f>-2.78081193910144*10^-7*Aircraft!P64</f>
        <v>0</v>
      </c>
      <c r="G65">
        <v>2.9582653068117099E-2</v>
      </c>
      <c r="H65" s="605" t="str">
        <f>IF(Aircraft!J64="","",IF(ROUND(SUM(C65:G65),6)&lt;$M$2,$M$2,ROUND(SUM(C65:G65),6)))</f>
        <v/>
      </c>
    </row>
    <row r="66" spans="2:8" ht="15">
      <c r="B66" s="478">
        <v>62</v>
      </c>
      <c r="C66" s="463">
        <f>-3.7303226*10^-18*(POWER(Aircraft!P65,3))</f>
        <v>0</v>
      </c>
      <c r="D66" s="463">
        <f>1.656606504786*10^-12*POWER(Aircraft!P65,2)</f>
        <v>0</v>
      </c>
      <c r="E66" s="463">
        <f>-2.78081193910144*10^-7*Aircraft!P65</f>
        <v>0</v>
      </c>
      <c r="G66">
        <v>2.9582653068117099E-2</v>
      </c>
      <c r="H66" s="605" t="str">
        <f>IF(Aircraft!J65="","",IF(ROUND(SUM(C66:G66),6)&lt;$M$2,$M$2,ROUND(SUM(C66:G66),6)))</f>
        <v/>
      </c>
    </row>
    <row r="67" spans="2:8" ht="15">
      <c r="B67" s="478">
        <v>63</v>
      </c>
      <c r="C67" s="463">
        <f>-3.7303226*10^-18*(POWER(Aircraft!P66,3))</f>
        <v>0</v>
      </c>
      <c r="D67" s="463">
        <f>1.656606504786*10^-12*POWER(Aircraft!P66,2)</f>
        <v>0</v>
      </c>
      <c r="E67" s="463">
        <f>-2.78081193910144*10^-7*Aircraft!P66</f>
        <v>0</v>
      </c>
      <c r="G67">
        <v>2.9582653068117099E-2</v>
      </c>
      <c r="H67" s="605" t="str">
        <f>IF(Aircraft!J66="","",IF(ROUND(SUM(C67:G67),6)&lt;$M$2,$M$2,ROUND(SUM(C67:G67),6)))</f>
        <v/>
      </c>
    </row>
    <row r="68" spans="2:8" ht="15">
      <c r="B68" s="478">
        <v>64</v>
      </c>
      <c r="C68" s="463">
        <f>-3.7303226*10^-18*(POWER(Aircraft!P67,3))</f>
        <v>0</v>
      </c>
      <c r="D68" s="463">
        <f>1.656606504786*10^-12*POWER(Aircraft!P67,2)</f>
        <v>0</v>
      </c>
      <c r="E68" s="463">
        <f>-2.78081193910144*10^-7*Aircraft!P67</f>
        <v>0</v>
      </c>
      <c r="G68">
        <v>2.9582653068117099E-2</v>
      </c>
      <c r="H68" s="605" t="str">
        <f>IF(Aircraft!J67="","",IF(ROUND(SUM(C68:G68),6)&lt;$M$2,$M$2,ROUND(SUM(C68:G68),6)))</f>
        <v/>
      </c>
    </row>
    <row r="69" spans="2:8" ht="15">
      <c r="B69" s="478">
        <v>65</v>
      </c>
      <c r="C69" s="463">
        <f>-3.7303226*10^-18*(POWER(Aircraft!P68,3))</f>
        <v>0</v>
      </c>
      <c r="D69" s="463">
        <f>1.656606504786*10^-12*POWER(Aircraft!P68,2)</f>
        <v>0</v>
      </c>
      <c r="E69" s="463">
        <f>-2.78081193910144*10^-7*Aircraft!P68</f>
        <v>0</v>
      </c>
      <c r="G69">
        <v>2.9582653068117099E-2</v>
      </c>
      <c r="H69" s="605" t="str">
        <f>IF(Aircraft!J68="","",IF(ROUND(SUM(C69:G69),6)&lt;$M$2,$M$2,ROUND(SUM(C69:G69),6)))</f>
        <v/>
      </c>
    </row>
    <row r="70" spans="2:8" ht="15">
      <c r="B70" s="478">
        <v>66</v>
      </c>
      <c r="C70" s="463">
        <f>-3.7303226*10^-18*(POWER(Aircraft!P69,3))</f>
        <v>0</v>
      </c>
      <c r="D70" s="463">
        <f>1.656606504786*10^-12*POWER(Aircraft!P69,2)</f>
        <v>0</v>
      </c>
      <c r="E70" s="463">
        <f>-2.78081193910144*10^-7*Aircraft!P69</f>
        <v>0</v>
      </c>
      <c r="G70">
        <v>2.9582653068117099E-2</v>
      </c>
      <c r="H70" s="605" t="str">
        <f>IF(Aircraft!J69="","",IF(ROUND(SUM(C70:G70),6)&lt;$M$2,$M$2,ROUND(SUM(C70:G70),6)))</f>
        <v/>
      </c>
    </row>
    <row r="71" spans="2:8" ht="15">
      <c r="B71" s="478">
        <v>67</v>
      </c>
      <c r="C71" s="463">
        <f>-3.7303226*10^-18*(POWER(Aircraft!P70,3))</f>
        <v>0</v>
      </c>
      <c r="D71" s="463">
        <f>1.656606504786*10^-12*POWER(Aircraft!P70,2)</f>
        <v>0</v>
      </c>
      <c r="E71" s="463">
        <f>-2.78081193910144*10^-7*Aircraft!P70</f>
        <v>0</v>
      </c>
      <c r="G71">
        <v>2.9582653068117099E-2</v>
      </c>
      <c r="H71" s="605" t="str">
        <f>IF(Aircraft!J70="","",IF(ROUND(SUM(C71:G71),6)&lt;$M$2,$M$2,ROUND(SUM(C71:G71),6)))</f>
        <v/>
      </c>
    </row>
    <row r="72" spans="2:8" ht="15">
      <c r="B72" s="478">
        <v>68</v>
      </c>
      <c r="C72" s="463">
        <f>-3.7303226*10^-18*(POWER(Aircraft!P71,3))</f>
        <v>0</v>
      </c>
      <c r="D72" s="463">
        <f>1.656606504786*10^-12*POWER(Aircraft!P71,2)</f>
        <v>0</v>
      </c>
      <c r="E72" s="463">
        <f>-2.78081193910144*10^-7*Aircraft!P71</f>
        <v>0</v>
      </c>
      <c r="G72">
        <v>2.9582653068117099E-2</v>
      </c>
      <c r="H72" s="605" t="str">
        <f>IF(Aircraft!J71="","",IF(ROUND(SUM(C72:G72),6)&lt;$M$2,$M$2,ROUND(SUM(C72:G72),6)))</f>
        <v/>
      </c>
    </row>
    <row r="73" spans="2:8" ht="15">
      <c r="B73" s="478">
        <v>69</v>
      </c>
      <c r="C73" s="463">
        <f>-3.7303226*10^-18*(POWER(Aircraft!P72,3))</f>
        <v>0</v>
      </c>
      <c r="D73" s="463">
        <f>1.656606504786*10^-12*POWER(Aircraft!P72,2)</f>
        <v>0</v>
      </c>
      <c r="E73" s="463">
        <f>-2.78081193910144*10^-7*Aircraft!P72</f>
        <v>0</v>
      </c>
      <c r="G73">
        <v>2.9582653068117099E-2</v>
      </c>
      <c r="H73" s="605" t="str">
        <f>IF(Aircraft!J72="","",IF(ROUND(SUM(C73:G73),6)&lt;$M$2,$M$2,ROUND(SUM(C73:G73),6)))</f>
        <v/>
      </c>
    </row>
    <row r="74" spans="2:8" ht="15">
      <c r="B74" s="478">
        <v>70</v>
      </c>
      <c r="C74" s="463">
        <f>-3.7303226*10^-18*(POWER(Aircraft!P73,3))</f>
        <v>0</v>
      </c>
      <c r="D74" s="463">
        <f>1.656606504786*10^-12*POWER(Aircraft!P73,2)</f>
        <v>0</v>
      </c>
      <c r="E74" s="463">
        <f>-2.78081193910144*10^-7*Aircraft!P73</f>
        <v>0</v>
      </c>
      <c r="G74">
        <v>2.9582653068117099E-2</v>
      </c>
      <c r="H74" s="605" t="str">
        <f>IF(Aircraft!J73="","",IF(ROUND(SUM(C74:G74),6)&lt;$M$2,$M$2,ROUND(SUM(C74:G74),6)))</f>
        <v/>
      </c>
    </row>
    <row r="75" spans="2:8" ht="15">
      <c r="B75" s="478">
        <v>71</v>
      </c>
      <c r="C75" s="463">
        <f>-3.7303226*10^-18*(POWER(Aircraft!P74,3))</f>
        <v>0</v>
      </c>
      <c r="D75" s="463">
        <f>1.656606504786*10^-12*POWER(Aircraft!P74,2)</f>
        <v>0</v>
      </c>
      <c r="E75" s="463">
        <f>-2.78081193910144*10^-7*Aircraft!P74</f>
        <v>0</v>
      </c>
      <c r="G75">
        <v>2.9582653068117099E-2</v>
      </c>
      <c r="H75" s="605" t="str">
        <f>IF(Aircraft!J74="","",IF(ROUND(SUM(C75:G75),6)&lt;$M$2,$M$2,ROUND(SUM(C75:G75),6)))</f>
        <v/>
      </c>
    </row>
    <row r="76" spans="2:8" ht="15">
      <c r="B76" s="478">
        <v>72</v>
      </c>
      <c r="C76" s="463">
        <f>-3.7303226*10^-18*(POWER(Aircraft!P75,3))</f>
        <v>0</v>
      </c>
      <c r="D76" s="463">
        <f>1.656606504786*10^-12*POWER(Aircraft!P75,2)</f>
        <v>0</v>
      </c>
      <c r="E76" s="463">
        <f>-2.78081193910144*10^-7*Aircraft!P75</f>
        <v>0</v>
      </c>
      <c r="G76">
        <v>2.9582653068117099E-2</v>
      </c>
      <c r="H76" s="605" t="str">
        <f>IF(Aircraft!J75="","",IF(ROUND(SUM(C76:G76),6)&lt;$M$2,$M$2,ROUND(SUM(C76:G76),6)))</f>
        <v/>
      </c>
    </row>
    <row r="77" spans="2:8" ht="15">
      <c r="B77" s="478">
        <v>73</v>
      </c>
      <c r="C77" s="463">
        <f>-3.7303226*10^-18*(POWER(Aircraft!P76,3))</f>
        <v>0</v>
      </c>
      <c r="D77" s="463">
        <f>1.656606504786*10^-12*POWER(Aircraft!P76,2)</f>
        <v>0</v>
      </c>
      <c r="E77" s="463">
        <f>-2.78081193910144*10^-7*Aircraft!P76</f>
        <v>0</v>
      </c>
      <c r="G77">
        <v>2.9582653068117099E-2</v>
      </c>
      <c r="H77" s="605" t="str">
        <f>IF(Aircraft!J76="","",IF(ROUND(SUM(C77:G77),6)&lt;$M$2,$M$2,ROUND(SUM(C77:G77),6)))</f>
        <v/>
      </c>
    </row>
    <row r="78" spans="2:8" ht="15">
      <c r="B78" s="478">
        <v>74</v>
      </c>
      <c r="C78" s="463">
        <f>-3.7303226*10^-18*(POWER(Aircraft!P77,3))</f>
        <v>0</v>
      </c>
      <c r="D78" s="463">
        <f>1.656606504786*10^-12*POWER(Aircraft!P77,2)</f>
        <v>0</v>
      </c>
      <c r="E78" s="463">
        <f>-2.78081193910144*10^-7*Aircraft!P77</f>
        <v>0</v>
      </c>
      <c r="G78">
        <v>2.9582653068117099E-2</v>
      </c>
      <c r="H78" s="605" t="str">
        <f>IF(Aircraft!J77="","",IF(ROUND(SUM(C78:G78),6)&lt;$M$2,$M$2,ROUND(SUM(C78:G78),6)))</f>
        <v/>
      </c>
    </row>
    <row r="79" spans="2:8" ht="15">
      <c r="B79" s="478">
        <v>75</v>
      </c>
      <c r="C79" s="463">
        <f>-3.7303226*10^-18*(POWER(Aircraft!P78,3))</f>
        <v>0</v>
      </c>
      <c r="D79" s="463">
        <f>1.656606504786*10^-12*POWER(Aircraft!P78,2)</f>
        <v>0</v>
      </c>
      <c r="E79" s="463">
        <f>-2.78081193910144*10^-7*Aircraft!P78</f>
        <v>0</v>
      </c>
      <c r="G79">
        <v>2.9582653068117099E-2</v>
      </c>
      <c r="H79" s="605" t="str">
        <f>IF(Aircraft!J78="","",IF(ROUND(SUM(C79:G79),6)&lt;$M$2,$M$2,ROUND(SUM(C79:G79),6)))</f>
        <v/>
      </c>
    </row>
    <row r="80" spans="2:8" ht="15">
      <c r="B80" s="478">
        <v>76</v>
      </c>
      <c r="C80" s="463">
        <f>-3.7303226*10^-18*(POWER(Aircraft!P79,3))</f>
        <v>0</v>
      </c>
      <c r="D80" s="463">
        <f>1.656606504786*10^-12*POWER(Aircraft!P79,2)</f>
        <v>0</v>
      </c>
      <c r="E80" s="463">
        <f>-2.78081193910144*10^-7*Aircraft!P79</f>
        <v>0</v>
      </c>
      <c r="G80">
        <v>2.9582653068117099E-2</v>
      </c>
      <c r="H80" s="605" t="str">
        <f>IF(Aircraft!J79="","",IF(ROUND(SUM(C80:G80),6)&lt;$M$2,$M$2,ROUND(SUM(C80:G80),6)))</f>
        <v/>
      </c>
    </row>
    <row r="81" spans="2:8" ht="15">
      <c r="B81" s="478">
        <v>77</v>
      </c>
      <c r="C81" s="463">
        <f>-3.7303226*10^-18*(POWER(Aircraft!P80,3))</f>
        <v>0</v>
      </c>
      <c r="D81" s="463">
        <f>1.656606504786*10^-12*POWER(Aircraft!P80,2)</f>
        <v>0</v>
      </c>
      <c r="E81" s="463">
        <f>-2.78081193910144*10^-7*Aircraft!P80</f>
        <v>0</v>
      </c>
      <c r="G81">
        <v>2.9582653068117099E-2</v>
      </c>
      <c r="H81" s="605" t="str">
        <f>IF(Aircraft!J80="","",IF(ROUND(SUM(C81:G81),6)&lt;$M$2,$M$2,ROUND(SUM(C81:G81),6)))</f>
        <v/>
      </c>
    </row>
    <row r="82" spans="2:8" ht="15">
      <c r="B82" s="478">
        <v>78</v>
      </c>
      <c r="C82" s="463">
        <f>-3.7303226*10^-18*(POWER(Aircraft!P81,3))</f>
        <v>0</v>
      </c>
      <c r="D82" s="463">
        <f>1.656606504786*10^-12*POWER(Aircraft!P81,2)</f>
        <v>0</v>
      </c>
      <c r="E82" s="463">
        <f>-2.78081193910144*10^-7*Aircraft!P81</f>
        <v>0</v>
      </c>
      <c r="G82">
        <v>2.9582653068117099E-2</v>
      </c>
      <c r="H82" s="605" t="str">
        <f>IF(Aircraft!J81="","",IF(ROUND(SUM(C82:G82),6)&lt;$M$2,$M$2,ROUND(SUM(C82:G82),6)))</f>
        <v/>
      </c>
    </row>
    <row r="83" spans="2:8" ht="15">
      <c r="B83" s="478">
        <v>79</v>
      </c>
      <c r="C83" s="463">
        <f>-3.7303226*10^-18*(POWER(Aircraft!P82,3))</f>
        <v>0</v>
      </c>
      <c r="D83" s="463">
        <f>1.656606504786*10^-12*POWER(Aircraft!P82,2)</f>
        <v>0</v>
      </c>
      <c r="E83" s="463">
        <f>-2.78081193910144*10^-7*Aircraft!P82</f>
        <v>0</v>
      </c>
      <c r="G83">
        <v>2.9582653068117099E-2</v>
      </c>
      <c r="H83" s="605" t="str">
        <f>IF(Aircraft!J82="","",IF(ROUND(SUM(C83:G83),6)&lt;$M$2,$M$2,ROUND(SUM(C83:G83),6)))</f>
        <v/>
      </c>
    </row>
    <row r="84" spans="2:8" ht="15">
      <c r="B84" s="478">
        <v>80</v>
      </c>
      <c r="C84" s="463">
        <f>-3.7303226*10^-18*(POWER(Aircraft!P83,3))</f>
        <v>0</v>
      </c>
      <c r="D84" s="463">
        <f>1.656606504786*10^-12*POWER(Aircraft!P83,2)</f>
        <v>0</v>
      </c>
      <c r="E84" s="463">
        <f>-2.78081193910144*10^-7*Aircraft!P83</f>
        <v>0</v>
      </c>
      <c r="G84">
        <v>2.9582653068117099E-2</v>
      </c>
      <c r="H84" s="605" t="str">
        <f>IF(Aircraft!J83="","",IF(ROUND(SUM(C84:G84),6)&lt;$M$2,$M$2,ROUND(SUM(C84:G84),6)))</f>
        <v/>
      </c>
    </row>
    <row r="85" spans="2:8" ht="15">
      <c r="B85" s="478">
        <v>81</v>
      </c>
      <c r="C85" s="463">
        <f>-3.7303226*10^-18*(POWER(Aircraft!P84,3))</f>
        <v>0</v>
      </c>
      <c r="D85" s="463">
        <f>1.656606504786*10^-12*POWER(Aircraft!P84,2)</f>
        <v>0</v>
      </c>
      <c r="E85" s="463">
        <f>-2.78081193910144*10^-7*Aircraft!P84</f>
        <v>0</v>
      </c>
      <c r="G85">
        <v>2.9582653068117099E-2</v>
      </c>
      <c r="H85" s="605" t="str">
        <f>IF(Aircraft!J84="","",IF(ROUND(SUM(C85:G85),6)&lt;$M$2,$M$2,ROUND(SUM(C85:G85),6)))</f>
        <v/>
      </c>
    </row>
    <row r="86" spans="2:8" ht="15">
      <c r="B86" s="478">
        <v>82</v>
      </c>
      <c r="C86" s="463">
        <f>-3.7303226*10^-18*(POWER(Aircraft!P85,3))</f>
        <v>0</v>
      </c>
      <c r="D86" s="463">
        <f>1.656606504786*10^-12*POWER(Aircraft!P85,2)</f>
        <v>0</v>
      </c>
      <c r="E86" s="463">
        <f>-2.78081193910144*10^-7*Aircraft!P85</f>
        <v>0</v>
      </c>
      <c r="G86">
        <v>2.9582653068117099E-2</v>
      </c>
      <c r="H86" s="605" t="str">
        <f>IF(Aircraft!J85="","",IF(ROUND(SUM(C86:G86),6)&lt;$M$2,$M$2,ROUND(SUM(C86:G86),6)))</f>
        <v/>
      </c>
    </row>
    <row r="87" spans="2:8" ht="15">
      <c r="B87" s="478">
        <v>83</v>
      </c>
      <c r="C87" s="463">
        <f>-3.7303226*10^-18*(POWER(Aircraft!P86,3))</f>
        <v>0</v>
      </c>
      <c r="D87" s="463">
        <f>1.656606504786*10^-12*POWER(Aircraft!P86,2)</f>
        <v>0</v>
      </c>
      <c r="E87" s="463">
        <f>-2.78081193910144*10^-7*Aircraft!P86</f>
        <v>0</v>
      </c>
      <c r="G87">
        <v>2.9582653068117099E-2</v>
      </c>
      <c r="H87" s="605" t="str">
        <f>IF(Aircraft!J86="","",IF(ROUND(SUM(C87:G87),6)&lt;$M$2,$M$2,ROUND(SUM(C87:G87),6)))</f>
        <v/>
      </c>
    </row>
    <row r="88" spans="2:8" ht="15">
      <c r="B88" s="478">
        <v>84</v>
      </c>
      <c r="C88" s="463">
        <f>-3.7303226*10^-18*(POWER(Aircraft!P87,3))</f>
        <v>0</v>
      </c>
      <c r="D88" s="463">
        <f>1.656606504786*10^-12*POWER(Aircraft!P87,2)</f>
        <v>0</v>
      </c>
      <c r="E88" s="463">
        <f>-2.78081193910144*10^-7*Aircraft!P87</f>
        <v>0</v>
      </c>
      <c r="G88">
        <v>2.9582653068117099E-2</v>
      </c>
      <c r="H88" s="605" t="str">
        <f>IF(Aircraft!J87="","",IF(ROUND(SUM(C88:G88),6)&lt;$M$2,$M$2,ROUND(SUM(C88:G88),6)))</f>
        <v/>
      </c>
    </row>
    <row r="89" spans="2:8" ht="15">
      <c r="B89" s="478">
        <v>85</v>
      </c>
      <c r="C89" s="463">
        <f>-3.7303226*10^-18*(POWER(Aircraft!P88,3))</f>
        <v>0</v>
      </c>
      <c r="D89" s="463">
        <f>1.656606504786*10^-12*POWER(Aircraft!P88,2)</f>
        <v>0</v>
      </c>
      <c r="E89" s="463">
        <f>-2.78081193910144*10^-7*Aircraft!P88</f>
        <v>0</v>
      </c>
      <c r="G89">
        <v>2.9582653068117099E-2</v>
      </c>
      <c r="H89" s="605" t="str">
        <f>IF(Aircraft!J88="","",IF(ROUND(SUM(C89:G89),6)&lt;$M$2,$M$2,ROUND(SUM(C89:G89),6)))</f>
        <v/>
      </c>
    </row>
    <row r="90" spans="2:8" ht="15">
      <c r="B90" s="478">
        <v>86</v>
      </c>
      <c r="C90" s="463">
        <f>-3.7303226*10^-18*(POWER(Aircraft!P89,3))</f>
        <v>0</v>
      </c>
      <c r="D90" s="463">
        <f>1.656606504786*10^-12*POWER(Aircraft!P89,2)</f>
        <v>0</v>
      </c>
      <c r="E90" s="463">
        <f>-2.78081193910144*10^-7*Aircraft!P89</f>
        <v>0</v>
      </c>
      <c r="G90">
        <v>2.9582653068117099E-2</v>
      </c>
      <c r="H90" s="605" t="str">
        <f>IF(Aircraft!J89="","",IF(ROUND(SUM(C90:G90),6)&lt;$M$2,$M$2,ROUND(SUM(C90:G90),6)))</f>
        <v/>
      </c>
    </row>
    <row r="91" spans="2:8" ht="15">
      <c r="B91" s="478">
        <v>87</v>
      </c>
      <c r="C91" s="463">
        <f>-3.7303226*10^-18*(POWER(Aircraft!P90,3))</f>
        <v>0</v>
      </c>
      <c r="D91" s="463">
        <f>1.656606504786*10^-12*POWER(Aircraft!P90,2)</f>
        <v>0</v>
      </c>
      <c r="E91" s="463">
        <f>-2.78081193910144*10^-7*Aircraft!P90</f>
        <v>0</v>
      </c>
      <c r="G91">
        <v>2.9582653068117099E-2</v>
      </c>
      <c r="H91" s="605" t="str">
        <f>IF(Aircraft!J90="","",IF(ROUND(SUM(C91:G91),6)&lt;$M$2,$M$2,ROUND(SUM(C91:G91),6)))</f>
        <v/>
      </c>
    </row>
    <row r="92" spans="2:8" ht="15">
      <c r="B92" s="478">
        <v>88</v>
      </c>
      <c r="C92" s="463">
        <f>-3.7303226*10^-18*(POWER(Aircraft!P91,3))</f>
        <v>0</v>
      </c>
      <c r="D92" s="463">
        <f>1.656606504786*10^-12*POWER(Aircraft!P91,2)</f>
        <v>0</v>
      </c>
      <c r="E92" s="463">
        <f>-2.78081193910144*10^-7*Aircraft!P91</f>
        <v>0</v>
      </c>
      <c r="G92">
        <v>2.9582653068117099E-2</v>
      </c>
      <c r="H92" s="605" t="str">
        <f>IF(Aircraft!J91="","",IF(ROUND(SUM(C92:G92),6)&lt;$M$2,$M$2,ROUND(SUM(C92:G92),6)))</f>
        <v/>
      </c>
    </row>
    <row r="93" spans="2:8" ht="15">
      <c r="B93" s="478">
        <v>89</v>
      </c>
      <c r="C93" s="463">
        <f>-3.7303226*10^-18*(POWER(Aircraft!P92,3))</f>
        <v>0</v>
      </c>
      <c r="D93" s="463">
        <f>1.656606504786*10^-12*POWER(Aircraft!P92,2)</f>
        <v>0</v>
      </c>
      <c r="E93" s="463">
        <f>-2.78081193910144*10^-7*Aircraft!P92</f>
        <v>0</v>
      </c>
      <c r="G93">
        <v>2.9582653068117099E-2</v>
      </c>
      <c r="H93" s="605" t="str">
        <f>IF(Aircraft!J92="","",IF(ROUND(SUM(C93:G93),6)&lt;$M$2,$M$2,ROUND(SUM(C93:G93),6)))</f>
        <v/>
      </c>
    </row>
    <row r="94" spans="2:8" ht="15">
      <c r="B94" s="478">
        <v>90</v>
      </c>
      <c r="C94" s="463">
        <f>-3.7303226*10^-18*(POWER(Aircraft!P93,3))</f>
        <v>0</v>
      </c>
      <c r="D94" s="463">
        <f>1.656606504786*10^-12*POWER(Aircraft!P93,2)</f>
        <v>0</v>
      </c>
      <c r="E94" s="463">
        <f>-2.78081193910144*10^-7*Aircraft!P93</f>
        <v>0</v>
      </c>
      <c r="G94">
        <v>2.9582653068117099E-2</v>
      </c>
      <c r="H94" s="605" t="str">
        <f>IF(Aircraft!J93="","",IF(ROUND(SUM(C94:G94),6)&lt;$M$2,$M$2,ROUND(SUM(C94:G94),6)))</f>
        <v/>
      </c>
    </row>
    <row r="95" spans="2:8" ht="15">
      <c r="B95" s="478">
        <v>91</v>
      </c>
      <c r="C95" s="463">
        <f>-3.7303226*10^-18*(POWER(Aircraft!P94,3))</f>
        <v>0</v>
      </c>
      <c r="D95" s="463">
        <f>1.656606504786*10^-12*POWER(Aircraft!P94,2)</f>
        <v>0</v>
      </c>
      <c r="E95" s="463">
        <f>-2.78081193910144*10^-7*Aircraft!P94</f>
        <v>0</v>
      </c>
      <c r="G95">
        <v>2.9582653068117099E-2</v>
      </c>
      <c r="H95" s="605" t="str">
        <f>IF(Aircraft!J94="","",IF(ROUND(SUM(C95:G95),6)&lt;$M$2,$M$2,ROUND(SUM(C95:G95),6)))</f>
        <v/>
      </c>
    </row>
    <row r="96" spans="2:8" ht="15">
      <c r="B96" s="478">
        <v>92</v>
      </c>
      <c r="C96" s="463">
        <f>-3.7303226*10^-18*(POWER(Aircraft!P95,3))</f>
        <v>0</v>
      </c>
      <c r="D96" s="463">
        <f>1.656606504786*10^-12*POWER(Aircraft!P95,2)</f>
        <v>0</v>
      </c>
      <c r="E96" s="463">
        <f>-2.78081193910144*10^-7*Aircraft!P95</f>
        <v>0</v>
      </c>
      <c r="G96">
        <v>2.9582653068117099E-2</v>
      </c>
      <c r="H96" s="605" t="str">
        <f>IF(Aircraft!J95="","",IF(ROUND(SUM(C96:G96),6)&lt;$M$2,$M$2,ROUND(SUM(C96:G96),6)))</f>
        <v/>
      </c>
    </row>
    <row r="97" spans="2:8" ht="15">
      <c r="B97" s="478">
        <v>93</v>
      </c>
      <c r="C97" s="463">
        <f>-3.7303226*10^-18*(POWER(Aircraft!P96,3))</f>
        <v>0</v>
      </c>
      <c r="D97" s="463">
        <f>1.656606504786*10^-12*POWER(Aircraft!P96,2)</f>
        <v>0</v>
      </c>
      <c r="E97" s="463">
        <f>-2.78081193910144*10^-7*Aircraft!P96</f>
        <v>0</v>
      </c>
      <c r="G97">
        <v>2.9582653068117099E-2</v>
      </c>
      <c r="H97" s="605" t="str">
        <f>IF(Aircraft!J96="","",IF(ROUND(SUM(C97:G97),6)&lt;$M$2,$M$2,ROUND(SUM(C97:G97),6)))</f>
        <v/>
      </c>
    </row>
    <row r="98" spans="2:8" ht="15">
      <c r="B98" s="478">
        <v>94</v>
      </c>
      <c r="C98" s="463">
        <f>-3.7303226*10^-18*(POWER(Aircraft!P97,3))</f>
        <v>0</v>
      </c>
      <c r="D98" s="463">
        <f>1.656606504786*10^-12*POWER(Aircraft!P97,2)</f>
        <v>0</v>
      </c>
      <c r="E98" s="463">
        <f>-2.78081193910144*10^-7*Aircraft!P97</f>
        <v>0</v>
      </c>
      <c r="G98">
        <v>2.9582653068117099E-2</v>
      </c>
      <c r="H98" s="605" t="str">
        <f>IF(Aircraft!J97="","",IF(ROUND(SUM(C98:G98),6)&lt;$M$2,$M$2,ROUND(SUM(C98:G98),6)))</f>
        <v/>
      </c>
    </row>
    <row r="99" spans="2:8" ht="15">
      <c r="B99" s="478">
        <v>95</v>
      </c>
      <c r="C99" s="463">
        <f>-3.7303226*10^-18*(POWER(Aircraft!P98,3))</f>
        <v>0</v>
      </c>
      <c r="D99" s="463">
        <f>1.656606504786*10^-12*POWER(Aircraft!P98,2)</f>
        <v>0</v>
      </c>
      <c r="E99" s="463">
        <f>-2.78081193910144*10^-7*Aircraft!P98</f>
        <v>0</v>
      </c>
      <c r="G99">
        <v>2.9582653068117099E-2</v>
      </c>
      <c r="H99" s="605" t="str">
        <f>IF(Aircraft!J98="","",IF(ROUND(SUM(C99:G99),6)&lt;$M$2,$M$2,ROUND(SUM(C99:G99),6)))</f>
        <v/>
      </c>
    </row>
    <row r="100" spans="2:8" ht="15">
      <c r="B100" s="478">
        <v>96</v>
      </c>
      <c r="C100" s="463">
        <f>-3.7303226*10^-18*(POWER(Aircraft!P99,3))</f>
        <v>0</v>
      </c>
      <c r="D100" s="463">
        <f>1.656606504786*10^-12*POWER(Aircraft!P99,2)</f>
        <v>0</v>
      </c>
      <c r="E100" s="463">
        <f>-2.78081193910144*10^-7*Aircraft!P99</f>
        <v>0</v>
      </c>
      <c r="G100">
        <v>2.9582653068117099E-2</v>
      </c>
      <c r="H100" s="605" t="str">
        <f>IF(Aircraft!J99="","",IF(ROUND(SUM(C100:G100),6)&lt;$M$2,$M$2,ROUND(SUM(C100:G100),6)))</f>
        <v/>
      </c>
    </row>
    <row r="101" spans="2:8" ht="15">
      <c r="B101" s="478">
        <v>97</v>
      </c>
      <c r="C101" s="463">
        <f>-3.7303226*10^-18*(POWER(Aircraft!P100,3))</f>
        <v>0</v>
      </c>
      <c r="D101" s="463">
        <f>1.656606504786*10^-12*POWER(Aircraft!P100,2)</f>
        <v>0</v>
      </c>
      <c r="E101" s="463">
        <f>-2.78081193910144*10^-7*Aircraft!P100</f>
        <v>0</v>
      </c>
      <c r="G101">
        <v>2.9582653068117099E-2</v>
      </c>
      <c r="H101" s="605" t="str">
        <f>IF(Aircraft!J100="","",IF(ROUND(SUM(C101:G101),6)&lt;$M$2,$M$2,ROUND(SUM(C101:G101),6)))</f>
        <v/>
      </c>
    </row>
    <row r="102" spans="2:8" ht="15">
      <c r="B102" s="478">
        <v>98</v>
      </c>
      <c r="C102" s="463">
        <f>-3.7303226*10^-18*(POWER(Aircraft!P101,3))</f>
        <v>0</v>
      </c>
      <c r="D102" s="463">
        <f>1.656606504786*10^-12*POWER(Aircraft!P101,2)</f>
        <v>0</v>
      </c>
      <c r="E102" s="463">
        <f>-2.78081193910144*10^-7*Aircraft!P101</f>
        <v>0</v>
      </c>
      <c r="G102">
        <v>2.9582653068117099E-2</v>
      </c>
      <c r="H102" s="605" t="str">
        <f>IF(Aircraft!J101="","",IF(ROUND(SUM(C102:G102),6)&lt;$M$2,$M$2,ROUND(SUM(C102:G102),6)))</f>
        <v/>
      </c>
    </row>
    <row r="103" spans="2:8" ht="15">
      <c r="B103" s="478">
        <v>99</v>
      </c>
      <c r="C103" s="463">
        <f>-3.7303226*10^-18*(POWER(Aircraft!P102,3))</f>
        <v>0</v>
      </c>
      <c r="D103" s="463">
        <f>1.656606504786*10^-12*POWER(Aircraft!P102,2)</f>
        <v>0</v>
      </c>
      <c r="E103" s="463">
        <f>-2.78081193910144*10^-7*Aircraft!P102</f>
        <v>0</v>
      </c>
      <c r="G103">
        <v>2.9582653068117099E-2</v>
      </c>
      <c r="H103" s="605" t="str">
        <f>IF(Aircraft!J102="","",IF(ROUND(SUM(C103:G103),6)&lt;$M$2,$M$2,ROUND(SUM(C103:G103),6)))</f>
        <v/>
      </c>
    </row>
    <row r="104" spans="2:8" ht="15">
      <c r="B104" s="478">
        <v>100</v>
      </c>
      <c r="C104" s="463">
        <f>-3.7303226*10^-18*(POWER(Aircraft!P103,3))</f>
        <v>0</v>
      </c>
      <c r="D104" s="463">
        <f>1.656606504786*10^-12*POWER(Aircraft!P103,2)</f>
        <v>0</v>
      </c>
      <c r="E104" s="463">
        <f>-2.78081193910144*10^-7*Aircraft!P103</f>
        <v>0</v>
      </c>
      <c r="G104">
        <v>2.9582653068117099E-2</v>
      </c>
      <c r="H104" s="605" t="str">
        <f>IF(Aircraft!J103="","",IF(ROUND(SUM(C104:G104),6)&lt;$M$2,$M$2,ROUND(SUM(C104:G104),6)))</f>
        <v/>
      </c>
    </row>
    <row r="105" spans="2:8" ht="15">
      <c r="B105" s="478">
        <v>101</v>
      </c>
      <c r="C105" s="463">
        <f>-3.7303226*10^-18*(POWER(Aircraft!P104,3))</f>
        <v>0</v>
      </c>
      <c r="D105" s="463">
        <f>1.656606504786*10^-12*POWER(Aircraft!P104,2)</f>
        <v>0</v>
      </c>
      <c r="E105" s="463">
        <f>-2.78081193910144*10^-7*Aircraft!P104</f>
        <v>0</v>
      </c>
      <c r="G105">
        <v>2.9582653068117099E-2</v>
      </c>
      <c r="H105" s="605" t="str">
        <f>IF(Aircraft!J104="","",IF(ROUND(SUM(C105:G105),6)&lt;$M$2,$M$2,ROUND(SUM(C105:G105),6)))</f>
        <v/>
      </c>
    </row>
    <row r="106" spans="2:8" ht="15">
      <c r="B106" s="478">
        <v>102</v>
      </c>
      <c r="C106" s="463">
        <f>-3.7303226*10^-18*(POWER(Aircraft!P105,3))</f>
        <v>0</v>
      </c>
      <c r="D106" s="463">
        <f>1.656606504786*10^-12*POWER(Aircraft!P105,2)</f>
        <v>0</v>
      </c>
      <c r="E106" s="463">
        <f>-2.78081193910144*10^-7*Aircraft!P105</f>
        <v>0</v>
      </c>
      <c r="G106">
        <v>2.9582653068117099E-2</v>
      </c>
      <c r="H106" s="605" t="str">
        <f>IF(Aircraft!J105="","",IF(ROUND(SUM(C106:G106),6)&lt;$M$2,$M$2,ROUND(SUM(C106:G106),6)))</f>
        <v/>
      </c>
    </row>
    <row r="107" spans="2:8" ht="15">
      <c r="B107" s="478">
        <v>103</v>
      </c>
      <c r="C107" s="463">
        <f>-3.7303226*10^-18*(POWER(Aircraft!P106,3))</f>
        <v>0</v>
      </c>
      <c r="D107" s="463">
        <f>1.656606504786*10^-12*POWER(Aircraft!P106,2)</f>
        <v>0</v>
      </c>
      <c r="E107" s="463">
        <f>-2.78081193910144*10^-7*Aircraft!P106</f>
        <v>0</v>
      </c>
      <c r="G107">
        <v>2.9582653068117099E-2</v>
      </c>
      <c r="H107" s="605" t="str">
        <f>IF(Aircraft!J106="","",IF(ROUND(SUM(C107:G107),6)&lt;$M$2,$M$2,ROUND(SUM(C107:G107),6)))</f>
        <v/>
      </c>
    </row>
    <row r="108" spans="2:8" ht="15">
      <c r="B108" s="478">
        <v>104</v>
      </c>
      <c r="C108" s="463">
        <f>-3.7303226*10^-18*(POWER(Aircraft!P107,3))</f>
        <v>0</v>
      </c>
      <c r="D108" s="463">
        <f>1.656606504786*10^-12*POWER(Aircraft!P107,2)</f>
        <v>0</v>
      </c>
      <c r="E108" s="463">
        <f>-2.78081193910144*10^-7*Aircraft!P107</f>
        <v>0</v>
      </c>
      <c r="G108">
        <v>2.9582653068117099E-2</v>
      </c>
      <c r="H108" s="605" t="str">
        <f>IF(Aircraft!J107="","",IF(ROUND(SUM(C108:G108),6)&lt;$M$2,$M$2,ROUND(SUM(C108:G108),6)))</f>
        <v/>
      </c>
    </row>
    <row r="109" spans="2:8" ht="15">
      <c r="B109" s="478">
        <v>105</v>
      </c>
      <c r="C109" s="463">
        <f>-3.7303226*10^-18*(POWER(Aircraft!P108,3))</f>
        <v>0</v>
      </c>
      <c r="D109" s="463">
        <f>1.656606504786*10^-12*POWER(Aircraft!P108,2)</f>
        <v>0</v>
      </c>
      <c r="E109" s="463">
        <f>-2.78081193910144*10^-7*Aircraft!P108</f>
        <v>0</v>
      </c>
      <c r="G109">
        <v>2.9582653068117099E-2</v>
      </c>
      <c r="H109" s="605" t="str">
        <f>IF(Aircraft!J108="","",IF(ROUND(SUM(C109:G109),6)&lt;$M$2,$M$2,ROUND(SUM(C109:G109),6)))</f>
        <v/>
      </c>
    </row>
    <row r="110" spans="2:8" ht="15">
      <c r="B110" s="478">
        <v>106</v>
      </c>
      <c r="C110" s="463">
        <f>-3.7303226*10^-18*(POWER(Aircraft!P109,3))</f>
        <v>0</v>
      </c>
      <c r="D110" s="463">
        <f>1.656606504786*10^-12*POWER(Aircraft!P109,2)</f>
        <v>0</v>
      </c>
      <c r="E110" s="463">
        <f>-2.78081193910144*10^-7*Aircraft!P109</f>
        <v>0</v>
      </c>
      <c r="G110">
        <v>2.9582653068117099E-2</v>
      </c>
      <c r="H110" s="605" t="str">
        <f>IF(Aircraft!J109="","",IF(ROUND(SUM(C110:G110),6)&lt;$M$2,$M$2,ROUND(SUM(C110:G110),6)))</f>
        <v/>
      </c>
    </row>
    <row r="111" spans="2:8" ht="15">
      <c r="B111" s="478">
        <v>107</v>
      </c>
      <c r="C111" s="463">
        <f>-3.7303226*10^-18*(POWER(Aircraft!P110,3))</f>
        <v>0</v>
      </c>
      <c r="D111" s="463">
        <f>1.656606504786*10^-12*POWER(Aircraft!P110,2)</f>
        <v>0</v>
      </c>
      <c r="E111" s="463">
        <f>-2.78081193910144*10^-7*Aircraft!P110</f>
        <v>0</v>
      </c>
      <c r="G111">
        <v>2.9582653068117099E-2</v>
      </c>
      <c r="H111" s="605" t="str">
        <f>IF(Aircraft!J110="","",IF(ROUND(SUM(C111:G111),6)&lt;$M$2,$M$2,ROUND(SUM(C111:G111),6)))</f>
        <v/>
      </c>
    </row>
    <row r="112" spans="2:8" ht="15">
      <c r="B112" s="478">
        <v>108</v>
      </c>
      <c r="C112" s="463">
        <f>-3.7303226*10^-18*(POWER(Aircraft!P111,3))</f>
        <v>0</v>
      </c>
      <c r="D112" s="463">
        <f>1.656606504786*10^-12*POWER(Aircraft!P111,2)</f>
        <v>0</v>
      </c>
      <c r="E112" s="463">
        <f>-2.78081193910144*10^-7*Aircraft!P111</f>
        <v>0</v>
      </c>
      <c r="G112">
        <v>2.9582653068117099E-2</v>
      </c>
      <c r="H112" s="605" t="str">
        <f>IF(Aircraft!J111="","",IF(ROUND(SUM(C112:G112),6)&lt;$M$2,$M$2,ROUND(SUM(C112:G112),6)))</f>
        <v/>
      </c>
    </row>
    <row r="113" spans="2:8" ht="15">
      <c r="B113" s="478">
        <v>109</v>
      </c>
      <c r="C113" s="463">
        <f>-3.7303226*10^-18*(POWER(Aircraft!P112,3))</f>
        <v>0</v>
      </c>
      <c r="D113" s="463">
        <f>1.656606504786*10^-12*POWER(Aircraft!P112,2)</f>
        <v>0</v>
      </c>
      <c r="E113" s="463">
        <f>-2.78081193910144*10^-7*Aircraft!P112</f>
        <v>0</v>
      </c>
      <c r="G113">
        <v>2.9582653068117099E-2</v>
      </c>
      <c r="H113" s="605" t="str">
        <f>IF(Aircraft!J112="","",IF(ROUND(SUM(C113:G113),6)&lt;$M$2,$M$2,ROUND(SUM(C113:G113),6)))</f>
        <v/>
      </c>
    </row>
    <row r="114" spans="2:8" ht="15">
      <c r="B114" s="478">
        <v>110</v>
      </c>
      <c r="C114" s="463">
        <f>-3.7303226*10^-18*(POWER(Aircraft!P113,3))</f>
        <v>0</v>
      </c>
      <c r="D114" s="463">
        <f>1.656606504786*10^-12*POWER(Aircraft!P113,2)</f>
        <v>0</v>
      </c>
      <c r="E114" s="463">
        <f>-2.78081193910144*10^-7*Aircraft!P113</f>
        <v>0</v>
      </c>
      <c r="G114">
        <v>2.9582653068117099E-2</v>
      </c>
      <c r="H114" s="605" t="str">
        <f>IF(Aircraft!J113="","",IF(ROUND(SUM(C114:G114),6)&lt;$M$2,$M$2,ROUND(SUM(C114:G114),6)))</f>
        <v/>
      </c>
    </row>
    <row r="115" spans="2:8" ht="15">
      <c r="B115" s="478">
        <v>111</v>
      </c>
      <c r="C115" s="463">
        <f>-3.7303226*10^-18*(POWER(Aircraft!P114,3))</f>
        <v>0</v>
      </c>
      <c r="D115" s="463">
        <f>1.656606504786*10^-12*POWER(Aircraft!P114,2)</f>
        <v>0</v>
      </c>
      <c r="E115" s="463">
        <f>-2.78081193910144*10^-7*Aircraft!P114</f>
        <v>0</v>
      </c>
      <c r="G115">
        <v>2.9582653068117099E-2</v>
      </c>
      <c r="H115" s="605" t="str">
        <f>IF(Aircraft!J114="","",IF(ROUND(SUM(C115:G115),6)&lt;$M$2,$M$2,ROUND(SUM(C115:G115),6)))</f>
        <v/>
      </c>
    </row>
    <row r="116" spans="2:8" ht="15">
      <c r="B116" s="478">
        <v>112</v>
      </c>
      <c r="C116" s="463">
        <f>-3.7303226*10^-18*(POWER(Aircraft!P115,3))</f>
        <v>0</v>
      </c>
      <c r="D116" s="463">
        <f>1.656606504786*10^-12*POWER(Aircraft!P115,2)</f>
        <v>0</v>
      </c>
      <c r="E116" s="463">
        <f>-2.78081193910144*10^-7*Aircraft!P115</f>
        <v>0</v>
      </c>
      <c r="G116">
        <v>2.9582653068117099E-2</v>
      </c>
      <c r="H116" s="605" t="str">
        <f>IF(Aircraft!J115="","",IF(ROUND(SUM(C116:G116),6)&lt;$M$2,$M$2,ROUND(SUM(C116:G116),6)))</f>
        <v/>
      </c>
    </row>
    <row r="117" spans="2:8" ht="15">
      <c r="B117" s="478">
        <v>113</v>
      </c>
      <c r="C117" s="463">
        <f>-3.7303226*10^-18*(POWER(Aircraft!P116,3))</f>
        <v>0</v>
      </c>
      <c r="D117" s="463">
        <f>1.656606504786*10^-12*POWER(Aircraft!P116,2)</f>
        <v>0</v>
      </c>
      <c r="E117" s="463">
        <f>-2.78081193910144*10^-7*Aircraft!P116</f>
        <v>0</v>
      </c>
      <c r="G117">
        <v>2.9582653068117099E-2</v>
      </c>
      <c r="H117" s="605" t="str">
        <f>IF(Aircraft!J116="","",IF(ROUND(SUM(C117:G117),6)&lt;$M$2,$M$2,ROUND(SUM(C117:G117),6)))</f>
        <v/>
      </c>
    </row>
    <row r="118" spans="2:8" ht="15">
      <c r="B118" s="478">
        <v>114</v>
      </c>
      <c r="C118" s="463">
        <f>-3.7303226*10^-18*(POWER(Aircraft!P117,3))</f>
        <v>0</v>
      </c>
      <c r="D118" s="463">
        <f>1.656606504786*10^-12*POWER(Aircraft!P117,2)</f>
        <v>0</v>
      </c>
      <c r="E118" s="463">
        <f>-2.78081193910144*10^-7*Aircraft!P117</f>
        <v>0</v>
      </c>
      <c r="G118">
        <v>2.9582653068117099E-2</v>
      </c>
      <c r="H118" s="605" t="str">
        <f>IF(Aircraft!J117="","",IF(ROUND(SUM(C118:G118),6)&lt;$M$2,$M$2,ROUND(SUM(C118:G118),6)))</f>
        <v/>
      </c>
    </row>
    <row r="119" spans="2:8" ht="15">
      <c r="B119" s="478">
        <v>115</v>
      </c>
      <c r="C119" s="463">
        <f>-3.7303226*10^-18*(POWER(Aircraft!P118,3))</f>
        <v>0</v>
      </c>
      <c r="D119" s="463">
        <f>1.656606504786*10^-12*POWER(Aircraft!P118,2)</f>
        <v>0</v>
      </c>
      <c r="E119" s="463">
        <f>-2.78081193910144*10^-7*Aircraft!P118</f>
        <v>0</v>
      </c>
      <c r="G119">
        <v>2.9582653068117099E-2</v>
      </c>
      <c r="H119" s="605" t="str">
        <f>IF(Aircraft!J118="","",IF(ROUND(SUM(C119:G119),6)&lt;$M$2,$M$2,ROUND(SUM(C119:G119),6)))</f>
        <v/>
      </c>
    </row>
    <row r="120" spans="2:8" ht="15">
      <c r="B120" s="478">
        <v>116</v>
      </c>
      <c r="C120" s="463">
        <f>-3.7303226*10^-18*(POWER(Aircraft!P119,3))</f>
        <v>0</v>
      </c>
      <c r="D120" s="463">
        <f>1.656606504786*10^-12*POWER(Aircraft!P119,2)</f>
        <v>0</v>
      </c>
      <c r="E120" s="463">
        <f>-2.78081193910144*10^-7*Aircraft!P119</f>
        <v>0</v>
      </c>
      <c r="G120">
        <v>2.9582653068117099E-2</v>
      </c>
      <c r="H120" s="605" t="str">
        <f>IF(Aircraft!J119="","",IF(ROUND(SUM(C120:G120),6)&lt;$M$2,$M$2,ROUND(SUM(C120:G120),6)))</f>
        <v/>
      </c>
    </row>
    <row r="121" spans="2:8" ht="15">
      <c r="B121" s="478">
        <v>117</v>
      </c>
      <c r="C121" s="463">
        <f>-3.7303226*10^-18*(POWER(Aircraft!P120,3))</f>
        <v>0</v>
      </c>
      <c r="D121" s="463">
        <f>1.656606504786*10^-12*POWER(Aircraft!P120,2)</f>
        <v>0</v>
      </c>
      <c r="E121" s="463">
        <f>-2.78081193910144*10^-7*Aircraft!P120</f>
        <v>0</v>
      </c>
      <c r="G121">
        <v>2.9582653068117099E-2</v>
      </c>
      <c r="H121" s="605" t="str">
        <f>IF(Aircraft!J120="","",IF(ROUND(SUM(C121:G121),6)&lt;$M$2,$M$2,ROUND(SUM(C121:G121),6)))</f>
        <v/>
      </c>
    </row>
    <row r="122" spans="2:8" ht="15">
      <c r="B122" s="478">
        <v>118</v>
      </c>
      <c r="C122" s="463">
        <f>-3.7303226*10^-18*(POWER(Aircraft!P121,3))</f>
        <v>0</v>
      </c>
      <c r="D122" s="463">
        <f>1.656606504786*10^-12*POWER(Aircraft!P121,2)</f>
        <v>0</v>
      </c>
      <c r="E122" s="463">
        <f>-2.78081193910144*10^-7*Aircraft!P121</f>
        <v>0</v>
      </c>
      <c r="G122">
        <v>2.9582653068117099E-2</v>
      </c>
      <c r="H122" s="605" t="str">
        <f>IF(Aircraft!J121="","",IF(ROUND(SUM(C122:G122),6)&lt;$M$2,$M$2,ROUND(SUM(C122:G122),6)))</f>
        <v/>
      </c>
    </row>
    <row r="123" spans="2:8" ht="15">
      <c r="B123" s="478">
        <v>119</v>
      </c>
      <c r="C123" s="463">
        <f>-3.7303226*10^-18*(POWER(Aircraft!P122,3))</f>
        <v>0</v>
      </c>
      <c r="D123" s="463">
        <f>1.656606504786*10^-12*POWER(Aircraft!P122,2)</f>
        <v>0</v>
      </c>
      <c r="E123" s="463">
        <f>-2.78081193910144*10^-7*Aircraft!P122</f>
        <v>0</v>
      </c>
      <c r="G123">
        <v>2.9582653068117099E-2</v>
      </c>
      <c r="H123" s="605" t="str">
        <f>IF(Aircraft!J122="","",IF(ROUND(SUM(C123:G123),6)&lt;$M$2,$M$2,ROUND(SUM(C123:G123),6)))</f>
        <v/>
      </c>
    </row>
    <row r="124" spans="2:8" ht="15">
      <c r="B124" s="478">
        <v>120</v>
      </c>
      <c r="C124" s="463">
        <f>-3.7303226*10^-18*(POWER(Aircraft!P123,3))</f>
        <v>0</v>
      </c>
      <c r="D124" s="463">
        <f>1.656606504786*10^-12*POWER(Aircraft!P123,2)</f>
        <v>0</v>
      </c>
      <c r="E124" s="463">
        <f>-2.78081193910144*10^-7*Aircraft!P123</f>
        <v>0</v>
      </c>
      <c r="G124">
        <v>2.9582653068117099E-2</v>
      </c>
      <c r="H124" s="605" t="str">
        <f>IF(Aircraft!J123="","",IF(ROUND(SUM(C124:G124),6)&lt;$M$2,$M$2,ROUND(SUM(C124:G124),6)))</f>
        <v/>
      </c>
    </row>
    <row r="125" spans="2:8" ht="15">
      <c r="B125" s="478">
        <v>121</v>
      </c>
      <c r="C125" s="463">
        <f>-3.7303226*10^-18*(POWER(Aircraft!P124,3))</f>
        <v>0</v>
      </c>
      <c r="D125" s="463">
        <f>1.656606504786*10^-12*POWER(Aircraft!P124,2)</f>
        <v>0</v>
      </c>
      <c r="E125" s="463">
        <f>-2.78081193910144*10^-7*Aircraft!P124</f>
        <v>0</v>
      </c>
      <c r="G125">
        <v>2.9582653068117099E-2</v>
      </c>
      <c r="H125" s="605" t="str">
        <f>IF(Aircraft!J124="","",IF(ROUND(SUM(C125:G125),6)&lt;$M$2,$M$2,ROUND(SUM(C125:G125),6)))</f>
        <v/>
      </c>
    </row>
    <row r="126" spans="2:8" ht="15">
      <c r="B126" s="478">
        <v>122</v>
      </c>
      <c r="C126" s="463">
        <f>-3.7303226*10^-18*(POWER(Aircraft!P125,3))</f>
        <v>0</v>
      </c>
      <c r="D126" s="463">
        <f>1.656606504786*10^-12*POWER(Aircraft!P125,2)</f>
        <v>0</v>
      </c>
      <c r="E126" s="463">
        <f>-2.78081193910144*10^-7*Aircraft!P125</f>
        <v>0</v>
      </c>
      <c r="G126">
        <v>2.9582653068117099E-2</v>
      </c>
      <c r="H126" s="605" t="str">
        <f>IF(Aircraft!J125="","",IF(ROUND(SUM(C126:G126),6)&lt;$M$2,$M$2,ROUND(SUM(C126:G126),6)))</f>
        <v/>
      </c>
    </row>
    <row r="127" spans="2:8" ht="15">
      <c r="B127" s="478">
        <v>123</v>
      </c>
      <c r="C127" s="463">
        <f>-3.7303226*10^-18*(POWER(Aircraft!P126,3))</f>
        <v>0</v>
      </c>
      <c r="D127" s="463">
        <f>1.656606504786*10^-12*POWER(Aircraft!P126,2)</f>
        <v>0</v>
      </c>
      <c r="E127" s="463">
        <f>-2.78081193910144*10^-7*Aircraft!P126</f>
        <v>0</v>
      </c>
      <c r="G127">
        <v>2.9582653068117099E-2</v>
      </c>
      <c r="H127" s="605" t="str">
        <f>IF(Aircraft!J126="","",IF(ROUND(SUM(C127:G127),6)&lt;$M$2,$M$2,ROUND(SUM(C127:G127),6)))</f>
        <v/>
      </c>
    </row>
    <row r="128" spans="2:8" ht="15">
      <c r="B128" s="478">
        <v>124</v>
      </c>
      <c r="C128" s="463">
        <f>-3.7303226*10^-18*(POWER(Aircraft!P127,3))</f>
        <v>0</v>
      </c>
      <c r="D128" s="463">
        <f>1.656606504786*10^-12*POWER(Aircraft!P127,2)</f>
        <v>0</v>
      </c>
      <c r="E128" s="463">
        <f>-2.78081193910144*10^-7*Aircraft!P127</f>
        <v>0</v>
      </c>
      <c r="G128">
        <v>2.9582653068117099E-2</v>
      </c>
      <c r="H128" s="605" t="str">
        <f>IF(Aircraft!J127="","",IF(ROUND(SUM(C128:G128),6)&lt;$M$2,$M$2,ROUND(SUM(C128:G128),6)))</f>
        <v/>
      </c>
    </row>
    <row r="129" spans="2:8" ht="15">
      <c r="B129" s="478">
        <v>125</v>
      </c>
      <c r="C129" s="463">
        <f>-3.7303226*10^-18*(POWER(Aircraft!P128,3))</f>
        <v>0</v>
      </c>
      <c r="D129" s="463">
        <f>1.656606504786*10^-12*POWER(Aircraft!P128,2)</f>
        <v>0</v>
      </c>
      <c r="E129" s="463">
        <f>-2.78081193910144*10^-7*Aircraft!P128</f>
        <v>0</v>
      </c>
      <c r="G129">
        <v>2.9582653068117099E-2</v>
      </c>
      <c r="H129" s="605" t="str">
        <f>IF(Aircraft!J128="","",IF(ROUND(SUM(C129:G129),6)&lt;$M$2,$M$2,ROUND(SUM(C129:G129),6)))</f>
        <v/>
      </c>
    </row>
    <row r="130" spans="2:8" ht="15">
      <c r="B130" s="478">
        <v>126</v>
      </c>
      <c r="C130" s="463">
        <f>-3.7303226*10^-18*(POWER(Aircraft!P129,3))</f>
        <v>0</v>
      </c>
      <c r="D130" s="463">
        <f>1.656606504786*10^-12*POWER(Aircraft!P129,2)</f>
        <v>0</v>
      </c>
      <c r="E130" s="463">
        <f>-2.78081193910144*10^-7*Aircraft!P129</f>
        <v>0</v>
      </c>
      <c r="G130">
        <v>2.9582653068117099E-2</v>
      </c>
      <c r="H130" s="605" t="str">
        <f>IF(Aircraft!J129="","",IF(ROUND(SUM(C130:G130),6)&lt;$M$2,$M$2,ROUND(SUM(C130:G130),6)))</f>
        <v/>
      </c>
    </row>
    <row r="131" spans="2:8" ht="15">
      <c r="B131" s="478">
        <v>127</v>
      </c>
      <c r="C131" s="463">
        <f>-3.7303226*10^-18*(POWER(Aircraft!P130,3))</f>
        <v>0</v>
      </c>
      <c r="D131" s="463">
        <f>1.656606504786*10^-12*POWER(Aircraft!P130,2)</f>
        <v>0</v>
      </c>
      <c r="E131" s="463">
        <f>-2.78081193910144*10^-7*Aircraft!P130</f>
        <v>0</v>
      </c>
      <c r="G131">
        <v>2.9582653068117099E-2</v>
      </c>
      <c r="H131" s="605" t="str">
        <f>IF(Aircraft!J130="","",IF(ROUND(SUM(C131:G131),6)&lt;$M$2,$M$2,ROUND(SUM(C131:G131),6)))</f>
        <v/>
      </c>
    </row>
    <row r="132" spans="2:8" ht="15">
      <c r="B132" s="478">
        <v>128</v>
      </c>
      <c r="C132" s="463">
        <f>-3.7303226*10^-18*(POWER(Aircraft!P131,3))</f>
        <v>0</v>
      </c>
      <c r="D132" s="463">
        <f>1.656606504786*10^-12*POWER(Aircraft!P131,2)</f>
        <v>0</v>
      </c>
      <c r="E132" s="463">
        <f>-2.78081193910144*10^-7*Aircraft!P131</f>
        <v>0</v>
      </c>
      <c r="G132">
        <v>2.9582653068117099E-2</v>
      </c>
      <c r="H132" s="605" t="str">
        <f>IF(Aircraft!J131="","",IF(ROUND(SUM(C132:G132),6)&lt;$M$2,$M$2,ROUND(SUM(C132:G132),6)))</f>
        <v/>
      </c>
    </row>
    <row r="133" spans="2:8" ht="15.75" thickBot="1">
      <c r="B133" s="606">
        <v>129</v>
      </c>
      <c r="C133" s="607">
        <f>-3.7303226*10^-18*(POWER(Aircraft!P132,3))</f>
        <v>0</v>
      </c>
      <c r="D133" s="607">
        <f>1.656606504786*10^-12*POWER(Aircraft!P132,2)</f>
        <v>0</v>
      </c>
      <c r="E133" s="607">
        <f>-2.78081193910144*10^-7*Aircraft!P132</f>
        <v>0</v>
      </c>
      <c r="F133" s="484"/>
      <c r="G133" s="484">
        <v>2.9582653068117099E-2</v>
      </c>
      <c r="H133" s="608" t="str">
        <f>IF(Aircraft!J132="","",IF(ROUND(SUM(C133:G133),6)&lt;$M$2,$M$2,ROUND(SUM(C133:G133),6)))</f>
        <v/>
      </c>
    </row>
    <row r="134" spans="2:8" ht="15" thickTop="1"/>
  </sheetData>
  <mergeCells count="2">
    <mergeCell ref="B3:H3"/>
    <mergeCell ref="I3:N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73CE0-EFFC-4783-B9C0-032FF7C687F7}">
  <sheetPr codeName="Sheet14">
    <tabColor rgb="FF00B050"/>
  </sheetPr>
  <dimension ref="A2:U40"/>
  <sheetViews>
    <sheetView showGridLines="0" topLeftCell="A19" zoomScale="120" zoomScaleNormal="120" workbookViewId="0">
      <selection activeCell="D18" sqref="D18"/>
    </sheetView>
  </sheetViews>
  <sheetFormatPr defaultColWidth="0" defaultRowHeight="14.25"/>
  <cols>
    <col min="1" max="1" width="9" customWidth="1"/>
    <col min="2" max="2" width="11.125" customWidth="1"/>
    <col min="3" max="4" width="13.25" customWidth="1"/>
    <col min="5" max="7" width="12.625" bestFit="1" customWidth="1"/>
    <col min="8" max="8" width="14.125" bestFit="1" customWidth="1"/>
    <col min="9" max="9" width="13" bestFit="1" customWidth="1"/>
    <col min="10" max="10" width="12.625" bestFit="1" customWidth="1"/>
    <col min="11" max="11" width="10.75" customWidth="1"/>
    <col min="12" max="13" width="9" customWidth="1"/>
    <col min="14" max="14" width="10" hidden="1" customWidth="1"/>
    <col min="15" max="15" width="12.625" hidden="1" customWidth="1"/>
    <col min="16" max="16" width="11.125" hidden="1" customWidth="1"/>
    <col min="17" max="17" width="9" hidden="1" customWidth="1"/>
    <col min="18" max="19" width="14.25" hidden="1" customWidth="1"/>
    <col min="20" max="16384" width="9" hidden="1"/>
  </cols>
  <sheetData>
    <row r="2" spans="3:21" ht="18">
      <c r="C2" s="938" t="s">
        <v>2885</v>
      </c>
      <c r="D2" s="938"/>
      <c r="E2" s="938"/>
      <c r="F2" s="938"/>
      <c r="H2" s="941" t="s">
        <v>2886</v>
      </c>
      <c r="I2" s="941"/>
      <c r="J2" s="941"/>
      <c r="K2" s="941"/>
    </row>
    <row r="3" spans="3:21" ht="16.5" thickBot="1">
      <c r="C3" s="939" t="s">
        <v>2887</v>
      </c>
      <c r="D3" s="939"/>
      <c r="E3" s="518" t="s">
        <v>2888</v>
      </c>
      <c r="F3" s="518" t="s">
        <v>2889</v>
      </c>
      <c r="H3" s="940" t="s">
        <v>2887</v>
      </c>
      <c r="I3" s="940"/>
      <c r="J3" s="522" t="s">
        <v>2888</v>
      </c>
      <c r="K3" s="522" t="s">
        <v>2889</v>
      </c>
      <c r="N3" s="933" t="s">
        <v>2890</v>
      </c>
      <c r="O3" s="933"/>
      <c r="P3" s="933"/>
      <c r="R3" s="942" t="s">
        <v>2891</v>
      </c>
      <c r="S3" s="942"/>
      <c r="T3" s="942"/>
    </row>
    <row r="4" spans="3:21" ht="16.5" thickTop="1" thickBot="1">
      <c r="C4" s="514">
        <v>0</v>
      </c>
      <c r="D4" s="514">
        <v>24999</v>
      </c>
      <c r="E4" s="515">
        <f ca="1">ROUND(PRODUCT(P4,Worksheet_Com!$G$6,Worksheet_Com!$K$6),3)</f>
        <v>11.288</v>
      </c>
      <c r="F4" s="516">
        <f ca="1">E4/365</f>
        <v>3.0926027397260275E-2</v>
      </c>
      <c r="H4" s="514">
        <v>10000</v>
      </c>
      <c r="I4" s="514">
        <v>109999</v>
      </c>
      <c r="J4" s="523">
        <f ca="1">ROUND(PRODUCT(T4,Worksheet_Com!$G$6,Worksheet_Com!$K$6),3)</f>
        <v>15.025</v>
      </c>
      <c r="K4" s="524">
        <f ca="1">ROUND((J4/365)*1.06,4)</f>
        <v>4.36E-2</v>
      </c>
      <c r="L4" s="528"/>
      <c r="N4" s="466">
        <v>0</v>
      </c>
      <c r="O4" s="466">
        <v>24999</v>
      </c>
      <c r="P4" s="511">
        <v>2.2349999999999999</v>
      </c>
      <c r="R4" s="519">
        <v>10000</v>
      </c>
      <c r="S4" s="519">
        <v>109999</v>
      </c>
      <c r="T4" s="521">
        <f>'Aircraft Rates'!F5*100</f>
        <v>2.9749999999999996</v>
      </c>
    </row>
    <row r="5" spans="3:21" ht="16.5" thickTop="1" thickBot="1">
      <c r="C5" s="514">
        <v>25000</v>
      </c>
      <c r="D5" s="514">
        <v>29999</v>
      </c>
      <c r="E5" s="515">
        <f ca="1">ROUND(PRODUCT(P5,Worksheet_Com!$G$6,Worksheet_Com!$K$6),3)</f>
        <v>10.808</v>
      </c>
      <c r="F5" s="516">
        <f t="shared" ref="F5:F23" ca="1" si="0">E5/365</f>
        <v>2.9610958904109589E-2</v>
      </c>
      <c r="H5" s="514">
        <v>110000</v>
      </c>
      <c r="I5" s="514">
        <v>119999</v>
      </c>
      <c r="J5" s="523">
        <f ca="1">ROUND(PRODUCT(T5,Worksheet_Com!$G$6,Worksheet_Com!$K$6),3)</f>
        <v>14.965</v>
      </c>
      <c r="K5" s="524">
        <f ca="1">ROUND((J5/365)*1.05,4)</f>
        <v>4.3099999999999999E-2</v>
      </c>
      <c r="L5" s="528"/>
      <c r="N5" s="466">
        <v>25000</v>
      </c>
      <c r="O5" s="466">
        <v>29999</v>
      </c>
      <c r="P5" s="511">
        <v>2.14</v>
      </c>
      <c r="R5" s="519">
        <v>110000</v>
      </c>
      <c r="S5" s="519">
        <v>119999</v>
      </c>
      <c r="T5" s="521">
        <f>PRODUCT('Aircraft Rates'!F12,100)</f>
        <v>2.9630000000000001</v>
      </c>
    </row>
    <row r="6" spans="3:21" ht="16.5" thickTop="1" thickBot="1">
      <c r="C6" s="514">
        <v>30000</v>
      </c>
      <c r="D6" s="514">
        <v>34999</v>
      </c>
      <c r="E6" s="515">
        <f ca="1">ROUND(PRODUCT(P6,Worksheet_Com!$G$6,Worksheet_Com!$K$6),3)</f>
        <v>10.333</v>
      </c>
      <c r="F6" s="516">
        <f t="shared" ca="1" si="0"/>
        <v>2.830958904109589E-2</v>
      </c>
      <c r="H6" s="514">
        <v>120000</v>
      </c>
      <c r="I6" s="514">
        <v>129999</v>
      </c>
      <c r="J6" s="523">
        <f ca="1">ROUND(PRODUCT(T6,Worksheet_Com!$G$6,Worksheet_Com!$K$6),3)</f>
        <v>14.894</v>
      </c>
      <c r="K6" s="524">
        <f ca="1">ROUND((J6/365)*1.04,4)</f>
        <v>4.24E-2</v>
      </c>
      <c r="L6" s="528"/>
      <c r="N6" s="466">
        <v>30000</v>
      </c>
      <c r="O6" s="466">
        <v>34999</v>
      </c>
      <c r="P6" s="511">
        <v>2.0459999999999998</v>
      </c>
      <c r="R6" s="519">
        <v>120000</v>
      </c>
      <c r="S6" s="519">
        <v>129999</v>
      </c>
      <c r="T6" s="521">
        <f>PRODUCT('Aircraft Rates'!F15,100)</f>
        <v>2.9489999999999998</v>
      </c>
    </row>
    <row r="7" spans="3:21" ht="16.5" thickTop="1" thickBot="1">
      <c r="C7" s="514">
        <v>35000</v>
      </c>
      <c r="D7" s="514">
        <v>39999</v>
      </c>
      <c r="E7" s="515">
        <f ca="1">ROUND(PRODUCT(P7,Worksheet_Com!$G$6,Worksheet_Com!$K$6),3)</f>
        <v>9.8480000000000008</v>
      </c>
      <c r="F7" s="516">
        <f t="shared" ca="1" si="0"/>
        <v>2.698082191780822E-2</v>
      </c>
      <c r="H7" s="514">
        <v>130000</v>
      </c>
      <c r="I7" s="514">
        <v>139999</v>
      </c>
      <c r="J7" s="523">
        <f ca="1">ROUND(PRODUCT(T7,Worksheet_Com!$G$6,Worksheet_Com!$K$6),3)</f>
        <v>14.827999999999999</v>
      </c>
      <c r="K7" s="524">
        <f ca="1">ROUND((J7/365)*1.03,4)</f>
        <v>4.1799999999999997E-2</v>
      </c>
      <c r="L7" s="528"/>
      <c r="N7" s="466">
        <v>35000</v>
      </c>
      <c r="O7" s="466">
        <v>39999</v>
      </c>
      <c r="P7" s="511">
        <v>1.95</v>
      </c>
      <c r="R7" s="519">
        <v>130000</v>
      </c>
      <c r="S7" s="519">
        <v>139999</v>
      </c>
      <c r="T7" s="521">
        <f>PRODUCT('Aircraft Rates'!F17,100)</f>
        <v>2.9359999999999999</v>
      </c>
    </row>
    <row r="8" spans="3:21" ht="16.5" thickTop="1" thickBot="1">
      <c r="C8" s="514">
        <v>40000</v>
      </c>
      <c r="D8" s="514">
        <v>44999</v>
      </c>
      <c r="E8" s="515">
        <f ca="1">ROUND(PRODUCT(P8,Worksheet_Com!$G$6,Worksheet_Com!$K$6),3)</f>
        <v>9.3689999999999998</v>
      </c>
      <c r="F8" s="516">
        <f t="shared" ca="1" si="0"/>
        <v>2.566849315068493E-2</v>
      </c>
      <c r="H8" s="514">
        <v>140000</v>
      </c>
      <c r="I8" s="514">
        <v>149999</v>
      </c>
      <c r="J8" s="523">
        <f ca="1">ROUND(PRODUCT(T8,Worksheet_Com!$G$6,Worksheet_Com!$K$6),3)</f>
        <v>14.757999999999999</v>
      </c>
      <c r="K8" s="524">
        <f ca="1">ROUND((J8/365)*1.02,4)</f>
        <v>4.1200000000000001E-2</v>
      </c>
      <c r="L8" s="528"/>
      <c r="N8" s="466">
        <v>40000</v>
      </c>
      <c r="O8" s="466">
        <v>44999</v>
      </c>
      <c r="P8" s="511">
        <v>1.855</v>
      </c>
      <c r="R8" s="519">
        <v>140000</v>
      </c>
      <c r="S8" s="519">
        <v>149999</v>
      </c>
      <c r="T8" s="521">
        <f>PRODUCT('Aircraft Rates'!F19, 100)</f>
        <v>2.9220000000000002</v>
      </c>
    </row>
    <row r="9" spans="3:21" ht="16.5" thickTop="1" thickBot="1">
      <c r="C9" s="514">
        <v>45000</v>
      </c>
      <c r="D9" s="514">
        <v>49999</v>
      </c>
      <c r="E9" s="515">
        <f ca="1">ROUND(PRODUCT(P9,Worksheet_Com!$G$6,Worksheet_Com!$K$6),3)</f>
        <v>8.8840000000000003</v>
      </c>
      <c r="F9" s="516">
        <f t="shared" ca="1" si="0"/>
        <v>2.4339726027397261E-2</v>
      </c>
      <c r="H9" s="514">
        <v>150000</v>
      </c>
      <c r="I9" s="514">
        <v>159999</v>
      </c>
      <c r="J9" s="523">
        <f ca="1">ROUND(PRODUCT(T9,Worksheet_Com!$G$6,Worksheet_Com!$K$6),3)</f>
        <v>14.696999999999999</v>
      </c>
      <c r="K9" s="524">
        <f ca="1">ROUND((J9/365)*1.01,4)</f>
        <v>4.07E-2</v>
      </c>
      <c r="L9" s="528"/>
      <c r="N9" s="466">
        <v>45000</v>
      </c>
      <c r="O9" s="466">
        <v>49999</v>
      </c>
      <c r="P9" s="511">
        <v>1.7589999999999999</v>
      </c>
      <c r="R9" s="519">
        <v>150000</v>
      </c>
      <c r="S9" s="519">
        <v>159999</v>
      </c>
      <c r="T9" s="521">
        <f>PRODUCT('Aircraft Rates'!F21,100)</f>
        <v>2.91</v>
      </c>
    </row>
    <row r="10" spans="3:21" ht="16.5" thickTop="1" thickBot="1">
      <c r="C10" s="514">
        <v>50000</v>
      </c>
      <c r="D10" s="514">
        <v>54999</v>
      </c>
      <c r="E10" s="515">
        <f ca="1">ROUND(PRODUCT(P10,Worksheet_Com!$G$6,Worksheet_Com!$K$6),3)</f>
        <v>8.6460000000000008</v>
      </c>
      <c r="F10" s="516">
        <f t="shared" ca="1" si="0"/>
        <v>2.3687671232876715E-2</v>
      </c>
      <c r="H10" s="514">
        <v>160000</v>
      </c>
      <c r="I10" s="514">
        <v>169999</v>
      </c>
      <c r="J10" s="523">
        <f ca="1">ROUND(PRODUCT(T10,Worksheet_Com!$G$6,Worksheet_Com!$K$6),3)</f>
        <v>14.625999999999999</v>
      </c>
      <c r="K10" s="524">
        <f t="shared" ref="K10:K20" ca="1" si="1">ROUND(J10/365,4)</f>
        <v>4.0099999999999997E-2</v>
      </c>
      <c r="N10" s="466">
        <v>50000</v>
      </c>
      <c r="O10" s="466">
        <v>54999</v>
      </c>
      <c r="P10" s="511">
        <v>1.712</v>
      </c>
      <c r="R10" s="519">
        <v>160000</v>
      </c>
      <c r="S10" s="519">
        <v>169999</v>
      </c>
      <c r="T10" s="521">
        <f>PRODUCT('Aircraft Rates'!F23,100)</f>
        <v>2.8959999999999999</v>
      </c>
    </row>
    <row r="11" spans="3:21" ht="16.5" thickTop="1" thickBot="1">
      <c r="C11" s="514">
        <v>55000</v>
      </c>
      <c r="D11" s="514">
        <v>59999</v>
      </c>
      <c r="E11" s="515">
        <f ca="1">ROUND(PRODUCT(P11,Worksheet_Com!$G$6,Worksheet_Com!$K$6),3)</f>
        <v>8.51</v>
      </c>
      <c r="F11" s="516">
        <f t="shared" ca="1" si="0"/>
        <v>2.3315068493150685E-2</v>
      </c>
      <c r="H11" s="514">
        <v>170000</v>
      </c>
      <c r="I11" s="514">
        <v>179999</v>
      </c>
      <c r="J11" s="523">
        <f ca="1">ROUND(PRODUCT(T11,Worksheet_Com!$G$6,Worksheet_Com!$K$6),3)</f>
        <v>14.561</v>
      </c>
      <c r="K11" s="524">
        <f t="shared" ca="1" si="1"/>
        <v>3.9899999999999998E-2</v>
      </c>
      <c r="N11" s="466">
        <v>55000</v>
      </c>
      <c r="O11" s="466">
        <v>59999</v>
      </c>
      <c r="P11" s="511">
        <v>1.6850000000000001</v>
      </c>
      <c r="R11" s="519">
        <v>170000</v>
      </c>
      <c r="S11" s="519">
        <v>179999</v>
      </c>
      <c r="T11" s="521">
        <f>PRODUCT('Aircraft Rates'!F25,100)</f>
        <v>2.883</v>
      </c>
    </row>
    <row r="12" spans="3:21" ht="16.5" thickTop="1" thickBot="1">
      <c r="C12" s="514">
        <v>60000</v>
      </c>
      <c r="D12" s="514">
        <v>64999</v>
      </c>
      <c r="E12" s="515">
        <f ca="1">ROUND(PRODUCT(P12,Worksheet_Com!$G$6,Worksheet_Com!$K$6),3)</f>
        <v>8.1669999999999998</v>
      </c>
      <c r="F12" s="516">
        <f t="shared" ca="1" si="0"/>
        <v>2.2375342465753425E-2</v>
      </c>
      <c r="H12" s="514">
        <v>180000</v>
      </c>
      <c r="I12" s="514">
        <v>189999</v>
      </c>
      <c r="J12" s="523">
        <f ca="1">ROUND(PRODUCT(T12,Worksheet_Com!$G$6,Worksheet_Com!$K$6),3)</f>
        <v>14.49</v>
      </c>
      <c r="K12" s="524">
        <f t="shared" ca="1" si="1"/>
        <v>3.9699999999999999E-2</v>
      </c>
      <c r="N12" s="466">
        <v>60000</v>
      </c>
      <c r="O12" s="466">
        <v>64999</v>
      </c>
      <c r="P12" s="511">
        <v>1.617</v>
      </c>
      <c r="R12" s="519">
        <v>180000</v>
      </c>
      <c r="S12" s="519">
        <v>189999</v>
      </c>
      <c r="T12" s="521">
        <f>PRODUCT('Aircraft Rates'!F27,100)</f>
        <v>2.8690000000000002</v>
      </c>
    </row>
    <row r="13" spans="3:21" ht="16.5" thickTop="1" thickBot="1">
      <c r="C13" s="514">
        <v>65000</v>
      </c>
      <c r="D13" s="514">
        <v>69999</v>
      </c>
      <c r="E13" s="515">
        <f ca="1">ROUND(PRODUCT(P13,Worksheet_Com!$G$6,Worksheet_Com!$K$6),3)</f>
        <v>7.9290000000000003</v>
      </c>
      <c r="F13" s="516">
        <f t="shared" ca="1" si="0"/>
        <v>2.1723287671232879E-2</v>
      </c>
      <c r="H13" s="514">
        <v>190000</v>
      </c>
      <c r="I13" s="514">
        <v>199999</v>
      </c>
      <c r="J13" s="523">
        <f ca="1">ROUND(PRODUCT(T13,Worksheet_Com!$G$6,Worksheet_Com!$K$6),3)</f>
        <v>14.423999999999999</v>
      </c>
      <c r="K13" s="524">
        <f t="shared" ca="1" si="1"/>
        <v>3.95E-2</v>
      </c>
      <c r="N13" s="466">
        <v>65000</v>
      </c>
      <c r="O13" s="466">
        <v>69999</v>
      </c>
      <c r="P13" s="511">
        <v>1.57</v>
      </c>
      <c r="R13" s="519">
        <v>190000</v>
      </c>
      <c r="S13" s="519">
        <v>199999</v>
      </c>
      <c r="T13" s="521">
        <f>PRODUCT('Aircraft Rates'!F29,100)</f>
        <v>2.8559999999999999</v>
      </c>
    </row>
    <row r="14" spans="3:21" ht="16.5" thickTop="1" thickBot="1">
      <c r="C14" s="514">
        <v>70000</v>
      </c>
      <c r="D14" s="514">
        <v>74999</v>
      </c>
      <c r="E14" s="515">
        <f ca="1">ROUND(PRODUCT(P14,Worksheet_Com!$G$6,Worksheet_Com!$K$6),3)</f>
        <v>7.6820000000000004</v>
      </c>
      <c r="F14" s="516">
        <f t="shared" ca="1" si="0"/>
        <v>2.1046575342465755E-2</v>
      </c>
      <c r="H14" s="514">
        <v>200000</v>
      </c>
      <c r="I14" s="514">
        <v>214999</v>
      </c>
      <c r="J14" s="523">
        <f ca="1">ROUND(PRODUCT(T14,Worksheet_Com!$G$6,Worksheet_Com!$K$6),3)</f>
        <v>14.227</v>
      </c>
      <c r="K14" s="524">
        <f t="shared" ca="1" si="1"/>
        <v>3.9E-2</v>
      </c>
      <c r="N14" s="466">
        <v>70000</v>
      </c>
      <c r="O14" s="466">
        <v>74999</v>
      </c>
      <c r="P14" s="511">
        <v>1.5209999999999999</v>
      </c>
      <c r="R14" s="519">
        <v>200000</v>
      </c>
      <c r="S14" s="519">
        <v>214999</v>
      </c>
      <c r="T14" s="521">
        <v>2.8170000000000002</v>
      </c>
    </row>
    <row r="15" spans="3:21" ht="16.5" thickTop="1" thickBot="1">
      <c r="C15" s="514">
        <v>75000</v>
      </c>
      <c r="D15" s="514">
        <v>79999</v>
      </c>
      <c r="E15" s="515">
        <f ca="1">ROUND(PRODUCT(P15,Worksheet_Com!$G$6,Worksheet_Com!$K$6),3)</f>
        <v>7.444</v>
      </c>
      <c r="F15" s="516">
        <f t="shared" ca="1" si="0"/>
        <v>2.0394520547945206E-2</v>
      </c>
      <c r="H15" s="525">
        <v>215000</v>
      </c>
      <c r="I15" s="525">
        <v>229999</v>
      </c>
      <c r="J15" s="523">
        <f ca="1">ROUND(PRODUCT(T15,Worksheet_Com!$G$6,Worksheet_Com!$K$6),3)</f>
        <v>13.99</v>
      </c>
      <c r="K15" s="524">
        <f t="shared" ca="1" si="1"/>
        <v>3.8300000000000001E-2</v>
      </c>
      <c r="N15" s="466">
        <v>75000</v>
      </c>
      <c r="O15" s="466">
        <v>79999</v>
      </c>
      <c r="P15" s="511">
        <v>1.474</v>
      </c>
      <c r="R15" s="520">
        <v>215000</v>
      </c>
      <c r="S15" s="520">
        <v>229999</v>
      </c>
      <c r="T15" s="521">
        <f>PRODUCT(AVERAGE('Aircraft Rates'!F34,'Aircraft Rates'!F37),100)</f>
        <v>2.77</v>
      </c>
      <c r="U15" t="s">
        <v>2892</v>
      </c>
    </row>
    <row r="16" spans="3:21" ht="16.5" thickTop="1" thickBot="1">
      <c r="C16" s="514">
        <v>80000</v>
      </c>
      <c r="D16" s="514">
        <v>89999</v>
      </c>
      <c r="E16" s="515">
        <f ca="1">ROUND(PRODUCT(P16,Worksheet_Com!$G$6,Worksheet_Com!$K$6),3)</f>
        <v>7.202</v>
      </c>
      <c r="F16" s="516">
        <f t="shared" ca="1" si="0"/>
        <v>1.9731506849315069E-2</v>
      </c>
      <c r="H16" s="525">
        <v>230000</v>
      </c>
      <c r="I16" s="525">
        <v>249999</v>
      </c>
      <c r="J16" s="523">
        <f ca="1">ROUND(PRODUCT(T16,Worksheet_Com!$G$6,Worksheet_Com!$K$6),3)</f>
        <v>13.651999999999999</v>
      </c>
      <c r="K16" s="524">
        <f t="shared" ca="1" si="1"/>
        <v>3.7400000000000003E-2</v>
      </c>
      <c r="N16" s="466">
        <v>80000</v>
      </c>
      <c r="O16" s="466">
        <v>84999</v>
      </c>
      <c r="P16" s="511">
        <v>1.4259999999999999</v>
      </c>
      <c r="R16" s="520">
        <v>230000</v>
      </c>
      <c r="S16" s="520">
        <v>249999</v>
      </c>
      <c r="T16" s="521">
        <f>PRODUCT(AVERAGE('Aircraft Rates'!F38,'Aircraft Rates'!F40,'Aircraft Rates'!F42,'Aircraft Rates'!F43),100)</f>
        <v>2.7029999999999998</v>
      </c>
      <c r="U16" t="s">
        <v>2892</v>
      </c>
    </row>
    <row r="17" spans="3:21" ht="16.5" thickTop="1" thickBot="1">
      <c r="C17" s="514">
        <v>85000</v>
      </c>
      <c r="D17" s="514">
        <v>99999</v>
      </c>
      <c r="E17" s="515">
        <f ca="1">ROUND(PRODUCT(P17,Worksheet_Com!$G$6,Worksheet_Com!$K$6),3)</f>
        <v>6.9649999999999999</v>
      </c>
      <c r="F17" s="516">
        <f t="shared" ca="1" si="0"/>
        <v>1.9082191780821916E-2</v>
      </c>
      <c r="H17" s="525">
        <v>250000</v>
      </c>
      <c r="I17" s="525">
        <v>274999</v>
      </c>
      <c r="J17" s="523">
        <f ca="1">ROUND(PRODUCT(T17,Worksheet_Com!$G$6,Worksheet_Com!$K$6),3)</f>
        <v>13.317</v>
      </c>
      <c r="K17" s="524">
        <f t="shared" ca="1" si="1"/>
        <v>3.6499999999999998E-2</v>
      </c>
      <c r="N17" s="466">
        <v>85000</v>
      </c>
      <c r="O17" s="466">
        <v>89999</v>
      </c>
      <c r="P17" s="511">
        <v>1.379</v>
      </c>
      <c r="R17" s="520">
        <v>250000</v>
      </c>
      <c r="S17" s="520">
        <v>274999</v>
      </c>
      <c r="T17" s="521">
        <f>PRODUCT(AVERAGE('Aircraft Rates'!F44,'Aircraft Rates'!F45,'Aircraft Rates'!F47,'Aircraft Rates'!F49),100)</f>
        <v>2.6367499999999997</v>
      </c>
      <c r="U17" t="s">
        <v>2892</v>
      </c>
    </row>
    <row r="18" spans="3:21" ht="16.5" thickTop="1" thickBot="1">
      <c r="C18" s="514">
        <v>90000</v>
      </c>
      <c r="D18" s="514">
        <v>999999</v>
      </c>
      <c r="E18" s="515">
        <f ca="1">ROUND(PRODUCT(P18,Worksheet_Com!$G$6,Worksheet_Com!$K$6),3)</f>
        <v>6.7270000000000003</v>
      </c>
      <c r="F18" s="516">
        <f t="shared" ca="1" si="0"/>
        <v>1.843013698630137E-2</v>
      </c>
      <c r="H18" s="525">
        <v>275000</v>
      </c>
      <c r="I18" s="525">
        <v>299999</v>
      </c>
      <c r="J18" s="523">
        <f ca="1">ROUND(PRODUCT(T18,Worksheet_Com!$G$6,Worksheet_Com!$K$6),3)</f>
        <v>12.866</v>
      </c>
      <c r="K18" s="524">
        <f t="shared" ca="1" si="1"/>
        <v>3.5200000000000002E-2</v>
      </c>
      <c r="N18" s="466">
        <v>90000</v>
      </c>
      <c r="O18" s="466">
        <v>94999</v>
      </c>
      <c r="P18" s="511">
        <v>1.3320000000000001</v>
      </c>
      <c r="R18" s="520">
        <v>275000</v>
      </c>
      <c r="S18" s="520">
        <v>299999</v>
      </c>
      <c r="T18" s="521">
        <f>PRODUCT(AVERAGE('Aircraft Rates'!F50,'Aircraft Rates'!F52,'Aircraft Rates'!F54,'Aircraft Rates'!F56),100)</f>
        <v>2.5474999999999999</v>
      </c>
      <c r="U18" t="s">
        <v>2892</v>
      </c>
    </row>
    <row r="19" spans="3:21" ht="16.5" thickTop="1" thickBot="1">
      <c r="C19" s="514">
        <v>95000</v>
      </c>
      <c r="D19" s="517">
        <v>99999</v>
      </c>
      <c r="E19" s="515">
        <f ca="1">ROUND(PRODUCT(P19,Worksheet_Com!$G$6,Worksheet_Com!$K$6),3)</f>
        <v>6.49</v>
      </c>
      <c r="F19" s="516">
        <f t="shared" ca="1" si="0"/>
        <v>1.7780821917808221E-2</v>
      </c>
      <c r="H19" s="525">
        <v>300000</v>
      </c>
      <c r="I19" s="525">
        <v>499999</v>
      </c>
      <c r="J19" s="523">
        <f ca="1">ROUND(PRODUCT(T19,Worksheet_Com!$G$6,Worksheet_Com!$K$6),3)</f>
        <v>11.699</v>
      </c>
      <c r="K19" s="524">
        <f t="shared" ca="1" si="1"/>
        <v>3.2099999999999997E-2</v>
      </c>
      <c r="N19" s="466">
        <v>95000</v>
      </c>
      <c r="O19" s="510">
        <v>99999</v>
      </c>
      <c r="P19" s="512">
        <v>1.2849999999999999</v>
      </c>
      <c r="R19" s="520">
        <v>300000</v>
      </c>
      <c r="S19" s="520">
        <v>499999</v>
      </c>
      <c r="T19" s="521">
        <f>PRODUCT(AVERAGE('Aircraft Rates'!F56,'Aircraft Rates'!F58,'Aircraft Rates'!F60,'Aircraft Rates'!F63,'Aircraft Rates'!F65,'Aircraft Rates'!F66,'Aircraft Rates'!F69,'Aircraft Rates'!F71,'Aircraft Rates'!F73,'Aircraft Rates'!F75,'Aircraft Rates'!F77,'Aircraft Rates'!F79,'Aircraft Rates'!F80,'Aircraft Rates'!F82,'Aircraft Rates'!F85,'Aircraft Rates'!F87,'Aircraft Rates'!F89,'Aircraft Rates'!F91,'Aircraft Rates'!F93,'Aircraft Rates'!F95,'Aircraft Rates'!F97,'Aircraft Rates'!F99),100)</f>
        <v>2.3163181818181817</v>
      </c>
      <c r="U19" t="s">
        <v>2892</v>
      </c>
    </row>
    <row r="20" spans="3:21" ht="16.5" thickTop="1" thickBot="1">
      <c r="C20" s="514">
        <v>100000</v>
      </c>
      <c r="D20" s="517">
        <v>124999</v>
      </c>
      <c r="E20" s="515">
        <f ca="1">ROUND(PRODUCT(P20,Worksheet_Com!$G$6,Worksheet_Com!$K$6),3)</f>
        <v>6.2320000000000002</v>
      </c>
      <c r="F20" s="516">
        <f t="shared" ca="1" si="0"/>
        <v>1.7073972602739726E-2</v>
      </c>
      <c r="H20" s="525">
        <v>500000</v>
      </c>
      <c r="I20" s="525">
        <v>999999</v>
      </c>
      <c r="J20" s="523">
        <f ca="1">ROUND(PRODUCT(T20,Worksheet_Com!$G$6,Worksheet_Com!$K$6),3)</f>
        <v>9.6760000000000002</v>
      </c>
      <c r="K20" s="524">
        <f t="shared" ca="1" si="1"/>
        <v>2.6499999999999999E-2</v>
      </c>
      <c r="N20" s="466">
        <v>100000</v>
      </c>
      <c r="O20" s="510">
        <v>124999</v>
      </c>
      <c r="P20" s="511">
        <v>1.234</v>
      </c>
      <c r="Q20" t="s">
        <v>2893</v>
      </c>
      <c r="R20" s="520">
        <v>500000</v>
      </c>
      <c r="S20" s="520">
        <v>999999</v>
      </c>
      <c r="T20" s="521">
        <f>PRODUCT(AVERAGE('Aircraft Rates'!F100,'Aircraft Rates'!F102,'Aircraft Rates'!F104,'Aircraft Rates'!F106,'Aircraft Rates'!F108),100)</f>
        <v>1.9158000000000002</v>
      </c>
      <c r="U20" t="s">
        <v>2892</v>
      </c>
    </row>
    <row r="21" spans="3:21" ht="15.75" thickTop="1" thickBot="1">
      <c r="C21" s="514">
        <v>125000</v>
      </c>
      <c r="D21" s="517">
        <v>149999</v>
      </c>
      <c r="E21" s="515">
        <f ca="1">ROUND(PRODUCT(P21,Worksheet_Com!$G$6,Worksheet_Com!$K$6),3)</f>
        <v>6.5449999999999999</v>
      </c>
      <c r="F21" s="516">
        <f t="shared" ca="1" si="0"/>
        <v>1.7931506849315069E-2</v>
      </c>
      <c r="N21" s="466">
        <v>125000</v>
      </c>
      <c r="O21" s="510">
        <v>149999</v>
      </c>
      <c r="P21" s="511">
        <v>1.296</v>
      </c>
      <c r="Q21" t="s">
        <v>2893</v>
      </c>
    </row>
    <row r="22" spans="3:21" ht="15.75" thickTop="1" thickBot="1">
      <c r="C22" s="514">
        <v>150000</v>
      </c>
      <c r="D22" s="517">
        <v>174999</v>
      </c>
      <c r="E22" s="515">
        <f ca="1">ROUND(PRODUCT(P22,Worksheet_Com!$G$6,Worksheet_Com!$K$6),3)</f>
        <v>5.5449999999999999</v>
      </c>
      <c r="F22" s="516">
        <f t="shared" ca="1" si="0"/>
        <v>1.5191780821917808E-2</v>
      </c>
      <c r="N22" s="466">
        <v>150000</v>
      </c>
      <c r="O22" s="510">
        <v>174999</v>
      </c>
      <c r="P22" s="511">
        <v>1.0980000000000001</v>
      </c>
      <c r="Q22" t="s">
        <v>2893</v>
      </c>
    </row>
    <row r="23" spans="3:21" ht="15.75" thickTop="1" thickBot="1">
      <c r="C23" s="514">
        <v>175000</v>
      </c>
      <c r="D23" s="517">
        <v>999999</v>
      </c>
      <c r="E23" s="515">
        <f ca="1">ROUND(PRODUCT(P23,Worksheet_Com!$G$6,Worksheet_Com!$K$6),3)</f>
        <v>5.1920000000000002</v>
      </c>
      <c r="F23" s="516">
        <f t="shared" ca="1" si="0"/>
        <v>1.4224657534246576E-2</v>
      </c>
      <c r="N23" s="466">
        <v>175000</v>
      </c>
      <c r="O23" s="510">
        <v>999999</v>
      </c>
      <c r="P23" s="511">
        <v>1.028</v>
      </c>
      <c r="Q23" t="s">
        <v>2893</v>
      </c>
    </row>
    <row r="24" spans="3:21" ht="15" thickTop="1">
      <c r="C24" s="466"/>
      <c r="D24" s="510"/>
    </row>
    <row r="26" spans="3:21" ht="18">
      <c r="C26" s="938" t="s">
        <v>2894</v>
      </c>
      <c r="D26" s="938"/>
      <c r="E26" s="938"/>
      <c r="F26" s="938"/>
      <c r="G26" s="938"/>
      <c r="H26" s="938"/>
      <c r="I26" s="938"/>
      <c r="J26" s="938"/>
    </row>
    <row r="27" spans="3:21" ht="18">
      <c r="C27" s="938" t="s">
        <v>2895</v>
      </c>
      <c r="D27" s="938"/>
      <c r="E27" s="938"/>
      <c r="F27" s="938"/>
      <c r="G27" s="938"/>
      <c r="H27" s="938"/>
      <c r="I27" s="938"/>
      <c r="J27" s="938"/>
      <c r="N27" t="s">
        <v>2896</v>
      </c>
    </row>
    <row r="28" spans="3:21" ht="15.75" thickBot="1">
      <c r="D28" s="526">
        <v>2</v>
      </c>
      <c r="E28" s="526">
        <v>3</v>
      </c>
      <c r="F28" s="526">
        <v>4</v>
      </c>
      <c r="G28" s="526">
        <v>5</v>
      </c>
      <c r="H28" s="526">
        <v>6</v>
      </c>
      <c r="I28" s="526">
        <v>7</v>
      </c>
      <c r="J28" s="526">
        <v>8</v>
      </c>
      <c r="N28">
        <v>2</v>
      </c>
      <c r="O28">
        <v>3</v>
      </c>
      <c r="P28">
        <v>4</v>
      </c>
      <c r="Q28">
        <v>5</v>
      </c>
      <c r="R28">
        <v>6</v>
      </c>
      <c r="S28">
        <v>7</v>
      </c>
      <c r="T28">
        <v>8</v>
      </c>
    </row>
    <row r="29" spans="3:21" ht="16.5" thickTop="1" thickBot="1">
      <c r="C29" s="83" t="s">
        <v>2897</v>
      </c>
      <c r="D29" s="514">
        <f ca="1">N29</f>
        <v>2376</v>
      </c>
      <c r="E29" s="514">
        <f t="shared" ref="E29:J29" ca="1" si="2">O29</f>
        <v>2680</v>
      </c>
      <c r="F29" s="514">
        <f t="shared" ca="1" si="2"/>
        <v>2970</v>
      </c>
      <c r="G29" s="514">
        <f t="shared" ca="1" si="2"/>
        <v>3170</v>
      </c>
      <c r="H29" s="514">
        <f t="shared" ca="1" si="2"/>
        <v>3371</v>
      </c>
      <c r="I29" s="514">
        <f t="shared" ca="1" si="2"/>
        <v>3557</v>
      </c>
      <c r="J29" s="514">
        <f t="shared" ca="1" si="2"/>
        <v>3742</v>
      </c>
      <c r="N29">
        <f ca="1">ROUND(PRODUCT('Aircraft Rates'!AB8,Worksheet_Com!$F$6,Worksheet_Com!$J$6),0)</f>
        <v>2376</v>
      </c>
      <c r="O29">
        <f ca="1">ROUND(PRODUCT('Aircraft Rates'!AC8,Worksheet_Com!$F$6,Worksheet_Com!$J$6),0)</f>
        <v>2680</v>
      </c>
      <c r="P29">
        <f ca="1">ROUND(PRODUCT('Aircraft Rates'!AD8,Worksheet_Com!$F$6,Worksheet_Com!$J$6),0)</f>
        <v>2970</v>
      </c>
      <c r="Q29">
        <f ca="1">ROUND(PRODUCT('Aircraft Rates'!AE8,Worksheet_Com!$F$6,Worksheet_Com!$J$6),0)</f>
        <v>3170</v>
      </c>
      <c r="R29">
        <f ca="1">ROUND(PRODUCT('Aircraft Rates'!AF8,Worksheet_Com!$F$6,Worksheet_Com!$J$6),0)</f>
        <v>3371</v>
      </c>
      <c r="S29">
        <f ca="1">ROUND(PRODUCT('Aircraft Rates'!AG8,Worksheet_Com!$F$6,Worksheet_Com!$J$6),0)</f>
        <v>3557</v>
      </c>
      <c r="T29">
        <f ca="1">ROUND(PRODUCT('Aircraft Rates'!AH8,Worksheet_Com!$F$6,Worksheet_Com!$J$6),0)</f>
        <v>3742</v>
      </c>
    </row>
    <row r="30" spans="3:21" ht="16.5" thickTop="1" thickBot="1">
      <c r="C30" s="83" t="s">
        <v>2898</v>
      </c>
      <c r="D30" s="517">
        <f t="shared" ref="D30:J30" ca="1" si="3">ROUND(D29/365,2)</f>
        <v>6.51</v>
      </c>
      <c r="E30" s="517">
        <f t="shared" ca="1" si="3"/>
        <v>7.34</v>
      </c>
      <c r="F30" s="517">
        <f t="shared" ca="1" si="3"/>
        <v>8.14</v>
      </c>
      <c r="G30" s="517">
        <f t="shared" ca="1" si="3"/>
        <v>8.68</v>
      </c>
      <c r="H30" s="517">
        <f t="shared" ca="1" si="3"/>
        <v>9.24</v>
      </c>
      <c r="I30" s="517">
        <f t="shared" ca="1" si="3"/>
        <v>9.75</v>
      </c>
      <c r="J30" s="517">
        <f t="shared" ca="1" si="3"/>
        <v>10.25</v>
      </c>
      <c r="N30" t="s">
        <v>2899</v>
      </c>
    </row>
    <row r="31" spans="3:21" ht="18.75" thickTop="1">
      <c r="C31" s="938" t="s">
        <v>2900</v>
      </c>
      <c r="D31" s="938"/>
      <c r="E31" s="938"/>
      <c r="F31" s="938"/>
      <c r="G31" s="938"/>
      <c r="H31" s="938"/>
      <c r="I31" s="938"/>
      <c r="J31" s="938"/>
      <c r="N31">
        <v>4</v>
      </c>
      <c r="O31">
        <v>5</v>
      </c>
      <c r="P31">
        <v>6</v>
      </c>
      <c r="Q31">
        <v>7</v>
      </c>
      <c r="R31">
        <v>8</v>
      </c>
      <c r="S31">
        <v>9</v>
      </c>
      <c r="T31">
        <v>10</v>
      </c>
    </row>
    <row r="32" spans="3:21" ht="15.75" thickBot="1">
      <c r="D32" s="526">
        <v>4</v>
      </c>
      <c r="E32" s="526">
        <v>5</v>
      </c>
      <c r="F32" s="526">
        <v>6</v>
      </c>
      <c r="G32" s="526">
        <v>7</v>
      </c>
      <c r="H32" s="526">
        <v>8</v>
      </c>
      <c r="I32" s="526">
        <v>9</v>
      </c>
      <c r="J32" s="526">
        <v>10</v>
      </c>
      <c r="N32">
        <f ca="1">ROUND(PRODUCT('Aircraft Rates'!AW8,Worksheet_Com!$F$6,Worksheet_Com!$J$6),0)</f>
        <v>4024</v>
      </c>
      <c r="O32">
        <f ca="1">ROUND(PRODUCT('Aircraft Rates'!AX8,Worksheet_Com!$F$6,Worksheet_Com!$J$6),0)</f>
        <v>4396</v>
      </c>
      <c r="P32">
        <f ca="1">ROUND(PRODUCT('Aircraft Rates'!AY8,Worksheet_Com!$F$6,Worksheet_Com!$J$6),0)</f>
        <v>4670</v>
      </c>
      <c r="Q32">
        <f ca="1">ROUND(PRODUCT('Aircraft Rates'!AZ8,Worksheet_Com!$F$6,Worksheet_Com!$J$6),0)</f>
        <v>4901</v>
      </c>
      <c r="R32">
        <f ca="1">ROUND(PRODUCT('Aircraft Rates'!BA8,Worksheet_Com!$F$6,Worksheet_Com!$J$6),0)</f>
        <v>5138</v>
      </c>
      <c r="S32">
        <f ca="1">ROUND(PRODUCT('Aircraft Rates'!BB8,Worksheet_Com!$F$6,Worksheet_Com!$J$6),0)</f>
        <v>5383</v>
      </c>
      <c r="T32">
        <f ca="1">ROUND(PRODUCT('Aircraft Rates'!BC8,Worksheet_Com!$F$6,Worksheet_Com!$J$6),0)</f>
        <v>5621</v>
      </c>
    </row>
    <row r="33" spans="2:12" ht="16.5" thickTop="1" thickBot="1">
      <c r="C33" s="83" t="s">
        <v>2897</v>
      </c>
      <c r="D33" s="514">
        <f ca="1">N32</f>
        <v>4024</v>
      </c>
      <c r="E33" s="514">
        <f t="shared" ref="E33:J33" ca="1" si="4">O32</f>
        <v>4396</v>
      </c>
      <c r="F33" s="514">
        <f t="shared" ca="1" si="4"/>
        <v>4670</v>
      </c>
      <c r="G33" s="514">
        <f t="shared" ca="1" si="4"/>
        <v>4901</v>
      </c>
      <c r="H33" s="514">
        <f t="shared" ca="1" si="4"/>
        <v>5138</v>
      </c>
      <c r="I33" s="514">
        <f t="shared" ca="1" si="4"/>
        <v>5383</v>
      </c>
      <c r="J33" s="514">
        <f t="shared" ca="1" si="4"/>
        <v>5621</v>
      </c>
    </row>
    <row r="34" spans="2:12" ht="16.5" thickTop="1" thickBot="1">
      <c r="C34" s="83" t="s">
        <v>2898</v>
      </c>
      <c r="D34" s="517">
        <f ca="1">ROUND(D33/365,2)</f>
        <v>11.02</v>
      </c>
      <c r="E34" s="517">
        <f t="shared" ref="E34:J34" ca="1" si="5">ROUND(E33/365,2)</f>
        <v>12.04</v>
      </c>
      <c r="F34" s="517">
        <f t="shared" ca="1" si="5"/>
        <v>12.79</v>
      </c>
      <c r="G34" s="517">
        <f t="shared" ca="1" si="5"/>
        <v>13.43</v>
      </c>
      <c r="H34" s="517">
        <f t="shared" ca="1" si="5"/>
        <v>14.08</v>
      </c>
      <c r="I34" s="517">
        <f t="shared" ca="1" si="5"/>
        <v>14.75</v>
      </c>
      <c r="J34" s="517">
        <f t="shared" ca="1" si="5"/>
        <v>15.4</v>
      </c>
    </row>
    <row r="35" spans="2:12" ht="15" thickTop="1"/>
    <row r="36" spans="2:12" ht="18">
      <c r="C36" s="938" t="str">
        <f>"Medical "&amp;TEXT(Aircraft!Y4,"$#,##0")</f>
        <v>Medical $3,000</v>
      </c>
      <c r="D36" s="938"/>
      <c r="E36" s="938"/>
      <c r="F36" s="938"/>
      <c r="G36" s="938"/>
      <c r="H36" s="938"/>
      <c r="I36" s="938"/>
      <c r="J36" s="938"/>
    </row>
    <row r="37" spans="2:12" ht="15.75" thickBot="1">
      <c r="B37" s="511"/>
      <c r="D37" s="526">
        <v>2</v>
      </c>
      <c r="E37" s="526">
        <v>3</v>
      </c>
      <c r="F37" s="526">
        <v>4</v>
      </c>
      <c r="G37" s="526">
        <v>5</v>
      </c>
      <c r="H37" s="526">
        <v>6</v>
      </c>
      <c r="I37" s="526">
        <v>7</v>
      </c>
      <c r="J37" s="526">
        <v>8</v>
      </c>
      <c r="K37" s="526">
        <v>9</v>
      </c>
      <c r="L37" s="526">
        <v>10</v>
      </c>
    </row>
    <row r="38" spans="2:12" ht="16.5" thickTop="1" thickBot="1">
      <c r="C38" s="83" t="s">
        <v>2897</v>
      </c>
      <c r="D38" s="514">
        <f>D37*Worksheet_Com!$E$6</f>
        <v>40</v>
      </c>
      <c r="E38" s="514">
        <f>E37*Worksheet_Com!$E$6</f>
        <v>60</v>
      </c>
      <c r="F38" s="514">
        <f>F37*Worksheet_Com!$E$6</f>
        <v>80</v>
      </c>
      <c r="G38" s="514">
        <f>G37*Worksheet_Com!$E$6</f>
        <v>100</v>
      </c>
      <c r="H38" s="514">
        <f>H37*Worksheet_Com!$E$6</f>
        <v>120</v>
      </c>
      <c r="I38" s="514">
        <f>I37*Worksheet_Com!$E$6</f>
        <v>140</v>
      </c>
      <c r="J38" s="514">
        <f>J37*Worksheet_Com!$E$6</f>
        <v>160</v>
      </c>
      <c r="K38" s="514">
        <f>K37*Worksheet_Com!$E$6</f>
        <v>180</v>
      </c>
      <c r="L38" s="514">
        <f>L37*Worksheet_Com!$E$6</f>
        <v>200</v>
      </c>
    </row>
    <row r="39" spans="2:12" ht="16.5" thickTop="1" thickBot="1">
      <c r="C39" s="83" t="s">
        <v>2898</v>
      </c>
      <c r="D39" s="517">
        <f t="shared" ref="D39:L39" si="6">ROUND(D38/365,2)</f>
        <v>0.11</v>
      </c>
      <c r="E39" s="517">
        <f t="shared" si="6"/>
        <v>0.16</v>
      </c>
      <c r="F39" s="517">
        <f t="shared" si="6"/>
        <v>0.22</v>
      </c>
      <c r="G39" s="517">
        <f t="shared" si="6"/>
        <v>0.27</v>
      </c>
      <c r="H39" s="517">
        <f t="shared" si="6"/>
        <v>0.33</v>
      </c>
      <c r="I39" s="517">
        <f t="shared" si="6"/>
        <v>0.38</v>
      </c>
      <c r="J39" s="517">
        <f t="shared" si="6"/>
        <v>0.44</v>
      </c>
      <c r="K39" s="517">
        <f t="shared" si="6"/>
        <v>0.49</v>
      </c>
      <c r="L39" s="517">
        <f t="shared" si="6"/>
        <v>0.55000000000000004</v>
      </c>
    </row>
    <row r="40" spans="2:12" ht="15" thickTop="1"/>
  </sheetData>
  <sheetProtection sheet="1" objects="1" scenarios="1"/>
  <mergeCells count="10">
    <mergeCell ref="C36:J36"/>
    <mergeCell ref="R3:T3"/>
    <mergeCell ref="C26:J26"/>
    <mergeCell ref="C27:J27"/>
    <mergeCell ref="C31:J31"/>
    <mergeCell ref="C2:F2"/>
    <mergeCell ref="C3:D3"/>
    <mergeCell ref="N3:P3"/>
    <mergeCell ref="H3:I3"/>
    <mergeCell ref="H2:K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279C9-2D08-4550-9EEF-B90504283101}">
  <sheetPr codeName="Sheet15">
    <tabColor rgb="FF7030A0"/>
  </sheetPr>
  <dimension ref="A1:BK36"/>
  <sheetViews>
    <sheetView showGridLines="0" tabSelected="1" zoomScale="80" zoomScaleNormal="80" workbookViewId="0">
      <selection activeCell="D22" sqref="D22"/>
    </sheetView>
  </sheetViews>
  <sheetFormatPr defaultColWidth="9" defaultRowHeight="14.25" zeroHeight="1"/>
  <cols>
    <col min="1" max="1" width="9" customWidth="1"/>
    <col min="2" max="2" width="15" customWidth="1"/>
    <col min="3" max="4" width="15" style="528" customWidth="1"/>
    <col min="5" max="5" width="15" customWidth="1"/>
    <col min="6" max="6" width="3.25" customWidth="1"/>
    <col min="7" max="7" width="3.875" customWidth="1"/>
    <col min="8" max="8" width="3.25" customWidth="1"/>
    <col min="9" max="12" width="15" customWidth="1"/>
    <col min="13" max="13" width="2.875" customWidth="1"/>
    <col min="14" max="14" width="3.875" customWidth="1"/>
    <col min="15" max="15" width="2.875" customWidth="1"/>
    <col min="16" max="19" width="15" customWidth="1"/>
    <col min="20" max="20" width="2.625" customWidth="1"/>
    <col min="21" max="21" width="3.875" customWidth="1"/>
    <col min="22" max="22" width="2.75" customWidth="1"/>
    <col min="23" max="26" width="15" customWidth="1"/>
    <col min="27" max="27" width="2.5" customWidth="1"/>
    <col min="28" max="28" width="3.875" customWidth="1"/>
    <col min="29" max="29" width="2.625" customWidth="1"/>
    <col min="30" max="33" width="15" customWidth="1"/>
    <col min="34" max="34" width="3.5" customWidth="1"/>
    <col min="35" max="35" width="3.875" customWidth="1"/>
    <col min="36" max="36" width="3.125" customWidth="1"/>
    <col min="37" max="40" width="15" customWidth="1"/>
    <col min="41" max="42" width="9" customWidth="1"/>
    <col min="43" max="43" width="10.25" customWidth="1"/>
    <col min="44" max="44" width="20.125" customWidth="1"/>
    <col min="45" max="47" width="9" customWidth="1"/>
    <col min="48" max="48" width="10.5" customWidth="1"/>
    <col min="49" max="49" width="9.625" customWidth="1"/>
    <col min="50" max="51" width="9" customWidth="1"/>
    <col min="52" max="52" width="12" customWidth="1"/>
    <col min="53" max="55" width="9" customWidth="1"/>
    <col min="56" max="56" width="12" customWidth="1"/>
    <col min="57" max="57" width="9" customWidth="1"/>
    <col min="58" max="58" width="18.5" customWidth="1"/>
    <col min="59" max="59" width="11.125" customWidth="1"/>
    <col min="60" max="62" width="9" customWidth="1"/>
    <col min="63" max="63" width="13.75" customWidth="1"/>
  </cols>
  <sheetData>
    <row r="1" spans="1:63" ht="15">
      <c r="A1" s="690" t="s">
        <v>4127</v>
      </c>
      <c r="C1"/>
      <c r="D1" t="s">
        <v>4281</v>
      </c>
    </row>
    <row r="2" spans="1:63" ht="15">
      <c r="B2" s="669" t="s">
        <v>4126</v>
      </c>
      <c r="C2" s="689">
        <v>0</v>
      </c>
      <c r="D2" s="943"/>
      <c r="E2" s="944"/>
      <c r="F2" s="944"/>
      <c r="G2" s="944"/>
      <c r="H2" s="945"/>
    </row>
    <row r="3" spans="1:63" ht="15">
      <c r="B3" s="669" t="s">
        <v>4125</v>
      </c>
      <c r="C3" s="687" t="s">
        <v>2784</v>
      </c>
      <c r="D3" s="946"/>
      <c r="E3" s="947"/>
      <c r="F3" s="947"/>
      <c r="G3" s="947"/>
      <c r="H3" s="948"/>
      <c r="I3" s="669" t="s">
        <v>4123</v>
      </c>
      <c r="J3" s="681" t="s">
        <v>1858</v>
      </c>
      <c r="K3" s="685">
        <f ca="1">IFERROR(VLOOKUP(1,INDIRECT(J3),3),0)</f>
        <v>0.35</v>
      </c>
      <c r="P3" s="669" t="s">
        <v>4123</v>
      </c>
      <c r="Q3" s="681"/>
      <c r="R3" s="685">
        <f ca="1">IFERROR(VLOOKUP(1,INDIRECT(Q3),3),0)</f>
        <v>0</v>
      </c>
      <c r="W3" s="669" t="s">
        <v>4123</v>
      </c>
      <c r="X3" s="681"/>
      <c r="Y3" s="685">
        <f ca="1">IFERROR(VLOOKUP(1,INDIRECT(X3),3),0)</f>
        <v>0</v>
      </c>
      <c r="AD3" s="669" t="s">
        <v>4123</v>
      </c>
      <c r="AE3" s="681"/>
      <c r="AF3" s="685">
        <f ca="1">IFERROR(VLOOKUP(1,INDIRECT(AE3),3),0)</f>
        <v>0</v>
      </c>
    </row>
    <row r="4" spans="1:63" ht="15">
      <c r="B4" s="669" t="s">
        <v>4123</v>
      </c>
      <c r="C4" s="687" t="s">
        <v>1863</v>
      </c>
      <c r="D4" s="685">
        <f ca="1">IFERROR(VLOOKUP(1,INDIRECT(C4),3),0)</f>
        <v>0</v>
      </c>
      <c r="G4" s="686"/>
      <c r="I4" s="669"/>
      <c r="J4" s="669"/>
      <c r="N4" s="686"/>
      <c r="O4" s="387"/>
      <c r="P4" s="669"/>
      <c r="Q4" s="669"/>
      <c r="T4" s="387"/>
      <c r="U4" s="686"/>
      <c r="V4" s="387"/>
      <c r="W4" s="669" t="s">
        <v>4124</v>
      </c>
      <c r="X4" s="681" t="s">
        <v>11</v>
      </c>
      <c r="AB4" s="686"/>
      <c r="AI4" s="686"/>
      <c r="AK4" s="669" t="s">
        <v>4123</v>
      </c>
      <c r="AL4" s="681"/>
      <c r="AM4" s="685">
        <f ca="1">IFERROR(VLOOKUP(1,INDIRECT(AL4),3),0)</f>
        <v>0</v>
      </c>
      <c r="AQ4" s="83" t="s">
        <v>4122</v>
      </c>
      <c r="AU4" s="83" t="s">
        <v>4121</v>
      </c>
      <c r="AY4" s="83" t="s">
        <v>2787</v>
      </c>
      <c r="BC4" s="83" t="s">
        <v>2791</v>
      </c>
      <c r="BF4" s="526" t="s">
        <v>4118</v>
      </c>
      <c r="BJ4" s="526" t="s">
        <v>4117</v>
      </c>
    </row>
    <row r="5" spans="1:63" ht="15">
      <c r="C5" s="526" t="s">
        <v>4120</v>
      </c>
      <c r="D5"/>
      <c r="G5" s="455"/>
      <c r="J5" s="526" t="s">
        <v>4119</v>
      </c>
      <c r="K5" s="387"/>
      <c r="L5" s="387"/>
      <c r="M5" s="387"/>
      <c r="N5" s="455"/>
      <c r="P5" s="387"/>
      <c r="Q5" s="526" t="s">
        <v>2787</v>
      </c>
      <c r="R5" s="387"/>
      <c r="S5" s="387"/>
      <c r="U5" s="455"/>
      <c r="W5" s="387"/>
      <c r="X5" s="526" t="s">
        <v>2791</v>
      </c>
      <c r="AB5" s="455"/>
      <c r="AD5" s="387"/>
      <c r="AE5" s="526" t="s">
        <v>4118</v>
      </c>
      <c r="AI5" s="455"/>
      <c r="AK5" s="387"/>
      <c r="AL5" s="526" t="s">
        <v>4117</v>
      </c>
      <c r="AQ5" s="464" t="s">
        <v>4116</v>
      </c>
      <c r="AR5" s="680">
        <f ca="1">ROUND(PRODUCT(SUM($C$2,1),PRODUCT(($D$4+1),SUM(VLOOKUP(MATCH($C$3,'MGR Adjustment'!$H$34:$H$41,0),SE_PGEARMod,7),1)*VLOOKUP(C7,SE_p,2)))*100,4)</f>
        <v>2.14</v>
      </c>
      <c r="AU5" s="464" t="s">
        <v>4116</v>
      </c>
      <c r="AV5" s="680">
        <f ca="1">ROUND(SUM($C$2,1)*PRODUCT(($K$3+1),VLOOKUP(J7,ME_P,2))*100,4)</f>
        <v>4.0163000000000002</v>
      </c>
      <c r="AY5" s="464" t="s">
        <v>4116</v>
      </c>
      <c r="AZ5" s="680">
        <f ca="1">ROUND(SUM($C$2,1)*PRODUCT(($R$3+1),VLOOKUP(Q7,SETP,2))*100,4)</f>
        <v>1.4561999999999999</v>
      </c>
      <c r="BC5" s="464" t="s">
        <v>4116</v>
      </c>
      <c r="BD5" s="680">
        <f ca="1">ROUND(PRODUCT(SUM($C$2,1),PRODUCT(($Y$3+1),SUM(IF($X$4="Yes",'MGR Adjustment'!$AA$64,0),1))*VLOOKUP(X7,METP,2))*100,4)</f>
        <v>0.99299999999999999</v>
      </c>
      <c r="BF5" s="464" t="s">
        <v>4116</v>
      </c>
      <c r="BG5" s="680">
        <f ca="1">ROUND(SUM($C$2,1)*PRODUCT(($AF$3+1),VLOOKUP(AE7,RW_P,2))*100,4)</f>
        <v>5.04</v>
      </c>
      <c r="BJ5" s="464" t="s">
        <v>4116</v>
      </c>
      <c r="BK5" s="680">
        <f ca="1">ROUND(SUM($C$2,1)*PRODUCT(($AM$4+1),VLOOKUP(AL7,RW_T,2))*100,4)</f>
        <v>2.6082000000000001</v>
      </c>
    </row>
    <row r="6" spans="1:63" ht="15">
      <c r="B6" s="83" t="s">
        <v>1774</v>
      </c>
      <c r="C6"/>
      <c r="D6"/>
      <c r="G6" s="455"/>
      <c r="I6" s="83" t="s">
        <v>1774</v>
      </c>
      <c r="N6" s="455"/>
      <c r="P6" s="83" t="s">
        <v>1774</v>
      </c>
      <c r="U6" s="455"/>
      <c r="W6" s="83" t="s">
        <v>1774</v>
      </c>
      <c r="AB6" s="455"/>
      <c r="AD6" s="83" t="s">
        <v>1774</v>
      </c>
      <c r="AI6" s="455"/>
      <c r="AK6" s="83" t="s">
        <v>1774</v>
      </c>
      <c r="AQ6" s="464" t="s">
        <v>4115</v>
      </c>
      <c r="AR6" s="680">
        <f ca="1">ROUND(PRODUCT(SUM($C$2,1),PRODUCT(($D$4+1),SUM(VLOOKUP(MATCH($C$3,'MGR Adjustment'!$H$34:$H$41,0),SE_PGEARMod,7),1)*VLOOKUP(C8,SE_p,2)))*100,4)</f>
        <v>1.2487999999999999</v>
      </c>
      <c r="AU6" s="464" t="s">
        <v>4115</v>
      </c>
      <c r="AV6" s="680">
        <f ca="1">ROUND(SUM($C$2,1)*PRODUCT(($K$3+1),VLOOKUP(J8,ME_P,2))*100,4)</f>
        <v>3.6221000000000001</v>
      </c>
      <c r="AY6" s="464" t="s">
        <v>4115</v>
      </c>
      <c r="AZ6" s="680">
        <f ca="1">ROUND(SUM($C$2,1)*PRODUCT(($R$3+1),VLOOKUP(Q8,SETP,2))*100,4)</f>
        <v>0.85099999999999998</v>
      </c>
      <c r="BC6" s="464" t="s">
        <v>4115</v>
      </c>
      <c r="BD6" s="680">
        <f ca="1">ROUND(PRODUCT(SUM($C$2,1),PRODUCT(($Y$3+1),SUM(IF($X$4="Yes",'MGR Adjustment'!$AA$64,0),1))*VLOOKUP(X8,METP,2))*100,4)</f>
        <v>0.85099999999999998</v>
      </c>
      <c r="BF6" s="464" t="s">
        <v>4115</v>
      </c>
      <c r="BG6" s="680">
        <f ca="1">ROUND(SUM($C$2,1)*PRODUCT(($AF$3+1),VLOOKUP(AE8,RW_P,2))*100,4)</f>
        <v>3.2403</v>
      </c>
      <c r="BJ6" s="464" t="s">
        <v>4115</v>
      </c>
      <c r="BK6" s="680">
        <f ca="1">ROUND(SUM($C$2,1)*PRODUCT(($AM$4+1),VLOOKUP(AL8,RW_T,2))*100,4)</f>
        <v>2.4392</v>
      </c>
    </row>
    <row r="7" spans="1:63" ht="15">
      <c r="B7" s="683" t="s">
        <v>4114</v>
      </c>
      <c r="C7" s="684">
        <v>50000</v>
      </c>
      <c r="D7"/>
      <c r="G7" s="455"/>
      <c r="I7" s="683" t="s">
        <v>4114</v>
      </c>
      <c r="J7" s="684">
        <v>50000</v>
      </c>
      <c r="N7" s="455"/>
      <c r="P7" s="683" t="s">
        <v>4114</v>
      </c>
      <c r="Q7" s="684">
        <v>1000000</v>
      </c>
      <c r="U7" s="455"/>
      <c r="W7" s="683" t="s">
        <v>4114</v>
      </c>
      <c r="X7" s="684">
        <v>1000000</v>
      </c>
      <c r="AB7" s="455"/>
      <c r="AD7" s="683" t="s">
        <v>4114</v>
      </c>
      <c r="AE7" s="684">
        <v>25000</v>
      </c>
      <c r="AI7" s="455"/>
      <c r="AK7" s="683" t="s">
        <v>4114</v>
      </c>
      <c r="AL7" s="684">
        <v>500000</v>
      </c>
      <c r="AQ7" s="464" t="s">
        <v>4113</v>
      </c>
      <c r="AR7" s="528">
        <f ca="1">AR5-AR6</f>
        <v>0.89120000000000021</v>
      </c>
      <c r="AU7" s="464" t="s">
        <v>4113</v>
      </c>
      <c r="AV7" s="528">
        <f ca="1">AV5-AV6</f>
        <v>0.39420000000000011</v>
      </c>
      <c r="AY7" s="464" t="s">
        <v>4113</v>
      </c>
      <c r="AZ7" s="528">
        <f ca="1">AZ5-AZ6</f>
        <v>0.60519999999999996</v>
      </c>
      <c r="BC7" s="464" t="s">
        <v>4113</v>
      </c>
      <c r="BD7" s="528">
        <f ca="1">BD5-BD6</f>
        <v>0.14200000000000002</v>
      </c>
      <c r="BF7" s="464" t="s">
        <v>4113</v>
      </c>
      <c r="BG7" s="528">
        <f ca="1">BG5-BG6</f>
        <v>1.7997000000000001</v>
      </c>
      <c r="BJ7" s="464" t="s">
        <v>4113</v>
      </c>
      <c r="BK7" s="528">
        <f ca="1">BK5-BK6</f>
        <v>0.16900000000000004</v>
      </c>
    </row>
    <row r="8" spans="1:63" ht="28.5">
      <c r="B8" s="683" t="s">
        <v>4111</v>
      </c>
      <c r="C8" s="682">
        <v>400000</v>
      </c>
      <c r="D8" s="112" t="s">
        <v>4112</v>
      </c>
      <c r="E8" s="112"/>
      <c r="G8" s="455"/>
      <c r="I8" s="683" t="s">
        <v>4111</v>
      </c>
      <c r="J8" s="682">
        <v>250000</v>
      </c>
      <c r="N8" s="455"/>
      <c r="P8" s="683" t="s">
        <v>4111</v>
      </c>
      <c r="Q8" s="684">
        <v>5000000</v>
      </c>
      <c r="U8" s="455"/>
      <c r="W8" s="683" t="s">
        <v>4111</v>
      </c>
      <c r="X8" s="682">
        <v>5000000</v>
      </c>
      <c r="AB8" s="455"/>
      <c r="AD8" s="683" t="s">
        <v>4111</v>
      </c>
      <c r="AE8" s="682">
        <v>250000</v>
      </c>
      <c r="AI8" s="455"/>
      <c r="AK8" s="683" t="s">
        <v>4111</v>
      </c>
      <c r="AL8" s="682">
        <v>1000000</v>
      </c>
      <c r="AQ8" s="464" t="s">
        <v>4102</v>
      </c>
      <c r="AR8" s="528">
        <f ca="1">AR7/$C$10</f>
        <v>0.17824000000000004</v>
      </c>
      <c r="AU8" s="464" t="s">
        <v>4102</v>
      </c>
      <c r="AV8" s="528">
        <f ca="1">AV7/$J$10</f>
        <v>3.9420000000000011E-2</v>
      </c>
      <c r="AY8" s="464" t="s">
        <v>4102</v>
      </c>
      <c r="AZ8" s="528">
        <f ca="1">AZ7/$Q$10</f>
        <v>3.0259999999999999E-2</v>
      </c>
      <c r="BC8" s="464" t="s">
        <v>4102</v>
      </c>
      <c r="BD8" s="528">
        <f ca="1">BD7/$X$10</f>
        <v>7.1000000000000004E-3</v>
      </c>
      <c r="BF8" s="464" t="s">
        <v>4102</v>
      </c>
      <c r="BG8" s="528">
        <f ca="1">BG7/$J$10</f>
        <v>0.17997000000000002</v>
      </c>
      <c r="BJ8" s="464" t="s">
        <v>4102</v>
      </c>
      <c r="BK8" s="528">
        <f ca="1">BK7/$AL$10</f>
        <v>8.894736842105266E-3</v>
      </c>
    </row>
    <row r="9" spans="1:63">
      <c r="C9"/>
      <c r="D9"/>
      <c r="G9" s="455"/>
      <c r="N9" s="455"/>
      <c r="U9" s="455"/>
      <c r="AB9" s="455"/>
      <c r="AI9" s="455"/>
      <c r="AQ9" s="464"/>
      <c r="AU9" s="464"/>
      <c r="AY9" s="464"/>
      <c r="BC9" s="464"/>
      <c r="BF9" s="464"/>
      <c r="BJ9" s="464"/>
    </row>
    <row r="10" spans="1:63" ht="15">
      <c r="B10" s="669" t="s">
        <v>4110</v>
      </c>
      <c r="C10" s="681">
        <v>5</v>
      </c>
      <c r="D10"/>
      <c r="G10" s="455"/>
      <c r="I10" s="669" t="s">
        <v>4110</v>
      </c>
      <c r="J10" s="681">
        <v>10</v>
      </c>
      <c r="N10" s="455"/>
      <c r="P10" s="669" t="s">
        <v>4110</v>
      </c>
      <c r="Q10" s="681">
        <v>20</v>
      </c>
      <c r="U10" s="455"/>
      <c r="W10" s="669" t="s">
        <v>4110</v>
      </c>
      <c r="X10" s="681">
        <v>20</v>
      </c>
      <c r="AB10" s="455"/>
      <c r="AD10" s="669" t="s">
        <v>4110</v>
      </c>
      <c r="AE10" s="681">
        <v>20</v>
      </c>
      <c r="AI10" s="455"/>
      <c r="AJ10" s="526"/>
      <c r="AK10" s="669" t="s">
        <v>4110</v>
      </c>
      <c r="AL10" s="681">
        <v>19</v>
      </c>
      <c r="AO10" s="526"/>
      <c r="AQ10" s="464" t="s">
        <v>4109</v>
      </c>
      <c r="AR10" s="678">
        <f>C8-C7</f>
        <v>350000</v>
      </c>
      <c r="AU10" s="464" t="s">
        <v>4109</v>
      </c>
      <c r="AV10" s="678">
        <f>J8-J7</f>
        <v>200000</v>
      </c>
      <c r="AY10" s="464" t="s">
        <v>4109</v>
      </c>
      <c r="AZ10" s="678">
        <f>Q8-Q7</f>
        <v>4000000</v>
      </c>
      <c r="BC10" s="464" t="s">
        <v>4109</v>
      </c>
      <c r="BD10" s="678">
        <f>X8-X7</f>
        <v>4000000</v>
      </c>
      <c r="BF10" s="464" t="s">
        <v>4109</v>
      </c>
      <c r="BG10" s="678">
        <f>AE8-AE7</f>
        <v>225000</v>
      </c>
      <c r="BJ10" s="464" t="s">
        <v>4109</v>
      </c>
      <c r="BK10" s="678">
        <f>AL8-AL7</f>
        <v>500000</v>
      </c>
    </row>
    <row r="11" spans="1:63" ht="15">
      <c r="B11" s="949" t="s">
        <v>4108</v>
      </c>
      <c r="C11" s="949"/>
      <c r="D11" s="949"/>
      <c r="E11" s="949"/>
      <c r="F11" s="526"/>
      <c r="G11" s="455"/>
      <c r="I11" s="949" t="s">
        <v>4107</v>
      </c>
      <c r="J11" s="949"/>
      <c r="K11" s="949"/>
      <c r="L11" s="949"/>
      <c r="N11" s="455"/>
      <c r="P11" s="949" t="s">
        <v>4106</v>
      </c>
      <c r="Q11" s="949"/>
      <c r="R11" s="949"/>
      <c r="S11" s="949"/>
      <c r="U11" s="455"/>
      <c r="W11" s="949" t="s">
        <v>4105</v>
      </c>
      <c r="X11" s="949"/>
      <c r="Y11" s="949"/>
      <c r="Z11" s="949"/>
      <c r="AA11" s="526"/>
      <c r="AB11" s="455"/>
      <c r="AC11" s="526"/>
      <c r="AD11" s="949" t="s">
        <v>4104</v>
      </c>
      <c r="AE11" s="949"/>
      <c r="AF11" s="949"/>
      <c r="AG11" s="949"/>
      <c r="AI11" s="455"/>
      <c r="AK11" s="949" t="s">
        <v>4103</v>
      </c>
      <c r="AL11" s="949"/>
      <c r="AM11" s="949"/>
      <c r="AN11" s="949"/>
      <c r="AQ11" s="464" t="s">
        <v>4102</v>
      </c>
      <c r="AR11" s="678">
        <f>AR10/C10</f>
        <v>70000</v>
      </c>
      <c r="AU11" s="464" t="s">
        <v>4102</v>
      </c>
      <c r="AV11" s="678">
        <f>AV10/J10</f>
        <v>20000</v>
      </c>
      <c r="AY11" s="464" t="s">
        <v>4102</v>
      </c>
      <c r="AZ11" s="678">
        <f>AZ10/Q10</f>
        <v>200000</v>
      </c>
      <c r="BC11" s="464" t="s">
        <v>4102</v>
      </c>
      <c r="BD11" s="678">
        <f>BD10/X10</f>
        <v>200000</v>
      </c>
      <c r="BF11" s="464" t="s">
        <v>4102</v>
      </c>
      <c r="BG11" s="678">
        <f>BG10/AE10</f>
        <v>11250</v>
      </c>
      <c r="BJ11" s="464" t="s">
        <v>4102</v>
      </c>
      <c r="BK11" s="678">
        <f>BK10/AL10</f>
        <v>26315.78947368421</v>
      </c>
    </row>
    <row r="12" spans="1:63" ht="15">
      <c r="B12" s="949" t="s">
        <v>39</v>
      </c>
      <c r="C12" s="949"/>
      <c r="D12" s="526" t="s">
        <v>2888</v>
      </c>
      <c r="E12" s="526" t="s">
        <v>2889</v>
      </c>
      <c r="F12" s="528"/>
      <c r="G12" s="455"/>
      <c r="I12" s="949" t="s">
        <v>39</v>
      </c>
      <c r="J12" s="949"/>
      <c r="K12" s="526" t="s">
        <v>2888</v>
      </c>
      <c r="L12" s="526" t="s">
        <v>2889</v>
      </c>
      <c r="N12" s="455"/>
      <c r="P12" s="949" t="s">
        <v>39</v>
      </c>
      <c r="Q12" s="949"/>
      <c r="R12" s="526" t="s">
        <v>2888</v>
      </c>
      <c r="S12" s="526" t="s">
        <v>2889</v>
      </c>
      <c r="U12" s="455"/>
      <c r="W12" s="949" t="s">
        <v>39</v>
      </c>
      <c r="X12" s="949"/>
      <c r="Y12" s="526" t="s">
        <v>2888</v>
      </c>
      <c r="Z12" s="526" t="s">
        <v>2889</v>
      </c>
      <c r="AA12" s="528"/>
      <c r="AB12" s="455"/>
      <c r="AC12" s="528"/>
      <c r="AD12" s="949" t="s">
        <v>39</v>
      </c>
      <c r="AE12" s="949"/>
      <c r="AF12" s="526" t="s">
        <v>2888</v>
      </c>
      <c r="AG12" s="526" t="s">
        <v>2889</v>
      </c>
      <c r="AI12" s="455"/>
      <c r="AK12" s="949" t="s">
        <v>39</v>
      </c>
      <c r="AL12" s="949"/>
      <c r="AM12" s="526" t="s">
        <v>2888</v>
      </c>
      <c r="AN12" s="526" t="s">
        <v>2889</v>
      </c>
    </row>
    <row r="13" spans="1:63">
      <c r="B13" s="678">
        <f>C7</f>
        <v>50000</v>
      </c>
      <c r="C13" s="678">
        <f t="shared" ref="C13:C34" si="0">IFERROR(IF(B14="","",B14-1),"")</f>
        <v>119999</v>
      </c>
      <c r="D13" s="528">
        <f ca="1">AR5</f>
        <v>2.14</v>
      </c>
      <c r="E13" s="528">
        <f ca="1">ROUND(D13/365,4)</f>
        <v>5.8999999999999999E-3</v>
      </c>
      <c r="F13" s="528"/>
      <c r="G13" s="455"/>
      <c r="I13" s="678">
        <f>J7</f>
        <v>50000</v>
      </c>
      <c r="J13" s="678">
        <f t="shared" ref="J13:J35" si="1">IFERROR(IF(I14="","",I14-1),"")</f>
        <v>69999</v>
      </c>
      <c r="K13" s="528">
        <f ca="1">AV5</f>
        <v>4.0163000000000002</v>
      </c>
      <c r="L13" s="528">
        <f ca="1">ROUND(K13/365,4)</f>
        <v>1.0999999999999999E-2</v>
      </c>
      <c r="N13" s="455"/>
      <c r="P13" s="678">
        <f>Q7</f>
        <v>1000000</v>
      </c>
      <c r="Q13" s="678">
        <f>IFERROR(P14-1,"")</f>
        <v>1199999</v>
      </c>
      <c r="R13" s="528">
        <f ca="1">AZ5</f>
        <v>1.4561999999999999</v>
      </c>
      <c r="S13" s="528">
        <f ca="1">ROUND(R13/365,4)</f>
        <v>4.0000000000000001E-3</v>
      </c>
      <c r="U13" s="455"/>
      <c r="W13" s="678">
        <f>X7</f>
        <v>1000000</v>
      </c>
      <c r="X13" s="678">
        <f>IFERROR(W14-1,"")</f>
        <v>1199999</v>
      </c>
      <c r="Y13" s="528">
        <f ca="1">BD5</f>
        <v>0.99299999999999999</v>
      </c>
      <c r="Z13" s="528">
        <f ca="1">ROUND(Y13/365,4)</f>
        <v>2.7000000000000001E-3</v>
      </c>
      <c r="AA13" s="528"/>
      <c r="AB13" s="455"/>
      <c r="AC13" s="528"/>
      <c r="AD13" s="678">
        <f>AE7</f>
        <v>25000</v>
      </c>
      <c r="AE13" s="678">
        <f t="shared" ref="AE13:AE35" si="2">IFERROR(IF(AD14="","",AD14-1),"")</f>
        <v>34999</v>
      </c>
      <c r="AF13" s="528">
        <f ca="1">BG5</f>
        <v>5.04</v>
      </c>
      <c r="AG13" s="528">
        <f ca="1">ROUND(AF13/365,4)</f>
        <v>1.38E-2</v>
      </c>
      <c r="AI13" s="455"/>
      <c r="AK13" s="678">
        <f>AL7</f>
        <v>500000</v>
      </c>
      <c r="AL13" s="678">
        <f t="shared" ref="AL13:AL35" si="3">IFERROR(IF(AK14="","",AK14-1),"")</f>
        <v>524999</v>
      </c>
      <c r="AM13" s="528">
        <f ca="1">BK5</f>
        <v>2.6082000000000001</v>
      </c>
      <c r="AN13" s="528">
        <f ca="1">ROUND(AM13/365,4)</f>
        <v>7.1000000000000004E-3</v>
      </c>
    </row>
    <row r="14" spans="1:63">
      <c r="B14" s="466">
        <f t="shared" ref="B14:B33" si="4">IFERROR(MROUND(IF(B13+$AR$11&gt;$C$8,"",B13+$AR$11),5000),"")</f>
        <v>120000</v>
      </c>
      <c r="C14" s="678">
        <f t="shared" si="0"/>
        <v>189999</v>
      </c>
      <c r="D14" s="528">
        <f t="shared" ref="D14:D34" ca="1" si="5">IFERROR(ROUND(IF(B14="","",D13-$AR$8),4),"")</f>
        <v>1.9618</v>
      </c>
      <c r="E14" s="528">
        <f t="shared" ref="E14:E34" ca="1" si="6">IFERROR(ROUND(D14/365,4),"")</f>
        <v>5.4000000000000003E-3</v>
      </c>
      <c r="F14" s="528"/>
      <c r="G14" s="455"/>
      <c r="I14" s="466">
        <f t="shared" ref="I14:I35" si="7">IFERROR(MROUND(IF(I13+$AV$11&gt;$J$8,"",I13+$AV$11),5000),"")</f>
        <v>70000</v>
      </c>
      <c r="J14" s="678">
        <f t="shared" si="1"/>
        <v>89999</v>
      </c>
      <c r="K14" s="528">
        <f t="shared" ref="K14:K35" ca="1" si="8">IFERROR(ROUND(IF(I14="","",K13-$AV$8),4),"")</f>
        <v>3.9769000000000001</v>
      </c>
      <c r="L14" s="528">
        <f t="shared" ref="L14:L35" ca="1" si="9">IFERROR(ROUND(K14/365,4),"")</f>
        <v>1.09E-2</v>
      </c>
      <c r="N14" s="455"/>
      <c r="P14" s="466">
        <f t="shared" ref="P14:P33" si="10">IFERROR(MROUND(IF(P13+$AZ$11&gt;$Q$8,"",P13+$AZ$11),5000),"")</f>
        <v>1200000</v>
      </c>
      <c r="Q14" s="678">
        <f t="shared" ref="Q14:Q35" si="11">IFERROR(IF(P15="","",P15-1),"")</f>
        <v>1399999</v>
      </c>
      <c r="R14" s="528">
        <f t="shared" ref="R14:R35" ca="1" si="12">IFERROR(ROUND(IF(P14="","",R13-$AZ$8),4),"")</f>
        <v>1.4258999999999999</v>
      </c>
      <c r="S14" s="528">
        <f t="shared" ref="S14:S35" ca="1" si="13">IFERROR(ROUND(R14/365,4),"")</f>
        <v>3.8999999999999998E-3</v>
      </c>
      <c r="U14" s="455"/>
      <c r="W14" s="466">
        <f t="shared" ref="W14:W33" si="14">IFERROR(MROUND(IF(W13+$BD$11&gt;$X$8,"",W13+$BD$11),5000),"")</f>
        <v>1200000</v>
      </c>
      <c r="X14" s="678">
        <f t="shared" ref="X14:X35" si="15">IFERROR(IF(W15="","",W15-1),"")</f>
        <v>1399999</v>
      </c>
      <c r="Y14" s="528">
        <f t="shared" ref="Y14:Y35" ca="1" si="16">IFERROR(ROUND(IF(W14="","",Y13-$BD$8),4),"")</f>
        <v>0.9859</v>
      </c>
      <c r="Z14" s="528">
        <f t="shared" ref="Z14:Z35" ca="1" si="17">IFERROR(ROUND(Y14/365,4),"")</f>
        <v>2.7000000000000001E-3</v>
      </c>
      <c r="AA14" s="528"/>
      <c r="AB14" s="455"/>
      <c r="AC14" s="528"/>
      <c r="AD14" s="466">
        <f t="shared" ref="AD14:AD35" si="18">IFERROR(MROUND(IF(AD13+$BG$11&gt;$AE$8,"",AD13+$BG$11),5000),"")</f>
        <v>35000</v>
      </c>
      <c r="AE14" s="678">
        <f t="shared" si="2"/>
        <v>44999</v>
      </c>
      <c r="AF14" s="528">
        <f ca="1">IFERROR(ROUND(IF(AD14="","",AF13-BG8),4),"")</f>
        <v>4.8600000000000003</v>
      </c>
      <c r="AG14" s="528">
        <f t="shared" ref="AG14:AG35" ca="1" si="19">IFERROR(ROUND(AF14/365,4),"")</f>
        <v>1.3299999999999999E-2</v>
      </c>
      <c r="AI14" s="455"/>
      <c r="AK14" s="466">
        <f t="shared" ref="AK14:AK35" si="20">IFERROR(MROUND(IF(AK13+$BK$11&gt;$AL$8,"",AK13+$BK$11),5000),"")</f>
        <v>525000</v>
      </c>
      <c r="AL14" s="678">
        <f t="shared" si="3"/>
        <v>549999</v>
      </c>
      <c r="AM14" s="528">
        <f t="shared" ref="AM14:AM33" ca="1" si="21">IFERROR(ROUND(IF(AK14="","",AM13-$BK$8),4),"")</f>
        <v>2.5992999999999999</v>
      </c>
      <c r="AN14" s="528">
        <f t="shared" ref="AN14:AN35" ca="1" si="22">IFERROR(ROUND(AM14/365,4),"")</f>
        <v>7.1000000000000004E-3</v>
      </c>
      <c r="AO14" s="680"/>
    </row>
    <row r="15" spans="1:63">
      <c r="B15" s="466">
        <f t="shared" si="4"/>
        <v>190000</v>
      </c>
      <c r="C15" s="678">
        <f t="shared" si="0"/>
        <v>259999</v>
      </c>
      <c r="D15" s="528">
        <f t="shared" ca="1" si="5"/>
        <v>1.7836000000000001</v>
      </c>
      <c r="E15" s="528">
        <f t="shared" ca="1" si="6"/>
        <v>4.8999999999999998E-3</v>
      </c>
      <c r="F15" s="528"/>
      <c r="G15" s="455"/>
      <c r="I15" s="466">
        <f t="shared" si="7"/>
        <v>90000</v>
      </c>
      <c r="J15" s="678">
        <f t="shared" si="1"/>
        <v>109999</v>
      </c>
      <c r="K15" s="528">
        <f t="shared" ca="1" si="8"/>
        <v>3.9375</v>
      </c>
      <c r="L15" s="528">
        <f t="shared" ca="1" si="9"/>
        <v>1.0800000000000001E-2</v>
      </c>
      <c r="N15" s="455"/>
      <c r="P15" s="466">
        <f t="shared" si="10"/>
        <v>1400000</v>
      </c>
      <c r="Q15" s="678">
        <f t="shared" si="11"/>
        <v>1599999</v>
      </c>
      <c r="R15" s="528">
        <f t="shared" ca="1" si="12"/>
        <v>1.3956</v>
      </c>
      <c r="S15" s="528">
        <f t="shared" ca="1" si="13"/>
        <v>3.8E-3</v>
      </c>
      <c r="U15" s="455"/>
      <c r="W15" s="466">
        <f t="shared" si="14"/>
        <v>1400000</v>
      </c>
      <c r="X15" s="678">
        <f t="shared" si="15"/>
        <v>1599999</v>
      </c>
      <c r="Y15" s="528">
        <f t="shared" ca="1" si="16"/>
        <v>0.9788</v>
      </c>
      <c r="Z15" s="528">
        <f t="shared" ca="1" si="17"/>
        <v>2.7000000000000001E-3</v>
      </c>
      <c r="AA15" s="528"/>
      <c r="AB15" s="455"/>
      <c r="AC15" s="528"/>
      <c r="AD15" s="466">
        <f t="shared" si="18"/>
        <v>45000</v>
      </c>
      <c r="AE15" s="678">
        <f t="shared" si="2"/>
        <v>54999</v>
      </c>
      <c r="AF15" s="528">
        <f t="shared" ref="AF15:AF35" ca="1" si="23">IFERROR(ROUND(IF(AD15="","",AF14-$AV$8),4),"")</f>
        <v>4.8205999999999998</v>
      </c>
      <c r="AG15" s="528">
        <f t="shared" ca="1" si="19"/>
        <v>1.32E-2</v>
      </c>
      <c r="AI15" s="455"/>
      <c r="AK15" s="466">
        <f t="shared" si="20"/>
        <v>550000</v>
      </c>
      <c r="AL15" s="678">
        <f t="shared" si="3"/>
        <v>574999</v>
      </c>
      <c r="AM15" s="528">
        <f t="shared" ca="1" si="21"/>
        <v>2.5903999999999998</v>
      </c>
      <c r="AN15" s="528">
        <f t="shared" ca="1" si="22"/>
        <v>7.1000000000000004E-3</v>
      </c>
      <c r="AP15" t="s">
        <v>4101</v>
      </c>
      <c r="AR15" t="s">
        <v>63</v>
      </c>
    </row>
    <row r="16" spans="1:63">
      <c r="B16" s="466">
        <f t="shared" si="4"/>
        <v>260000</v>
      </c>
      <c r="C16" s="678">
        <f t="shared" si="0"/>
        <v>329999</v>
      </c>
      <c r="D16" s="528">
        <f t="shared" ca="1" si="5"/>
        <v>1.6053999999999999</v>
      </c>
      <c r="E16" s="528">
        <f t="shared" ca="1" si="6"/>
        <v>4.4000000000000003E-3</v>
      </c>
      <c r="F16" s="528"/>
      <c r="G16" s="455"/>
      <c r="I16" s="466">
        <f t="shared" si="7"/>
        <v>110000</v>
      </c>
      <c r="J16" s="678">
        <f t="shared" si="1"/>
        <v>129999</v>
      </c>
      <c r="K16" s="528">
        <f t="shared" ca="1" si="8"/>
        <v>3.8980999999999999</v>
      </c>
      <c r="L16" s="528">
        <f t="shared" ca="1" si="9"/>
        <v>1.0699999999999999E-2</v>
      </c>
      <c r="N16" s="455"/>
      <c r="P16" s="466">
        <f t="shared" si="10"/>
        <v>1600000</v>
      </c>
      <c r="Q16" s="678">
        <f t="shared" si="11"/>
        <v>1799999</v>
      </c>
      <c r="R16" s="528">
        <f t="shared" ca="1" si="12"/>
        <v>1.3653</v>
      </c>
      <c r="S16" s="528">
        <f t="shared" ca="1" si="13"/>
        <v>3.7000000000000002E-3</v>
      </c>
      <c r="U16" s="455"/>
      <c r="W16" s="466">
        <f t="shared" si="14"/>
        <v>1600000</v>
      </c>
      <c r="X16" s="678">
        <f t="shared" si="15"/>
        <v>1799999</v>
      </c>
      <c r="Y16" s="528">
        <f t="shared" ca="1" si="16"/>
        <v>0.97170000000000001</v>
      </c>
      <c r="Z16" s="528">
        <f t="shared" ca="1" si="17"/>
        <v>2.7000000000000001E-3</v>
      </c>
      <c r="AA16" s="528"/>
      <c r="AB16" s="455"/>
      <c r="AC16" s="528"/>
      <c r="AD16" s="466">
        <f t="shared" si="18"/>
        <v>55000</v>
      </c>
      <c r="AE16" s="678">
        <f t="shared" si="2"/>
        <v>64999</v>
      </c>
      <c r="AF16" s="528">
        <f t="shared" ca="1" si="23"/>
        <v>4.7812000000000001</v>
      </c>
      <c r="AG16" s="528">
        <f t="shared" ca="1" si="19"/>
        <v>1.3100000000000001E-2</v>
      </c>
      <c r="AI16" s="455"/>
      <c r="AK16" s="466">
        <f t="shared" si="20"/>
        <v>575000</v>
      </c>
      <c r="AL16" s="678">
        <f t="shared" si="3"/>
        <v>599999</v>
      </c>
      <c r="AM16" s="528">
        <f t="shared" ca="1" si="21"/>
        <v>2.5815000000000001</v>
      </c>
      <c r="AN16" s="528">
        <f t="shared" ca="1" si="22"/>
        <v>7.1000000000000004E-3</v>
      </c>
      <c r="AR16" t="s">
        <v>64</v>
      </c>
    </row>
    <row r="17" spans="2:44">
      <c r="B17" s="466">
        <f t="shared" si="4"/>
        <v>330000</v>
      </c>
      <c r="C17" s="678">
        <f t="shared" si="0"/>
        <v>399999</v>
      </c>
      <c r="D17" s="528">
        <f t="shared" ca="1" si="5"/>
        <v>1.4272</v>
      </c>
      <c r="E17" s="528">
        <f t="shared" ca="1" si="6"/>
        <v>3.8999999999999998E-3</v>
      </c>
      <c r="F17" s="528"/>
      <c r="G17" s="455"/>
      <c r="I17" s="466">
        <f t="shared" si="7"/>
        <v>130000</v>
      </c>
      <c r="J17" s="678">
        <f t="shared" si="1"/>
        <v>149999</v>
      </c>
      <c r="K17" s="528">
        <f t="shared" ca="1" si="8"/>
        <v>3.8586999999999998</v>
      </c>
      <c r="L17" s="528">
        <f t="shared" ca="1" si="9"/>
        <v>1.06E-2</v>
      </c>
      <c r="N17" s="455"/>
      <c r="P17" s="466">
        <f t="shared" si="10"/>
        <v>1800000</v>
      </c>
      <c r="Q17" s="678">
        <f t="shared" si="11"/>
        <v>1999999</v>
      </c>
      <c r="R17" s="528">
        <f t="shared" ca="1" si="12"/>
        <v>1.335</v>
      </c>
      <c r="S17" s="528">
        <f t="shared" ca="1" si="13"/>
        <v>3.7000000000000002E-3</v>
      </c>
      <c r="U17" s="455"/>
      <c r="W17" s="466">
        <f t="shared" si="14"/>
        <v>1800000</v>
      </c>
      <c r="X17" s="678">
        <f t="shared" si="15"/>
        <v>1999999</v>
      </c>
      <c r="Y17" s="528">
        <f t="shared" ca="1" si="16"/>
        <v>0.96460000000000001</v>
      </c>
      <c r="Z17" s="528">
        <f t="shared" ca="1" si="17"/>
        <v>2.5999999999999999E-3</v>
      </c>
      <c r="AA17" s="528"/>
      <c r="AB17" s="455"/>
      <c r="AC17" s="528"/>
      <c r="AD17" s="466">
        <f t="shared" si="18"/>
        <v>65000</v>
      </c>
      <c r="AE17" s="678">
        <f t="shared" si="2"/>
        <v>74999</v>
      </c>
      <c r="AF17" s="528">
        <f t="shared" ca="1" si="23"/>
        <v>4.7417999999999996</v>
      </c>
      <c r="AG17" s="528">
        <f t="shared" ca="1" si="19"/>
        <v>1.2999999999999999E-2</v>
      </c>
      <c r="AI17" s="455"/>
      <c r="AK17" s="466">
        <f t="shared" si="20"/>
        <v>600000</v>
      </c>
      <c r="AL17" s="678">
        <f t="shared" si="3"/>
        <v>624999</v>
      </c>
      <c r="AM17" s="528">
        <f t="shared" ca="1" si="21"/>
        <v>2.5726</v>
      </c>
      <c r="AN17" s="528">
        <f t="shared" ca="1" si="22"/>
        <v>7.0000000000000001E-3</v>
      </c>
      <c r="AR17" t="s">
        <v>69</v>
      </c>
    </row>
    <row r="18" spans="2:44">
      <c r="B18" s="466">
        <f t="shared" si="4"/>
        <v>400000</v>
      </c>
      <c r="C18" s="678" t="str">
        <f t="shared" si="0"/>
        <v/>
      </c>
      <c r="D18" s="528">
        <f t="shared" ca="1" si="5"/>
        <v>1.2490000000000001</v>
      </c>
      <c r="E18" s="528">
        <f t="shared" ca="1" si="6"/>
        <v>3.3999999999999998E-3</v>
      </c>
      <c r="F18" s="528"/>
      <c r="G18" s="455"/>
      <c r="I18" s="466">
        <f t="shared" si="7"/>
        <v>150000</v>
      </c>
      <c r="J18" s="678">
        <f t="shared" si="1"/>
        <v>169999</v>
      </c>
      <c r="K18" s="528">
        <f t="shared" ca="1" si="8"/>
        <v>3.8193000000000001</v>
      </c>
      <c r="L18" s="528">
        <f t="shared" ca="1" si="9"/>
        <v>1.0500000000000001E-2</v>
      </c>
      <c r="N18" s="455"/>
      <c r="P18" s="466">
        <f t="shared" si="10"/>
        <v>2000000</v>
      </c>
      <c r="Q18" s="678">
        <f t="shared" si="11"/>
        <v>2199999</v>
      </c>
      <c r="R18" s="528">
        <f t="shared" ca="1" si="12"/>
        <v>1.3047</v>
      </c>
      <c r="S18" s="528">
        <f t="shared" ca="1" si="13"/>
        <v>3.5999999999999999E-3</v>
      </c>
      <c r="U18" s="455"/>
      <c r="W18" s="466">
        <f t="shared" si="14"/>
        <v>2000000</v>
      </c>
      <c r="X18" s="678">
        <f t="shared" si="15"/>
        <v>2199999</v>
      </c>
      <c r="Y18" s="528">
        <f t="shared" ca="1" si="16"/>
        <v>0.95750000000000002</v>
      </c>
      <c r="Z18" s="528">
        <f t="shared" ca="1" si="17"/>
        <v>2.5999999999999999E-3</v>
      </c>
      <c r="AA18" s="528"/>
      <c r="AB18" s="455"/>
      <c r="AC18" s="528"/>
      <c r="AD18" s="466">
        <f t="shared" si="18"/>
        <v>75000</v>
      </c>
      <c r="AE18" s="678">
        <f t="shared" si="2"/>
        <v>84999</v>
      </c>
      <c r="AF18" s="528">
        <f t="shared" ca="1" si="23"/>
        <v>4.7023999999999999</v>
      </c>
      <c r="AG18" s="528">
        <f t="shared" ca="1" si="19"/>
        <v>1.29E-2</v>
      </c>
      <c r="AI18" s="455"/>
      <c r="AK18" s="466">
        <f t="shared" si="20"/>
        <v>625000</v>
      </c>
      <c r="AL18" s="678">
        <f t="shared" si="3"/>
        <v>649999</v>
      </c>
      <c r="AM18" s="528">
        <f t="shared" ca="1" si="21"/>
        <v>2.5636999999999999</v>
      </c>
      <c r="AN18" s="528">
        <f t="shared" ca="1" si="22"/>
        <v>7.0000000000000001E-3</v>
      </c>
      <c r="AR18" t="s">
        <v>80</v>
      </c>
    </row>
    <row r="19" spans="2:44">
      <c r="B19" s="466" t="str">
        <f t="shared" si="4"/>
        <v/>
      </c>
      <c r="C19" s="678" t="str">
        <f t="shared" si="0"/>
        <v/>
      </c>
      <c r="D19" s="528" t="str">
        <f t="shared" si="5"/>
        <v/>
      </c>
      <c r="E19" s="528" t="str">
        <f t="shared" si="6"/>
        <v/>
      </c>
      <c r="F19" s="528"/>
      <c r="G19" s="455"/>
      <c r="I19" s="466">
        <f t="shared" si="7"/>
        <v>170000</v>
      </c>
      <c r="J19" s="678">
        <f t="shared" si="1"/>
        <v>189999</v>
      </c>
      <c r="K19" s="528">
        <f t="shared" ca="1" si="8"/>
        <v>3.7799</v>
      </c>
      <c r="L19" s="528">
        <f t="shared" ca="1" si="9"/>
        <v>1.04E-2</v>
      </c>
      <c r="N19" s="455"/>
      <c r="P19" s="466">
        <f t="shared" si="10"/>
        <v>2200000</v>
      </c>
      <c r="Q19" s="678">
        <f t="shared" si="11"/>
        <v>2399999</v>
      </c>
      <c r="R19" s="528">
        <f t="shared" ca="1" si="12"/>
        <v>1.2744</v>
      </c>
      <c r="S19" s="528">
        <f t="shared" ca="1" si="13"/>
        <v>3.5000000000000001E-3</v>
      </c>
      <c r="U19" s="455"/>
      <c r="W19" s="466">
        <f t="shared" si="14"/>
        <v>2200000</v>
      </c>
      <c r="X19" s="678">
        <f t="shared" si="15"/>
        <v>2399999</v>
      </c>
      <c r="Y19" s="528">
        <f t="shared" ca="1" si="16"/>
        <v>0.95040000000000002</v>
      </c>
      <c r="Z19" s="528">
        <f t="shared" ca="1" si="17"/>
        <v>2.5999999999999999E-3</v>
      </c>
      <c r="AA19" s="528"/>
      <c r="AB19" s="455"/>
      <c r="AC19" s="528"/>
      <c r="AD19" s="466">
        <f t="shared" si="18"/>
        <v>85000</v>
      </c>
      <c r="AE19" s="678">
        <f t="shared" si="2"/>
        <v>94999</v>
      </c>
      <c r="AF19" s="528">
        <f t="shared" ca="1" si="23"/>
        <v>4.6630000000000003</v>
      </c>
      <c r="AG19" s="528">
        <f t="shared" ca="1" si="19"/>
        <v>1.2800000000000001E-2</v>
      </c>
      <c r="AI19" s="455"/>
      <c r="AK19" s="466">
        <f t="shared" si="20"/>
        <v>650000</v>
      </c>
      <c r="AL19" s="678">
        <f t="shared" si="3"/>
        <v>674999</v>
      </c>
      <c r="AM19" s="528">
        <f t="shared" ca="1" si="21"/>
        <v>2.5548000000000002</v>
      </c>
      <c r="AN19" s="528">
        <f t="shared" ca="1" si="22"/>
        <v>7.0000000000000001E-3</v>
      </c>
    </row>
    <row r="20" spans="2:44">
      <c r="B20" s="466" t="str">
        <f t="shared" si="4"/>
        <v/>
      </c>
      <c r="C20" s="678" t="str">
        <f t="shared" si="0"/>
        <v/>
      </c>
      <c r="D20" s="528" t="str">
        <f t="shared" si="5"/>
        <v/>
      </c>
      <c r="E20" s="528" t="str">
        <f t="shared" si="6"/>
        <v/>
      </c>
      <c r="F20" s="528"/>
      <c r="G20" s="455"/>
      <c r="I20" s="466">
        <f t="shared" si="7"/>
        <v>190000</v>
      </c>
      <c r="J20" s="678">
        <f t="shared" si="1"/>
        <v>209999</v>
      </c>
      <c r="K20" s="528">
        <f t="shared" ca="1" si="8"/>
        <v>3.7404999999999999</v>
      </c>
      <c r="L20" s="528">
        <f t="shared" ca="1" si="9"/>
        <v>1.0200000000000001E-2</v>
      </c>
      <c r="N20" s="455"/>
      <c r="P20" s="466">
        <f t="shared" si="10"/>
        <v>2400000</v>
      </c>
      <c r="Q20" s="678">
        <f t="shared" si="11"/>
        <v>2599999</v>
      </c>
      <c r="R20" s="528">
        <f t="shared" ca="1" si="12"/>
        <v>1.2441</v>
      </c>
      <c r="S20" s="528">
        <f t="shared" ca="1" si="13"/>
        <v>3.3999999999999998E-3</v>
      </c>
      <c r="U20" s="455"/>
      <c r="W20" s="466">
        <f t="shared" si="14"/>
        <v>2400000</v>
      </c>
      <c r="X20" s="678">
        <f t="shared" si="15"/>
        <v>2599999</v>
      </c>
      <c r="Y20" s="528">
        <f t="shared" ca="1" si="16"/>
        <v>0.94330000000000003</v>
      </c>
      <c r="Z20" s="528">
        <f t="shared" ca="1" si="17"/>
        <v>2.5999999999999999E-3</v>
      </c>
      <c r="AA20" s="528"/>
      <c r="AB20" s="455"/>
      <c r="AC20" s="528"/>
      <c r="AD20" s="466">
        <f t="shared" si="18"/>
        <v>95000</v>
      </c>
      <c r="AE20" s="678">
        <f t="shared" si="2"/>
        <v>104999</v>
      </c>
      <c r="AF20" s="528">
        <f t="shared" ca="1" si="23"/>
        <v>4.6235999999999997</v>
      </c>
      <c r="AG20" s="528">
        <f t="shared" ca="1" si="19"/>
        <v>1.2699999999999999E-2</v>
      </c>
      <c r="AI20" s="455"/>
      <c r="AK20" s="466">
        <f t="shared" si="20"/>
        <v>675000</v>
      </c>
      <c r="AL20" s="678">
        <f t="shared" si="3"/>
        <v>699999</v>
      </c>
      <c r="AM20" s="528">
        <f t="shared" ca="1" si="21"/>
        <v>2.5459000000000001</v>
      </c>
      <c r="AN20" s="528">
        <f t="shared" ca="1" si="22"/>
        <v>7.0000000000000001E-3</v>
      </c>
    </row>
    <row r="21" spans="2:44">
      <c r="B21" s="466" t="str">
        <f t="shared" si="4"/>
        <v/>
      </c>
      <c r="C21" s="678" t="str">
        <f t="shared" si="0"/>
        <v/>
      </c>
      <c r="D21" s="528" t="str">
        <f t="shared" si="5"/>
        <v/>
      </c>
      <c r="E21" s="528" t="str">
        <f t="shared" si="6"/>
        <v/>
      </c>
      <c r="F21" s="528"/>
      <c r="G21" s="455"/>
      <c r="I21" s="466">
        <f t="shared" si="7"/>
        <v>210000</v>
      </c>
      <c r="J21" s="678">
        <f t="shared" si="1"/>
        <v>229999</v>
      </c>
      <c r="K21" s="528">
        <f t="shared" ca="1" si="8"/>
        <v>3.7010999999999998</v>
      </c>
      <c r="L21" s="528">
        <f t="shared" ca="1" si="9"/>
        <v>1.01E-2</v>
      </c>
      <c r="N21" s="455"/>
      <c r="P21" s="466">
        <f t="shared" si="10"/>
        <v>2600000</v>
      </c>
      <c r="Q21" s="678">
        <f t="shared" si="11"/>
        <v>2799999</v>
      </c>
      <c r="R21" s="528">
        <f t="shared" ca="1" si="12"/>
        <v>1.2138</v>
      </c>
      <c r="S21" s="528">
        <f t="shared" ca="1" si="13"/>
        <v>3.3E-3</v>
      </c>
      <c r="U21" s="455"/>
      <c r="W21" s="466">
        <f t="shared" si="14"/>
        <v>2600000</v>
      </c>
      <c r="X21" s="678">
        <f t="shared" si="15"/>
        <v>2799999</v>
      </c>
      <c r="Y21" s="528">
        <f t="shared" ca="1" si="16"/>
        <v>0.93620000000000003</v>
      </c>
      <c r="Z21" s="528">
        <f t="shared" ca="1" si="17"/>
        <v>2.5999999999999999E-3</v>
      </c>
      <c r="AA21" s="528"/>
      <c r="AB21" s="455"/>
      <c r="AC21" s="528"/>
      <c r="AD21" s="466">
        <f t="shared" si="18"/>
        <v>105000</v>
      </c>
      <c r="AE21" s="678">
        <f t="shared" si="2"/>
        <v>114999</v>
      </c>
      <c r="AF21" s="528">
        <f t="shared" ca="1" si="23"/>
        <v>4.5842000000000001</v>
      </c>
      <c r="AG21" s="528">
        <f t="shared" ca="1" si="19"/>
        <v>1.26E-2</v>
      </c>
      <c r="AI21" s="455"/>
      <c r="AK21" s="466">
        <f t="shared" si="20"/>
        <v>700000</v>
      </c>
      <c r="AL21" s="678">
        <f t="shared" si="3"/>
        <v>724999</v>
      </c>
      <c r="AM21" s="528">
        <f t="shared" ca="1" si="21"/>
        <v>2.5369999999999999</v>
      </c>
      <c r="AN21" s="528">
        <f t="shared" ca="1" si="22"/>
        <v>7.0000000000000001E-3</v>
      </c>
    </row>
    <row r="22" spans="2:44">
      <c r="B22" s="466" t="str">
        <f t="shared" si="4"/>
        <v/>
      </c>
      <c r="C22" s="678" t="str">
        <f t="shared" si="0"/>
        <v/>
      </c>
      <c r="D22" s="528" t="str">
        <f t="shared" si="5"/>
        <v/>
      </c>
      <c r="E22" s="528" t="str">
        <f t="shared" si="6"/>
        <v/>
      </c>
      <c r="F22" s="528"/>
      <c r="G22" s="455"/>
      <c r="I22" s="466">
        <f t="shared" si="7"/>
        <v>230000</v>
      </c>
      <c r="J22" s="678">
        <f t="shared" si="1"/>
        <v>249999</v>
      </c>
      <c r="K22" s="528">
        <f t="shared" ca="1" si="8"/>
        <v>3.6617000000000002</v>
      </c>
      <c r="L22" s="528">
        <f t="shared" ca="1" si="9"/>
        <v>0.01</v>
      </c>
      <c r="N22" s="455"/>
      <c r="P22" s="466">
        <f t="shared" si="10"/>
        <v>2800000</v>
      </c>
      <c r="Q22" s="678">
        <f t="shared" si="11"/>
        <v>2999999</v>
      </c>
      <c r="R22" s="528">
        <f t="shared" ca="1" si="12"/>
        <v>1.1835</v>
      </c>
      <c r="S22" s="528">
        <f t="shared" ca="1" si="13"/>
        <v>3.2000000000000002E-3</v>
      </c>
      <c r="U22" s="455"/>
      <c r="W22" s="466">
        <f t="shared" si="14"/>
        <v>2800000</v>
      </c>
      <c r="X22" s="678">
        <f t="shared" si="15"/>
        <v>2999999</v>
      </c>
      <c r="Y22" s="528">
        <f t="shared" ca="1" si="16"/>
        <v>0.92910000000000004</v>
      </c>
      <c r="Z22" s="528">
        <f t="shared" ca="1" si="17"/>
        <v>2.5000000000000001E-3</v>
      </c>
      <c r="AA22" s="528"/>
      <c r="AB22" s="455"/>
      <c r="AC22" s="528"/>
      <c r="AD22" s="466">
        <f t="shared" si="18"/>
        <v>115000</v>
      </c>
      <c r="AE22" s="678">
        <f t="shared" si="2"/>
        <v>124999</v>
      </c>
      <c r="AF22" s="528">
        <f t="shared" ca="1" si="23"/>
        <v>4.5448000000000004</v>
      </c>
      <c r="AG22" s="528">
        <f t="shared" ca="1" si="19"/>
        <v>1.2500000000000001E-2</v>
      </c>
      <c r="AI22" s="455"/>
      <c r="AK22" s="466">
        <f t="shared" si="20"/>
        <v>725000</v>
      </c>
      <c r="AL22" s="678">
        <f t="shared" si="3"/>
        <v>749999</v>
      </c>
      <c r="AM22" s="528">
        <f t="shared" ca="1" si="21"/>
        <v>2.5280999999999998</v>
      </c>
      <c r="AN22" s="528">
        <f t="shared" ca="1" si="22"/>
        <v>6.8999999999999999E-3</v>
      </c>
    </row>
    <row r="23" spans="2:44">
      <c r="B23" s="466" t="str">
        <f t="shared" si="4"/>
        <v/>
      </c>
      <c r="C23" s="678" t="str">
        <f t="shared" si="0"/>
        <v/>
      </c>
      <c r="D23" s="528" t="str">
        <f t="shared" si="5"/>
        <v/>
      </c>
      <c r="E23" s="528" t="str">
        <f t="shared" si="6"/>
        <v/>
      </c>
      <c r="F23" s="528"/>
      <c r="G23" s="455"/>
      <c r="I23" s="466">
        <f t="shared" si="7"/>
        <v>250000</v>
      </c>
      <c r="J23" s="678" t="str">
        <f t="shared" si="1"/>
        <v/>
      </c>
      <c r="K23" s="528">
        <f t="shared" ca="1" si="8"/>
        <v>3.6223000000000001</v>
      </c>
      <c r="L23" s="528">
        <f t="shared" ca="1" si="9"/>
        <v>9.9000000000000008E-3</v>
      </c>
      <c r="N23" s="455"/>
      <c r="P23" s="466">
        <f t="shared" si="10"/>
        <v>3000000</v>
      </c>
      <c r="Q23" s="678">
        <f t="shared" si="11"/>
        <v>3199999</v>
      </c>
      <c r="R23" s="528">
        <f t="shared" ca="1" si="12"/>
        <v>1.1532</v>
      </c>
      <c r="S23" s="528">
        <f t="shared" ca="1" si="13"/>
        <v>3.2000000000000002E-3</v>
      </c>
      <c r="U23" s="455"/>
      <c r="W23" s="466">
        <f t="shared" si="14"/>
        <v>3000000</v>
      </c>
      <c r="X23" s="678">
        <f t="shared" si="15"/>
        <v>3199999</v>
      </c>
      <c r="Y23" s="528">
        <f t="shared" ca="1" si="16"/>
        <v>0.92200000000000004</v>
      </c>
      <c r="Z23" s="528">
        <f t="shared" ca="1" si="17"/>
        <v>2.5000000000000001E-3</v>
      </c>
      <c r="AA23" s="528"/>
      <c r="AB23" s="455"/>
      <c r="AC23" s="528"/>
      <c r="AD23" s="466">
        <f t="shared" si="18"/>
        <v>125000</v>
      </c>
      <c r="AE23" s="678">
        <f t="shared" si="2"/>
        <v>134999</v>
      </c>
      <c r="AF23" s="528">
        <f t="shared" ca="1" si="23"/>
        <v>4.5053999999999998</v>
      </c>
      <c r="AG23" s="528">
        <f t="shared" ca="1" si="19"/>
        <v>1.23E-2</v>
      </c>
      <c r="AI23" s="455"/>
      <c r="AK23" s="466">
        <f t="shared" si="20"/>
        <v>750000</v>
      </c>
      <c r="AL23" s="678">
        <f t="shared" si="3"/>
        <v>774999</v>
      </c>
      <c r="AM23" s="528">
        <f t="shared" ca="1" si="21"/>
        <v>2.5192000000000001</v>
      </c>
      <c r="AN23" s="528">
        <f t="shared" ca="1" si="22"/>
        <v>6.8999999999999999E-3</v>
      </c>
    </row>
    <row r="24" spans="2:44">
      <c r="B24" s="466" t="str">
        <f t="shared" si="4"/>
        <v/>
      </c>
      <c r="C24" s="678" t="str">
        <f t="shared" si="0"/>
        <v/>
      </c>
      <c r="D24" s="528" t="str">
        <f t="shared" si="5"/>
        <v/>
      </c>
      <c r="E24" s="528" t="str">
        <f t="shared" si="6"/>
        <v/>
      </c>
      <c r="F24" s="528"/>
      <c r="G24" s="455"/>
      <c r="I24" s="466" t="str">
        <f t="shared" si="7"/>
        <v/>
      </c>
      <c r="J24" s="678" t="str">
        <f t="shared" si="1"/>
        <v/>
      </c>
      <c r="K24" s="528" t="str">
        <f t="shared" si="8"/>
        <v/>
      </c>
      <c r="L24" s="528" t="str">
        <f t="shared" si="9"/>
        <v/>
      </c>
      <c r="N24" s="455"/>
      <c r="P24" s="466">
        <f t="shared" si="10"/>
        <v>3200000</v>
      </c>
      <c r="Q24" s="678">
        <f t="shared" si="11"/>
        <v>3399999</v>
      </c>
      <c r="R24" s="528">
        <f t="shared" ca="1" si="12"/>
        <v>1.1229</v>
      </c>
      <c r="S24" s="528">
        <f t="shared" ca="1" si="13"/>
        <v>3.0999999999999999E-3</v>
      </c>
      <c r="U24" s="455"/>
      <c r="W24" s="466">
        <f t="shared" si="14"/>
        <v>3200000</v>
      </c>
      <c r="X24" s="678">
        <f t="shared" si="15"/>
        <v>3399999</v>
      </c>
      <c r="Y24" s="528">
        <f t="shared" ca="1" si="16"/>
        <v>0.91490000000000005</v>
      </c>
      <c r="Z24" s="528">
        <f t="shared" ca="1" si="17"/>
        <v>2.5000000000000001E-3</v>
      </c>
      <c r="AA24" s="528"/>
      <c r="AB24" s="455"/>
      <c r="AC24" s="528"/>
      <c r="AD24" s="466">
        <f t="shared" si="18"/>
        <v>135000</v>
      </c>
      <c r="AE24" s="678">
        <f t="shared" si="2"/>
        <v>144999</v>
      </c>
      <c r="AF24" s="528">
        <f t="shared" ca="1" si="23"/>
        <v>4.4660000000000002</v>
      </c>
      <c r="AG24" s="528">
        <f t="shared" ca="1" si="19"/>
        <v>1.2200000000000001E-2</v>
      </c>
      <c r="AI24" s="455"/>
      <c r="AK24" s="466">
        <f t="shared" si="20"/>
        <v>775000</v>
      </c>
      <c r="AL24" s="678">
        <f t="shared" si="3"/>
        <v>799999</v>
      </c>
      <c r="AM24" s="528">
        <f t="shared" ca="1" si="21"/>
        <v>2.5103</v>
      </c>
      <c r="AN24" s="528">
        <f t="shared" ca="1" si="22"/>
        <v>6.8999999999999999E-3</v>
      </c>
    </row>
    <row r="25" spans="2:44">
      <c r="B25" s="466" t="str">
        <f t="shared" si="4"/>
        <v/>
      </c>
      <c r="C25" s="678" t="str">
        <f t="shared" si="0"/>
        <v/>
      </c>
      <c r="D25" s="528" t="str">
        <f t="shared" si="5"/>
        <v/>
      </c>
      <c r="E25" s="528" t="str">
        <f t="shared" si="6"/>
        <v/>
      </c>
      <c r="F25" s="528"/>
      <c r="G25" s="455"/>
      <c r="I25" s="466" t="str">
        <f t="shared" si="7"/>
        <v/>
      </c>
      <c r="J25" s="678" t="str">
        <f t="shared" si="1"/>
        <v/>
      </c>
      <c r="K25" s="528" t="str">
        <f t="shared" si="8"/>
        <v/>
      </c>
      <c r="L25" s="528" t="str">
        <f t="shared" si="9"/>
        <v/>
      </c>
      <c r="N25" s="455"/>
      <c r="P25" s="466">
        <f t="shared" si="10"/>
        <v>3400000</v>
      </c>
      <c r="Q25" s="678">
        <f t="shared" si="11"/>
        <v>3599999</v>
      </c>
      <c r="R25" s="528">
        <f t="shared" ca="1" si="12"/>
        <v>1.0926</v>
      </c>
      <c r="S25" s="528">
        <f t="shared" ca="1" si="13"/>
        <v>3.0000000000000001E-3</v>
      </c>
      <c r="U25" s="455"/>
      <c r="W25" s="466">
        <f t="shared" si="14"/>
        <v>3400000</v>
      </c>
      <c r="X25" s="678">
        <f t="shared" si="15"/>
        <v>3599999</v>
      </c>
      <c r="Y25" s="528">
        <f t="shared" ca="1" si="16"/>
        <v>0.90780000000000005</v>
      </c>
      <c r="Z25" s="528">
        <f t="shared" ca="1" si="17"/>
        <v>2.5000000000000001E-3</v>
      </c>
      <c r="AA25" s="528"/>
      <c r="AB25" s="455"/>
      <c r="AC25" s="528"/>
      <c r="AD25" s="466">
        <f t="shared" si="18"/>
        <v>145000</v>
      </c>
      <c r="AE25" s="678">
        <f t="shared" si="2"/>
        <v>154999</v>
      </c>
      <c r="AF25" s="528">
        <f t="shared" ca="1" si="23"/>
        <v>4.4265999999999996</v>
      </c>
      <c r="AG25" s="528">
        <f t="shared" ca="1" si="19"/>
        <v>1.21E-2</v>
      </c>
      <c r="AI25" s="455"/>
      <c r="AK25" s="466">
        <f t="shared" si="20"/>
        <v>800000</v>
      </c>
      <c r="AL25" s="678">
        <f t="shared" si="3"/>
        <v>824999</v>
      </c>
      <c r="AM25" s="528">
        <f t="shared" ca="1" si="21"/>
        <v>2.5013999999999998</v>
      </c>
      <c r="AN25" s="528">
        <f t="shared" ca="1" si="22"/>
        <v>6.8999999999999999E-3</v>
      </c>
    </row>
    <row r="26" spans="2:44">
      <c r="B26" s="466" t="str">
        <f t="shared" si="4"/>
        <v/>
      </c>
      <c r="C26" s="678" t="str">
        <f t="shared" si="0"/>
        <v/>
      </c>
      <c r="D26" s="528" t="str">
        <f t="shared" si="5"/>
        <v/>
      </c>
      <c r="E26" s="528" t="str">
        <f t="shared" si="6"/>
        <v/>
      </c>
      <c r="F26" s="528"/>
      <c r="G26" s="455"/>
      <c r="I26" s="466" t="str">
        <f t="shared" si="7"/>
        <v/>
      </c>
      <c r="J26" s="678" t="str">
        <f t="shared" si="1"/>
        <v/>
      </c>
      <c r="K26" s="528" t="str">
        <f t="shared" si="8"/>
        <v/>
      </c>
      <c r="L26" s="528" t="str">
        <f t="shared" si="9"/>
        <v/>
      </c>
      <c r="N26" s="455"/>
      <c r="P26" s="466">
        <f t="shared" si="10"/>
        <v>3600000</v>
      </c>
      <c r="Q26" s="678">
        <f t="shared" si="11"/>
        <v>3799999</v>
      </c>
      <c r="R26" s="528">
        <f t="shared" ca="1" si="12"/>
        <v>1.0623</v>
      </c>
      <c r="S26" s="528">
        <f t="shared" ca="1" si="13"/>
        <v>2.8999999999999998E-3</v>
      </c>
      <c r="U26" s="455"/>
      <c r="W26" s="466">
        <f t="shared" si="14"/>
        <v>3600000</v>
      </c>
      <c r="X26" s="678">
        <f t="shared" si="15"/>
        <v>3799999</v>
      </c>
      <c r="Y26" s="528">
        <f t="shared" ca="1" si="16"/>
        <v>0.90069999999999995</v>
      </c>
      <c r="Z26" s="528">
        <f t="shared" ca="1" si="17"/>
        <v>2.5000000000000001E-3</v>
      </c>
      <c r="AA26" s="528"/>
      <c r="AB26" s="455"/>
      <c r="AC26" s="528"/>
      <c r="AD26" s="466">
        <f t="shared" si="18"/>
        <v>155000</v>
      </c>
      <c r="AE26" s="678">
        <f t="shared" si="2"/>
        <v>164999</v>
      </c>
      <c r="AF26" s="528">
        <f t="shared" ca="1" si="23"/>
        <v>4.3872</v>
      </c>
      <c r="AG26" s="528">
        <f t="shared" ca="1" si="19"/>
        <v>1.2E-2</v>
      </c>
      <c r="AI26" s="455"/>
      <c r="AK26" s="466">
        <f t="shared" si="20"/>
        <v>825000</v>
      </c>
      <c r="AL26" s="678">
        <f t="shared" si="3"/>
        <v>849999</v>
      </c>
      <c r="AM26" s="528">
        <f t="shared" ca="1" si="21"/>
        <v>2.4925000000000002</v>
      </c>
      <c r="AN26" s="528">
        <f t="shared" ca="1" si="22"/>
        <v>6.7999999999999996E-3</v>
      </c>
    </row>
    <row r="27" spans="2:44">
      <c r="B27" s="466" t="str">
        <f t="shared" si="4"/>
        <v/>
      </c>
      <c r="C27" s="678" t="str">
        <f t="shared" si="0"/>
        <v/>
      </c>
      <c r="D27" s="528" t="str">
        <f t="shared" si="5"/>
        <v/>
      </c>
      <c r="E27" s="528" t="str">
        <f t="shared" si="6"/>
        <v/>
      </c>
      <c r="F27" s="528"/>
      <c r="G27" s="455"/>
      <c r="I27" s="466" t="str">
        <f t="shared" si="7"/>
        <v/>
      </c>
      <c r="J27" s="678" t="str">
        <f t="shared" si="1"/>
        <v/>
      </c>
      <c r="K27" s="528" t="str">
        <f t="shared" si="8"/>
        <v/>
      </c>
      <c r="L27" s="528" t="str">
        <f t="shared" si="9"/>
        <v/>
      </c>
      <c r="N27" s="455"/>
      <c r="P27" s="466">
        <f t="shared" si="10"/>
        <v>3800000</v>
      </c>
      <c r="Q27" s="678">
        <f t="shared" si="11"/>
        <v>3999999</v>
      </c>
      <c r="R27" s="528">
        <f t="shared" ca="1" si="12"/>
        <v>1.032</v>
      </c>
      <c r="S27" s="528">
        <f t="shared" ca="1" si="13"/>
        <v>2.8E-3</v>
      </c>
      <c r="U27" s="455"/>
      <c r="W27" s="466">
        <f t="shared" si="14"/>
        <v>3800000</v>
      </c>
      <c r="X27" s="678">
        <f t="shared" si="15"/>
        <v>3999999</v>
      </c>
      <c r="Y27" s="528">
        <f t="shared" ca="1" si="16"/>
        <v>0.89359999999999995</v>
      </c>
      <c r="Z27" s="528">
        <f t="shared" ca="1" si="17"/>
        <v>2.3999999999999998E-3</v>
      </c>
      <c r="AA27" s="528"/>
      <c r="AB27" s="455"/>
      <c r="AC27" s="528"/>
      <c r="AD27" s="466">
        <f t="shared" si="18"/>
        <v>165000</v>
      </c>
      <c r="AE27" s="678">
        <f t="shared" si="2"/>
        <v>174999</v>
      </c>
      <c r="AF27" s="528">
        <f t="shared" ca="1" si="23"/>
        <v>4.3478000000000003</v>
      </c>
      <c r="AG27" s="528">
        <f t="shared" ca="1" si="19"/>
        <v>1.1900000000000001E-2</v>
      </c>
      <c r="AI27" s="455"/>
      <c r="AK27" s="466">
        <f t="shared" si="20"/>
        <v>850000</v>
      </c>
      <c r="AL27" s="678">
        <f t="shared" si="3"/>
        <v>874999</v>
      </c>
      <c r="AM27" s="528">
        <f t="shared" ca="1" si="21"/>
        <v>2.4836</v>
      </c>
      <c r="AN27" s="528">
        <f t="shared" ca="1" si="22"/>
        <v>6.7999999999999996E-3</v>
      </c>
    </row>
    <row r="28" spans="2:44">
      <c r="B28" s="466" t="str">
        <f t="shared" si="4"/>
        <v/>
      </c>
      <c r="C28" s="678" t="str">
        <f t="shared" si="0"/>
        <v/>
      </c>
      <c r="D28" s="528" t="str">
        <f t="shared" si="5"/>
        <v/>
      </c>
      <c r="E28" s="528" t="str">
        <f t="shared" si="6"/>
        <v/>
      </c>
      <c r="G28" s="455"/>
      <c r="I28" s="466" t="str">
        <f t="shared" si="7"/>
        <v/>
      </c>
      <c r="J28" s="678" t="str">
        <f t="shared" si="1"/>
        <v/>
      </c>
      <c r="K28" s="528" t="str">
        <f t="shared" si="8"/>
        <v/>
      </c>
      <c r="L28" s="528" t="str">
        <f t="shared" si="9"/>
        <v/>
      </c>
      <c r="N28" s="455"/>
      <c r="P28" s="466">
        <f t="shared" si="10"/>
        <v>4000000</v>
      </c>
      <c r="Q28" s="678">
        <f t="shared" si="11"/>
        <v>4199999</v>
      </c>
      <c r="R28" s="528">
        <f t="shared" ca="1" si="12"/>
        <v>1.0017</v>
      </c>
      <c r="S28" s="528">
        <f t="shared" ca="1" si="13"/>
        <v>2.7000000000000001E-3</v>
      </c>
      <c r="U28" s="455"/>
      <c r="W28" s="466">
        <f t="shared" si="14"/>
        <v>4000000</v>
      </c>
      <c r="X28" s="678">
        <f t="shared" si="15"/>
        <v>4199999</v>
      </c>
      <c r="Y28" s="528">
        <f t="shared" ca="1" si="16"/>
        <v>0.88649999999999995</v>
      </c>
      <c r="Z28" s="528">
        <f t="shared" ca="1" si="17"/>
        <v>2.3999999999999998E-3</v>
      </c>
      <c r="AA28" s="528"/>
      <c r="AB28" s="455"/>
      <c r="AC28" s="528"/>
      <c r="AD28" s="466">
        <f t="shared" si="18"/>
        <v>175000</v>
      </c>
      <c r="AE28" s="678">
        <f t="shared" si="2"/>
        <v>184999</v>
      </c>
      <c r="AF28" s="528">
        <f t="shared" ca="1" si="23"/>
        <v>4.3083999999999998</v>
      </c>
      <c r="AG28" s="528">
        <f t="shared" ca="1" si="19"/>
        <v>1.18E-2</v>
      </c>
      <c r="AI28" s="455"/>
      <c r="AK28" s="466">
        <f t="shared" si="20"/>
        <v>875000</v>
      </c>
      <c r="AL28" s="678">
        <f t="shared" si="3"/>
        <v>899999</v>
      </c>
      <c r="AM28" s="528">
        <f t="shared" ca="1" si="21"/>
        <v>2.4746999999999999</v>
      </c>
      <c r="AN28" s="528">
        <f t="shared" ca="1" si="22"/>
        <v>6.7999999999999996E-3</v>
      </c>
    </row>
    <row r="29" spans="2:44">
      <c r="B29" s="466" t="str">
        <f t="shared" si="4"/>
        <v/>
      </c>
      <c r="C29" s="678" t="str">
        <f t="shared" si="0"/>
        <v/>
      </c>
      <c r="D29" s="528" t="str">
        <f t="shared" si="5"/>
        <v/>
      </c>
      <c r="E29" s="528" t="str">
        <f t="shared" si="6"/>
        <v/>
      </c>
      <c r="G29" s="455"/>
      <c r="I29" s="466" t="str">
        <f t="shared" si="7"/>
        <v/>
      </c>
      <c r="J29" s="678" t="str">
        <f t="shared" si="1"/>
        <v/>
      </c>
      <c r="K29" s="528" t="str">
        <f t="shared" si="8"/>
        <v/>
      </c>
      <c r="L29" s="528" t="str">
        <f t="shared" si="9"/>
        <v/>
      </c>
      <c r="N29" s="455"/>
      <c r="P29" s="466">
        <f t="shared" si="10"/>
        <v>4200000</v>
      </c>
      <c r="Q29" s="678">
        <f t="shared" si="11"/>
        <v>4399999</v>
      </c>
      <c r="R29" s="528">
        <f t="shared" ca="1" si="12"/>
        <v>0.97140000000000004</v>
      </c>
      <c r="S29" s="528">
        <f t="shared" ca="1" si="13"/>
        <v>2.7000000000000001E-3</v>
      </c>
      <c r="U29" s="455"/>
      <c r="W29" s="466">
        <f t="shared" si="14"/>
        <v>4200000</v>
      </c>
      <c r="X29" s="678">
        <f t="shared" si="15"/>
        <v>4399999</v>
      </c>
      <c r="Y29" s="528">
        <f t="shared" ca="1" si="16"/>
        <v>0.87939999999999996</v>
      </c>
      <c r="Z29" s="528">
        <f t="shared" ca="1" si="17"/>
        <v>2.3999999999999998E-3</v>
      </c>
      <c r="AA29" s="528"/>
      <c r="AB29" s="455"/>
      <c r="AC29" s="528"/>
      <c r="AD29" s="466">
        <f t="shared" si="18"/>
        <v>185000</v>
      </c>
      <c r="AE29" s="678">
        <f t="shared" si="2"/>
        <v>194999</v>
      </c>
      <c r="AF29" s="528">
        <f t="shared" ca="1" si="23"/>
        <v>4.2690000000000001</v>
      </c>
      <c r="AG29" s="528">
        <f t="shared" ca="1" si="19"/>
        <v>1.17E-2</v>
      </c>
      <c r="AI29" s="455"/>
      <c r="AK29" s="466">
        <f t="shared" si="20"/>
        <v>900000</v>
      </c>
      <c r="AL29" s="678">
        <f t="shared" si="3"/>
        <v>924999</v>
      </c>
      <c r="AM29" s="528">
        <f t="shared" ca="1" si="21"/>
        <v>2.4658000000000002</v>
      </c>
      <c r="AN29" s="528">
        <f t="shared" ca="1" si="22"/>
        <v>6.7999999999999996E-3</v>
      </c>
    </row>
    <row r="30" spans="2:44">
      <c r="B30" s="466" t="str">
        <f t="shared" si="4"/>
        <v/>
      </c>
      <c r="C30" s="678" t="str">
        <f t="shared" si="0"/>
        <v/>
      </c>
      <c r="D30" s="528" t="str">
        <f t="shared" si="5"/>
        <v/>
      </c>
      <c r="E30" s="528" t="str">
        <f t="shared" si="6"/>
        <v/>
      </c>
      <c r="G30" s="455"/>
      <c r="I30" s="466" t="str">
        <f t="shared" si="7"/>
        <v/>
      </c>
      <c r="J30" s="678" t="str">
        <f t="shared" si="1"/>
        <v/>
      </c>
      <c r="K30" s="528" t="str">
        <f t="shared" si="8"/>
        <v/>
      </c>
      <c r="L30" s="528" t="str">
        <f t="shared" si="9"/>
        <v/>
      </c>
      <c r="N30" s="455"/>
      <c r="P30" s="466">
        <f t="shared" si="10"/>
        <v>4400000</v>
      </c>
      <c r="Q30" s="678">
        <f t="shared" si="11"/>
        <v>4599999</v>
      </c>
      <c r="R30" s="528">
        <f t="shared" ca="1" si="12"/>
        <v>0.94110000000000005</v>
      </c>
      <c r="S30" s="528">
        <f t="shared" ca="1" si="13"/>
        <v>2.5999999999999999E-3</v>
      </c>
      <c r="U30" s="455"/>
      <c r="W30" s="466">
        <f t="shared" si="14"/>
        <v>4400000</v>
      </c>
      <c r="X30" s="678">
        <f t="shared" si="15"/>
        <v>4599999</v>
      </c>
      <c r="Y30" s="528">
        <f t="shared" ca="1" si="16"/>
        <v>0.87229999999999996</v>
      </c>
      <c r="Z30" s="528">
        <f t="shared" ca="1" si="17"/>
        <v>2.3999999999999998E-3</v>
      </c>
      <c r="AA30" s="528"/>
      <c r="AB30" s="455"/>
      <c r="AC30" s="528"/>
      <c r="AD30" s="466">
        <f t="shared" si="18"/>
        <v>195000</v>
      </c>
      <c r="AE30" s="678">
        <f t="shared" si="2"/>
        <v>204999</v>
      </c>
      <c r="AF30" s="528">
        <f t="shared" ca="1" si="23"/>
        <v>4.2295999999999996</v>
      </c>
      <c r="AG30" s="528">
        <f t="shared" ca="1" si="19"/>
        <v>1.1599999999999999E-2</v>
      </c>
      <c r="AI30" s="455"/>
      <c r="AK30" s="466">
        <f t="shared" si="20"/>
        <v>925000</v>
      </c>
      <c r="AL30" s="678">
        <f t="shared" si="3"/>
        <v>949999</v>
      </c>
      <c r="AM30" s="528">
        <f t="shared" ca="1" si="21"/>
        <v>2.4569000000000001</v>
      </c>
      <c r="AN30" s="528">
        <f t="shared" ca="1" si="22"/>
        <v>6.7000000000000002E-3</v>
      </c>
    </row>
    <row r="31" spans="2:44">
      <c r="B31" s="466" t="str">
        <f t="shared" si="4"/>
        <v/>
      </c>
      <c r="C31" s="678" t="str">
        <f t="shared" si="0"/>
        <v/>
      </c>
      <c r="D31" s="528" t="str">
        <f t="shared" si="5"/>
        <v/>
      </c>
      <c r="E31" s="528" t="str">
        <f t="shared" si="6"/>
        <v/>
      </c>
      <c r="G31" s="455"/>
      <c r="I31" s="466" t="str">
        <f t="shared" si="7"/>
        <v/>
      </c>
      <c r="J31" s="678" t="str">
        <f t="shared" si="1"/>
        <v/>
      </c>
      <c r="K31" s="528" t="str">
        <f t="shared" si="8"/>
        <v/>
      </c>
      <c r="L31" s="528" t="str">
        <f t="shared" si="9"/>
        <v/>
      </c>
      <c r="N31" s="455"/>
      <c r="P31" s="466">
        <f t="shared" si="10"/>
        <v>4600000</v>
      </c>
      <c r="Q31" s="678">
        <f t="shared" si="11"/>
        <v>4799999</v>
      </c>
      <c r="R31" s="528">
        <f t="shared" ca="1" si="12"/>
        <v>0.91080000000000005</v>
      </c>
      <c r="S31" s="528">
        <f t="shared" ca="1" si="13"/>
        <v>2.5000000000000001E-3</v>
      </c>
      <c r="U31" s="455"/>
      <c r="W31" s="466">
        <f t="shared" si="14"/>
        <v>4600000</v>
      </c>
      <c r="X31" s="678">
        <f t="shared" si="15"/>
        <v>4799999</v>
      </c>
      <c r="Y31" s="528">
        <f t="shared" ca="1" si="16"/>
        <v>0.86519999999999997</v>
      </c>
      <c r="Z31" s="528">
        <f t="shared" ca="1" si="17"/>
        <v>2.3999999999999998E-3</v>
      </c>
      <c r="AA31" s="528"/>
      <c r="AB31" s="455"/>
      <c r="AC31" s="528"/>
      <c r="AD31" s="466">
        <f t="shared" si="18"/>
        <v>205000</v>
      </c>
      <c r="AE31" s="678">
        <f t="shared" si="2"/>
        <v>214999</v>
      </c>
      <c r="AF31" s="528">
        <f t="shared" ca="1" si="23"/>
        <v>4.1901999999999999</v>
      </c>
      <c r="AG31" s="528">
        <f t="shared" ca="1" si="19"/>
        <v>1.15E-2</v>
      </c>
      <c r="AI31" s="455"/>
      <c r="AK31" s="466">
        <f t="shared" si="20"/>
        <v>950000</v>
      </c>
      <c r="AL31" s="678">
        <f t="shared" si="3"/>
        <v>974999</v>
      </c>
      <c r="AM31" s="528">
        <f t="shared" ca="1" si="21"/>
        <v>2.448</v>
      </c>
      <c r="AN31" s="528">
        <f t="shared" ca="1" si="22"/>
        <v>6.7000000000000002E-3</v>
      </c>
    </row>
    <row r="32" spans="2:44">
      <c r="B32" s="466" t="str">
        <f t="shared" si="4"/>
        <v/>
      </c>
      <c r="C32" s="678" t="str">
        <f t="shared" si="0"/>
        <v/>
      </c>
      <c r="D32" s="528" t="str">
        <f t="shared" si="5"/>
        <v/>
      </c>
      <c r="E32" s="528" t="str">
        <f t="shared" si="6"/>
        <v/>
      </c>
      <c r="G32" s="455"/>
      <c r="I32" s="466" t="str">
        <f t="shared" si="7"/>
        <v/>
      </c>
      <c r="J32" s="678" t="str">
        <f t="shared" si="1"/>
        <v/>
      </c>
      <c r="K32" s="528" t="str">
        <f t="shared" si="8"/>
        <v/>
      </c>
      <c r="L32" s="528" t="str">
        <f t="shared" si="9"/>
        <v/>
      </c>
      <c r="N32" s="455"/>
      <c r="P32" s="466">
        <f t="shared" si="10"/>
        <v>4800000</v>
      </c>
      <c r="Q32" s="678">
        <f t="shared" si="11"/>
        <v>4999999</v>
      </c>
      <c r="R32" s="528">
        <f t="shared" ca="1" si="12"/>
        <v>0.88049999999999995</v>
      </c>
      <c r="S32" s="528">
        <f t="shared" ca="1" si="13"/>
        <v>2.3999999999999998E-3</v>
      </c>
      <c r="U32" s="455"/>
      <c r="W32" s="466">
        <f t="shared" si="14"/>
        <v>4800000</v>
      </c>
      <c r="X32" s="678">
        <f t="shared" si="15"/>
        <v>4999999</v>
      </c>
      <c r="Y32" s="528">
        <f t="shared" ca="1" si="16"/>
        <v>0.85809999999999997</v>
      </c>
      <c r="Z32" s="528">
        <f t="shared" ca="1" si="17"/>
        <v>2.3999999999999998E-3</v>
      </c>
      <c r="AA32" s="528"/>
      <c r="AB32" s="455"/>
      <c r="AC32" s="528"/>
      <c r="AD32" s="466">
        <f t="shared" si="18"/>
        <v>215000</v>
      </c>
      <c r="AE32" s="678">
        <f t="shared" si="2"/>
        <v>224999</v>
      </c>
      <c r="AF32" s="528">
        <f t="shared" ca="1" si="23"/>
        <v>4.1508000000000003</v>
      </c>
      <c r="AG32" s="528">
        <f t="shared" ca="1" si="19"/>
        <v>1.14E-2</v>
      </c>
      <c r="AI32" s="455"/>
      <c r="AK32" s="466">
        <f t="shared" si="20"/>
        <v>975000</v>
      </c>
      <c r="AL32" s="678" t="str">
        <f t="shared" si="3"/>
        <v/>
      </c>
      <c r="AM32" s="528">
        <f t="shared" ca="1" si="21"/>
        <v>2.4390999999999998</v>
      </c>
      <c r="AN32" s="528">
        <f t="shared" ca="1" si="22"/>
        <v>6.7000000000000002E-3</v>
      </c>
    </row>
    <row r="33" spans="2:40">
      <c r="B33" s="466" t="str">
        <f t="shared" si="4"/>
        <v/>
      </c>
      <c r="C33" s="678" t="str">
        <f t="shared" si="0"/>
        <v/>
      </c>
      <c r="D33" s="528" t="str">
        <f t="shared" si="5"/>
        <v/>
      </c>
      <c r="E33" s="528" t="str">
        <f t="shared" si="6"/>
        <v/>
      </c>
      <c r="G33" s="455"/>
      <c r="I33" s="466" t="str">
        <f t="shared" si="7"/>
        <v/>
      </c>
      <c r="J33" s="678" t="str">
        <f t="shared" si="1"/>
        <v/>
      </c>
      <c r="K33" s="528" t="str">
        <f t="shared" si="8"/>
        <v/>
      </c>
      <c r="L33" s="528" t="str">
        <f t="shared" si="9"/>
        <v/>
      </c>
      <c r="N33" s="455"/>
      <c r="P33" s="466">
        <f t="shared" si="10"/>
        <v>5000000</v>
      </c>
      <c r="Q33" s="678" t="str">
        <f t="shared" si="11"/>
        <v/>
      </c>
      <c r="R33" s="528">
        <f t="shared" ca="1" si="12"/>
        <v>0.85019999999999996</v>
      </c>
      <c r="S33" s="528">
        <f t="shared" ca="1" si="13"/>
        <v>2.3E-3</v>
      </c>
      <c r="U33" s="455"/>
      <c r="W33" s="466">
        <f t="shared" si="14"/>
        <v>5000000</v>
      </c>
      <c r="X33" s="678" t="str">
        <f t="shared" si="15"/>
        <v/>
      </c>
      <c r="Y33" s="528">
        <f t="shared" ca="1" si="16"/>
        <v>0.85099999999999998</v>
      </c>
      <c r="Z33" s="528">
        <f t="shared" ca="1" si="17"/>
        <v>2.3E-3</v>
      </c>
      <c r="AA33" s="528"/>
      <c r="AB33" s="455"/>
      <c r="AC33" s="528"/>
      <c r="AD33" s="466">
        <f t="shared" si="18"/>
        <v>225000</v>
      </c>
      <c r="AE33" s="678">
        <f t="shared" si="2"/>
        <v>234999</v>
      </c>
      <c r="AF33" s="528">
        <f t="shared" ca="1" si="23"/>
        <v>4.1113999999999997</v>
      </c>
      <c r="AG33" s="528">
        <f t="shared" ca="1" si="19"/>
        <v>1.1299999999999999E-2</v>
      </c>
      <c r="AI33" s="455"/>
      <c r="AK33" s="466" t="str">
        <f t="shared" si="20"/>
        <v/>
      </c>
      <c r="AL33" s="678" t="str">
        <f t="shared" si="3"/>
        <v/>
      </c>
      <c r="AM33" s="528" t="str">
        <f t="shared" si="21"/>
        <v/>
      </c>
      <c r="AN33" s="528" t="str">
        <f t="shared" si="22"/>
        <v/>
      </c>
    </row>
    <row r="34" spans="2:40">
      <c r="B34" s="466" t="str">
        <f>IFERROR(IF(B33+$AR$11&gt;$C$8,"",B33+$AR$11),"")</f>
        <v/>
      </c>
      <c r="C34" s="678" t="str">
        <f t="shared" si="0"/>
        <v/>
      </c>
      <c r="D34" s="528" t="str">
        <f t="shared" si="5"/>
        <v/>
      </c>
      <c r="E34" s="528" t="str">
        <f t="shared" si="6"/>
        <v/>
      </c>
      <c r="G34" s="455"/>
      <c r="I34" s="466" t="str">
        <f t="shared" si="7"/>
        <v/>
      </c>
      <c r="J34" s="678" t="str">
        <f t="shared" si="1"/>
        <v/>
      </c>
      <c r="K34" s="528" t="str">
        <f t="shared" si="8"/>
        <v/>
      </c>
      <c r="L34" s="528" t="str">
        <f t="shared" si="9"/>
        <v/>
      </c>
      <c r="N34" s="455"/>
      <c r="P34" s="466" t="str">
        <f>IFERROR(IF(P33+$AZ$11&gt;$Q$8,"",P33+$AZ$11),"")</f>
        <v/>
      </c>
      <c r="Q34" s="678" t="str">
        <f t="shared" si="11"/>
        <v/>
      </c>
      <c r="R34" s="528" t="str">
        <f t="shared" si="12"/>
        <v/>
      </c>
      <c r="S34" s="528" t="str">
        <f t="shared" si="13"/>
        <v/>
      </c>
      <c r="U34" s="455"/>
      <c r="W34" s="466" t="str">
        <f>IFERROR(IF(W33+$BD$11&gt;$X$8,"",W33+$BD$11),"")</f>
        <v/>
      </c>
      <c r="X34" s="678" t="str">
        <f t="shared" si="15"/>
        <v/>
      </c>
      <c r="Y34" s="528" t="str">
        <f t="shared" si="16"/>
        <v/>
      </c>
      <c r="Z34" s="528" t="str">
        <f t="shared" si="17"/>
        <v/>
      </c>
      <c r="AA34" s="528"/>
      <c r="AB34" s="455"/>
      <c r="AC34" s="528"/>
      <c r="AD34" s="466">
        <f t="shared" si="18"/>
        <v>235000</v>
      </c>
      <c r="AE34" s="678">
        <f t="shared" si="2"/>
        <v>244999</v>
      </c>
      <c r="AF34" s="528">
        <f t="shared" ca="1" si="23"/>
        <v>4.0720000000000001</v>
      </c>
      <c r="AG34" s="528">
        <f t="shared" ca="1" si="19"/>
        <v>1.12E-2</v>
      </c>
      <c r="AI34" s="455"/>
      <c r="AK34" s="466" t="str">
        <f t="shared" si="20"/>
        <v/>
      </c>
      <c r="AL34" s="678" t="str">
        <f t="shared" si="3"/>
        <v/>
      </c>
      <c r="AM34" s="528" t="str">
        <f>IFERROR(ROUND(IF(AK34="","",AM33-#REF!),4),"")</f>
        <v/>
      </c>
      <c r="AN34" s="528" t="str">
        <f t="shared" si="22"/>
        <v/>
      </c>
    </row>
    <row r="35" spans="2:40">
      <c r="B35" s="466"/>
      <c r="C35" s="679"/>
      <c r="E35" s="528"/>
      <c r="G35" s="455"/>
      <c r="I35" s="466" t="str">
        <f t="shared" si="7"/>
        <v/>
      </c>
      <c r="J35" s="678" t="str">
        <f t="shared" si="1"/>
        <v/>
      </c>
      <c r="K35" s="528" t="str">
        <f t="shared" si="8"/>
        <v/>
      </c>
      <c r="L35" s="528" t="str">
        <f t="shared" si="9"/>
        <v/>
      </c>
      <c r="N35" s="455"/>
      <c r="P35" s="466" t="str">
        <f>IFERROR(IF(P34+$AZ$11&gt;$Q$8,"",P34+$AZ$11),"")</f>
        <v/>
      </c>
      <c r="Q35" s="678" t="str">
        <f t="shared" si="11"/>
        <v/>
      </c>
      <c r="R35" s="528" t="str">
        <f t="shared" si="12"/>
        <v/>
      </c>
      <c r="S35" s="528" t="str">
        <f t="shared" si="13"/>
        <v/>
      </c>
      <c r="U35" s="455"/>
      <c r="W35" s="466" t="str">
        <f>IFERROR(IF(W34+$BD$11&gt;$X$8,"",W34+$BD$11),"")</f>
        <v/>
      </c>
      <c r="X35" s="678" t="str">
        <f t="shared" si="15"/>
        <v/>
      </c>
      <c r="Y35" s="528" t="str">
        <f t="shared" si="16"/>
        <v/>
      </c>
      <c r="Z35" s="528" t="str">
        <f t="shared" si="17"/>
        <v/>
      </c>
      <c r="AA35" s="528"/>
      <c r="AB35" s="455"/>
      <c r="AC35" s="528"/>
      <c r="AD35" s="466">
        <f t="shared" si="18"/>
        <v>245000</v>
      </c>
      <c r="AE35" s="678" t="str">
        <f t="shared" si="2"/>
        <v/>
      </c>
      <c r="AF35" s="528">
        <f t="shared" ca="1" si="23"/>
        <v>4.0326000000000004</v>
      </c>
      <c r="AG35" s="528">
        <f t="shared" ca="1" si="19"/>
        <v>1.0999999999999999E-2</v>
      </c>
      <c r="AI35" s="455"/>
      <c r="AK35" s="466" t="str">
        <f t="shared" si="20"/>
        <v/>
      </c>
      <c r="AL35" s="678" t="str">
        <f t="shared" si="3"/>
        <v/>
      </c>
      <c r="AM35" s="528" t="str">
        <f>IFERROR(ROUND(IF(AK35="","",AM34-#REF!),4),"")</f>
        <v/>
      </c>
      <c r="AN35" s="528" t="str">
        <f t="shared" si="22"/>
        <v/>
      </c>
    </row>
    <row r="36" spans="2:40">
      <c r="B36" s="466"/>
      <c r="C36" s="679"/>
      <c r="E36" s="528"/>
      <c r="G36" s="455"/>
      <c r="I36" s="466"/>
      <c r="J36" s="678"/>
      <c r="K36" s="528"/>
      <c r="L36" s="528"/>
      <c r="N36" s="455"/>
      <c r="P36" s="466"/>
      <c r="Q36" s="678"/>
      <c r="R36" s="528"/>
      <c r="S36" s="528"/>
      <c r="U36" s="455"/>
      <c r="W36" s="466"/>
      <c r="X36" s="678"/>
      <c r="Y36" s="528"/>
      <c r="Z36" s="528"/>
      <c r="AA36" s="528"/>
      <c r="AB36" s="455"/>
      <c r="AC36" s="528"/>
      <c r="AD36" s="466"/>
      <c r="AE36" s="678"/>
      <c r="AF36" s="528"/>
      <c r="AG36" s="528"/>
      <c r="AI36" s="455"/>
      <c r="AK36" s="466"/>
      <c r="AL36" s="678"/>
      <c r="AM36" s="528"/>
      <c r="AN36" s="528"/>
    </row>
  </sheetData>
  <sheetProtection algorithmName="SHA-512" hashValue="UvERNg+3YzlLsX8Dfdxrp9UvD9rLFnIsYUOVdN6fAJbNRQhwj6YiqCim1WIeY+U+hPHncIZxcbQURtxtkbNQbA==" saltValue="A/ma+c1aiFPGIvD7f02x1g==" spinCount="100000" sheet="1" formatCells="0" formatColumns="0" formatRows="0"/>
  <mergeCells count="13">
    <mergeCell ref="D2:H3"/>
    <mergeCell ref="W11:Z11"/>
    <mergeCell ref="AD11:AG11"/>
    <mergeCell ref="AK11:AN11"/>
    <mergeCell ref="AK12:AL12"/>
    <mergeCell ref="I11:L11"/>
    <mergeCell ref="B11:E11"/>
    <mergeCell ref="P11:S11"/>
    <mergeCell ref="B12:C12"/>
    <mergeCell ref="I12:J12"/>
    <mergeCell ref="P12:Q12"/>
    <mergeCell ref="W12:X12"/>
    <mergeCell ref="AD12:AE12"/>
  </mergeCells>
  <dataValidations count="4">
    <dataValidation type="list" allowBlank="1" showInputMessage="1" showErrorMessage="1" sqref="C10 J10 Q10 X10 AE10 AL10" xr:uid="{57A64189-1F8A-4EAA-94C7-355E9354882B}">
      <formula1>"1,2,3,4,5,6,7,8,9,10,11,12,13,14,15,16,17,18,19,20"</formula1>
    </dataValidation>
    <dataValidation type="list" allowBlank="1" showInputMessage="1" showErrorMessage="1" sqref="C4 J3 Q3 X3 AE3 AL4" xr:uid="{6C3FBABD-D8EA-4EF8-8814-1CDCDAA8B772}">
      <formula1>Uses</formula1>
    </dataValidation>
    <dataValidation type="list" allowBlank="1" showInputMessage="1" showErrorMessage="1" sqref="X4" xr:uid="{E4AEFE0A-27FF-44E7-8144-1045A2D81C67}">
      <formula1>"No, Yes"</formula1>
    </dataValidation>
    <dataValidation type="list" allowBlank="1" showInputMessage="1" showErrorMessage="1" sqref="Q4 C3 J4" xr:uid="{FAF19D22-F530-4301-B4D3-A1196B04E674}">
      <formula1>"FT,RT,FC,Amphib"</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BT303"/>
  <sheetViews>
    <sheetView workbookViewId="0">
      <selection activeCell="AU20" sqref="AU20"/>
    </sheetView>
  </sheetViews>
  <sheetFormatPr defaultRowHeight="14.25"/>
  <cols>
    <col min="4" max="4" width="9" style="9"/>
    <col min="5" max="5" width="12.5" bestFit="1" customWidth="1"/>
    <col min="6" max="6" width="9" style="10"/>
    <col min="8" max="8" width="9" style="9"/>
    <col min="9" max="9" width="11.375" style="11" bestFit="1" customWidth="1"/>
    <col min="10" max="10" width="9.625" style="9" bestFit="1" customWidth="1"/>
    <col min="11" max="11" width="0" hidden="1" customWidth="1"/>
    <col min="13" max="13" width="11.375" bestFit="1" customWidth="1"/>
    <col min="14" max="14" width="8.875" bestFit="1" customWidth="1"/>
    <col min="17" max="17" width="9.125" bestFit="1" customWidth="1"/>
    <col min="18" max="18" width="8.875" style="10" bestFit="1" customWidth="1"/>
    <col min="19" max="19" width="13" style="10" hidden="1" customWidth="1"/>
    <col min="20" max="20" width="8.375" customWidth="1"/>
    <col min="21" max="21" width="9.5" bestFit="1" customWidth="1"/>
    <col min="23" max="23" width="9.375" hidden="1" customWidth="1"/>
    <col min="25" max="25" width="21.75" bestFit="1" customWidth="1"/>
    <col min="26" max="26" width="9.25" bestFit="1" customWidth="1"/>
    <col min="27" max="36" width="9.125" bestFit="1" customWidth="1"/>
    <col min="37" max="39" width="7.375" bestFit="1" customWidth="1"/>
    <col min="40" max="40" width="9.125" bestFit="1" customWidth="1"/>
    <col min="41" max="41" width="7.375" bestFit="1" customWidth="1"/>
    <col min="44" max="44" width="21.75" bestFit="1" customWidth="1"/>
    <col min="50" max="50" width="10.125" customWidth="1"/>
    <col min="62" max="62" width="20.625" customWidth="1"/>
  </cols>
  <sheetData>
    <row r="1" spans="2:72">
      <c r="I1"/>
      <c r="J1"/>
      <c r="AI1">
        <v>0.8</v>
      </c>
      <c r="AJ1">
        <v>0.75</v>
      </c>
      <c r="AK1">
        <v>0.7</v>
      </c>
      <c r="AL1">
        <v>0.5</v>
      </c>
      <c r="AM1">
        <v>0.45</v>
      </c>
      <c r="AN1">
        <v>0.45</v>
      </c>
      <c r="AO1">
        <v>0.45</v>
      </c>
      <c r="AP1">
        <v>0.45</v>
      </c>
    </row>
    <row r="2" spans="2:72">
      <c r="I2"/>
      <c r="J2"/>
      <c r="Y2" t="s">
        <v>2849</v>
      </c>
      <c r="AB2" s="933" t="s">
        <v>2850</v>
      </c>
      <c r="AC2" s="933"/>
      <c r="AD2" s="933"/>
      <c r="AE2" s="933"/>
      <c r="AF2" s="933"/>
      <c r="AG2" s="933"/>
      <c r="AH2" s="933"/>
      <c r="AI2" s="387"/>
      <c r="AJ2" s="387"/>
      <c r="AK2" s="387"/>
      <c r="AQ2" t="s">
        <v>2851</v>
      </c>
      <c r="AR2" s="933" t="s">
        <v>2850</v>
      </c>
      <c r="AS2" s="933"/>
      <c r="AT2" s="933"/>
      <c r="AU2" s="933"/>
      <c r="AV2" s="933"/>
      <c r="AW2" s="933"/>
      <c r="AX2" s="933"/>
      <c r="BJ2" t="s">
        <v>2852</v>
      </c>
    </row>
    <row r="3" spans="2:72" ht="15" thickBot="1">
      <c r="B3" s="12" t="s">
        <v>2853</v>
      </c>
      <c r="C3" s="12">
        <v>1</v>
      </c>
      <c r="E3" s="387" t="s">
        <v>2854</v>
      </c>
      <c r="F3" s="12">
        <v>2</v>
      </c>
      <c r="G3" s="387"/>
      <c r="H3" s="14"/>
      <c r="I3" s="15" t="s">
        <v>2855</v>
      </c>
      <c r="J3" s="16">
        <v>1</v>
      </c>
      <c r="K3" s="387"/>
      <c r="L3" s="387"/>
      <c r="M3" s="387" t="s">
        <v>2855</v>
      </c>
      <c r="N3" s="387">
        <v>2</v>
      </c>
      <c r="O3" s="387"/>
      <c r="P3" s="387"/>
      <c r="Q3" s="387" t="s">
        <v>2856</v>
      </c>
      <c r="R3" s="13" t="s">
        <v>122</v>
      </c>
      <c r="S3" s="13"/>
      <c r="U3" s="387" t="s">
        <v>2856</v>
      </c>
      <c r="V3" s="387" t="s">
        <v>130</v>
      </c>
      <c r="W3" s="387"/>
      <c r="Z3" s="387">
        <v>0</v>
      </c>
      <c r="AA3" s="387">
        <v>1</v>
      </c>
      <c r="AB3" s="387">
        <v>2</v>
      </c>
      <c r="AC3" s="387">
        <v>3</v>
      </c>
      <c r="AD3" s="387">
        <v>4</v>
      </c>
      <c r="AE3" s="387">
        <v>5</v>
      </c>
      <c r="AF3" s="387">
        <v>6</v>
      </c>
      <c r="AG3" s="387">
        <v>7</v>
      </c>
      <c r="AH3" s="387">
        <v>8</v>
      </c>
      <c r="AI3" s="387">
        <v>9</v>
      </c>
      <c r="AJ3" s="387">
        <v>10</v>
      </c>
      <c r="AK3" s="387">
        <v>11</v>
      </c>
      <c r="AL3" s="387">
        <v>12</v>
      </c>
      <c r="AM3" s="387">
        <v>13</v>
      </c>
      <c r="AN3" s="387">
        <v>14</v>
      </c>
      <c r="AO3" s="387">
        <v>15</v>
      </c>
      <c r="AS3">
        <v>0</v>
      </c>
      <c r="AT3">
        <v>1</v>
      </c>
      <c r="AU3">
        <v>2</v>
      </c>
      <c r="AV3">
        <v>3</v>
      </c>
      <c r="AW3">
        <v>4</v>
      </c>
      <c r="AX3">
        <v>5</v>
      </c>
      <c r="AY3">
        <v>6</v>
      </c>
      <c r="AZ3">
        <v>7</v>
      </c>
      <c r="BA3">
        <v>8</v>
      </c>
      <c r="BB3">
        <v>9</v>
      </c>
      <c r="BC3">
        <v>10</v>
      </c>
      <c r="BD3">
        <v>11</v>
      </c>
      <c r="BE3">
        <v>12</v>
      </c>
      <c r="BF3">
        <v>13</v>
      </c>
      <c r="BG3">
        <v>14</v>
      </c>
      <c r="BH3">
        <v>15</v>
      </c>
      <c r="BK3">
        <v>0</v>
      </c>
      <c r="BL3">
        <v>1</v>
      </c>
      <c r="BM3">
        <v>2</v>
      </c>
      <c r="BN3">
        <v>3</v>
      </c>
      <c r="BO3">
        <v>4</v>
      </c>
      <c r="BP3">
        <v>5</v>
      </c>
      <c r="BQ3">
        <v>6</v>
      </c>
      <c r="BR3">
        <v>7</v>
      </c>
      <c r="BS3">
        <v>8</v>
      </c>
      <c r="BT3">
        <v>9</v>
      </c>
    </row>
    <row r="4" spans="2:72" ht="15" thickBot="1">
      <c r="B4" s="17">
        <v>0</v>
      </c>
      <c r="C4" s="18">
        <v>2.2349999999999998E-2</v>
      </c>
      <c r="E4" s="19">
        <v>0</v>
      </c>
      <c r="F4" s="18">
        <v>2.9749999999999999E-2</v>
      </c>
      <c r="G4" s="9"/>
      <c r="I4" s="22">
        <v>0</v>
      </c>
      <c r="J4" s="661">
        <v>2.2189999999999998E-2</v>
      </c>
      <c r="K4">
        <v>2.0125000000000001E-2</v>
      </c>
      <c r="L4" s="344"/>
      <c r="M4" s="22">
        <v>0</v>
      </c>
      <c r="N4" s="21">
        <v>2.5360000000000001E-2</v>
      </c>
      <c r="O4" s="344"/>
      <c r="Q4" s="22">
        <v>0</v>
      </c>
      <c r="R4" s="23">
        <v>5.04E-2</v>
      </c>
      <c r="S4" s="23">
        <f>R4*1.05</f>
        <v>5.2920000000000002E-2</v>
      </c>
      <c r="T4" s="87"/>
      <c r="U4" s="19">
        <v>0</v>
      </c>
      <c r="V4" s="18">
        <v>3.3515999999999997E-2</v>
      </c>
      <c r="W4" s="18">
        <f>V4*1.05</f>
        <v>3.5191799999999995E-2</v>
      </c>
      <c r="X4">
        <v>1</v>
      </c>
      <c r="Y4" t="s">
        <v>60</v>
      </c>
      <c r="Z4" s="11">
        <f t="shared" ref="Z4:AI4" si="0">ROUND(Z132*1.05,0)</f>
        <v>166</v>
      </c>
      <c r="AA4" s="11">
        <f t="shared" si="0"/>
        <v>166</v>
      </c>
      <c r="AB4" s="11">
        <f t="shared" si="0"/>
        <v>166</v>
      </c>
      <c r="AC4" s="11">
        <f t="shared" si="0"/>
        <v>166</v>
      </c>
      <c r="AD4" s="11">
        <f t="shared" si="0"/>
        <v>166</v>
      </c>
      <c r="AE4" s="11">
        <f t="shared" si="0"/>
        <v>166</v>
      </c>
      <c r="AF4" s="11">
        <f t="shared" si="0"/>
        <v>166</v>
      </c>
      <c r="AG4" s="11">
        <f t="shared" si="0"/>
        <v>166</v>
      </c>
      <c r="AH4" s="11">
        <f t="shared" si="0"/>
        <v>166</v>
      </c>
      <c r="AI4" s="11">
        <f t="shared" si="0"/>
        <v>166</v>
      </c>
      <c r="AJ4" s="11">
        <f t="shared" ref="AJ4:AO12" si="1">ROUND(AJ133*1.05,0)</f>
        <v>166</v>
      </c>
      <c r="AK4" s="11">
        <f t="shared" si="1"/>
        <v>166</v>
      </c>
      <c r="AL4" s="11">
        <f t="shared" si="1"/>
        <v>166</v>
      </c>
      <c r="AM4" s="11">
        <f t="shared" si="1"/>
        <v>166</v>
      </c>
      <c r="AN4" s="11">
        <f t="shared" si="1"/>
        <v>166</v>
      </c>
      <c r="AO4" s="11">
        <f t="shared" si="1"/>
        <v>166</v>
      </c>
      <c r="AQ4">
        <v>1</v>
      </c>
      <c r="AR4" t="s">
        <v>60</v>
      </c>
      <c r="AS4">
        <f t="shared" ref="AS4:AT4" si="2">ROUND(AS97*1.05,0)</f>
        <v>215</v>
      </c>
      <c r="AT4">
        <f t="shared" si="2"/>
        <v>215</v>
      </c>
      <c r="AU4">
        <f t="shared" ref="AU4:BH4" si="3">ROUND(AU97*1.05,0)</f>
        <v>215</v>
      </c>
      <c r="AV4">
        <f t="shared" si="3"/>
        <v>215</v>
      </c>
      <c r="AW4">
        <f t="shared" si="3"/>
        <v>215</v>
      </c>
      <c r="AX4">
        <f t="shared" si="3"/>
        <v>215</v>
      </c>
      <c r="AY4">
        <f t="shared" si="3"/>
        <v>215</v>
      </c>
      <c r="AZ4">
        <f t="shared" si="3"/>
        <v>215</v>
      </c>
      <c r="BA4">
        <f t="shared" si="3"/>
        <v>215</v>
      </c>
      <c r="BB4">
        <f t="shared" si="3"/>
        <v>215</v>
      </c>
      <c r="BC4">
        <f t="shared" si="3"/>
        <v>215</v>
      </c>
      <c r="BD4">
        <f t="shared" si="3"/>
        <v>215</v>
      </c>
      <c r="BE4">
        <f t="shared" si="3"/>
        <v>215</v>
      </c>
      <c r="BF4">
        <f t="shared" si="3"/>
        <v>215</v>
      </c>
      <c r="BG4">
        <f t="shared" si="3"/>
        <v>215</v>
      </c>
      <c r="BH4">
        <f t="shared" si="3"/>
        <v>215</v>
      </c>
      <c r="BI4">
        <v>1</v>
      </c>
      <c r="BJ4" t="s">
        <v>60</v>
      </c>
      <c r="BK4">
        <f t="shared" ref="BK4:BK23" si="4">ROUND(Z50*3,0)</f>
        <v>2175</v>
      </c>
      <c r="BL4">
        <f t="shared" ref="BL4:BL23" si="5">ROUND(AA50*3,0)</f>
        <v>2175</v>
      </c>
      <c r="BM4">
        <f t="shared" ref="BM4:BM23" si="6">ROUND(AB50*3,0)</f>
        <v>2175</v>
      </c>
      <c r="BN4">
        <f t="shared" ref="BN4:BN23" si="7">ROUND(AC50*3,0)</f>
        <v>2175</v>
      </c>
      <c r="BO4">
        <f t="shared" ref="BO4:BO23" si="8">ROUND(AD50*3,0)</f>
        <v>2175</v>
      </c>
      <c r="BP4">
        <f t="shared" ref="BP4:BP23" si="9">ROUND(AE50*3,0)</f>
        <v>2175</v>
      </c>
      <c r="BQ4">
        <f t="shared" ref="BQ4:BQ23" si="10">ROUND(AF50*3,0)</f>
        <v>2175</v>
      </c>
      <c r="BR4">
        <f t="shared" ref="BR4:BR23" si="11">ROUND(AG50*3,0)</f>
        <v>2175</v>
      </c>
      <c r="BS4">
        <f t="shared" ref="BS4:BS23" si="12">ROUND(AH50*3,0)</f>
        <v>2175</v>
      </c>
      <c r="BT4">
        <f t="shared" ref="BT4:BT23" si="13">ROUND(AI50*3,0)</f>
        <v>2175</v>
      </c>
    </row>
    <row r="5" spans="2:72" ht="15" thickBot="1">
      <c r="B5" s="17">
        <v>24999</v>
      </c>
      <c r="C5" s="18">
        <v>2.2349999999999998E-2</v>
      </c>
      <c r="E5" s="19">
        <v>49999</v>
      </c>
      <c r="F5" s="18">
        <v>2.9749999999999999E-2</v>
      </c>
      <c r="G5" s="9"/>
      <c r="I5" s="22">
        <v>100000</v>
      </c>
      <c r="J5" s="661">
        <v>2.2189999999999998E-2</v>
      </c>
      <c r="K5">
        <v>2.0125000000000001E-2</v>
      </c>
      <c r="L5" s="344"/>
      <c r="M5" s="22">
        <v>500000</v>
      </c>
      <c r="N5" s="21">
        <v>2.5360000000000001E-2</v>
      </c>
      <c r="O5" s="344"/>
      <c r="Q5" s="22">
        <v>49999</v>
      </c>
      <c r="R5" s="23">
        <v>5.04E-2</v>
      </c>
      <c r="S5" s="23">
        <f t="shared" ref="S5:S68" si="14">R5*1.05</f>
        <v>5.2920000000000002E-2</v>
      </c>
      <c r="T5" s="87"/>
      <c r="U5" s="19">
        <v>249999</v>
      </c>
      <c r="V5" s="18">
        <v>3.3515999999999997E-2</v>
      </c>
      <c r="W5" s="18">
        <f t="shared" ref="W5:W68" si="15">V5*1.05</f>
        <v>3.5191799999999995E-2</v>
      </c>
      <c r="X5">
        <v>2</v>
      </c>
      <c r="Y5" t="s">
        <v>61</v>
      </c>
      <c r="Z5" s="11">
        <f t="shared" ref="Z5:AI5" si="16">ROUND(Z133*1.05,0)</f>
        <v>166</v>
      </c>
      <c r="AA5" s="11">
        <f t="shared" si="16"/>
        <v>204</v>
      </c>
      <c r="AB5" s="11">
        <f t="shared" si="16"/>
        <v>235</v>
      </c>
      <c r="AC5" s="11">
        <f t="shared" si="16"/>
        <v>264</v>
      </c>
      <c r="AD5" s="11">
        <f t="shared" si="16"/>
        <v>291</v>
      </c>
      <c r="AE5" s="11">
        <f t="shared" si="16"/>
        <v>311</v>
      </c>
      <c r="AF5" s="11">
        <f t="shared" si="16"/>
        <v>329</v>
      </c>
      <c r="AG5" s="11">
        <f t="shared" si="16"/>
        <v>347</v>
      </c>
      <c r="AH5" s="11">
        <f t="shared" si="16"/>
        <v>364</v>
      </c>
      <c r="AI5" s="11">
        <f t="shared" si="16"/>
        <v>381</v>
      </c>
      <c r="AJ5" s="11">
        <f t="shared" si="1"/>
        <v>398</v>
      </c>
      <c r="AK5" s="11">
        <f t="shared" si="1"/>
        <v>415</v>
      </c>
      <c r="AL5" s="11">
        <f t="shared" si="1"/>
        <v>432</v>
      </c>
      <c r="AM5" s="11">
        <f t="shared" si="1"/>
        <v>448</v>
      </c>
      <c r="AN5" s="11">
        <f t="shared" si="1"/>
        <v>465</v>
      </c>
      <c r="AO5" s="11">
        <f t="shared" si="1"/>
        <v>482</v>
      </c>
      <c r="AQ5">
        <v>2</v>
      </c>
      <c r="AR5" t="s">
        <v>61</v>
      </c>
      <c r="AS5">
        <f t="shared" ref="AS5:AT5" si="17">ROUND(AS98*1.05,0)</f>
        <v>215</v>
      </c>
      <c r="AT5">
        <f t="shared" si="17"/>
        <v>265</v>
      </c>
      <c r="AU5">
        <f t="shared" ref="AU5:BH5" si="18">ROUND(AU98*1.05,0)</f>
        <v>314</v>
      </c>
      <c r="AV5">
        <f t="shared" si="18"/>
        <v>354</v>
      </c>
      <c r="AW5">
        <f t="shared" si="18"/>
        <v>392</v>
      </c>
      <c r="AX5">
        <f t="shared" si="18"/>
        <v>426</v>
      </c>
      <c r="AY5">
        <f t="shared" si="18"/>
        <v>453</v>
      </c>
      <c r="AZ5">
        <f t="shared" si="18"/>
        <v>475</v>
      </c>
      <c r="BA5">
        <f t="shared" si="18"/>
        <v>497</v>
      </c>
      <c r="BB5">
        <f t="shared" si="18"/>
        <v>519</v>
      </c>
      <c r="BC5">
        <f t="shared" si="18"/>
        <v>541</v>
      </c>
      <c r="BD5">
        <f t="shared" si="18"/>
        <v>563</v>
      </c>
      <c r="BE5">
        <f t="shared" si="18"/>
        <v>585</v>
      </c>
      <c r="BF5">
        <f t="shared" si="18"/>
        <v>607</v>
      </c>
      <c r="BG5">
        <f t="shared" si="18"/>
        <v>629</v>
      </c>
      <c r="BH5">
        <f t="shared" si="18"/>
        <v>651</v>
      </c>
      <c r="BI5">
        <v>2</v>
      </c>
      <c r="BJ5" t="s">
        <v>61</v>
      </c>
      <c r="BK5">
        <f t="shared" si="4"/>
        <v>2175</v>
      </c>
      <c r="BL5">
        <f t="shared" si="5"/>
        <v>2682</v>
      </c>
      <c r="BM5">
        <f t="shared" si="6"/>
        <v>3087</v>
      </c>
      <c r="BN5">
        <f t="shared" si="7"/>
        <v>3465</v>
      </c>
      <c r="BO5">
        <f t="shared" si="8"/>
        <v>3825</v>
      </c>
      <c r="BP5">
        <f t="shared" si="9"/>
        <v>4086</v>
      </c>
      <c r="BQ5">
        <f t="shared" si="10"/>
        <v>4320</v>
      </c>
      <c r="BR5">
        <f t="shared" si="11"/>
        <v>4551</v>
      </c>
      <c r="BS5">
        <f t="shared" si="12"/>
        <v>4782</v>
      </c>
      <c r="BT5">
        <f t="shared" si="13"/>
        <v>5013</v>
      </c>
    </row>
    <row r="6" spans="2:72" ht="15" thickBot="1">
      <c r="B6" s="17">
        <v>25000</v>
      </c>
      <c r="C6" s="18">
        <v>2.1399999999999999E-2</v>
      </c>
      <c r="E6" s="19">
        <v>50000</v>
      </c>
      <c r="F6" s="18">
        <v>2.9749999999999999E-2</v>
      </c>
      <c r="G6" s="9"/>
      <c r="I6" s="22">
        <v>200000</v>
      </c>
      <c r="J6" s="661">
        <v>2.2189999999999998E-2</v>
      </c>
      <c r="K6">
        <v>1.8169999999999999E-2</v>
      </c>
      <c r="L6" s="344"/>
      <c r="M6" s="22">
        <v>500001</v>
      </c>
      <c r="N6" s="21">
        <v>2.4469999999999999E-2</v>
      </c>
      <c r="O6" s="344"/>
      <c r="Q6" s="22">
        <v>50000</v>
      </c>
      <c r="R6" s="23">
        <v>4.9896000000000003E-2</v>
      </c>
      <c r="S6" s="23">
        <f t="shared" si="14"/>
        <v>5.2390800000000008E-2</v>
      </c>
      <c r="T6" s="87"/>
      <c r="U6" s="19">
        <v>250000</v>
      </c>
      <c r="V6" s="18">
        <v>3.3159000000000001E-2</v>
      </c>
      <c r="W6" s="18">
        <f t="shared" si="15"/>
        <v>3.4816949999999999E-2</v>
      </c>
      <c r="X6">
        <v>3</v>
      </c>
      <c r="Y6" t="s">
        <v>62</v>
      </c>
      <c r="Z6" s="11">
        <f t="shared" ref="Z6:AI6" si="19">ROUND(Z134*1.05,0)</f>
        <v>166</v>
      </c>
      <c r="AA6" s="11">
        <f t="shared" si="19"/>
        <v>221</v>
      </c>
      <c r="AB6" s="11">
        <f t="shared" si="19"/>
        <v>265</v>
      </c>
      <c r="AC6" s="11">
        <f t="shared" si="19"/>
        <v>307</v>
      </c>
      <c r="AD6" s="11">
        <f t="shared" si="19"/>
        <v>345</v>
      </c>
      <c r="AE6" s="11">
        <f t="shared" si="19"/>
        <v>373</v>
      </c>
      <c r="AF6" s="11">
        <f t="shared" si="19"/>
        <v>398</v>
      </c>
      <c r="AG6" s="11">
        <f t="shared" si="19"/>
        <v>423</v>
      </c>
      <c r="AH6" s="11">
        <f t="shared" si="19"/>
        <v>448</v>
      </c>
      <c r="AI6" s="11">
        <f t="shared" si="19"/>
        <v>475</v>
      </c>
      <c r="AJ6" s="11">
        <f t="shared" si="1"/>
        <v>501</v>
      </c>
      <c r="AK6" s="11">
        <f t="shared" si="1"/>
        <v>527</v>
      </c>
      <c r="AL6" s="11">
        <f t="shared" si="1"/>
        <v>553</v>
      </c>
      <c r="AM6" s="11">
        <f t="shared" si="1"/>
        <v>580</v>
      </c>
      <c r="AN6" s="11">
        <f t="shared" si="1"/>
        <v>606</v>
      </c>
      <c r="AO6" s="11">
        <f t="shared" si="1"/>
        <v>632</v>
      </c>
      <c r="AQ6">
        <v>3</v>
      </c>
      <c r="AR6" t="s">
        <v>62</v>
      </c>
      <c r="AS6">
        <f t="shared" ref="AS6:AT6" si="20">ROUND(AS99*1.05,0)</f>
        <v>215</v>
      </c>
      <c r="AT6">
        <f t="shared" si="20"/>
        <v>287</v>
      </c>
      <c r="AU6">
        <f t="shared" ref="AU6:BH6" si="21">ROUND(AU99*1.05,0)</f>
        <v>358</v>
      </c>
      <c r="AV6">
        <f t="shared" si="21"/>
        <v>416</v>
      </c>
      <c r="AW6">
        <f t="shared" si="21"/>
        <v>469</v>
      </c>
      <c r="AX6">
        <f t="shared" si="21"/>
        <v>521</v>
      </c>
      <c r="AY6">
        <f t="shared" si="21"/>
        <v>557</v>
      </c>
      <c r="AZ6">
        <f t="shared" si="21"/>
        <v>589</v>
      </c>
      <c r="BA6">
        <f t="shared" si="21"/>
        <v>621</v>
      </c>
      <c r="BB6">
        <f t="shared" si="21"/>
        <v>653</v>
      </c>
      <c r="BC6">
        <f t="shared" si="21"/>
        <v>686</v>
      </c>
      <c r="BD6">
        <f t="shared" si="21"/>
        <v>718</v>
      </c>
      <c r="BE6">
        <f t="shared" si="21"/>
        <v>751</v>
      </c>
      <c r="BF6">
        <f t="shared" si="21"/>
        <v>783</v>
      </c>
      <c r="BG6">
        <f t="shared" si="21"/>
        <v>816</v>
      </c>
      <c r="BH6">
        <f t="shared" si="21"/>
        <v>848</v>
      </c>
      <c r="BI6">
        <v>3</v>
      </c>
      <c r="BJ6" t="s">
        <v>62</v>
      </c>
      <c r="BK6">
        <f t="shared" si="4"/>
        <v>2175</v>
      </c>
      <c r="BL6">
        <f t="shared" si="5"/>
        <v>2898</v>
      </c>
      <c r="BM6">
        <f t="shared" si="6"/>
        <v>3477</v>
      </c>
      <c r="BN6">
        <f t="shared" si="7"/>
        <v>4029</v>
      </c>
      <c r="BO6">
        <f t="shared" si="8"/>
        <v>4536</v>
      </c>
      <c r="BP6">
        <f t="shared" si="9"/>
        <v>4899</v>
      </c>
      <c r="BQ6">
        <f t="shared" si="10"/>
        <v>5229</v>
      </c>
      <c r="BR6">
        <f t="shared" si="11"/>
        <v>5565</v>
      </c>
      <c r="BS6">
        <f t="shared" si="12"/>
        <v>5895</v>
      </c>
      <c r="BT6">
        <f t="shared" si="13"/>
        <v>6231</v>
      </c>
    </row>
    <row r="7" spans="2:72" ht="15" thickBot="1">
      <c r="B7" s="17">
        <v>29999</v>
      </c>
      <c r="C7" s="18">
        <v>2.1399999999999999E-2</v>
      </c>
      <c r="E7" s="19">
        <v>74999</v>
      </c>
      <c r="F7" s="18">
        <v>2.9749999999999999E-2</v>
      </c>
      <c r="G7" s="9"/>
      <c r="I7" s="22">
        <v>300000</v>
      </c>
      <c r="J7" s="661">
        <v>2.2189999999999998E-2</v>
      </c>
      <c r="K7">
        <v>1.8169999999999999E-2</v>
      </c>
      <c r="L7" s="344"/>
      <c r="M7" s="22">
        <v>525000</v>
      </c>
      <c r="N7" s="21">
        <v>2.4469999999999999E-2</v>
      </c>
      <c r="O7" s="344"/>
      <c r="Q7" s="22">
        <v>54999</v>
      </c>
      <c r="R7" s="23">
        <v>4.9896000000000003E-2</v>
      </c>
      <c r="S7" s="23">
        <f t="shared" si="14"/>
        <v>5.2390800000000008E-2</v>
      </c>
      <c r="T7" s="87"/>
      <c r="U7" s="19">
        <v>262499</v>
      </c>
      <c r="V7" s="18">
        <v>3.3159000000000001E-2</v>
      </c>
      <c r="W7" s="18">
        <f t="shared" si="15"/>
        <v>3.4816949999999999E-2</v>
      </c>
      <c r="X7">
        <v>4</v>
      </c>
      <c r="Y7" t="s">
        <v>63</v>
      </c>
      <c r="Z7" s="11">
        <v>221</v>
      </c>
      <c r="AA7" s="11">
        <f t="shared" ref="AA7:AI7" si="22">ROUND(AA135*1.05,0)</f>
        <v>221</v>
      </c>
      <c r="AB7" s="11">
        <f t="shared" si="22"/>
        <v>221</v>
      </c>
      <c r="AC7" s="11">
        <f t="shared" si="22"/>
        <v>221</v>
      </c>
      <c r="AD7" s="11">
        <f t="shared" si="22"/>
        <v>221</v>
      </c>
      <c r="AE7" s="11">
        <f t="shared" si="22"/>
        <v>221</v>
      </c>
      <c r="AF7" s="11">
        <f t="shared" si="22"/>
        <v>221</v>
      </c>
      <c r="AG7" s="11">
        <f t="shared" si="22"/>
        <v>221</v>
      </c>
      <c r="AH7" s="11">
        <f t="shared" si="22"/>
        <v>221</v>
      </c>
      <c r="AI7" s="11">
        <f t="shared" si="22"/>
        <v>221</v>
      </c>
      <c r="AJ7" s="11">
        <f t="shared" si="1"/>
        <v>221</v>
      </c>
      <c r="AK7" s="11">
        <f t="shared" si="1"/>
        <v>221</v>
      </c>
      <c r="AL7" s="11">
        <f t="shared" si="1"/>
        <v>221</v>
      </c>
      <c r="AM7" s="11">
        <f t="shared" si="1"/>
        <v>221</v>
      </c>
      <c r="AN7" s="11">
        <f t="shared" si="1"/>
        <v>221</v>
      </c>
      <c r="AO7" s="11">
        <f t="shared" si="1"/>
        <v>221</v>
      </c>
      <c r="AQ7">
        <v>4</v>
      </c>
      <c r="AR7" t="s">
        <v>63</v>
      </c>
      <c r="AS7">
        <f t="shared" ref="AS7:AT7" si="23">ROUND(AS100*1.05,0)</f>
        <v>287</v>
      </c>
      <c r="AT7">
        <f t="shared" si="23"/>
        <v>287</v>
      </c>
      <c r="AU7">
        <f t="shared" ref="AU7:BH7" si="24">ROUND(AU100*1.05,0)</f>
        <v>287</v>
      </c>
      <c r="AV7">
        <f t="shared" si="24"/>
        <v>287</v>
      </c>
      <c r="AW7">
        <f t="shared" si="24"/>
        <v>287</v>
      </c>
      <c r="AX7">
        <f t="shared" si="24"/>
        <v>287</v>
      </c>
      <c r="AY7">
        <f t="shared" si="24"/>
        <v>287</v>
      </c>
      <c r="AZ7">
        <f t="shared" si="24"/>
        <v>287</v>
      </c>
      <c r="BA7">
        <f t="shared" si="24"/>
        <v>287</v>
      </c>
      <c r="BB7">
        <f t="shared" si="24"/>
        <v>287</v>
      </c>
      <c r="BC7">
        <f t="shared" si="24"/>
        <v>287</v>
      </c>
      <c r="BD7">
        <f t="shared" si="24"/>
        <v>287</v>
      </c>
      <c r="BE7">
        <f t="shared" si="24"/>
        <v>287</v>
      </c>
      <c r="BF7">
        <f t="shared" si="24"/>
        <v>287</v>
      </c>
      <c r="BG7">
        <f t="shared" si="24"/>
        <v>287</v>
      </c>
      <c r="BH7">
        <f t="shared" si="24"/>
        <v>287</v>
      </c>
      <c r="BI7">
        <v>4</v>
      </c>
      <c r="BJ7" t="s">
        <v>63</v>
      </c>
      <c r="BK7">
        <f t="shared" si="4"/>
        <v>2898</v>
      </c>
      <c r="BL7">
        <f t="shared" si="5"/>
        <v>2898</v>
      </c>
      <c r="BM7">
        <f t="shared" si="6"/>
        <v>2898</v>
      </c>
      <c r="BN7">
        <f t="shared" si="7"/>
        <v>2898</v>
      </c>
      <c r="BO7">
        <f t="shared" si="8"/>
        <v>2898</v>
      </c>
      <c r="BP7">
        <f t="shared" si="9"/>
        <v>2898</v>
      </c>
      <c r="BQ7">
        <f t="shared" si="10"/>
        <v>2898</v>
      </c>
      <c r="BR7">
        <f t="shared" si="11"/>
        <v>2898</v>
      </c>
      <c r="BS7">
        <f t="shared" si="12"/>
        <v>2898</v>
      </c>
      <c r="BT7">
        <f t="shared" si="13"/>
        <v>2898</v>
      </c>
    </row>
    <row r="8" spans="2:72" ht="15" thickBot="1">
      <c r="B8" s="17">
        <v>30000</v>
      </c>
      <c r="C8" s="18">
        <v>2.0459999999999999E-2</v>
      </c>
      <c r="E8" s="19">
        <v>75000</v>
      </c>
      <c r="F8" s="18">
        <v>2.9749999999999999E-2</v>
      </c>
      <c r="G8" s="9"/>
      <c r="I8" s="22">
        <v>400000</v>
      </c>
      <c r="J8" s="661">
        <v>2.2189999999999998E-2</v>
      </c>
      <c r="K8">
        <v>1.7364999999999998E-2</v>
      </c>
      <c r="L8" s="344"/>
      <c r="M8" s="22">
        <v>525001</v>
      </c>
      <c r="N8" s="21">
        <v>2.358E-2</v>
      </c>
      <c r="O8" s="344"/>
      <c r="Q8" s="22">
        <v>55000</v>
      </c>
      <c r="R8" s="23">
        <v>4.9391999999999998E-2</v>
      </c>
      <c r="S8" s="23">
        <f t="shared" si="14"/>
        <v>5.1861600000000001E-2</v>
      </c>
      <c r="T8" s="87"/>
      <c r="U8" s="19">
        <v>262500</v>
      </c>
      <c r="V8" s="18">
        <v>3.2812500000000001E-2</v>
      </c>
      <c r="W8" s="18">
        <f t="shared" si="15"/>
        <v>3.4453125000000001E-2</v>
      </c>
      <c r="X8">
        <v>5</v>
      </c>
      <c r="Y8" t="s">
        <v>64</v>
      </c>
      <c r="Z8" s="11">
        <v>221</v>
      </c>
      <c r="AA8" s="11">
        <f t="shared" ref="AA8:AI8" si="25">ROUND(AA136*1.05,0)</f>
        <v>276</v>
      </c>
      <c r="AB8" s="11">
        <f t="shared" si="25"/>
        <v>320</v>
      </c>
      <c r="AC8" s="11">
        <f t="shared" si="25"/>
        <v>361</v>
      </c>
      <c r="AD8" s="11">
        <f t="shared" si="25"/>
        <v>400</v>
      </c>
      <c r="AE8" s="11">
        <f t="shared" si="25"/>
        <v>427</v>
      </c>
      <c r="AF8" s="11">
        <f t="shared" si="25"/>
        <v>454</v>
      </c>
      <c r="AG8" s="11">
        <f t="shared" si="25"/>
        <v>479</v>
      </c>
      <c r="AH8" s="11">
        <f t="shared" si="25"/>
        <v>504</v>
      </c>
      <c r="AI8" s="11">
        <f t="shared" si="25"/>
        <v>529</v>
      </c>
      <c r="AJ8" s="11">
        <f t="shared" si="1"/>
        <v>554</v>
      </c>
      <c r="AK8" s="11">
        <f t="shared" si="1"/>
        <v>580</v>
      </c>
      <c r="AL8" s="11">
        <f t="shared" si="1"/>
        <v>605</v>
      </c>
      <c r="AM8" s="11">
        <f t="shared" si="1"/>
        <v>630</v>
      </c>
      <c r="AN8" s="11">
        <f t="shared" si="1"/>
        <v>655</v>
      </c>
      <c r="AO8" s="11">
        <f t="shared" si="1"/>
        <v>680</v>
      </c>
      <c r="AQ8">
        <v>5</v>
      </c>
      <c r="AR8" t="s">
        <v>64</v>
      </c>
      <c r="AS8">
        <v>350</v>
      </c>
      <c r="AT8">
        <f t="shared" ref="AT8" si="26">ROUND(AT101*1.05,0)</f>
        <v>358</v>
      </c>
      <c r="AU8">
        <f t="shared" ref="AU8:BH8" si="27">ROUND(AU101*1.05,0)</f>
        <v>431</v>
      </c>
      <c r="AV8">
        <f t="shared" si="27"/>
        <v>487</v>
      </c>
      <c r="AW8">
        <f t="shared" si="27"/>
        <v>542</v>
      </c>
      <c r="AX8">
        <f t="shared" si="27"/>
        <v>592</v>
      </c>
      <c r="AY8">
        <f t="shared" si="27"/>
        <v>629</v>
      </c>
      <c r="AZ8">
        <f t="shared" si="27"/>
        <v>660</v>
      </c>
      <c r="BA8">
        <f t="shared" si="27"/>
        <v>692</v>
      </c>
      <c r="BB8">
        <f t="shared" si="27"/>
        <v>725</v>
      </c>
      <c r="BC8">
        <f t="shared" si="27"/>
        <v>757</v>
      </c>
      <c r="BD8">
        <f t="shared" si="27"/>
        <v>790</v>
      </c>
      <c r="BE8">
        <f t="shared" si="27"/>
        <v>822</v>
      </c>
      <c r="BF8">
        <f t="shared" si="27"/>
        <v>855</v>
      </c>
      <c r="BG8">
        <f t="shared" si="27"/>
        <v>887</v>
      </c>
      <c r="BH8">
        <f t="shared" si="27"/>
        <v>920</v>
      </c>
      <c r="BI8">
        <v>5</v>
      </c>
      <c r="BJ8" t="s">
        <v>64</v>
      </c>
      <c r="BK8">
        <f t="shared" si="4"/>
        <v>2898</v>
      </c>
      <c r="BL8">
        <f t="shared" si="5"/>
        <v>3624</v>
      </c>
      <c r="BM8">
        <f t="shared" si="6"/>
        <v>4203</v>
      </c>
      <c r="BN8">
        <f t="shared" si="7"/>
        <v>4755</v>
      </c>
      <c r="BO8">
        <f t="shared" si="8"/>
        <v>5262</v>
      </c>
      <c r="BP8">
        <f t="shared" si="9"/>
        <v>5625</v>
      </c>
      <c r="BQ8">
        <f t="shared" si="10"/>
        <v>5955</v>
      </c>
      <c r="BR8">
        <f t="shared" si="11"/>
        <v>6288</v>
      </c>
      <c r="BS8">
        <f t="shared" si="12"/>
        <v>6621</v>
      </c>
      <c r="BT8">
        <f t="shared" si="13"/>
        <v>6954</v>
      </c>
    </row>
    <row r="9" spans="2:72" ht="15" thickBot="1">
      <c r="B9" s="17">
        <v>34999</v>
      </c>
      <c r="C9" s="18">
        <v>2.0459999999999999E-2</v>
      </c>
      <c r="E9" s="19">
        <v>99999</v>
      </c>
      <c r="F9" s="18">
        <v>2.9749999999999999E-2</v>
      </c>
      <c r="G9" s="9"/>
      <c r="I9" s="22">
        <v>500000</v>
      </c>
      <c r="J9" s="661">
        <v>2.2189999999999998E-2</v>
      </c>
      <c r="K9">
        <v>1.7364999999999998E-2</v>
      </c>
      <c r="L9" s="344"/>
      <c r="M9" s="22">
        <v>550000</v>
      </c>
      <c r="N9" s="21">
        <v>2.358E-2</v>
      </c>
      <c r="O9" s="344"/>
      <c r="Q9" s="22">
        <v>59999</v>
      </c>
      <c r="R9" s="23">
        <v>4.9391999999999998E-2</v>
      </c>
      <c r="S9" s="23">
        <f t="shared" si="14"/>
        <v>5.1861600000000001E-2</v>
      </c>
      <c r="T9" s="87"/>
      <c r="U9" s="19">
        <v>274999</v>
      </c>
      <c r="V9" s="18">
        <v>3.2812500000000001E-2</v>
      </c>
      <c r="W9" s="18">
        <f t="shared" si="15"/>
        <v>3.4453125000000001E-2</v>
      </c>
      <c r="X9">
        <v>6</v>
      </c>
      <c r="Y9" t="s">
        <v>65</v>
      </c>
      <c r="Z9" s="11">
        <v>221</v>
      </c>
      <c r="AA9" s="11">
        <f t="shared" ref="AA9:AI9" si="28">ROUND(AA137*1.05,0)</f>
        <v>386</v>
      </c>
      <c r="AB9" s="11">
        <f t="shared" si="28"/>
        <v>519</v>
      </c>
      <c r="AC9" s="11">
        <f t="shared" si="28"/>
        <v>643</v>
      </c>
      <c r="AD9" s="11">
        <f t="shared" si="28"/>
        <v>758</v>
      </c>
      <c r="AE9" s="11">
        <f t="shared" si="28"/>
        <v>841</v>
      </c>
      <c r="AF9" s="11">
        <f t="shared" si="28"/>
        <v>917</v>
      </c>
      <c r="AG9" s="11">
        <f t="shared" si="28"/>
        <v>991</v>
      </c>
      <c r="AH9" s="11">
        <f t="shared" si="28"/>
        <v>1066</v>
      </c>
      <c r="AI9" s="11">
        <f t="shared" si="28"/>
        <v>1141</v>
      </c>
      <c r="AJ9" s="11">
        <f t="shared" si="1"/>
        <v>1217</v>
      </c>
      <c r="AK9" s="11">
        <f t="shared" si="1"/>
        <v>1293</v>
      </c>
      <c r="AL9" s="11">
        <f t="shared" si="1"/>
        <v>1368</v>
      </c>
      <c r="AM9" s="11">
        <f t="shared" si="1"/>
        <v>1444</v>
      </c>
      <c r="AN9" s="11">
        <f t="shared" si="1"/>
        <v>1519</v>
      </c>
      <c r="AO9" s="11">
        <f t="shared" si="1"/>
        <v>1595</v>
      </c>
      <c r="AQ9">
        <v>6</v>
      </c>
      <c r="AR9" t="s">
        <v>65</v>
      </c>
      <c r="AS9">
        <v>350</v>
      </c>
      <c r="AT9">
        <f t="shared" ref="AT9" si="29">ROUND(AT102*1.05,0)</f>
        <v>502</v>
      </c>
      <c r="AU9">
        <f t="shared" ref="AU9:BH9" si="30">ROUND(AU102*1.05,0)</f>
        <v>717</v>
      </c>
      <c r="AV9">
        <f t="shared" si="30"/>
        <v>888</v>
      </c>
      <c r="AW9">
        <f t="shared" si="30"/>
        <v>1050</v>
      </c>
      <c r="AX9">
        <f t="shared" si="30"/>
        <v>1200</v>
      </c>
      <c r="AY9">
        <f t="shared" si="30"/>
        <v>1308</v>
      </c>
      <c r="AZ9">
        <f t="shared" si="30"/>
        <v>1406</v>
      </c>
      <c r="BA9">
        <f t="shared" si="30"/>
        <v>1503</v>
      </c>
      <c r="BB9">
        <f t="shared" si="30"/>
        <v>1600</v>
      </c>
      <c r="BC9">
        <f t="shared" si="30"/>
        <v>1698</v>
      </c>
      <c r="BD9">
        <f t="shared" si="30"/>
        <v>1796</v>
      </c>
      <c r="BE9">
        <f t="shared" si="30"/>
        <v>1893</v>
      </c>
      <c r="BF9">
        <f t="shared" si="30"/>
        <v>1991</v>
      </c>
      <c r="BG9">
        <f t="shared" si="30"/>
        <v>2088</v>
      </c>
      <c r="BH9">
        <f t="shared" si="30"/>
        <v>2186</v>
      </c>
      <c r="BI9">
        <v>6</v>
      </c>
      <c r="BJ9" t="s">
        <v>65</v>
      </c>
      <c r="BK9">
        <f t="shared" si="4"/>
        <v>2898</v>
      </c>
      <c r="BL9">
        <f t="shared" si="5"/>
        <v>5073</v>
      </c>
      <c r="BM9">
        <f t="shared" si="6"/>
        <v>6810</v>
      </c>
      <c r="BN9">
        <f t="shared" si="7"/>
        <v>8448</v>
      </c>
      <c r="BO9">
        <f t="shared" si="8"/>
        <v>9972</v>
      </c>
      <c r="BP9">
        <f t="shared" si="9"/>
        <v>11058</v>
      </c>
      <c r="BQ9">
        <f t="shared" si="10"/>
        <v>12042</v>
      </c>
      <c r="BR9">
        <f t="shared" si="11"/>
        <v>13026</v>
      </c>
      <c r="BS9">
        <f t="shared" si="12"/>
        <v>14010</v>
      </c>
      <c r="BT9">
        <f t="shared" si="13"/>
        <v>14997</v>
      </c>
    </row>
    <row r="10" spans="2:72" ht="15" thickBot="1">
      <c r="B10" s="17">
        <v>35000</v>
      </c>
      <c r="C10" s="18">
        <v>1.95E-2</v>
      </c>
      <c r="E10" s="19">
        <v>100000</v>
      </c>
      <c r="F10" s="18">
        <v>2.9749999999999999E-2</v>
      </c>
      <c r="G10" s="9"/>
      <c r="I10" s="22">
        <v>600000</v>
      </c>
      <c r="J10" s="661">
        <v>1.9140000000000001E-2</v>
      </c>
      <c r="K10">
        <v>1.6559999999999998E-2</v>
      </c>
      <c r="L10" s="344"/>
      <c r="M10" s="22">
        <v>550001</v>
      </c>
      <c r="N10" s="21">
        <v>2.2689999999999998E-2</v>
      </c>
      <c r="O10" s="344"/>
      <c r="Q10" s="22">
        <v>60000</v>
      </c>
      <c r="R10" s="23">
        <v>4.8888000000000001E-2</v>
      </c>
      <c r="S10" s="23">
        <f t="shared" si="14"/>
        <v>5.13324E-2</v>
      </c>
      <c r="T10" s="87"/>
      <c r="U10" s="19">
        <v>275000</v>
      </c>
      <c r="V10" s="18">
        <v>3.2455499999999998E-2</v>
      </c>
      <c r="W10" s="18">
        <f t="shared" si="15"/>
        <v>3.4078274999999998E-2</v>
      </c>
      <c r="X10">
        <v>7</v>
      </c>
      <c r="Y10" t="s">
        <v>66</v>
      </c>
      <c r="Z10" s="11">
        <v>221</v>
      </c>
      <c r="AA10" s="11">
        <f t="shared" ref="AA10:AI10" si="31">ROUND(AA138*1.05,0)</f>
        <v>414</v>
      </c>
      <c r="AB10" s="11">
        <f t="shared" si="31"/>
        <v>568</v>
      </c>
      <c r="AC10" s="11">
        <f t="shared" si="31"/>
        <v>712</v>
      </c>
      <c r="AD10" s="11">
        <f t="shared" si="31"/>
        <v>847</v>
      </c>
      <c r="AE10" s="11">
        <f t="shared" si="31"/>
        <v>945</v>
      </c>
      <c r="AF10" s="11">
        <f t="shared" si="31"/>
        <v>1032</v>
      </c>
      <c r="AG10" s="11">
        <f t="shared" si="31"/>
        <v>1119</v>
      </c>
      <c r="AH10" s="11">
        <f t="shared" si="31"/>
        <v>1206</v>
      </c>
      <c r="AI10" s="11">
        <f t="shared" si="31"/>
        <v>1294</v>
      </c>
      <c r="AJ10" s="11">
        <f t="shared" si="1"/>
        <v>1381</v>
      </c>
      <c r="AK10" s="11">
        <f t="shared" si="1"/>
        <v>1468</v>
      </c>
      <c r="AL10" s="11">
        <f t="shared" si="1"/>
        <v>1555</v>
      </c>
      <c r="AM10" s="11">
        <f t="shared" si="1"/>
        <v>1642</v>
      </c>
      <c r="AN10" s="11">
        <f t="shared" si="1"/>
        <v>1729</v>
      </c>
      <c r="AO10" s="11">
        <f t="shared" si="1"/>
        <v>1817</v>
      </c>
      <c r="AQ10">
        <v>7</v>
      </c>
      <c r="AR10" t="s">
        <v>66</v>
      </c>
      <c r="AS10">
        <v>350</v>
      </c>
      <c r="AT10">
        <f t="shared" ref="AT10" si="32">ROUND(AT103*1.05,0)</f>
        <v>541</v>
      </c>
      <c r="AU10">
        <f t="shared" ref="AU10:BH10" si="33">ROUND(AU103*1.05,0)</f>
        <v>794</v>
      </c>
      <c r="AV10">
        <f t="shared" si="33"/>
        <v>996</v>
      </c>
      <c r="AW10">
        <f t="shared" si="33"/>
        <v>1188</v>
      </c>
      <c r="AX10">
        <f t="shared" si="33"/>
        <v>1365</v>
      </c>
      <c r="AY10">
        <f t="shared" si="33"/>
        <v>1492</v>
      </c>
      <c r="AZ10">
        <f t="shared" si="33"/>
        <v>1607</v>
      </c>
      <c r="BA10">
        <f t="shared" si="33"/>
        <v>1721</v>
      </c>
      <c r="BB10">
        <f t="shared" si="33"/>
        <v>1835</v>
      </c>
      <c r="BC10">
        <f t="shared" si="33"/>
        <v>1950</v>
      </c>
      <c r="BD10">
        <f t="shared" si="33"/>
        <v>2064</v>
      </c>
      <c r="BE10">
        <f t="shared" si="33"/>
        <v>2179</v>
      </c>
      <c r="BF10">
        <f t="shared" si="33"/>
        <v>2293</v>
      </c>
      <c r="BG10">
        <f t="shared" si="33"/>
        <v>2408</v>
      </c>
      <c r="BH10">
        <f t="shared" si="33"/>
        <v>2522</v>
      </c>
      <c r="BI10">
        <v>7</v>
      </c>
      <c r="BJ10" t="s">
        <v>66</v>
      </c>
      <c r="BK10">
        <f t="shared" si="4"/>
        <v>2898</v>
      </c>
      <c r="BL10">
        <f t="shared" si="5"/>
        <v>5433</v>
      </c>
      <c r="BM10">
        <f t="shared" si="6"/>
        <v>7461</v>
      </c>
      <c r="BN10">
        <f t="shared" si="7"/>
        <v>9360</v>
      </c>
      <c r="BO10">
        <f t="shared" si="8"/>
        <v>11145</v>
      </c>
      <c r="BP10">
        <f t="shared" si="9"/>
        <v>12417</v>
      </c>
      <c r="BQ10">
        <f t="shared" si="10"/>
        <v>13563</v>
      </c>
      <c r="BR10">
        <f t="shared" si="11"/>
        <v>14706</v>
      </c>
      <c r="BS10">
        <f t="shared" si="12"/>
        <v>15852</v>
      </c>
      <c r="BT10">
        <f t="shared" si="13"/>
        <v>16998</v>
      </c>
    </row>
    <row r="11" spans="2:72" ht="15" thickBot="1">
      <c r="B11" s="17">
        <v>39999</v>
      </c>
      <c r="C11" s="18">
        <v>1.95E-2</v>
      </c>
      <c r="E11" s="19">
        <v>109999</v>
      </c>
      <c r="F11" s="18">
        <v>2.9749999999999999E-2</v>
      </c>
      <c r="G11" s="9"/>
      <c r="I11" s="22">
        <v>700000</v>
      </c>
      <c r="J11" s="661">
        <v>1.737E-2</v>
      </c>
      <c r="K11">
        <v>1.6559999999999998E-2</v>
      </c>
      <c r="L11" s="344"/>
      <c r="M11" s="22">
        <v>575000</v>
      </c>
      <c r="N11" s="21">
        <v>2.2689999999999998E-2</v>
      </c>
      <c r="O11" s="344"/>
      <c r="Q11" s="22">
        <v>64999</v>
      </c>
      <c r="R11" s="23">
        <v>4.8888000000000001E-2</v>
      </c>
      <c r="S11" s="23">
        <f t="shared" si="14"/>
        <v>5.13324E-2</v>
      </c>
      <c r="T11" s="87"/>
      <c r="U11" s="19">
        <v>287499</v>
      </c>
      <c r="V11" s="18">
        <v>3.2455499999999998E-2</v>
      </c>
      <c r="W11" s="18">
        <f t="shared" si="15"/>
        <v>3.4078274999999998E-2</v>
      </c>
      <c r="X11">
        <v>8</v>
      </c>
      <c r="Y11" s="53" t="s">
        <v>67</v>
      </c>
      <c r="Z11" s="11">
        <v>221</v>
      </c>
      <c r="AA11" s="11">
        <f t="shared" ref="AA11:AI11" si="34">ROUND(AA139*1.05,0)</f>
        <v>427</v>
      </c>
      <c r="AB11" s="11">
        <f t="shared" si="34"/>
        <v>593</v>
      </c>
      <c r="AC11" s="11">
        <f t="shared" si="34"/>
        <v>749</v>
      </c>
      <c r="AD11" s="11">
        <f t="shared" si="34"/>
        <v>895</v>
      </c>
      <c r="AE11" s="11">
        <f t="shared" si="34"/>
        <v>998</v>
      </c>
      <c r="AF11" s="11">
        <f t="shared" si="34"/>
        <v>1092</v>
      </c>
      <c r="AG11" s="11">
        <f t="shared" si="34"/>
        <v>1185</v>
      </c>
      <c r="AH11" s="11">
        <f t="shared" si="34"/>
        <v>1279</v>
      </c>
      <c r="AI11" s="11">
        <f t="shared" si="34"/>
        <v>1372</v>
      </c>
      <c r="AJ11" s="11">
        <f t="shared" si="1"/>
        <v>1466</v>
      </c>
      <c r="AK11" s="11">
        <f t="shared" si="1"/>
        <v>1559</v>
      </c>
      <c r="AL11" s="11">
        <f t="shared" si="1"/>
        <v>1653</v>
      </c>
      <c r="AM11" s="11">
        <f t="shared" si="1"/>
        <v>1746</v>
      </c>
      <c r="AN11" s="11">
        <f t="shared" si="1"/>
        <v>1840</v>
      </c>
      <c r="AO11" s="11">
        <f t="shared" si="1"/>
        <v>1933</v>
      </c>
      <c r="AQ11">
        <v>8</v>
      </c>
      <c r="AR11" s="53" t="s">
        <v>67</v>
      </c>
      <c r="AS11">
        <v>350</v>
      </c>
      <c r="AT11">
        <f t="shared" ref="AT11" si="35">ROUND(AT104*1.05,0)</f>
        <v>557</v>
      </c>
      <c r="AU11">
        <f t="shared" ref="AU11:BH11" si="36">ROUND(AU104*1.05,0)</f>
        <v>827</v>
      </c>
      <c r="AV11">
        <f t="shared" si="36"/>
        <v>1043</v>
      </c>
      <c r="AW11">
        <f t="shared" si="36"/>
        <v>1246</v>
      </c>
      <c r="AX11">
        <f t="shared" si="36"/>
        <v>1435</v>
      </c>
      <c r="AY11">
        <f t="shared" si="36"/>
        <v>1571</v>
      </c>
      <c r="AZ11">
        <f t="shared" si="36"/>
        <v>1693</v>
      </c>
      <c r="BA11">
        <f t="shared" si="36"/>
        <v>1813</v>
      </c>
      <c r="BB11">
        <f t="shared" si="36"/>
        <v>1935</v>
      </c>
      <c r="BC11">
        <f t="shared" si="36"/>
        <v>2057</v>
      </c>
      <c r="BD11">
        <f t="shared" si="36"/>
        <v>2179</v>
      </c>
      <c r="BE11">
        <f t="shared" si="36"/>
        <v>2301</v>
      </c>
      <c r="BF11">
        <f t="shared" si="36"/>
        <v>2422</v>
      </c>
      <c r="BG11">
        <f t="shared" si="36"/>
        <v>2544</v>
      </c>
      <c r="BH11">
        <f t="shared" si="36"/>
        <v>2666</v>
      </c>
      <c r="BI11">
        <v>8</v>
      </c>
      <c r="BJ11" t="s">
        <v>67</v>
      </c>
      <c r="BK11">
        <f t="shared" si="4"/>
        <v>2898</v>
      </c>
      <c r="BL11">
        <f t="shared" si="5"/>
        <v>5625</v>
      </c>
      <c r="BM11">
        <f t="shared" si="6"/>
        <v>7797</v>
      </c>
      <c r="BN11">
        <f t="shared" si="7"/>
        <v>9840</v>
      </c>
      <c r="BO11">
        <f t="shared" si="8"/>
        <v>11751</v>
      </c>
      <c r="BP11">
        <f t="shared" si="9"/>
        <v>13113</v>
      </c>
      <c r="BQ11">
        <f t="shared" si="10"/>
        <v>14346</v>
      </c>
      <c r="BR11">
        <f t="shared" si="11"/>
        <v>15576</v>
      </c>
      <c r="BS11">
        <f t="shared" si="12"/>
        <v>16809</v>
      </c>
      <c r="BT11">
        <f t="shared" si="13"/>
        <v>18039</v>
      </c>
    </row>
    <row r="12" spans="2:72" ht="15" thickBot="1">
      <c r="B12" s="17">
        <v>40000</v>
      </c>
      <c r="C12" s="18">
        <v>1.8550000000000001E-2</v>
      </c>
      <c r="E12" s="19">
        <v>110000</v>
      </c>
      <c r="F12" s="18">
        <v>2.963E-2</v>
      </c>
      <c r="G12" s="9"/>
      <c r="I12" s="22">
        <v>800000</v>
      </c>
      <c r="J12" s="661">
        <v>1.6230000000000001E-2</v>
      </c>
      <c r="K12">
        <v>1.5754999999999998E-2</v>
      </c>
      <c r="L12" s="344"/>
      <c r="M12" s="22">
        <v>575001</v>
      </c>
      <c r="N12" s="21">
        <v>2.181E-2</v>
      </c>
      <c r="O12" s="344"/>
      <c r="Q12" s="22">
        <v>65000</v>
      </c>
      <c r="R12" s="23">
        <v>4.8384000000000003E-2</v>
      </c>
      <c r="S12" s="23">
        <f t="shared" si="14"/>
        <v>5.0803200000000007E-2</v>
      </c>
      <c r="T12" s="87"/>
      <c r="U12" s="19">
        <v>287500</v>
      </c>
      <c r="V12" s="18">
        <v>3.2108999999999999E-2</v>
      </c>
      <c r="W12" s="18">
        <f t="shared" si="15"/>
        <v>3.371445E-2</v>
      </c>
      <c r="X12">
        <v>9</v>
      </c>
      <c r="Y12" s="53" t="s">
        <v>68</v>
      </c>
      <c r="Z12" s="11">
        <v>221</v>
      </c>
      <c r="AA12" s="11">
        <f t="shared" ref="AA12:AI12" si="37">ROUND(AA140*1.05,0)</f>
        <v>441</v>
      </c>
      <c r="AB12" s="11">
        <f t="shared" si="37"/>
        <v>617</v>
      </c>
      <c r="AC12" s="11">
        <f t="shared" si="37"/>
        <v>783</v>
      </c>
      <c r="AD12" s="11">
        <f t="shared" si="37"/>
        <v>938</v>
      </c>
      <c r="AE12" s="11">
        <f t="shared" si="37"/>
        <v>1048</v>
      </c>
      <c r="AF12" s="11">
        <f t="shared" si="37"/>
        <v>1147</v>
      </c>
      <c r="AG12" s="11">
        <f t="shared" si="37"/>
        <v>1246</v>
      </c>
      <c r="AH12" s="11">
        <f t="shared" si="37"/>
        <v>1345</v>
      </c>
      <c r="AI12" s="11">
        <f t="shared" si="37"/>
        <v>1445</v>
      </c>
      <c r="AJ12" s="11">
        <f t="shared" si="1"/>
        <v>1545</v>
      </c>
      <c r="AK12" s="11">
        <f t="shared" si="1"/>
        <v>1644</v>
      </c>
      <c r="AL12" s="11">
        <f t="shared" si="1"/>
        <v>1744</v>
      </c>
      <c r="AM12" s="11">
        <f t="shared" si="1"/>
        <v>1844</v>
      </c>
      <c r="AN12" s="11">
        <f t="shared" si="1"/>
        <v>1944</v>
      </c>
      <c r="AO12" s="11">
        <f t="shared" si="1"/>
        <v>2043</v>
      </c>
      <c r="AQ12">
        <v>9</v>
      </c>
      <c r="AR12" s="53" t="s">
        <v>68</v>
      </c>
      <c r="AS12">
        <v>350</v>
      </c>
      <c r="AT12">
        <f t="shared" ref="AT12" si="38">ROUND(AT105*1.05,0)</f>
        <v>573</v>
      </c>
      <c r="AU12">
        <f t="shared" ref="AU12:BH12" si="39">ROUND(AU105*1.05,0)</f>
        <v>860</v>
      </c>
      <c r="AV12">
        <f t="shared" si="39"/>
        <v>1089</v>
      </c>
      <c r="AW12">
        <f t="shared" si="39"/>
        <v>1304</v>
      </c>
      <c r="AX12">
        <f t="shared" si="39"/>
        <v>1505</v>
      </c>
      <c r="AY12">
        <f t="shared" si="39"/>
        <v>1649</v>
      </c>
      <c r="AZ12">
        <f t="shared" si="39"/>
        <v>1778</v>
      </c>
      <c r="BA12">
        <f t="shared" si="39"/>
        <v>1906</v>
      </c>
      <c r="BB12">
        <f t="shared" si="39"/>
        <v>2035</v>
      </c>
      <c r="BC12">
        <f t="shared" si="39"/>
        <v>2164</v>
      </c>
      <c r="BD12">
        <f t="shared" si="39"/>
        <v>2293</v>
      </c>
      <c r="BE12">
        <f t="shared" si="39"/>
        <v>2422</v>
      </c>
      <c r="BF12">
        <f t="shared" si="39"/>
        <v>2552</v>
      </c>
      <c r="BG12">
        <f t="shared" si="39"/>
        <v>2681</v>
      </c>
      <c r="BH12">
        <f t="shared" si="39"/>
        <v>2810</v>
      </c>
      <c r="BI12">
        <v>9</v>
      </c>
      <c r="BJ12" t="s">
        <v>68</v>
      </c>
      <c r="BK12">
        <f t="shared" si="4"/>
        <v>2898</v>
      </c>
      <c r="BL12">
        <f t="shared" si="5"/>
        <v>5796</v>
      </c>
      <c r="BM12">
        <f t="shared" si="6"/>
        <v>8115</v>
      </c>
      <c r="BN12">
        <f t="shared" si="7"/>
        <v>10287</v>
      </c>
      <c r="BO12">
        <f t="shared" si="8"/>
        <v>12318</v>
      </c>
      <c r="BP12">
        <f t="shared" si="9"/>
        <v>13767</v>
      </c>
      <c r="BQ12">
        <f t="shared" si="10"/>
        <v>15069</v>
      </c>
      <c r="BR12">
        <f t="shared" si="11"/>
        <v>16374</v>
      </c>
      <c r="BS12">
        <f t="shared" si="12"/>
        <v>17679</v>
      </c>
      <c r="BT12">
        <f t="shared" si="13"/>
        <v>18981</v>
      </c>
    </row>
    <row r="13" spans="2:72" ht="15" thickBot="1">
      <c r="B13" s="17">
        <v>44999</v>
      </c>
      <c r="C13" s="18">
        <v>1.8550000000000001E-2</v>
      </c>
      <c r="E13" s="19">
        <v>119999</v>
      </c>
      <c r="F13" s="18">
        <v>2.963E-2</v>
      </c>
      <c r="G13" s="9"/>
      <c r="I13" s="22">
        <v>900000</v>
      </c>
      <c r="J13" s="661">
        <v>1.5720000000000001E-2</v>
      </c>
      <c r="K13">
        <v>1.5754999999999998E-2</v>
      </c>
      <c r="L13" s="344"/>
      <c r="M13" s="22">
        <v>600000</v>
      </c>
      <c r="N13" s="21">
        <v>2.181E-2</v>
      </c>
      <c r="O13" s="344"/>
      <c r="Q13" s="22">
        <v>69999</v>
      </c>
      <c r="R13" s="23">
        <v>4.8384000000000003E-2</v>
      </c>
      <c r="S13" s="23">
        <f t="shared" si="14"/>
        <v>5.0803200000000007E-2</v>
      </c>
      <c r="T13" s="87"/>
      <c r="U13" s="19">
        <v>299999</v>
      </c>
      <c r="V13" s="18">
        <v>3.2108999999999999E-2</v>
      </c>
      <c r="W13" s="18">
        <f t="shared" si="15"/>
        <v>3.371445E-2</v>
      </c>
      <c r="X13">
        <v>10</v>
      </c>
      <c r="Y13" s="53" t="s">
        <v>69</v>
      </c>
      <c r="Z13" s="11">
        <v>221</v>
      </c>
      <c r="AA13" s="11">
        <v>500</v>
      </c>
      <c r="AB13" s="11">
        <v>650</v>
      </c>
      <c r="AC13" s="11">
        <v>800</v>
      </c>
      <c r="AD13" s="11">
        <v>950</v>
      </c>
      <c r="AE13" s="11">
        <v>1100</v>
      </c>
      <c r="AF13" s="11">
        <v>1250</v>
      </c>
      <c r="AG13" s="11">
        <v>1400</v>
      </c>
      <c r="AH13" s="11">
        <v>1550</v>
      </c>
      <c r="AI13" s="11">
        <v>1700</v>
      </c>
      <c r="AJ13" s="11">
        <v>1850</v>
      </c>
      <c r="AK13" s="11">
        <v>2000</v>
      </c>
      <c r="AL13" s="11">
        <v>2150</v>
      </c>
      <c r="AM13" s="11">
        <v>2300</v>
      </c>
      <c r="AN13" s="11">
        <v>2450</v>
      </c>
      <c r="AO13" s="11">
        <v>2600</v>
      </c>
      <c r="AQ13">
        <v>10</v>
      </c>
      <c r="AR13" s="53" t="s">
        <v>69</v>
      </c>
      <c r="AS13">
        <v>350</v>
      </c>
      <c r="AT13">
        <f>$AS$13+(150*AT3)</f>
        <v>500</v>
      </c>
      <c r="AU13">
        <f t="shared" ref="AU13:BH13" si="40">$AS$13+(150*AU3)</f>
        <v>650</v>
      </c>
      <c r="AV13">
        <f t="shared" si="40"/>
        <v>800</v>
      </c>
      <c r="AW13">
        <f t="shared" si="40"/>
        <v>950</v>
      </c>
      <c r="AX13">
        <f t="shared" si="40"/>
        <v>1100</v>
      </c>
      <c r="AY13">
        <f t="shared" si="40"/>
        <v>1250</v>
      </c>
      <c r="AZ13">
        <f t="shared" si="40"/>
        <v>1400</v>
      </c>
      <c r="BA13">
        <f t="shared" si="40"/>
        <v>1550</v>
      </c>
      <c r="BB13">
        <f t="shared" si="40"/>
        <v>1700</v>
      </c>
      <c r="BC13">
        <f t="shared" si="40"/>
        <v>1850</v>
      </c>
      <c r="BD13">
        <f t="shared" si="40"/>
        <v>2000</v>
      </c>
      <c r="BE13">
        <f t="shared" si="40"/>
        <v>2150</v>
      </c>
      <c r="BF13">
        <f t="shared" si="40"/>
        <v>2300</v>
      </c>
      <c r="BG13">
        <f t="shared" si="40"/>
        <v>2450</v>
      </c>
      <c r="BH13">
        <f t="shared" si="40"/>
        <v>2600</v>
      </c>
      <c r="BI13">
        <v>10</v>
      </c>
      <c r="BJ13" t="s">
        <v>2857</v>
      </c>
      <c r="BK13">
        <f t="shared" si="4"/>
        <v>2898</v>
      </c>
      <c r="BL13">
        <f t="shared" si="5"/>
        <v>5250</v>
      </c>
      <c r="BM13">
        <f t="shared" si="6"/>
        <v>5814</v>
      </c>
      <c r="BN13">
        <f t="shared" si="7"/>
        <v>7731</v>
      </c>
      <c r="BO13">
        <f t="shared" si="8"/>
        <v>10206</v>
      </c>
      <c r="BP13">
        <f t="shared" si="9"/>
        <v>13266</v>
      </c>
      <c r="BQ13">
        <f t="shared" si="10"/>
        <v>16980</v>
      </c>
      <c r="BR13">
        <f t="shared" si="11"/>
        <v>21054</v>
      </c>
      <c r="BS13">
        <f t="shared" si="12"/>
        <v>24846</v>
      </c>
      <c r="BT13">
        <f t="shared" si="13"/>
        <v>25095</v>
      </c>
    </row>
    <row r="14" spans="2:72" ht="15" thickBot="1">
      <c r="B14" s="17">
        <v>45000</v>
      </c>
      <c r="C14" s="18">
        <v>1.7590000000000001E-2</v>
      </c>
      <c r="E14" s="19">
        <v>120000</v>
      </c>
      <c r="F14" s="18">
        <v>2.9489999999999999E-2</v>
      </c>
      <c r="G14" s="9"/>
      <c r="I14" s="22">
        <v>1000000</v>
      </c>
      <c r="J14" s="661">
        <v>1.4561999999999999E-2</v>
      </c>
      <c r="K14">
        <v>1.495E-2</v>
      </c>
      <c r="L14" s="344"/>
      <c r="M14" s="22">
        <v>600001</v>
      </c>
      <c r="N14" s="21">
        <v>2.0920000000000001E-2</v>
      </c>
      <c r="O14" s="344"/>
      <c r="Q14" s="22">
        <v>70000</v>
      </c>
      <c r="R14" s="23">
        <v>4.7880000000000006E-2</v>
      </c>
      <c r="S14" s="23">
        <f t="shared" si="14"/>
        <v>5.0274000000000006E-2</v>
      </c>
      <c r="T14" s="87"/>
      <c r="U14" s="19">
        <v>300000</v>
      </c>
      <c r="V14" s="18">
        <v>3.1752000000000002E-2</v>
      </c>
      <c r="W14" s="18">
        <f t="shared" si="15"/>
        <v>3.3339600000000004E-2</v>
      </c>
      <c r="X14">
        <v>11</v>
      </c>
      <c r="Y14" s="53" t="s">
        <v>70</v>
      </c>
      <c r="Z14" s="11">
        <f>ROUND(Z142*0.85,0)</f>
        <v>433</v>
      </c>
      <c r="AA14" s="11">
        <f t="shared" ref="AA14:AI14" si="41">ROUND(AA142*1.05,0)</f>
        <v>534</v>
      </c>
      <c r="AB14" s="11">
        <f t="shared" si="41"/>
        <v>534</v>
      </c>
      <c r="AC14" s="11">
        <f t="shared" si="41"/>
        <v>534</v>
      </c>
      <c r="AD14" s="11">
        <f t="shared" si="41"/>
        <v>534</v>
      </c>
      <c r="AE14" s="11">
        <f t="shared" si="41"/>
        <v>534</v>
      </c>
      <c r="AF14" s="11">
        <f t="shared" si="41"/>
        <v>534</v>
      </c>
      <c r="AG14" s="11">
        <f t="shared" si="41"/>
        <v>534</v>
      </c>
      <c r="AH14" s="11">
        <f t="shared" si="41"/>
        <v>534</v>
      </c>
      <c r="AI14" s="11">
        <f t="shared" si="41"/>
        <v>534</v>
      </c>
      <c r="AJ14" s="11">
        <f t="shared" ref="AJ14:AO19" si="42">ROUND(AJ143*1.05,0)</f>
        <v>534</v>
      </c>
      <c r="AK14" s="11">
        <f t="shared" si="42"/>
        <v>534</v>
      </c>
      <c r="AL14" s="11">
        <f t="shared" si="42"/>
        <v>534</v>
      </c>
      <c r="AM14" s="11">
        <f t="shared" si="42"/>
        <v>534</v>
      </c>
      <c r="AN14" s="11">
        <f t="shared" si="42"/>
        <v>534</v>
      </c>
      <c r="AO14" s="11">
        <f t="shared" si="42"/>
        <v>534</v>
      </c>
      <c r="AQ14">
        <v>11</v>
      </c>
      <c r="AR14" s="53" t="s">
        <v>70</v>
      </c>
      <c r="AS14">
        <v>500</v>
      </c>
      <c r="AT14">
        <f t="shared" ref="AT14:BH14" si="43">ROUND(AT107*1.05,0)</f>
        <v>696</v>
      </c>
      <c r="AU14">
        <f t="shared" si="43"/>
        <v>696</v>
      </c>
      <c r="AV14">
        <f t="shared" si="43"/>
        <v>696</v>
      </c>
      <c r="AW14">
        <f t="shared" si="43"/>
        <v>696</v>
      </c>
      <c r="AX14">
        <f t="shared" si="43"/>
        <v>696</v>
      </c>
      <c r="AY14">
        <f t="shared" si="43"/>
        <v>696</v>
      </c>
      <c r="AZ14">
        <f t="shared" si="43"/>
        <v>696</v>
      </c>
      <c r="BA14">
        <f t="shared" si="43"/>
        <v>696</v>
      </c>
      <c r="BB14">
        <f t="shared" si="43"/>
        <v>696</v>
      </c>
      <c r="BC14">
        <f t="shared" si="43"/>
        <v>696</v>
      </c>
      <c r="BD14">
        <f t="shared" si="43"/>
        <v>696</v>
      </c>
      <c r="BE14">
        <f t="shared" si="43"/>
        <v>696</v>
      </c>
      <c r="BF14">
        <f t="shared" si="43"/>
        <v>696</v>
      </c>
      <c r="BG14">
        <f t="shared" si="43"/>
        <v>696</v>
      </c>
      <c r="BH14">
        <f t="shared" si="43"/>
        <v>696</v>
      </c>
      <c r="BI14">
        <v>11</v>
      </c>
      <c r="BJ14" t="s">
        <v>70</v>
      </c>
      <c r="BK14">
        <f t="shared" si="4"/>
        <v>7029</v>
      </c>
      <c r="BL14">
        <f t="shared" si="5"/>
        <v>7029</v>
      </c>
      <c r="BM14">
        <f t="shared" si="6"/>
        <v>7029</v>
      </c>
      <c r="BN14">
        <f t="shared" si="7"/>
        <v>7029</v>
      </c>
      <c r="BO14">
        <f t="shared" si="8"/>
        <v>7029</v>
      </c>
      <c r="BP14">
        <f t="shared" si="9"/>
        <v>7029</v>
      </c>
      <c r="BQ14">
        <f t="shared" si="10"/>
        <v>7029</v>
      </c>
      <c r="BR14">
        <f t="shared" si="11"/>
        <v>7029</v>
      </c>
      <c r="BS14">
        <f t="shared" si="12"/>
        <v>7029</v>
      </c>
      <c r="BT14">
        <f t="shared" si="13"/>
        <v>7029</v>
      </c>
    </row>
    <row r="15" spans="2:72" ht="15" thickBot="1">
      <c r="B15" s="17">
        <v>49999</v>
      </c>
      <c r="C15" s="18">
        <v>1.7590000000000001E-2</v>
      </c>
      <c r="E15" s="19">
        <v>129999</v>
      </c>
      <c r="F15" s="18">
        <v>2.9489999999999999E-2</v>
      </c>
      <c r="G15" s="9"/>
      <c r="I15" s="22">
        <v>1100000</v>
      </c>
      <c r="J15" s="661">
        <v>1.3404000000000001E-2</v>
      </c>
      <c r="K15">
        <v>1.495E-2</v>
      </c>
      <c r="L15" s="344"/>
      <c r="M15" s="22">
        <v>625000</v>
      </c>
      <c r="N15" s="21">
        <v>2.0920000000000001E-2</v>
      </c>
      <c r="O15" s="344"/>
      <c r="Q15" s="22">
        <v>74999</v>
      </c>
      <c r="R15" s="23">
        <v>4.7880000000000006E-2</v>
      </c>
      <c r="S15" s="23">
        <f t="shared" si="14"/>
        <v>5.0274000000000006E-2</v>
      </c>
      <c r="T15" s="87"/>
      <c r="U15" s="19">
        <v>312499</v>
      </c>
      <c r="V15" s="18">
        <v>3.1752000000000002E-2</v>
      </c>
      <c r="W15" s="18">
        <f t="shared" si="15"/>
        <v>3.3339600000000004E-2</v>
      </c>
      <c r="X15">
        <v>12</v>
      </c>
      <c r="Y15" s="53" t="s">
        <v>71</v>
      </c>
      <c r="Z15" s="11">
        <v>500</v>
      </c>
      <c r="AA15" s="11">
        <f t="shared" ref="AA15:AI15" si="44">ROUND(AA143*1.05,0)</f>
        <v>590</v>
      </c>
      <c r="AB15" s="11">
        <f t="shared" si="44"/>
        <v>634</v>
      </c>
      <c r="AC15" s="11">
        <f t="shared" si="44"/>
        <v>676</v>
      </c>
      <c r="AD15" s="11">
        <f t="shared" si="44"/>
        <v>714</v>
      </c>
      <c r="AE15" s="11">
        <f t="shared" si="44"/>
        <v>742</v>
      </c>
      <c r="AF15" s="11">
        <f t="shared" si="44"/>
        <v>768</v>
      </c>
      <c r="AG15" s="11">
        <f t="shared" si="44"/>
        <v>793</v>
      </c>
      <c r="AH15" s="11">
        <f t="shared" si="44"/>
        <v>818</v>
      </c>
      <c r="AI15" s="11">
        <f t="shared" si="44"/>
        <v>843</v>
      </c>
      <c r="AJ15" s="11">
        <f t="shared" si="42"/>
        <v>868</v>
      </c>
      <c r="AK15" s="11">
        <f t="shared" si="42"/>
        <v>894</v>
      </c>
      <c r="AL15" s="11">
        <f t="shared" si="42"/>
        <v>919</v>
      </c>
      <c r="AM15" s="11">
        <f t="shared" si="42"/>
        <v>944</v>
      </c>
      <c r="AN15" s="11">
        <f t="shared" si="42"/>
        <v>969</v>
      </c>
      <c r="AO15" s="11">
        <f t="shared" si="42"/>
        <v>994</v>
      </c>
      <c r="AQ15">
        <v>12</v>
      </c>
      <c r="AR15" s="53" t="s">
        <v>71</v>
      </c>
      <c r="AS15">
        <v>500</v>
      </c>
      <c r="AT15">
        <f t="shared" ref="AT15:BH15" si="45">ROUND(AT108*1.05,0)</f>
        <v>768</v>
      </c>
      <c r="AU15">
        <f t="shared" si="45"/>
        <v>839</v>
      </c>
      <c r="AV15">
        <f t="shared" si="45"/>
        <v>897</v>
      </c>
      <c r="AW15">
        <f t="shared" si="45"/>
        <v>950</v>
      </c>
      <c r="AX15">
        <f t="shared" si="45"/>
        <v>1001</v>
      </c>
      <c r="AY15">
        <f t="shared" si="45"/>
        <v>1037</v>
      </c>
      <c r="AZ15">
        <f t="shared" si="45"/>
        <v>1070</v>
      </c>
      <c r="BA15">
        <f t="shared" si="45"/>
        <v>1101</v>
      </c>
      <c r="BB15">
        <f t="shared" si="45"/>
        <v>1133</v>
      </c>
      <c r="BC15">
        <f t="shared" si="45"/>
        <v>1164</v>
      </c>
      <c r="BD15">
        <f t="shared" si="45"/>
        <v>1196</v>
      </c>
      <c r="BE15">
        <f t="shared" si="45"/>
        <v>1227</v>
      </c>
      <c r="BF15">
        <f t="shared" si="45"/>
        <v>1259</v>
      </c>
      <c r="BG15">
        <f t="shared" si="45"/>
        <v>1290</v>
      </c>
      <c r="BH15">
        <f t="shared" si="45"/>
        <v>1322</v>
      </c>
      <c r="BI15">
        <v>12</v>
      </c>
      <c r="BJ15" t="s">
        <v>71</v>
      </c>
      <c r="BK15">
        <f t="shared" si="4"/>
        <v>7029</v>
      </c>
      <c r="BL15">
        <f t="shared" si="5"/>
        <v>7752</v>
      </c>
      <c r="BM15">
        <f t="shared" si="6"/>
        <v>8331</v>
      </c>
      <c r="BN15">
        <f t="shared" si="7"/>
        <v>8883</v>
      </c>
      <c r="BO15">
        <f t="shared" si="8"/>
        <v>9390</v>
      </c>
      <c r="BP15">
        <f t="shared" si="9"/>
        <v>9753</v>
      </c>
      <c r="BQ15">
        <f t="shared" si="10"/>
        <v>10083</v>
      </c>
      <c r="BR15">
        <f t="shared" si="11"/>
        <v>10419</v>
      </c>
      <c r="BS15">
        <f t="shared" si="12"/>
        <v>10749</v>
      </c>
      <c r="BT15">
        <f t="shared" si="13"/>
        <v>11085</v>
      </c>
    </row>
    <row r="16" spans="2:72" ht="15" thickBot="1">
      <c r="B16" s="17">
        <v>50000</v>
      </c>
      <c r="C16" s="18">
        <v>1.712E-2</v>
      </c>
      <c r="E16" s="19">
        <v>130000</v>
      </c>
      <c r="F16" s="18">
        <v>2.9360000000000001E-2</v>
      </c>
      <c r="G16" s="9"/>
      <c r="I16" s="22">
        <v>1200000</v>
      </c>
      <c r="J16" s="661">
        <v>1.2246E-2</v>
      </c>
      <c r="K16">
        <v>1.4719999999999999E-2</v>
      </c>
      <c r="L16" s="344"/>
      <c r="M16" s="22">
        <v>625001</v>
      </c>
      <c r="N16" s="21">
        <v>2.0029999999999999E-2</v>
      </c>
      <c r="O16" s="344"/>
      <c r="Q16" s="22">
        <v>75000</v>
      </c>
      <c r="R16" s="23">
        <v>4.7376000000000001E-2</v>
      </c>
      <c r="S16" s="23">
        <f t="shared" si="14"/>
        <v>4.9744800000000006E-2</v>
      </c>
      <c r="T16" s="87"/>
      <c r="U16" s="19">
        <v>312500</v>
      </c>
      <c r="V16" s="18">
        <v>3.1394999999999999E-2</v>
      </c>
      <c r="W16" s="18">
        <f t="shared" si="15"/>
        <v>3.2964750000000001E-2</v>
      </c>
      <c r="X16">
        <v>13</v>
      </c>
      <c r="Y16" s="53" t="s">
        <v>72</v>
      </c>
      <c r="Z16" s="11">
        <v>500</v>
      </c>
      <c r="AA16" s="11">
        <f t="shared" ref="AA16:AI16" si="46">ROUND(AA144*1.05,0)</f>
        <v>700</v>
      </c>
      <c r="AB16" s="11">
        <f t="shared" si="46"/>
        <v>833</v>
      </c>
      <c r="AC16" s="11">
        <f t="shared" si="46"/>
        <v>957</v>
      </c>
      <c r="AD16" s="11">
        <f t="shared" si="46"/>
        <v>1073</v>
      </c>
      <c r="AE16" s="11">
        <f t="shared" si="46"/>
        <v>1155</v>
      </c>
      <c r="AF16" s="11">
        <f t="shared" si="46"/>
        <v>1231</v>
      </c>
      <c r="AG16" s="11">
        <f t="shared" si="46"/>
        <v>1305</v>
      </c>
      <c r="AH16" s="11">
        <f t="shared" si="46"/>
        <v>1381</v>
      </c>
      <c r="AI16" s="11">
        <f t="shared" si="46"/>
        <v>1455</v>
      </c>
      <c r="AJ16" s="11">
        <f t="shared" si="42"/>
        <v>1530</v>
      </c>
      <c r="AK16" s="11">
        <f t="shared" si="42"/>
        <v>1604</v>
      </c>
      <c r="AL16" s="11">
        <f t="shared" si="42"/>
        <v>1679</v>
      </c>
      <c r="AM16" s="11">
        <f t="shared" si="42"/>
        <v>1754</v>
      </c>
      <c r="AN16" s="11">
        <f t="shared" si="42"/>
        <v>1828</v>
      </c>
      <c r="AO16" s="11">
        <f t="shared" si="42"/>
        <v>1903</v>
      </c>
      <c r="AQ16">
        <v>13</v>
      </c>
      <c r="AR16" s="53" t="s">
        <v>72</v>
      </c>
      <c r="AS16">
        <v>500</v>
      </c>
      <c r="AT16">
        <f t="shared" ref="AT16:BH16" si="47">ROUND(AT109*1.05,0)</f>
        <v>956</v>
      </c>
      <c r="AU16">
        <f t="shared" si="47"/>
        <v>876</v>
      </c>
      <c r="AV16">
        <f t="shared" si="47"/>
        <v>1006</v>
      </c>
      <c r="AW16">
        <f t="shared" si="47"/>
        <v>1128</v>
      </c>
      <c r="AX16">
        <f t="shared" si="47"/>
        <v>1214</v>
      </c>
      <c r="AY16">
        <f t="shared" si="47"/>
        <v>1294</v>
      </c>
      <c r="AZ16">
        <f t="shared" si="47"/>
        <v>1119</v>
      </c>
      <c r="BA16">
        <f t="shared" si="47"/>
        <v>1216</v>
      </c>
      <c r="BB16">
        <f t="shared" si="47"/>
        <v>1314</v>
      </c>
      <c r="BC16">
        <f t="shared" si="47"/>
        <v>1411</v>
      </c>
      <c r="BD16">
        <f t="shared" si="47"/>
        <v>1509</v>
      </c>
      <c r="BE16">
        <f t="shared" si="47"/>
        <v>1607</v>
      </c>
      <c r="BF16">
        <f t="shared" si="47"/>
        <v>1704</v>
      </c>
      <c r="BG16">
        <f t="shared" si="47"/>
        <v>1802</v>
      </c>
      <c r="BH16">
        <f t="shared" si="47"/>
        <v>1899</v>
      </c>
      <c r="BI16">
        <v>13</v>
      </c>
      <c r="BJ16" t="s">
        <v>72</v>
      </c>
      <c r="BK16">
        <f t="shared" si="4"/>
        <v>7029</v>
      </c>
      <c r="BL16">
        <f t="shared" si="5"/>
        <v>9201</v>
      </c>
      <c r="BM16">
        <f t="shared" si="6"/>
        <v>10941</v>
      </c>
      <c r="BN16">
        <f t="shared" si="7"/>
        <v>12579</v>
      </c>
      <c r="BO16">
        <f t="shared" si="8"/>
        <v>14100</v>
      </c>
      <c r="BP16">
        <f t="shared" si="9"/>
        <v>15186</v>
      </c>
      <c r="BQ16">
        <f t="shared" si="10"/>
        <v>16170</v>
      </c>
      <c r="BR16">
        <f t="shared" si="11"/>
        <v>17157</v>
      </c>
      <c r="BS16">
        <f t="shared" si="12"/>
        <v>18141</v>
      </c>
      <c r="BT16">
        <f t="shared" si="13"/>
        <v>19128</v>
      </c>
    </row>
    <row r="17" spans="2:72" ht="15" thickBot="1">
      <c r="B17" s="17">
        <v>54999</v>
      </c>
      <c r="C17" s="18">
        <v>1.712E-2</v>
      </c>
      <c r="E17" s="19">
        <v>139999</v>
      </c>
      <c r="F17" s="18">
        <v>2.9360000000000001E-2</v>
      </c>
      <c r="G17" s="9"/>
      <c r="I17" s="22">
        <v>1300000</v>
      </c>
      <c r="J17" s="661">
        <v>1.1088000000000001E-2</v>
      </c>
      <c r="K17">
        <v>1.4719999999999999E-2</v>
      </c>
      <c r="L17" s="344"/>
      <c r="M17" s="22">
        <v>650000</v>
      </c>
      <c r="N17" s="21">
        <v>2.0029999999999999E-2</v>
      </c>
      <c r="O17" s="344"/>
      <c r="Q17" s="22">
        <v>79999</v>
      </c>
      <c r="R17" s="23">
        <v>4.7376000000000001E-2</v>
      </c>
      <c r="S17" s="23">
        <f t="shared" si="14"/>
        <v>4.9744800000000006E-2</v>
      </c>
      <c r="T17" s="87"/>
      <c r="U17" s="19">
        <v>324999</v>
      </c>
      <c r="V17" s="18">
        <v>3.1394999999999999E-2</v>
      </c>
      <c r="W17" s="18">
        <f t="shared" si="15"/>
        <v>3.2964750000000001E-2</v>
      </c>
      <c r="X17">
        <v>14</v>
      </c>
      <c r="Y17" s="53" t="s">
        <v>74</v>
      </c>
      <c r="Z17" s="11">
        <v>500</v>
      </c>
      <c r="AA17" s="11">
        <f t="shared" ref="AA17:AI17" si="48">ROUND(AA145*1.05,0)</f>
        <v>728</v>
      </c>
      <c r="AB17" s="11">
        <f t="shared" si="48"/>
        <v>882</v>
      </c>
      <c r="AC17" s="11">
        <f t="shared" si="48"/>
        <v>1027</v>
      </c>
      <c r="AD17" s="11">
        <f t="shared" si="48"/>
        <v>1162</v>
      </c>
      <c r="AE17" s="11">
        <f t="shared" si="48"/>
        <v>1259</v>
      </c>
      <c r="AF17" s="11">
        <f t="shared" si="48"/>
        <v>1346</v>
      </c>
      <c r="AG17" s="11">
        <f t="shared" si="48"/>
        <v>1433</v>
      </c>
      <c r="AH17" s="11">
        <f t="shared" si="48"/>
        <v>1520</v>
      </c>
      <c r="AI17" s="11">
        <f t="shared" si="48"/>
        <v>1608</v>
      </c>
      <c r="AJ17" s="11">
        <f t="shared" si="42"/>
        <v>1695</v>
      </c>
      <c r="AK17" s="11">
        <f t="shared" si="42"/>
        <v>1782</v>
      </c>
      <c r="AL17" s="11">
        <f t="shared" si="42"/>
        <v>1869</v>
      </c>
      <c r="AM17" s="11">
        <f t="shared" si="42"/>
        <v>1956</v>
      </c>
      <c r="AN17" s="11">
        <f t="shared" si="42"/>
        <v>2043</v>
      </c>
      <c r="AO17" s="11">
        <f t="shared" si="42"/>
        <v>2130</v>
      </c>
      <c r="AQ17">
        <v>14</v>
      </c>
      <c r="AR17" s="53" t="s">
        <v>74</v>
      </c>
      <c r="AS17">
        <v>500</v>
      </c>
      <c r="AT17">
        <f t="shared" ref="AT17:BH17" si="49">ROUND(AT110*1.05,0)</f>
        <v>949</v>
      </c>
      <c r="AU17">
        <f t="shared" si="49"/>
        <v>1203</v>
      </c>
      <c r="AV17">
        <f t="shared" si="49"/>
        <v>1406</v>
      </c>
      <c r="AW17">
        <f t="shared" si="49"/>
        <v>1596</v>
      </c>
      <c r="AX17">
        <f t="shared" si="49"/>
        <v>1773</v>
      </c>
      <c r="AY17">
        <f t="shared" si="49"/>
        <v>1901</v>
      </c>
      <c r="AZ17">
        <f t="shared" si="49"/>
        <v>2015</v>
      </c>
      <c r="BA17">
        <f t="shared" si="49"/>
        <v>2130</v>
      </c>
      <c r="BB17">
        <f t="shared" si="49"/>
        <v>2245</v>
      </c>
      <c r="BC17">
        <f t="shared" si="49"/>
        <v>2359</v>
      </c>
      <c r="BD17">
        <f t="shared" si="49"/>
        <v>2474</v>
      </c>
      <c r="BE17">
        <f t="shared" si="49"/>
        <v>2588</v>
      </c>
      <c r="BF17">
        <f t="shared" si="49"/>
        <v>2703</v>
      </c>
      <c r="BG17">
        <f t="shared" si="49"/>
        <v>2817</v>
      </c>
      <c r="BH17">
        <f t="shared" si="49"/>
        <v>2932</v>
      </c>
      <c r="BI17">
        <v>14</v>
      </c>
      <c r="BJ17" t="s">
        <v>74</v>
      </c>
      <c r="BK17">
        <f t="shared" si="4"/>
        <v>7029</v>
      </c>
      <c r="BL17">
        <f t="shared" si="5"/>
        <v>9477</v>
      </c>
      <c r="BM17">
        <f t="shared" si="6"/>
        <v>11592</v>
      </c>
      <c r="BN17">
        <f t="shared" si="7"/>
        <v>13491</v>
      </c>
      <c r="BO17">
        <f t="shared" si="8"/>
        <v>15273</v>
      </c>
      <c r="BP17">
        <f t="shared" si="9"/>
        <v>16545</v>
      </c>
      <c r="BQ17">
        <f t="shared" si="10"/>
        <v>17691</v>
      </c>
      <c r="BR17">
        <f t="shared" si="11"/>
        <v>18837</v>
      </c>
      <c r="BS17">
        <f t="shared" si="12"/>
        <v>19983</v>
      </c>
      <c r="BT17">
        <f t="shared" si="13"/>
        <v>21129</v>
      </c>
    </row>
    <row r="18" spans="2:72" ht="15" thickBot="1">
      <c r="B18" s="17">
        <v>55000</v>
      </c>
      <c r="C18" s="18">
        <v>1.6650000000000002E-2</v>
      </c>
      <c r="E18" s="19">
        <v>140000</v>
      </c>
      <c r="F18" s="18">
        <v>2.9219999999999999E-2</v>
      </c>
      <c r="G18" s="9"/>
      <c r="I18" s="22">
        <v>1400000</v>
      </c>
      <c r="J18" s="661">
        <v>9.9299999999999996E-3</v>
      </c>
      <c r="K18">
        <v>1.4489999999999999E-2</v>
      </c>
      <c r="L18" s="344"/>
      <c r="M18" s="22">
        <v>650001</v>
      </c>
      <c r="N18" s="21">
        <v>1.9140000000000001E-2</v>
      </c>
      <c r="O18" s="344"/>
      <c r="Q18" s="22">
        <v>80000</v>
      </c>
      <c r="R18" s="23">
        <v>4.6872000000000004E-2</v>
      </c>
      <c r="S18" s="23">
        <f t="shared" si="14"/>
        <v>4.9215600000000005E-2</v>
      </c>
      <c r="T18" s="87"/>
      <c r="U18" s="19">
        <v>325000</v>
      </c>
      <c r="V18" s="18">
        <v>3.10485E-2</v>
      </c>
      <c r="W18" s="18">
        <f t="shared" si="15"/>
        <v>3.2600925000000003E-2</v>
      </c>
      <c r="X18">
        <v>15</v>
      </c>
      <c r="Y18" s="53" t="s">
        <v>76</v>
      </c>
      <c r="Z18" s="11">
        <v>500</v>
      </c>
      <c r="AA18" s="11">
        <f t="shared" ref="AA18:AI18" si="50">ROUND(AA146*1.05,0)</f>
        <v>742</v>
      </c>
      <c r="AB18" s="11">
        <f t="shared" si="50"/>
        <v>907</v>
      </c>
      <c r="AC18" s="11">
        <f t="shared" si="50"/>
        <v>1063</v>
      </c>
      <c r="AD18" s="11">
        <f t="shared" si="50"/>
        <v>1209</v>
      </c>
      <c r="AE18" s="11">
        <f t="shared" si="50"/>
        <v>1313</v>
      </c>
      <c r="AF18" s="11">
        <f t="shared" si="50"/>
        <v>1406</v>
      </c>
      <c r="AG18" s="11">
        <f t="shared" si="50"/>
        <v>1499</v>
      </c>
      <c r="AH18" s="11">
        <f t="shared" si="50"/>
        <v>1593</v>
      </c>
      <c r="AI18" s="11">
        <f t="shared" si="50"/>
        <v>1687</v>
      </c>
      <c r="AJ18" s="11">
        <f t="shared" si="42"/>
        <v>1782</v>
      </c>
      <c r="AK18" s="11">
        <f t="shared" si="42"/>
        <v>1876</v>
      </c>
      <c r="AL18" s="11">
        <f t="shared" si="42"/>
        <v>1971</v>
      </c>
      <c r="AM18" s="11">
        <f t="shared" si="42"/>
        <v>2065</v>
      </c>
      <c r="AN18" s="11">
        <f t="shared" si="42"/>
        <v>2160</v>
      </c>
      <c r="AO18" s="11">
        <f t="shared" si="42"/>
        <v>2254</v>
      </c>
      <c r="AQ18">
        <v>15</v>
      </c>
      <c r="AR18" s="53" t="s">
        <v>76</v>
      </c>
      <c r="AS18">
        <v>500</v>
      </c>
      <c r="AT18">
        <f t="shared" ref="AT18:BH18" si="51">ROUND(AT111*1.05,0)</f>
        <v>966</v>
      </c>
      <c r="AU18">
        <f t="shared" si="51"/>
        <v>1236</v>
      </c>
      <c r="AV18">
        <f t="shared" si="51"/>
        <v>1452</v>
      </c>
      <c r="AW18">
        <f t="shared" si="51"/>
        <v>1655</v>
      </c>
      <c r="AX18">
        <f t="shared" si="51"/>
        <v>1845</v>
      </c>
      <c r="AY18">
        <f t="shared" si="51"/>
        <v>1980</v>
      </c>
      <c r="AZ18">
        <f t="shared" si="51"/>
        <v>2101</v>
      </c>
      <c r="BA18">
        <f t="shared" si="51"/>
        <v>2223</v>
      </c>
      <c r="BB18">
        <f t="shared" si="51"/>
        <v>2344</v>
      </c>
      <c r="BC18">
        <f t="shared" si="51"/>
        <v>2464</v>
      </c>
      <c r="BD18">
        <f t="shared" si="51"/>
        <v>2585</v>
      </c>
      <c r="BE18">
        <f t="shared" si="51"/>
        <v>2706</v>
      </c>
      <c r="BF18">
        <f t="shared" si="51"/>
        <v>2827</v>
      </c>
      <c r="BG18">
        <f t="shared" si="51"/>
        <v>2947</v>
      </c>
      <c r="BH18">
        <f t="shared" si="51"/>
        <v>3068</v>
      </c>
      <c r="BI18">
        <v>15</v>
      </c>
      <c r="BJ18" t="s">
        <v>76</v>
      </c>
      <c r="BK18">
        <f t="shared" si="4"/>
        <v>7029</v>
      </c>
      <c r="BL18">
        <f t="shared" si="5"/>
        <v>9753</v>
      </c>
      <c r="BM18">
        <f t="shared" si="6"/>
        <v>11928</v>
      </c>
      <c r="BN18">
        <f t="shared" si="7"/>
        <v>13968</v>
      </c>
      <c r="BO18">
        <f t="shared" si="8"/>
        <v>15879</v>
      </c>
      <c r="BP18">
        <f t="shared" si="9"/>
        <v>17244</v>
      </c>
      <c r="BQ18">
        <f t="shared" si="10"/>
        <v>18474</v>
      </c>
      <c r="BR18">
        <f t="shared" si="11"/>
        <v>19707</v>
      </c>
      <c r="BS18">
        <f t="shared" si="12"/>
        <v>20937</v>
      </c>
      <c r="BT18">
        <f t="shared" si="13"/>
        <v>22170</v>
      </c>
    </row>
    <row r="19" spans="2:72" ht="15" thickBot="1">
      <c r="B19" s="17">
        <v>59999</v>
      </c>
      <c r="C19" s="18">
        <v>1.6650000000000002E-2</v>
      </c>
      <c r="E19" s="19">
        <v>149999</v>
      </c>
      <c r="F19" s="18">
        <v>2.9219999999999999E-2</v>
      </c>
      <c r="G19" s="9"/>
      <c r="I19" s="22">
        <v>1500000</v>
      </c>
      <c r="J19" s="661">
        <v>9.6499999999999989E-3</v>
      </c>
      <c r="K19">
        <v>1.4489999999999999E-2</v>
      </c>
      <c r="L19" s="344"/>
      <c r="M19" s="22">
        <v>675000</v>
      </c>
      <c r="N19" s="21">
        <v>1.9140000000000001E-2</v>
      </c>
      <c r="O19" s="344"/>
      <c r="Q19" s="22">
        <v>84999</v>
      </c>
      <c r="R19" s="23">
        <v>4.6872000000000004E-2</v>
      </c>
      <c r="S19" s="23">
        <f t="shared" si="14"/>
        <v>4.9215600000000005E-2</v>
      </c>
      <c r="T19" s="87"/>
      <c r="U19" s="19">
        <v>337499</v>
      </c>
      <c r="V19" s="18">
        <v>3.10485E-2</v>
      </c>
      <c r="W19" s="18">
        <f t="shared" si="15"/>
        <v>3.2600925000000003E-2</v>
      </c>
      <c r="X19">
        <v>16</v>
      </c>
      <c r="Y19" s="53" t="s">
        <v>78</v>
      </c>
      <c r="Z19" s="11">
        <v>500</v>
      </c>
      <c r="AA19" s="11">
        <f t="shared" ref="AA19:AI19" si="52">ROUND(AA147*1.05,0)</f>
        <v>755</v>
      </c>
      <c r="AB19" s="11">
        <f t="shared" si="52"/>
        <v>931</v>
      </c>
      <c r="AC19" s="11">
        <f t="shared" si="52"/>
        <v>1097</v>
      </c>
      <c r="AD19" s="11">
        <f t="shared" si="52"/>
        <v>1252</v>
      </c>
      <c r="AE19" s="11">
        <f t="shared" si="52"/>
        <v>1362</v>
      </c>
      <c r="AF19" s="11">
        <f t="shared" si="52"/>
        <v>1461</v>
      </c>
      <c r="AG19" s="11">
        <f t="shared" si="52"/>
        <v>1560</v>
      </c>
      <c r="AH19" s="11">
        <f t="shared" si="52"/>
        <v>1659</v>
      </c>
      <c r="AI19" s="11">
        <f t="shared" si="52"/>
        <v>1759</v>
      </c>
      <c r="AJ19" s="11">
        <f t="shared" si="42"/>
        <v>1859</v>
      </c>
      <c r="AK19" s="11">
        <f t="shared" si="42"/>
        <v>1958</v>
      </c>
      <c r="AL19" s="11">
        <f t="shared" si="42"/>
        <v>2058</v>
      </c>
      <c r="AM19" s="11">
        <f t="shared" si="42"/>
        <v>2158</v>
      </c>
      <c r="AN19" s="11">
        <f t="shared" si="42"/>
        <v>2258</v>
      </c>
      <c r="AO19" s="11">
        <f t="shared" si="42"/>
        <v>2357</v>
      </c>
      <c r="AQ19">
        <v>16</v>
      </c>
      <c r="AR19" s="53" t="s">
        <v>78</v>
      </c>
      <c r="AS19">
        <v>500</v>
      </c>
      <c r="AT19">
        <f t="shared" ref="AT19:BH19" si="53">ROUND(AT112*1.05,0)</f>
        <v>983</v>
      </c>
      <c r="AU19">
        <f t="shared" si="53"/>
        <v>1269</v>
      </c>
      <c r="AV19">
        <f t="shared" si="53"/>
        <v>1498</v>
      </c>
      <c r="AW19">
        <f t="shared" si="53"/>
        <v>1714</v>
      </c>
      <c r="AX19">
        <f t="shared" si="53"/>
        <v>1914</v>
      </c>
      <c r="AY19">
        <f t="shared" si="53"/>
        <v>2057</v>
      </c>
      <c r="AZ19">
        <f t="shared" si="53"/>
        <v>2186</v>
      </c>
      <c r="BA19">
        <f t="shared" si="53"/>
        <v>2315</v>
      </c>
      <c r="BB19">
        <f t="shared" si="53"/>
        <v>2444</v>
      </c>
      <c r="BC19">
        <f t="shared" si="53"/>
        <v>2574</v>
      </c>
      <c r="BD19">
        <f t="shared" si="53"/>
        <v>2703</v>
      </c>
      <c r="BE19">
        <f t="shared" si="53"/>
        <v>2832</v>
      </c>
      <c r="BF19">
        <f t="shared" si="53"/>
        <v>2961</v>
      </c>
      <c r="BG19">
        <f t="shared" si="53"/>
        <v>3090</v>
      </c>
      <c r="BH19">
        <f t="shared" si="53"/>
        <v>3219</v>
      </c>
      <c r="BI19">
        <v>16</v>
      </c>
      <c r="BJ19" t="s">
        <v>78</v>
      </c>
      <c r="BK19">
        <f t="shared" si="4"/>
        <v>7029</v>
      </c>
      <c r="BL19">
        <f t="shared" si="5"/>
        <v>9927</v>
      </c>
      <c r="BM19">
        <f t="shared" si="6"/>
        <v>12243</v>
      </c>
      <c r="BN19">
        <f t="shared" si="7"/>
        <v>14418</v>
      </c>
      <c r="BO19">
        <f t="shared" si="8"/>
        <v>16446</v>
      </c>
      <c r="BP19">
        <f t="shared" si="9"/>
        <v>17895</v>
      </c>
      <c r="BQ19">
        <f t="shared" si="10"/>
        <v>19200</v>
      </c>
      <c r="BR19">
        <f t="shared" si="11"/>
        <v>20502</v>
      </c>
      <c r="BS19">
        <f t="shared" si="12"/>
        <v>21807</v>
      </c>
      <c r="BT19">
        <f t="shared" si="13"/>
        <v>23112</v>
      </c>
    </row>
    <row r="20" spans="2:72" ht="15" thickBot="1">
      <c r="B20" s="17">
        <v>60000</v>
      </c>
      <c r="C20" s="18">
        <v>1.617E-2</v>
      </c>
      <c r="E20" s="19">
        <v>150000</v>
      </c>
      <c r="F20" s="18">
        <v>2.9100000000000001E-2</v>
      </c>
      <c r="G20" s="9"/>
      <c r="I20" s="22">
        <v>1600000</v>
      </c>
      <c r="J20" s="661">
        <v>9.5980000000000006E-3</v>
      </c>
      <c r="K20">
        <v>1.4259999999999998E-2</v>
      </c>
      <c r="L20" s="344"/>
      <c r="M20" s="22">
        <v>675001</v>
      </c>
      <c r="N20" s="21">
        <v>1.8259999999999998E-2</v>
      </c>
      <c r="O20" s="344"/>
      <c r="Q20" s="22">
        <v>85000</v>
      </c>
      <c r="R20" s="23">
        <v>4.6367999999999999E-2</v>
      </c>
      <c r="S20" s="23">
        <f t="shared" si="14"/>
        <v>4.8686400000000005E-2</v>
      </c>
      <c r="T20" s="87"/>
      <c r="U20" s="19">
        <v>337500</v>
      </c>
      <c r="V20" s="18">
        <v>3.06915E-2</v>
      </c>
      <c r="W20" s="18">
        <f t="shared" si="15"/>
        <v>3.2226075E-2</v>
      </c>
      <c r="X20">
        <v>17</v>
      </c>
      <c r="Y20" s="53" t="s">
        <v>80</v>
      </c>
      <c r="Z20" s="11">
        <v>500</v>
      </c>
      <c r="AA20" s="11">
        <f>$Z20+(225*AA$3)</f>
        <v>725</v>
      </c>
      <c r="AB20" s="11">
        <f t="shared" ref="AB20:AO20" si="54">$Z20+(225*AB$3)</f>
        <v>950</v>
      </c>
      <c r="AC20" s="11">
        <f t="shared" si="54"/>
        <v>1175</v>
      </c>
      <c r="AD20" s="11">
        <f t="shared" si="54"/>
        <v>1400</v>
      </c>
      <c r="AE20" s="11">
        <f t="shared" si="54"/>
        <v>1625</v>
      </c>
      <c r="AF20" s="11">
        <f t="shared" si="54"/>
        <v>1850</v>
      </c>
      <c r="AG20" s="11">
        <f t="shared" si="54"/>
        <v>2075</v>
      </c>
      <c r="AH20" s="11">
        <f t="shared" si="54"/>
        <v>2300</v>
      </c>
      <c r="AI20" s="11">
        <f t="shared" si="54"/>
        <v>2525</v>
      </c>
      <c r="AJ20" s="11">
        <f t="shared" si="54"/>
        <v>2750</v>
      </c>
      <c r="AK20" s="11">
        <f t="shared" si="54"/>
        <v>2975</v>
      </c>
      <c r="AL20" s="11">
        <f t="shared" si="54"/>
        <v>3200</v>
      </c>
      <c r="AM20" s="11">
        <f t="shared" si="54"/>
        <v>3425</v>
      </c>
      <c r="AN20" s="11">
        <f t="shared" si="54"/>
        <v>3650</v>
      </c>
      <c r="AO20" s="11">
        <f t="shared" si="54"/>
        <v>3875</v>
      </c>
      <c r="AQ20">
        <v>17</v>
      </c>
      <c r="AR20" s="53" t="s">
        <v>80</v>
      </c>
      <c r="AS20" s="11">
        <v>500</v>
      </c>
      <c r="AT20" s="11">
        <f>$Z20+(225*AT$3)</f>
        <v>725</v>
      </c>
      <c r="AU20" s="11">
        <f t="shared" ref="AU20:BH20" si="55">$Z20+(225*AU$3)</f>
        <v>950</v>
      </c>
      <c r="AV20" s="11">
        <f t="shared" si="55"/>
        <v>1175</v>
      </c>
      <c r="AW20" s="11">
        <f t="shared" si="55"/>
        <v>1400</v>
      </c>
      <c r="AX20" s="11">
        <f t="shared" si="55"/>
        <v>1625</v>
      </c>
      <c r="AY20" s="11">
        <f t="shared" si="55"/>
        <v>1850</v>
      </c>
      <c r="AZ20" s="11">
        <f t="shared" si="55"/>
        <v>2075</v>
      </c>
      <c r="BA20" s="11">
        <f t="shared" si="55"/>
        <v>2300</v>
      </c>
      <c r="BB20" s="11">
        <f t="shared" si="55"/>
        <v>2525</v>
      </c>
      <c r="BC20" s="11">
        <f t="shared" si="55"/>
        <v>2750</v>
      </c>
      <c r="BD20" s="11">
        <f t="shared" si="55"/>
        <v>2975</v>
      </c>
      <c r="BE20" s="11">
        <f t="shared" si="55"/>
        <v>3200</v>
      </c>
      <c r="BF20" s="11">
        <f t="shared" si="55"/>
        <v>3425</v>
      </c>
      <c r="BG20" s="11">
        <f t="shared" si="55"/>
        <v>3650</v>
      </c>
      <c r="BH20" s="11">
        <f t="shared" si="55"/>
        <v>3875</v>
      </c>
      <c r="BI20">
        <v>17</v>
      </c>
      <c r="BJ20" t="s">
        <v>2858</v>
      </c>
      <c r="BK20">
        <f t="shared" si="4"/>
        <v>7029</v>
      </c>
      <c r="BL20">
        <f t="shared" si="5"/>
        <v>10446</v>
      </c>
      <c r="BM20">
        <f t="shared" si="6"/>
        <v>13185</v>
      </c>
      <c r="BN20">
        <f t="shared" si="7"/>
        <v>15750</v>
      </c>
      <c r="BO20">
        <f t="shared" si="8"/>
        <v>18141</v>
      </c>
      <c r="BP20">
        <f t="shared" si="9"/>
        <v>19851</v>
      </c>
      <c r="BQ20">
        <f t="shared" si="10"/>
        <v>21387</v>
      </c>
      <c r="BR20">
        <f t="shared" si="11"/>
        <v>22923</v>
      </c>
      <c r="BS20">
        <f t="shared" si="12"/>
        <v>24462</v>
      </c>
      <c r="BT20">
        <f t="shared" si="13"/>
        <v>25995</v>
      </c>
    </row>
    <row r="21" spans="2:72" ht="15" thickBot="1">
      <c r="B21" s="17">
        <v>64999</v>
      </c>
      <c r="C21" s="18">
        <v>1.617E-2</v>
      </c>
      <c r="E21" s="19">
        <v>159999</v>
      </c>
      <c r="F21" s="18">
        <v>2.9100000000000001E-2</v>
      </c>
      <c r="G21" s="9"/>
      <c r="I21" s="22">
        <v>1700000</v>
      </c>
      <c r="J21" s="661">
        <v>9.5460000000000007E-3</v>
      </c>
      <c r="K21">
        <v>1.4259999999999998E-2</v>
      </c>
      <c r="L21" s="344"/>
      <c r="M21" s="22">
        <v>700000</v>
      </c>
      <c r="N21" s="21">
        <v>1.8259999999999998E-2</v>
      </c>
      <c r="O21" s="344"/>
      <c r="Q21" s="22">
        <v>89999</v>
      </c>
      <c r="R21" s="23">
        <v>4.6367999999999999E-2</v>
      </c>
      <c r="S21" s="23">
        <f t="shared" si="14"/>
        <v>4.8686400000000005E-2</v>
      </c>
      <c r="T21" s="87"/>
      <c r="U21" s="19">
        <v>349999</v>
      </c>
      <c r="V21" s="18">
        <v>3.06915E-2</v>
      </c>
      <c r="W21" s="18">
        <f t="shared" si="15"/>
        <v>3.2226075E-2</v>
      </c>
      <c r="X21">
        <v>18</v>
      </c>
      <c r="Y21" s="53" t="s">
        <v>82</v>
      </c>
      <c r="Z21" s="11">
        <f t="shared" ref="Z21:Z46" si="56">$Z192</f>
        <v>2159</v>
      </c>
      <c r="AA21" s="11">
        <f t="shared" ref="AA21:AO21" si="57">$Z21+($AA192*AA$3)</f>
        <v>2711</v>
      </c>
      <c r="AB21" s="11">
        <f t="shared" si="57"/>
        <v>3263</v>
      </c>
      <c r="AC21" s="11">
        <f t="shared" si="57"/>
        <v>3815</v>
      </c>
      <c r="AD21" s="11">
        <f t="shared" si="57"/>
        <v>4367</v>
      </c>
      <c r="AE21" s="11">
        <f t="shared" si="57"/>
        <v>4919</v>
      </c>
      <c r="AF21" s="11">
        <f t="shared" si="57"/>
        <v>5471</v>
      </c>
      <c r="AG21" s="11">
        <f t="shared" si="57"/>
        <v>6023</v>
      </c>
      <c r="AH21" s="11">
        <f t="shared" si="57"/>
        <v>6575</v>
      </c>
      <c r="AI21" s="11">
        <f t="shared" si="57"/>
        <v>7127</v>
      </c>
      <c r="AJ21" s="11">
        <f t="shared" si="57"/>
        <v>7679</v>
      </c>
      <c r="AK21" s="11">
        <f t="shared" si="57"/>
        <v>8231</v>
      </c>
      <c r="AL21" s="11">
        <f t="shared" si="57"/>
        <v>8783</v>
      </c>
      <c r="AM21" s="11">
        <f t="shared" si="57"/>
        <v>9335</v>
      </c>
      <c r="AN21" s="11">
        <f t="shared" si="57"/>
        <v>9887</v>
      </c>
      <c r="AO21" s="11">
        <f t="shared" si="57"/>
        <v>10439</v>
      </c>
      <c r="AQ21">
        <v>18</v>
      </c>
      <c r="AR21" s="53" t="s">
        <v>82</v>
      </c>
      <c r="AS21" s="11">
        <f t="shared" ref="AS21:AS46" si="58">$Z192</f>
        <v>2159</v>
      </c>
      <c r="AT21" s="11">
        <f t="shared" ref="AT21:BH21" si="59">$Z21+($AA192*AT$3)</f>
        <v>2711</v>
      </c>
      <c r="AU21" s="11">
        <f t="shared" si="59"/>
        <v>3263</v>
      </c>
      <c r="AV21" s="11">
        <f t="shared" si="59"/>
        <v>3815</v>
      </c>
      <c r="AW21" s="11">
        <f t="shared" si="59"/>
        <v>4367</v>
      </c>
      <c r="AX21" s="11">
        <f t="shared" si="59"/>
        <v>4919</v>
      </c>
      <c r="AY21" s="11">
        <f t="shared" si="59"/>
        <v>5471</v>
      </c>
      <c r="AZ21" s="11">
        <f t="shared" si="59"/>
        <v>6023</v>
      </c>
      <c r="BA21" s="11">
        <f t="shared" si="59"/>
        <v>6575</v>
      </c>
      <c r="BB21" s="11">
        <f t="shared" si="59"/>
        <v>7127</v>
      </c>
      <c r="BC21" s="11">
        <f t="shared" si="59"/>
        <v>7679</v>
      </c>
      <c r="BD21" s="11">
        <f t="shared" si="59"/>
        <v>8231</v>
      </c>
      <c r="BE21" s="11">
        <f t="shared" si="59"/>
        <v>8783</v>
      </c>
      <c r="BF21" s="11">
        <f t="shared" si="59"/>
        <v>9335</v>
      </c>
      <c r="BG21" s="11">
        <f t="shared" si="59"/>
        <v>9887</v>
      </c>
      <c r="BH21" s="11">
        <f t="shared" si="59"/>
        <v>10439</v>
      </c>
      <c r="BI21">
        <v>18</v>
      </c>
      <c r="BJ21" s="53" t="s">
        <v>2859</v>
      </c>
      <c r="BK21">
        <f t="shared" si="4"/>
        <v>13707</v>
      </c>
      <c r="BL21">
        <f t="shared" si="5"/>
        <v>20370</v>
      </c>
      <c r="BM21">
        <f t="shared" si="6"/>
        <v>25710</v>
      </c>
      <c r="BN21">
        <f t="shared" si="7"/>
        <v>30714</v>
      </c>
      <c r="BO21">
        <f t="shared" si="8"/>
        <v>35376</v>
      </c>
      <c r="BP21">
        <f t="shared" si="9"/>
        <v>38709</v>
      </c>
      <c r="BQ21">
        <f t="shared" si="10"/>
        <v>41706</v>
      </c>
      <c r="BR21">
        <f t="shared" si="11"/>
        <v>44700</v>
      </c>
      <c r="BS21">
        <f t="shared" si="12"/>
        <v>47700</v>
      </c>
      <c r="BT21">
        <f t="shared" si="13"/>
        <v>50691</v>
      </c>
    </row>
    <row r="22" spans="2:72" ht="15" thickBot="1">
      <c r="B22" s="17">
        <v>65000</v>
      </c>
      <c r="C22" s="18">
        <v>1.5699999999999999E-2</v>
      </c>
      <c r="E22" s="19">
        <v>160000</v>
      </c>
      <c r="F22" s="18">
        <v>2.896E-2</v>
      </c>
      <c r="G22" s="9"/>
      <c r="I22" s="22">
        <v>1800000</v>
      </c>
      <c r="J22" s="661">
        <v>9.4940000000000007E-3</v>
      </c>
      <c r="K22">
        <v>1.4029999999999997E-2</v>
      </c>
      <c r="L22" s="344"/>
      <c r="M22" s="22">
        <v>700001</v>
      </c>
      <c r="N22" s="21">
        <v>1.737E-2</v>
      </c>
      <c r="O22" s="344"/>
      <c r="Q22" s="22">
        <v>90000</v>
      </c>
      <c r="R22" s="23">
        <v>4.5863999999999995E-2</v>
      </c>
      <c r="S22" s="23">
        <f t="shared" si="14"/>
        <v>4.8157199999999997E-2</v>
      </c>
      <c r="T22" s="87"/>
      <c r="U22" s="19">
        <v>350000</v>
      </c>
      <c r="V22" s="18">
        <v>3.0345E-2</v>
      </c>
      <c r="W22" s="18">
        <f t="shared" si="15"/>
        <v>3.1862250000000002E-2</v>
      </c>
      <c r="X22">
        <v>19</v>
      </c>
      <c r="Y22" s="53" t="s">
        <v>4007</v>
      </c>
      <c r="Z22" s="11">
        <f t="shared" si="56"/>
        <v>2669</v>
      </c>
      <c r="AA22" s="11">
        <f t="shared" ref="AA22:AO22" si="60">$Z22+($AA193*AA$3)</f>
        <v>3358.4250000000002</v>
      </c>
      <c r="AB22" s="11">
        <f t="shared" si="60"/>
        <v>4047.85</v>
      </c>
      <c r="AC22" s="11">
        <f t="shared" si="60"/>
        <v>4737.2749999999996</v>
      </c>
      <c r="AD22" s="11">
        <f t="shared" si="60"/>
        <v>5426.7</v>
      </c>
      <c r="AE22" s="11">
        <f t="shared" si="60"/>
        <v>6116.125</v>
      </c>
      <c r="AF22" s="11">
        <f t="shared" si="60"/>
        <v>6805.5499999999993</v>
      </c>
      <c r="AG22" s="11">
        <f t="shared" si="60"/>
        <v>7494.9749999999995</v>
      </c>
      <c r="AH22" s="11">
        <f t="shared" si="60"/>
        <v>8184.4</v>
      </c>
      <c r="AI22" s="11">
        <f t="shared" si="60"/>
        <v>8873.8250000000007</v>
      </c>
      <c r="AJ22" s="11">
        <f t="shared" si="60"/>
        <v>9563.25</v>
      </c>
      <c r="AK22" s="11">
        <f t="shared" si="60"/>
        <v>10252.674999999999</v>
      </c>
      <c r="AL22" s="11">
        <f t="shared" si="60"/>
        <v>10942.099999999999</v>
      </c>
      <c r="AM22" s="11">
        <f t="shared" si="60"/>
        <v>11631.525</v>
      </c>
      <c r="AN22" s="11">
        <f t="shared" si="60"/>
        <v>12320.949999999999</v>
      </c>
      <c r="AO22" s="11">
        <f t="shared" si="60"/>
        <v>13010.375</v>
      </c>
      <c r="AQ22">
        <v>19</v>
      </c>
      <c r="AR22" s="53" t="s">
        <v>4007</v>
      </c>
      <c r="AS22" s="11">
        <f t="shared" si="58"/>
        <v>2669</v>
      </c>
      <c r="AT22" s="11">
        <f t="shared" ref="AT22:BH22" si="61">$Z22+($AA193*AT$3)</f>
        <v>3358.4250000000002</v>
      </c>
      <c r="AU22" s="11">
        <f t="shared" si="61"/>
        <v>4047.85</v>
      </c>
      <c r="AV22" s="11">
        <f t="shared" si="61"/>
        <v>4737.2749999999996</v>
      </c>
      <c r="AW22" s="11">
        <f t="shared" si="61"/>
        <v>5426.7</v>
      </c>
      <c r="AX22" s="11">
        <f t="shared" si="61"/>
        <v>6116.125</v>
      </c>
      <c r="AY22" s="11">
        <f t="shared" si="61"/>
        <v>6805.5499999999993</v>
      </c>
      <c r="AZ22" s="11">
        <f t="shared" si="61"/>
        <v>7494.9749999999995</v>
      </c>
      <c r="BA22" s="11">
        <f t="shared" si="61"/>
        <v>8184.4</v>
      </c>
      <c r="BB22" s="11">
        <f t="shared" si="61"/>
        <v>8873.8250000000007</v>
      </c>
      <c r="BC22" s="11">
        <f t="shared" si="61"/>
        <v>9563.25</v>
      </c>
      <c r="BD22" s="11">
        <f t="shared" si="61"/>
        <v>10252.674999999999</v>
      </c>
      <c r="BE22" s="11">
        <f t="shared" si="61"/>
        <v>10942.099999999999</v>
      </c>
      <c r="BF22" s="11">
        <f t="shared" si="61"/>
        <v>11631.525</v>
      </c>
      <c r="BG22" s="11">
        <f t="shared" si="61"/>
        <v>12320.949999999999</v>
      </c>
      <c r="BH22" s="11">
        <f t="shared" si="61"/>
        <v>13010.375</v>
      </c>
      <c r="BI22">
        <v>19</v>
      </c>
      <c r="BJ22" s="53" t="s">
        <v>2860</v>
      </c>
      <c r="BK22">
        <f t="shared" si="4"/>
        <v>20385</v>
      </c>
      <c r="BL22">
        <f t="shared" si="5"/>
        <v>30294</v>
      </c>
      <c r="BM22">
        <f t="shared" si="6"/>
        <v>38238</v>
      </c>
      <c r="BN22">
        <f t="shared" si="7"/>
        <v>45675</v>
      </c>
      <c r="BO22">
        <f t="shared" si="8"/>
        <v>52608</v>
      </c>
      <c r="BP22">
        <f t="shared" si="9"/>
        <v>57567</v>
      </c>
      <c r="BQ22">
        <f t="shared" si="10"/>
        <v>62022</v>
      </c>
      <c r="BR22">
        <f t="shared" si="11"/>
        <v>66477</v>
      </c>
      <c r="BS22">
        <f t="shared" si="12"/>
        <v>70941</v>
      </c>
      <c r="BT22">
        <f t="shared" si="13"/>
        <v>75387</v>
      </c>
    </row>
    <row r="23" spans="2:72" ht="15" thickBot="1">
      <c r="B23" s="17">
        <v>69999</v>
      </c>
      <c r="C23" s="18">
        <v>1.5699999999999999E-2</v>
      </c>
      <c r="E23" s="19">
        <v>169999</v>
      </c>
      <c r="F23" s="18">
        <v>2.896E-2</v>
      </c>
      <c r="G23" s="9"/>
      <c r="I23" s="22">
        <v>1900000</v>
      </c>
      <c r="J23" s="661">
        <v>9.4420000000000007E-3</v>
      </c>
      <c r="K23">
        <v>1.4029999999999997E-2</v>
      </c>
      <c r="L23" s="344"/>
      <c r="M23" s="22">
        <v>725000</v>
      </c>
      <c r="N23" s="21">
        <v>1.737E-2</v>
      </c>
      <c r="O23" s="344"/>
      <c r="Q23" s="22">
        <v>94999</v>
      </c>
      <c r="R23" s="23">
        <v>4.5863999999999995E-2</v>
      </c>
      <c r="S23" s="23">
        <f t="shared" si="14"/>
        <v>4.8157199999999997E-2</v>
      </c>
      <c r="T23" s="87"/>
      <c r="U23" s="19">
        <v>362499</v>
      </c>
      <c r="V23" s="18">
        <v>3.0345E-2</v>
      </c>
      <c r="W23" s="18">
        <f t="shared" si="15"/>
        <v>3.1862250000000002E-2</v>
      </c>
      <c r="X23">
        <v>20</v>
      </c>
      <c r="Y23" s="53" t="s">
        <v>84</v>
      </c>
      <c r="Z23" s="11">
        <f t="shared" si="56"/>
        <v>2966</v>
      </c>
      <c r="AA23" s="11">
        <f t="shared" ref="AA23:AO23" si="62">$Z23+($AA194*AA$3)</f>
        <v>3709.1875</v>
      </c>
      <c r="AB23" s="11">
        <f t="shared" si="62"/>
        <v>4452.375</v>
      </c>
      <c r="AC23" s="11">
        <f t="shared" si="62"/>
        <v>5195.5625</v>
      </c>
      <c r="AD23" s="11">
        <f t="shared" si="62"/>
        <v>5938.75</v>
      </c>
      <c r="AE23" s="11">
        <f t="shared" si="62"/>
        <v>6681.9375</v>
      </c>
      <c r="AF23" s="11">
        <f t="shared" si="62"/>
        <v>7425.1249999999991</v>
      </c>
      <c r="AG23" s="11">
        <f t="shared" si="62"/>
        <v>8168.3124999999991</v>
      </c>
      <c r="AH23" s="11">
        <f t="shared" si="62"/>
        <v>8911.5</v>
      </c>
      <c r="AI23" s="11">
        <f t="shared" si="62"/>
        <v>9654.6875</v>
      </c>
      <c r="AJ23" s="11">
        <f t="shared" si="62"/>
        <v>10397.875</v>
      </c>
      <c r="AK23" s="11">
        <f t="shared" si="62"/>
        <v>11141.0625</v>
      </c>
      <c r="AL23" s="11">
        <f t="shared" si="62"/>
        <v>11884.249999999998</v>
      </c>
      <c r="AM23" s="11">
        <f t="shared" si="62"/>
        <v>12627.437499999998</v>
      </c>
      <c r="AN23" s="11">
        <f t="shared" si="62"/>
        <v>13370.624999999998</v>
      </c>
      <c r="AO23" s="11">
        <f t="shared" si="62"/>
        <v>14113.812499999998</v>
      </c>
      <c r="AQ23">
        <v>20</v>
      </c>
      <c r="AR23" s="53" t="s">
        <v>84</v>
      </c>
      <c r="AS23" s="11">
        <f t="shared" si="58"/>
        <v>2966</v>
      </c>
      <c r="AT23" s="11">
        <f t="shared" ref="AT23:BH23" si="63">$Z23+($AA194*AT$3)</f>
        <v>3709.1875</v>
      </c>
      <c r="AU23" s="11">
        <f t="shared" si="63"/>
        <v>4452.375</v>
      </c>
      <c r="AV23" s="11">
        <f t="shared" si="63"/>
        <v>5195.5625</v>
      </c>
      <c r="AW23" s="11">
        <f t="shared" si="63"/>
        <v>5938.75</v>
      </c>
      <c r="AX23" s="11">
        <f t="shared" si="63"/>
        <v>6681.9375</v>
      </c>
      <c r="AY23" s="11">
        <f t="shared" si="63"/>
        <v>7425.1249999999991</v>
      </c>
      <c r="AZ23" s="11">
        <f t="shared" si="63"/>
        <v>8168.3124999999991</v>
      </c>
      <c r="BA23" s="11">
        <f t="shared" si="63"/>
        <v>8911.5</v>
      </c>
      <c r="BB23" s="11">
        <f t="shared" si="63"/>
        <v>9654.6875</v>
      </c>
      <c r="BC23" s="11">
        <f t="shared" si="63"/>
        <v>10397.875</v>
      </c>
      <c r="BD23" s="11">
        <f t="shared" si="63"/>
        <v>11141.0625</v>
      </c>
      <c r="BE23" s="11">
        <f t="shared" si="63"/>
        <v>11884.249999999998</v>
      </c>
      <c r="BF23" s="11">
        <f t="shared" si="63"/>
        <v>12627.437499999998</v>
      </c>
      <c r="BG23" s="11">
        <f t="shared" si="63"/>
        <v>13370.624999999998</v>
      </c>
      <c r="BH23" s="11">
        <f t="shared" si="63"/>
        <v>14113.812499999998</v>
      </c>
      <c r="BI23">
        <v>20</v>
      </c>
      <c r="BJ23" s="53" t="s">
        <v>2861</v>
      </c>
      <c r="BK23">
        <f t="shared" si="4"/>
        <v>23898</v>
      </c>
      <c r="BL23">
        <f t="shared" si="5"/>
        <v>35517</v>
      </c>
      <c r="BM23">
        <f t="shared" si="6"/>
        <v>44829</v>
      </c>
      <c r="BN23">
        <f t="shared" si="7"/>
        <v>53550</v>
      </c>
      <c r="BO23">
        <f t="shared" si="8"/>
        <v>61680</v>
      </c>
      <c r="BP23">
        <f t="shared" si="9"/>
        <v>67494</v>
      </c>
      <c r="BQ23">
        <f t="shared" si="10"/>
        <v>72717</v>
      </c>
      <c r="BR23">
        <f t="shared" si="11"/>
        <v>77937</v>
      </c>
      <c r="BS23">
        <f t="shared" si="12"/>
        <v>83172</v>
      </c>
      <c r="BT23">
        <f t="shared" si="13"/>
        <v>88383</v>
      </c>
    </row>
    <row r="24" spans="2:72" ht="15" thickBot="1">
      <c r="B24" s="17">
        <v>70000</v>
      </c>
      <c r="C24" s="18">
        <v>1.521E-2</v>
      </c>
      <c r="E24" s="19">
        <v>170000</v>
      </c>
      <c r="F24" s="18">
        <v>2.8830000000000001E-2</v>
      </c>
      <c r="G24" s="9"/>
      <c r="I24" s="22">
        <v>2000000</v>
      </c>
      <c r="J24" s="661">
        <v>9.389999999999999E-3</v>
      </c>
      <c r="K24">
        <v>1.38E-2</v>
      </c>
      <c r="L24" s="344"/>
      <c r="M24" s="22">
        <v>725001</v>
      </c>
      <c r="N24" s="21">
        <v>1.6490000000000001E-2</v>
      </c>
      <c r="O24" s="344"/>
      <c r="Q24" s="22">
        <v>95000</v>
      </c>
      <c r="R24" s="23">
        <v>4.5360000000000004E-2</v>
      </c>
      <c r="S24" s="23">
        <f t="shared" si="14"/>
        <v>4.7628000000000004E-2</v>
      </c>
      <c r="T24" s="87"/>
      <c r="U24" s="19">
        <v>362500</v>
      </c>
      <c r="V24" s="18">
        <v>2.9988000000000001E-2</v>
      </c>
      <c r="W24" s="18">
        <f t="shared" si="15"/>
        <v>3.1487399999999999E-2</v>
      </c>
      <c r="X24">
        <v>21</v>
      </c>
      <c r="Y24" s="53" t="s">
        <v>3983</v>
      </c>
      <c r="Z24" s="11">
        <f t="shared" si="56"/>
        <v>3264</v>
      </c>
      <c r="AA24" s="11">
        <f t="shared" ref="AA24:AO24" si="64">$Z24+($AA195*AA$3)</f>
        <v>4086.25</v>
      </c>
      <c r="AB24" s="11">
        <f t="shared" si="64"/>
        <v>4908.5</v>
      </c>
      <c r="AC24" s="11">
        <f t="shared" si="64"/>
        <v>5730.75</v>
      </c>
      <c r="AD24" s="11">
        <f t="shared" si="64"/>
        <v>6553</v>
      </c>
      <c r="AE24" s="11">
        <f t="shared" si="64"/>
        <v>7375.2499999999991</v>
      </c>
      <c r="AF24" s="11">
        <f t="shared" si="64"/>
        <v>8197.5</v>
      </c>
      <c r="AG24" s="11">
        <f t="shared" si="64"/>
        <v>9019.75</v>
      </c>
      <c r="AH24" s="11">
        <f t="shared" si="64"/>
        <v>9842</v>
      </c>
      <c r="AI24" s="11">
        <f t="shared" si="64"/>
        <v>10664.25</v>
      </c>
      <c r="AJ24" s="11">
        <f t="shared" si="64"/>
        <v>11486.499999999998</v>
      </c>
      <c r="AK24" s="11">
        <f t="shared" si="64"/>
        <v>12308.749999999998</v>
      </c>
      <c r="AL24" s="11">
        <f t="shared" si="64"/>
        <v>13130.999999999998</v>
      </c>
      <c r="AM24" s="11">
        <f t="shared" si="64"/>
        <v>13953.249999999998</v>
      </c>
      <c r="AN24" s="11">
        <f t="shared" si="64"/>
        <v>14775.499999999998</v>
      </c>
      <c r="AO24" s="11">
        <f t="shared" si="64"/>
        <v>15597.749999999998</v>
      </c>
      <c r="AQ24">
        <v>21</v>
      </c>
      <c r="AR24" s="53" t="s">
        <v>3983</v>
      </c>
      <c r="AS24" s="11">
        <f t="shared" si="58"/>
        <v>3264</v>
      </c>
      <c r="AT24" s="11">
        <f t="shared" ref="AT24:BH24" si="65">$Z24+($AA195*AT$3)</f>
        <v>4086.25</v>
      </c>
      <c r="AU24" s="11">
        <f t="shared" si="65"/>
        <v>4908.5</v>
      </c>
      <c r="AV24" s="11">
        <f t="shared" si="65"/>
        <v>5730.75</v>
      </c>
      <c r="AW24" s="11">
        <f t="shared" si="65"/>
        <v>6553</v>
      </c>
      <c r="AX24" s="11">
        <f t="shared" si="65"/>
        <v>7375.2499999999991</v>
      </c>
      <c r="AY24" s="11">
        <f t="shared" si="65"/>
        <v>8197.5</v>
      </c>
      <c r="AZ24" s="11">
        <f t="shared" si="65"/>
        <v>9019.75</v>
      </c>
      <c r="BA24" s="11">
        <f t="shared" si="65"/>
        <v>9842</v>
      </c>
      <c r="BB24" s="11">
        <f t="shared" si="65"/>
        <v>10664.25</v>
      </c>
      <c r="BC24" s="11">
        <f t="shared" si="65"/>
        <v>11486.499999999998</v>
      </c>
      <c r="BD24" s="11">
        <f t="shared" si="65"/>
        <v>12308.749999999998</v>
      </c>
      <c r="BE24" s="11">
        <f t="shared" si="65"/>
        <v>13130.999999999998</v>
      </c>
      <c r="BF24" s="11">
        <f t="shared" si="65"/>
        <v>13953.249999999998</v>
      </c>
      <c r="BG24" s="11">
        <f t="shared" si="65"/>
        <v>14775.499999999998</v>
      </c>
      <c r="BH24" s="11">
        <f t="shared" si="65"/>
        <v>15597.749999999998</v>
      </c>
    </row>
    <row r="25" spans="2:72" ht="15" thickBot="1">
      <c r="B25" s="17">
        <v>74999</v>
      </c>
      <c r="C25" s="18">
        <v>1.521E-2</v>
      </c>
      <c r="E25" s="19">
        <v>179999</v>
      </c>
      <c r="F25" s="18">
        <v>2.8830000000000001E-2</v>
      </c>
      <c r="G25" s="9"/>
      <c r="I25" s="22">
        <v>2100000</v>
      </c>
      <c r="J25" s="661">
        <v>9.3509999999999999E-3</v>
      </c>
      <c r="K25">
        <v>1.38E-2</v>
      </c>
      <c r="L25" s="344"/>
      <c r="M25" s="22">
        <v>750000</v>
      </c>
      <c r="N25" s="21">
        <v>1.6490000000000001E-2</v>
      </c>
      <c r="O25" s="344"/>
      <c r="Q25" s="22">
        <v>99999</v>
      </c>
      <c r="R25" s="23">
        <v>4.5360000000000004E-2</v>
      </c>
      <c r="S25" s="23">
        <f t="shared" si="14"/>
        <v>4.7628000000000004E-2</v>
      </c>
      <c r="T25" s="87"/>
      <c r="U25" s="19">
        <v>374999</v>
      </c>
      <c r="V25" s="18">
        <v>2.9988000000000001E-2</v>
      </c>
      <c r="W25" s="18">
        <f t="shared" si="15"/>
        <v>3.1487399999999999E-2</v>
      </c>
      <c r="X25">
        <v>22</v>
      </c>
      <c r="Y25" s="53" t="s">
        <v>3984</v>
      </c>
      <c r="Z25" s="11">
        <f t="shared" si="56"/>
        <v>3561</v>
      </c>
      <c r="AA25" s="11">
        <f t="shared" ref="AA25:AO25" si="66">$Z25+($AA196*AA$3)</f>
        <v>4465.4750000000004</v>
      </c>
      <c r="AB25" s="11">
        <f t="shared" si="66"/>
        <v>5369.95</v>
      </c>
      <c r="AC25" s="11">
        <f t="shared" si="66"/>
        <v>6274.4250000000002</v>
      </c>
      <c r="AD25" s="11">
        <f t="shared" si="66"/>
        <v>7178.9</v>
      </c>
      <c r="AE25" s="11">
        <f t="shared" si="66"/>
        <v>8083.375</v>
      </c>
      <c r="AF25" s="11">
        <f t="shared" si="66"/>
        <v>8987.85</v>
      </c>
      <c r="AG25" s="11">
        <f t="shared" si="66"/>
        <v>9892.3250000000007</v>
      </c>
      <c r="AH25" s="11">
        <f t="shared" si="66"/>
        <v>10796.8</v>
      </c>
      <c r="AI25" s="11">
        <f t="shared" si="66"/>
        <v>11701.275000000001</v>
      </c>
      <c r="AJ25" s="11">
        <f t="shared" si="66"/>
        <v>12605.75</v>
      </c>
      <c r="AK25" s="11">
        <f t="shared" si="66"/>
        <v>13510.225</v>
      </c>
      <c r="AL25" s="11">
        <f t="shared" si="66"/>
        <v>14414.7</v>
      </c>
      <c r="AM25" s="11">
        <f t="shared" si="66"/>
        <v>15319.175000000001</v>
      </c>
      <c r="AN25" s="11">
        <f t="shared" si="66"/>
        <v>16223.65</v>
      </c>
      <c r="AO25" s="11">
        <f t="shared" si="66"/>
        <v>17128.125</v>
      </c>
      <c r="AQ25">
        <v>22</v>
      </c>
      <c r="AR25" s="53" t="s">
        <v>3984</v>
      </c>
      <c r="AS25" s="11">
        <f t="shared" si="58"/>
        <v>3561</v>
      </c>
      <c r="AT25" s="11">
        <f t="shared" ref="AT25:BH25" si="67">$Z25+($AA196*AT$3)</f>
        <v>4465.4750000000004</v>
      </c>
      <c r="AU25" s="11">
        <f t="shared" si="67"/>
        <v>5369.95</v>
      </c>
      <c r="AV25" s="11">
        <f t="shared" si="67"/>
        <v>6274.4250000000002</v>
      </c>
      <c r="AW25" s="11">
        <f t="shared" si="67"/>
        <v>7178.9</v>
      </c>
      <c r="AX25" s="11">
        <f t="shared" si="67"/>
        <v>8083.375</v>
      </c>
      <c r="AY25" s="11">
        <f t="shared" si="67"/>
        <v>8987.85</v>
      </c>
      <c r="AZ25" s="11">
        <f t="shared" si="67"/>
        <v>9892.3250000000007</v>
      </c>
      <c r="BA25" s="11">
        <f t="shared" si="67"/>
        <v>10796.8</v>
      </c>
      <c r="BB25" s="11">
        <f t="shared" si="67"/>
        <v>11701.275000000001</v>
      </c>
      <c r="BC25" s="11">
        <f t="shared" si="67"/>
        <v>12605.75</v>
      </c>
      <c r="BD25" s="11">
        <f t="shared" si="67"/>
        <v>13510.225</v>
      </c>
      <c r="BE25" s="11">
        <f t="shared" si="67"/>
        <v>14414.7</v>
      </c>
      <c r="BF25" s="11">
        <f t="shared" si="67"/>
        <v>15319.175000000001</v>
      </c>
      <c r="BG25" s="11">
        <f t="shared" si="67"/>
        <v>16223.65</v>
      </c>
      <c r="BH25" s="11">
        <f t="shared" si="67"/>
        <v>17128.125</v>
      </c>
    </row>
    <row r="26" spans="2:72" ht="15" thickBot="1">
      <c r="B26" s="17">
        <v>75000</v>
      </c>
      <c r="C26" s="18">
        <v>1.474E-2</v>
      </c>
      <c r="E26" s="19">
        <v>180000</v>
      </c>
      <c r="F26" s="18">
        <v>2.869E-2</v>
      </c>
      <c r="G26" s="9"/>
      <c r="I26" s="22">
        <v>2200000</v>
      </c>
      <c r="J26" s="661">
        <v>9.3130000000000001E-3</v>
      </c>
      <c r="K26">
        <v>1.3684999999999998E-2</v>
      </c>
      <c r="L26" s="344"/>
      <c r="M26" s="22">
        <v>750001</v>
      </c>
      <c r="N26" s="21">
        <v>1.6109999999999999E-2</v>
      </c>
      <c r="O26" s="344"/>
      <c r="Q26" s="22">
        <v>100000</v>
      </c>
      <c r="R26" s="23">
        <v>4.4677500000000002E-2</v>
      </c>
      <c r="S26" s="23">
        <f t="shared" si="14"/>
        <v>4.6911375000000005E-2</v>
      </c>
      <c r="T26" s="87"/>
      <c r="U26" s="19">
        <v>375000</v>
      </c>
      <c r="V26" s="18">
        <v>2.9631000000000001E-2</v>
      </c>
      <c r="W26" s="18">
        <f t="shared" si="15"/>
        <v>3.1112550000000003E-2</v>
      </c>
      <c r="X26">
        <v>23</v>
      </c>
      <c r="Y26" s="53" t="s">
        <v>3985</v>
      </c>
      <c r="Z26" s="11">
        <f t="shared" si="56"/>
        <v>3858</v>
      </c>
      <c r="AA26" s="11">
        <f t="shared" ref="AA26:AO26" si="68">$Z26+($AA197*AA$3)</f>
        <v>4828.8874999999998</v>
      </c>
      <c r="AB26" s="11">
        <f t="shared" si="68"/>
        <v>5799.7749999999996</v>
      </c>
      <c r="AC26" s="11">
        <f t="shared" si="68"/>
        <v>6770.6625000000004</v>
      </c>
      <c r="AD26" s="11">
        <f t="shared" si="68"/>
        <v>7741.5499999999993</v>
      </c>
      <c r="AE26" s="11">
        <f t="shared" si="68"/>
        <v>8712.4375</v>
      </c>
      <c r="AF26" s="11">
        <f t="shared" si="68"/>
        <v>9683.3250000000007</v>
      </c>
      <c r="AG26" s="11">
        <f t="shared" si="68"/>
        <v>10654.2125</v>
      </c>
      <c r="AH26" s="11">
        <f t="shared" si="68"/>
        <v>11625.099999999999</v>
      </c>
      <c r="AI26" s="11">
        <f t="shared" si="68"/>
        <v>12595.987499999999</v>
      </c>
      <c r="AJ26" s="11">
        <f t="shared" si="68"/>
        <v>13566.875</v>
      </c>
      <c r="AK26" s="11">
        <f t="shared" si="68"/>
        <v>14537.762499999999</v>
      </c>
      <c r="AL26" s="11">
        <f t="shared" si="68"/>
        <v>15508.65</v>
      </c>
      <c r="AM26" s="11">
        <f t="shared" si="68"/>
        <v>16479.537499999999</v>
      </c>
      <c r="AN26" s="11">
        <f t="shared" si="68"/>
        <v>17450.424999999999</v>
      </c>
      <c r="AO26" s="11">
        <f t="shared" si="68"/>
        <v>18421.3125</v>
      </c>
      <c r="AQ26">
        <v>23</v>
      </c>
      <c r="AR26" s="53" t="s">
        <v>3985</v>
      </c>
      <c r="AS26" s="11">
        <f t="shared" si="58"/>
        <v>3858</v>
      </c>
      <c r="AT26" s="11">
        <f t="shared" ref="AT26:BH26" si="69">$Z26+($AA197*AT$3)</f>
        <v>4828.8874999999998</v>
      </c>
      <c r="AU26" s="11">
        <f t="shared" si="69"/>
        <v>5799.7749999999996</v>
      </c>
      <c r="AV26" s="11">
        <f t="shared" si="69"/>
        <v>6770.6625000000004</v>
      </c>
      <c r="AW26" s="11">
        <f t="shared" si="69"/>
        <v>7741.5499999999993</v>
      </c>
      <c r="AX26" s="11">
        <f t="shared" si="69"/>
        <v>8712.4375</v>
      </c>
      <c r="AY26" s="11">
        <f t="shared" si="69"/>
        <v>9683.3250000000007</v>
      </c>
      <c r="AZ26" s="11">
        <f t="shared" si="69"/>
        <v>10654.2125</v>
      </c>
      <c r="BA26" s="11">
        <f t="shared" si="69"/>
        <v>11625.099999999999</v>
      </c>
      <c r="BB26" s="11">
        <f t="shared" si="69"/>
        <v>12595.987499999999</v>
      </c>
      <c r="BC26" s="11">
        <f t="shared" si="69"/>
        <v>13566.875</v>
      </c>
      <c r="BD26" s="11">
        <f t="shared" si="69"/>
        <v>14537.762499999999</v>
      </c>
      <c r="BE26" s="11">
        <f t="shared" si="69"/>
        <v>15508.65</v>
      </c>
      <c r="BF26" s="11">
        <f t="shared" si="69"/>
        <v>16479.537499999999</v>
      </c>
      <c r="BG26" s="11">
        <f t="shared" si="69"/>
        <v>17450.424999999999</v>
      </c>
      <c r="BH26" s="11">
        <f t="shared" si="69"/>
        <v>18421.3125</v>
      </c>
    </row>
    <row r="27" spans="2:72" ht="15" thickBot="1">
      <c r="B27" s="17">
        <v>79999</v>
      </c>
      <c r="C27" s="18">
        <v>1.474E-2</v>
      </c>
      <c r="E27" s="19">
        <v>189999</v>
      </c>
      <c r="F27" s="18">
        <v>2.869E-2</v>
      </c>
      <c r="G27" s="9"/>
      <c r="I27" s="22">
        <v>2300000</v>
      </c>
      <c r="J27" s="661">
        <v>9.2739999999999993E-3</v>
      </c>
      <c r="K27">
        <v>1.3684999999999998E-2</v>
      </c>
      <c r="L27" s="344"/>
      <c r="M27" s="22">
        <v>800000</v>
      </c>
      <c r="N27" s="21">
        <v>1.6109999999999999E-2</v>
      </c>
      <c r="O27" s="344"/>
      <c r="Q27" s="22">
        <v>104999</v>
      </c>
      <c r="R27" s="23">
        <v>4.4677500000000002E-2</v>
      </c>
      <c r="S27" s="23">
        <f t="shared" si="14"/>
        <v>4.6911375000000005E-2</v>
      </c>
      <c r="T27" s="87"/>
      <c r="U27" s="19">
        <v>387499</v>
      </c>
      <c r="V27" s="18">
        <v>2.9631000000000001E-2</v>
      </c>
      <c r="W27" s="18">
        <f t="shared" si="15"/>
        <v>3.1112550000000003E-2</v>
      </c>
      <c r="X27">
        <v>24</v>
      </c>
      <c r="Y27" s="53" t="s">
        <v>3986</v>
      </c>
      <c r="Z27" s="11">
        <f t="shared" si="56"/>
        <v>4156</v>
      </c>
      <c r="AA27" s="11">
        <f t="shared" ref="AA27:AO27" si="70">$Z27+($AA198*AA$3)</f>
        <v>5209.1125000000002</v>
      </c>
      <c r="AB27" s="11">
        <f t="shared" si="70"/>
        <v>6262.2250000000004</v>
      </c>
      <c r="AC27" s="11">
        <f t="shared" si="70"/>
        <v>7315.3374999999996</v>
      </c>
      <c r="AD27" s="11">
        <f t="shared" si="70"/>
        <v>8368.4500000000007</v>
      </c>
      <c r="AE27" s="11">
        <f t="shared" si="70"/>
        <v>9421.5625</v>
      </c>
      <c r="AF27" s="11">
        <f t="shared" si="70"/>
        <v>10474.674999999999</v>
      </c>
      <c r="AG27" s="11">
        <f t="shared" si="70"/>
        <v>11527.787499999999</v>
      </c>
      <c r="AH27" s="11">
        <f t="shared" si="70"/>
        <v>12580.9</v>
      </c>
      <c r="AI27" s="11">
        <f t="shared" si="70"/>
        <v>13634.012499999999</v>
      </c>
      <c r="AJ27" s="11">
        <f t="shared" si="70"/>
        <v>14687.125</v>
      </c>
      <c r="AK27" s="11">
        <f t="shared" si="70"/>
        <v>15740.237499999999</v>
      </c>
      <c r="AL27" s="11">
        <f t="shared" si="70"/>
        <v>16793.349999999999</v>
      </c>
      <c r="AM27" s="11">
        <f t="shared" si="70"/>
        <v>17846.462500000001</v>
      </c>
      <c r="AN27" s="11">
        <f t="shared" si="70"/>
        <v>18899.574999999997</v>
      </c>
      <c r="AO27" s="11">
        <f t="shared" si="70"/>
        <v>19952.6875</v>
      </c>
      <c r="AQ27">
        <v>24</v>
      </c>
      <c r="AR27" s="53" t="s">
        <v>3986</v>
      </c>
      <c r="AS27" s="11">
        <f t="shared" si="58"/>
        <v>4156</v>
      </c>
      <c r="AT27" s="11">
        <f t="shared" ref="AT27:BH27" si="71">$Z27+($AA198*AT$3)</f>
        <v>5209.1125000000002</v>
      </c>
      <c r="AU27" s="11">
        <f t="shared" si="71"/>
        <v>6262.2250000000004</v>
      </c>
      <c r="AV27" s="11">
        <f t="shared" si="71"/>
        <v>7315.3374999999996</v>
      </c>
      <c r="AW27" s="11">
        <f t="shared" si="71"/>
        <v>8368.4500000000007</v>
      </c>
      <c r="AX27" s="11">
        <f t="shared" si="71"/>
        <v>9421.5625</v>
      </c>
      <c r="AY27" s="11">
        <f t="shared" si="71"/>
        <v>10474.674999999999</v>
      </c>
      <c r="AZ27" s="11">
        <f t="shared" si="71"/>
        <v>11527.787499999999</v>
      </c>
      <c r="BA27" s="11">
        <f t="shared" si="71"/>
        <v>12580.9</v>
      </c>
      <c r="BB27" s="11">
        <f t="shared" si="71"/>
        <v>13634.012499999999</v>
      </c>
      <c r="BC27" s="11">
        <f t="shared" si="71"/>
        <v>14687.125</v>
      </c>
      <c r="BD27" s="11">
        <f t="shared" si="71"/>
        <v>15740.237499999999</v>
      </c>
      <c r="BE27" s="11">
        <f t="shared" si="71"/>
        <v>16793.349999999999</v>
      </c>
      <c r="BF27" s="11">
        <f t="shared" si="71"/>
        <v>17846.462500000001</v>
      </c>
      <c r="BG27" s="11">
        <f t="shared" si="71"/>
        <v>18899.574999999997</v>
      </c>
      <c r="BH27" s="11">
        <f t="shared" si="71"/>
        <v>19952.6875</v>
      </c>
    </row>
    <row r="28" spans="2:72" ht="15" thickBot="1">
      <c r="B28" s="17">
        <v>80000</v>
      </c>
      <c r="C28" s="18">
        <v>1.426E-2</v>
      </c>
      <c r="E28" s="19">
        <v>190000</v>
      </c>
      <c r="F28" s="18">
        <v>2.8559999999999999E-2</v>
      </c>
      <c r="G28" s="9"/>
      <c r="I28" s="22">
        <v>2400000</v>
      </c>
      <c r="J28" s="661">
        <v>9.2350000000000002E-3</v>
      </c>
      <c r="K28">
        <v>1.3569999999999999E-2</v>
      </c>
      <c r="L28" s="344"/>
      <c r="M28" s="22">
        <v>800001</v>
      </c>
      <c r="N28" s="21">
        <v>1.5720000000000001E-2</v>
      </c>
      <c r="O28" s="344"/>
      <c r="Q28" s="22">
        <v>105000</v>
      </c>
      <c r="R28" s="23">
        <v>4.3994999999999999E-2</v>
      </c>
      <c r="S28" s="23">
        <f t="shared" si="14"/>
        <v>4.619475E-2</v>
      </c>
      <c r="T28" s="87"/>
      <c r="U28" s="19">
        <v>387500</v>
      </c>
      <c r="V28" s="18">
        <v>2.9284500000000002E-2</v>
      </c>
      <c r="W28" s="18">
        <f t="shared" si="15"/>
        <v>3.0748725000000005E-2</v>
      </c>
      <c r="X28">
        <v>25</v>
      </c>
      <c r="Y28" s="53" t="s">
        <v>86</v>
      </c>
      <c r="Z28" s="11">
        <f t="shared" si="56"/>
        <v>4450</v>
      </c>
      <c r="AA28" s="11">
        <f t="shared" ref="AA28:AO28" si="72">$Z28+($AA199*AA$3)</f>
        <v>5556.875</v>
      </c>
      <c r="AB28" s="11">
        <f t="shared" si="72"/>
        <v>6663.75</v>
      </c>
      <c r="AC28" s="11">
        <f t="shared" si="72"/>
        <v>7770.625</v>
      </c>
      <c r="AD28" s="11">
        <f t="shared" si="72"/>
        <v>8877.5</v>
      </c>
      <c r="AE28" s="11">
        <f t="shared" si="72"/>
        <v>9984.375</v>
      </c>
      <c r="AF28" s="11">
        <f t="shared" si="72"/>
        <v>11091.25</v>
      </c>
      <c r="AG28" s="11">
        <f t="shared" si="72"/>
        <v>12198.125</v>
      </c>
      <c r="AH28" s="11">
        <f t="shared" si="72"/>
        <v>13305</v>
      </c>
      <c r="AI28" s="11">
        <f t="shared" si="72"/>
        <v>14411.875</v>
      </c>
      <c r="AJ28" s="11">
        <f t="shared" si="72"/>
        <v>15518.75</v>
      </c>
      <c r="AK28" s="11">
        <f t="shared" si="72"/>
        <v>16625.625</v>
      </c>
      <c r="AL28" s="11">
        <f t="shared" si="72"/>
        <v>17732.5</v>
      </c>
      <c r="AM28" s="11">
        <f t="shared" si="72"/>
        <v>18839.375</v>
      </c>
      <c r="AN28" s="11">
        <f t="shared" si="72"/>
        <v>19946.25</v>
      </c>
      <c r="AO28" s="11">
        <f t="shared" si="72"/>
        <v>21053.125</v>
      </c>
      <c r="AQ28">
        <v>25</v>
      </c>
      <c r="AR28" s="53" t="s">
        <v>86</v>
      </c>
      <c r="AS28" s="11">
        <f t="shared" si="58"/>
        <v>4450</v>
      </c>
      <c r="AT28" s="11">
        <f t="shared" ref="AT28:BH28" si="73">$Z28+($AA199*AT$3)</f>
        <v>5556.875</v>
      </c>
      <c r="AU28" s="11">
        <f t="shared" si="73"/>
        <v>6663.75</v>
      </c>
      <c r="AV28" s="11">
        <f t="shared" si="73"/>
        <v>7770.625</v>
      </c>
      <c r="AW28" s="11">
        <f t="shared" si="73"/>
        <v>8877.5</v>
      </c>
      <c r="AX28" s="11">
        <f t="shared" si="73"/>
        <v>9984.375</v>
      </c>
      <c r="AY28" s="11">
        <f t="shared" si="73"/>
        <v>11091.25</v>
      </c>
      <c r="AZ28" s="11">
        <f t="shared" si="73"/>
        <v>12198.125</v>
      </c>
      <c r="BA28" s="11">
        <f t="shared" si="73"/>
        <v>13305</v>
      </c>
      <c r="BB28" s="11">
        <f t="shared" si="73"/>
        <v>14411.875</v>
      </c>
      <c r="BC28" s="11">
        <f t="shared" si="73"/>
        <v>15518.75</v>
      </c>
      <c r="BD28" s="11">
        <f t="shared" si="73"/>
        <v>16625.625</v>
      </c>
      <c r="BE28" s="11">
        <f t="shared" si="73"/>
        <v>17732.5</v>
      </c>
      <c r="BF28" s="11">
        <f t="shared" si="73"/>
        <v>18839.375</v>
      </c>
      <c r="BG28" s="11">
        <f t="shared" si="73"/>
        <v>19946.25</v>
      </c>
      <c r="BH28" s="11">
        <f t="shared" si="73"/>
        <v>21053.125</v>
      </c>
    </row>
    <row r="29" spans="2:72" ht="15" thickBot="1">
      <c r="B29" s="17">
        <v>84999</v>
      </c>
      <c r="C29" s="18">
        <v>1.426E-2</v>
      </c>
      <c r="E29" s="19">
        <v>199999</v>
      </c>
      <c r="F29" s="18">
        <v>2.8559999999999999E-2</v>
      </c>
      <c r="G29" s="9"/>
      <c r="I29" s="22">
        <v>2500000</v>
      </c>
      <c r="J29" s="661">
        <v>9.1970000000000003E-3</v>
      </c>
      <c r="K29">
        <v>1.3569999999999999E-2</v>
      </c>
      <c r="L29" s="344"/>
      <c r="M29" s="22">
        <v>850000</v>
      </c>
      <c r="N29" s="21">
        <v>1.5720000000000001E-2</v>
      </c>
      <c r="O29" s="344"/>
      <c r="Q29" s="22">
        <v>109999</v>
      </c>
      <c r="R29" s="23">
        <v>4.3994999999999999E-2</v>
      </c>
      <c r="S29" s="23">
        <f t="shared" si="14"/>
        <v>4.619475E-2</v>
      </c>
      <c r="T29" s="87"/>
      <c r="U29" s="19">
        <v>399999</v>
      </c>
      <c r="V29" s="18">
        <v>2.9284500000000002E-2</v>
      </c>
      <c r="W29" s="18">
        <f t="shared" si="15"/>
        <v>3.0748725000000005E-2</v>
      </c>
      <c r="X29">
        <v>26</v>
      </c>
      <c r="Y29" s="656" t="s">
        <v>87</v>
      </c>
      <c r="Z29" s="11">
        <f t="shared" si="56"/>
        <v>5193</v>
      </c>
      <c r="AA29" s="11">
        <f t="shared" ref="AA29:AO29" si="74">$Z29+($AA200*AA$3)</f>
        <v>6486.4624999999996</v>
      </c>
      <c r="AB29" s="11">
        <f t="shared" si="74"/>
        <v>7779.9250000000002</v>
      </c>
      <c r="AC29" s="11">
        <f t="shared" si="74"/>
        <v>9073.3875000000007</v>
      </c>
      <c r="AD29" s="11">
        <f t="shared" si="74"/>
        <v>10366.85</v>
      </c>
      <c r="AE29" s="11">
        <f t="shared" si="74"/>
        <v>11660.3125</v>
      </c>
      <c r="AF29" s="11">
        <f t="shared" si="74"/>
        <v>12953.775000000001</v>
      </c>
      <c r="AG29" s="11">
        <f t="shared" si="74"/>
        <v>14247.237500000001</v>
      </c>
      <c r="AH29" s="11">
        <f t="shared" si="74"/>
        <v>15540.7</v>
      </c>
      <c r="AI29" s="11">
        <f t="shared" si="74"/>
        <v>16834.162499999999</v>
      </c>
      <c r="AJ29" s="11">
        <f t="shared" si="74"/>
        <v>18127.625</v>
      </c>
      <c r="AK29" s="11">
        <f t="shared" si="74"/>
        <v>19421.087500000001</v>
      </c>
      <c r="AL29" s="11">
        <f t="shared" si="74"/>
        <v>20714.550000000003</v>
      </c>
      <c r="AM29" s="11">
        <f t="shared" si="74"/>
        <v>22008.012500000001</v>
      </c>
      <c r="AN29" s="11">
        <f t="shared" si="74"/>
        <v>23301.475000000002</v>
      </c>
      <c r="AO29" s="11">
        <f t="shared" si="74"/>
        <v>24594.9375</v>
      </c>
      <c r="AQ29">
        <v>26</v>
      </c>
      <c r="AR29" s="53" t="s">
        <v>87</v>
      </c>
      <c r="AS29" s="11">
        <f t="shared" si="58"/>
        <v>5193</v>
      </c>
      <c r="AT29" s="11">
        <f t="shared" ref="AT29:BH29" si="75">$Z29+($AA200*AT$3)</f>
        <v>6486.4624999999996</v>
      </c>
      <c r="AU29" s="11">
        <f t="shared" si="75"/>
        <v>7779.9250000000002</v>
      </c>
      <c r="AV29" s="11">
        <f t="shared" si="75"/>
        <v>9073.3875000000007</v>
      </c>
      <c r="AW29" s="11">
        <f t="shared" si="75"/>
        <v>10366.85</v>
      </c>
      <c r="AX29" s="11">
        <f t="shared" si="75"/>
        <v>11660.3125</v>
      </c>
      <c r="AY29" s="11">
        <f t="shared" si="75"/>
        <v>12953.775000000001</v>
      </c>
      <c r="AZ29" s="11">
        <f t="shared" si="75"/>
        <v>14247.237500000001</v>
      </c>
      <c r="BA29" s="11">
        <f t="shared" si="75"/>
        <v>15540.7</v>
      </c>
      <c r="BB29" s="11">
        <f t="shared" si="75"/>
        <v>16834.162499999999</v>
      </c>
      <c r="BC29" s="11">
        <f t="shared" si="75"/>
        <v>18127.625</v>
      </c>
      <c r="BD29" s="11">
        <f t="shared" si="75"/>
        <v>19421.087500000001</v>
      </c>
      <c r="BE29" s="11">
        <f t="shared" si="75"/>
        <v>20714.550000000003</v>
      </c>
      <c r="BF29" s="11">
        <f t="shared" si="75"/>
        <v>22008.012500000001</v>
      </c>
      <c r="BG29" s="11">
        <f t="shared" si="75"/>
        <v>23301.475000000002</v>
      </c>
      <c r="BH29" s="11">
        <f t="shared" si="75"/>
        <v>24594.9375</v>
      </c>
    </row>
    <row r="30" spans="2:72" ht="15" thickBot="1">
      <c r="B30" s="17">
        <v>85000</v>
      </c>
      <c r="C30" s="18">
        <v>1.379E-2</v>
      </c>
      <c r="E30" s="19">
        <v>200000</v>
      </c>
      <c r="F30" s="18">
        <v>2.8299999999999999E-2</v>
      </c>
      <c r="G30" s="9"/>
      <c r="I30" s="22">
        <v>2600000</v>
      </c>
      <c r="J30" s="661">
        <v>9.1579999999999995E-3</v>
      </c>
      <c r="K30">
        <v>1.3454999999999998E-2</v>
      </c>
      <c r="L30" s="344"/>
      <c r="M30" s="22">
        <v>850001</v>
      </c>
      <c r="N30" s="21">
        <v>1.5339999999999999E-2</v>
      </c>
      <c r="O30" s="344"/>
      <c r="Q30" s="22">
        <v>110000</v>
      </c>
      <c r="R30" s="23">
        <v>4.3323E-2</v>
      </c>
      <c r="S30" s="23">
        <f t="shared" si="14"/>
        <v>4.5489149999999999E-2</v>
      </c>
      <c r="T30" s="87"/>
      <c r="U30" s="19">
        <v>400000</v>
      </c>
      <c r="V30" s="18">
        <v>2.8927500000000002E-2</v>
      </c>
      <c r="W30" s="18">
        <f t="shared" si="15"/>
        <v>3.0373875000000002E-2</v>
      </c>
      <c r="X30">
        <v>27</v>
      </c>
      <c r="Y30" s="656" t="s">
        <v>88</v>
      </c>
      <c r="Z30" s="11">
        <f t="shared" si="56"/>
        <v>5936</v>
      </c>
      <c r="AA30" s="11">
        <f t="shared" ref="AA30:AO30" si="76">$Z30+($AA201*AA$3)</f>
        <v>7419.2124999999996</v>
      </c>
      <c r="AB30" s="11">
        <f t="shared" si="76"/>
        <v>8902.4249999999993</v>
      </c>
      <c r="AC30" s="11">
        <f t="shared" si="76"/>
        <v>10385.637500000001</v>
      </c>
      <c r="AD30" s="11">
        <f t="shared" si="76"/>
        <v>11868.85</v>
      </c>
      <c r="AE30" s="11">
        <f t="shared" si="76"/>
        <v>13352.0625</v>
      </c>
      <c r="AF30" s="11">
        <f t="shared" si="76"/>
        <v>14835.275000000001</v>
      </c>
      <c r="AG30" s="11">
        <f t="shared" si="76"/>
        <v>16318.487500000001</v>
      </c>
      <c r="AH30" s="11">
        <f t="shared" si="76"/>
        <v>17801.7</v>
      </c>
      <c r="AI30" s="11">
        <f t="shared" si="76"/>
        <v>19284.912499999999</v>
      </c>
      <c r="AJ30" s="11">
        <f t="shared" si="76"/>
        <v>20768.125</v>
      </c>
      <c r="AK30" s="11">
        <f t="shared" si="76"/>
        <v>22251.337500000001</v>
      </c>
      <c r="AL30" s="11">
        <f t="shared" si="76"/>
        <v>23734.550000000003</v>
      </c>
      <c r="AM30" s="11">
        <f t="shared" si="76"/>
        <v>25217.762500000001</v>
      </c>
      <c r="AN30" s="11">
        <f t="shared" si="76"/>
        <v>26700.975000000002</v>
      </c>
      <c r="AO30" s="11">
        <f t="shared" si="76"/>
        <v>28184.1875</v>
      </c>
      <c r="AQ30">
        <v>27</v>
      </c>
      <c r="AR30" s="53" t="s">
        <v>88</v>
      </c>
      <c r="AS30" s="11">
        <f t="shared" si="58"/>
        <v>5936</v>
      </c>
      <c r="AT30" s="11">
        <f t="shared" ref="AT30:BH30" si="77">$Z30+($AA201*AT$3)</f>
        <v>7419.2124999999996</v>
      </c>
      <c r="AU30" s="11">
        <f t="shared" si="77"/>
        <v>8902.4249999999993</v>
      </c>
      <c r="AV30" s="11">
        <f t="shared" si="77"/>
        <v>10385.637500000001</v>
      </c>
      <c r="AW30" s="11">
        <f t="shared" si="77"/>
        <v>11868.85</v>
      </c>
      <c r="AX30" s="11">
        <f t="shared" si="77"/>
        <v>13352.0625</v>
      </c>
      <c r="AY30" s="11">
        <f t="shared" si="77"/>
        <v>14835.275000000001</v>
      </c>
      <c r="AZ30" s="11">
        <f t="shared" si="77"/>
        <v>16318.487500000001</v>
      </c>
      <c r="BA30" s="11">
        <f t="shared" si="77"/>
        <v>17801.7</v>
      </c>
      <c r="BB30" s="11">
        <f t="shared" si="77"/>
        <v>19284.912499999999</v>
      </c>
      <c r="BC30" s="11">
        <f t="shared" si="77"/>
        <v>20768.125</v>
      </c>
      <c r="BD30" s="11">
        <f t="shared" si="77"/>
        <v>22251.337500000001</v>
      </c>
      <c r="BE30" s="11">
        <f t="shared" si="77"/>
        <v>23734.550000000003</v>
      </c>
      <c r="BF30" s="11">
        <f t="shared" si="77"/>
        <v>25217.762500000001</v>
      </c>
      <c r="BG30" s="11">
        <f t="shared" si="77"/>
        <v>26700.975000000002</v>
      </c>
      <c r="BH30" s="11">
        <f t="shared" si="77"/>
        <v>28184.1875</v>
      </c>
    </row>
    <row r="31" spans="2:72" ht="15" thickBot="1">
      <c r="B31" s="17">
        <v>89999</v>
      </c>
      <c r="C31" s="18">
        <v>1.379E-2</v>
      </c>
      <c r="E31" s="19">
        <v>207499</v>
      </c>
      <c r="F31" s="18">
        <v>2.8299999999999999E-2</v>
      </c>
      <c r="G31" s="9"/>
      <c r="I31" s="22">
        <v>2700000</v>
      </c>
      <c r="J31" s="661">
        <v>9.1190000000000004E-3</v>
      </c>
      <c r="K31">
        <v>1.3454999999999998E-2</v>
      </c>
      <c r="L31" s="344"/>
      <c r="M31" s="22">
        <v>900000</v>
      </c>
      <c r="N31" s="21">
        <v>1.5339999999999999E-2</v>
      </c>
      <c r="O31" s="344"/>
      <c r="Q31" s="22">
        <v>114999</v>
      </c>
      <c r="R31" s="23">
        <v>4.3323E-2</v>
      </c>
      <c r="S31" s="23">
        <f t="shared" si="14"/>
        <v>4.5489149999999999E-2</v>
      </c>
      <c r="T31" s="87"/>
      <c r="U31" s="19">
        <v>412499</v>
      </c>
      <c r="V31" s="18">
        <v>2.8927500000000002E-2</v>
      </c>
      <c r="W31" s="18">
        <f t="shared" si="15"/>
        <v>3.0373875000000002E-2</v>
      </c>
      <c r="X31">
        <v>28</v>
      </c>
      <c r="Y31" s="656" t="s">
        <v>3987</v>
      </c>
      <c r="Z31" s="11">
        <f t="shared" si="56"/>
        <v>6474</v>
      </c>
      <c r="AA31" s="11">
        <f t="shared" ref="AA31:AO31" si="78">$Z31+($AA202*AA$3)</f>
        <v>8093.2</v>
      </c>
      <c r="AB31" s="11">
        <f t="shared" si="78"/>
        <v>9712.4</v>
      </c>
      <c r="AC31" s="11">
        <f t="shared" si="78"/>
        <v>11331.6</v>
      </c>
      <c r="AD31" s="11">
        <f t="shared" si="78"/>
        <v>12950.8</v>
      </c>
      <c r="AE31" s="11">
        <f t="shared" si="78"/>
        <v>14570</v>
      </c>
      <c r="AF31" s="11">
        <f t="shared" si="78"/>
        <v>16189.2</v>
      </c>
      <c r="AG31" s="11">
        <f t="shared" si="78"/>
        <v>17808.400000000001</v>
      </c>
      <c r="AH31" s="11">
        <f t="shared" si="78"/>
        <v>19427.599999999999</v>
      </c>
      <c r="AI31" s="11">
        <f t="shared" si="78"/>
        <v>21046.800000000003</v>
      </c>
      <c r="AJ31" s="11">
        <f t="shared" si="78"/>
        <v>22666</v>
      </c>
      <c r="AK31" s="11">
        <f t="shared" si="78"/>
        <v>24285.200000000001</v>
      </c>
      <c r="AL31" s="11">
        <f t="shared" si="78"/>
        <v>25904.400000000001</v>
      </c>
      <c r="AM31" s="11">
        <f t="shared" si="78"/>
        <v>27523.600000000002</v>
      </c>
      <c r="AN31" s="11">
        <f t="shared" si="78"/>
        <v>29142.799999999999</v>
      </c>
      <c r="AO31" s="11">
        <f t="shared" si="78"/>
        <v>30762</v>
      </c>
      <c r="AQ31">
        <v>28</v>
      </c>
      <c r="AR31" s="656" t="s">
        <v>3987</v>
      </c>
      <c r="AS31" s="11">
        <f t="shared" si="58"/>
        <v>6474</v>
      </c>
      <c r="AT31" s="11">
        <f t="shared" ref="AT31:BH31" si="79">$Z31+($AA202*AT$3)</f>
        <v>8093.2</v>
      </c>
      <c r="AU31" s="11">
        <f t="shared" si="79"/>
        <v>9712.4</v>
      </c>
      <c r="AV31" s="11">
        <f t="shared" si="79"/>
        <v>11331.6</v>
      </c>
      <c r="AW31" s="11">
        <f t="shared" si="79"/>
        <v>12950.8</v>
      </c>
      <c r="AX31" s="11">
        <f t="shared" si="79"/>
        <v>14570</v>
      </c>
      <c r="AY31" s="11">
        <f t="shared" si="79"/>
        <v>16189.2</v>
      </c>
      <c r="AZ31" s="11">
        <f t="shared" si="79"/>
        <v>17808.400000000001</v>
      </c>
      <c r="BA31" s="11">
        <f t="shared" si="79"/>
        <v>19427.599999999999</v>
      </c>
      <c r="BB31" s="11">
        <f t="shared" si="79"/>
        <v>21046.800000000003</v>
      </c>
      <c r="BC31" s="11">
        <f t="shared" si="79"/>
        <v>22666</v>
      </c>
      <c r="BD31" s="11">
        <f t="shared" si="79"/>
        <v>24285.200000000001</v>
      </c>
      <c r="BE31" s="11">
        <f t="shared" si="79"/>
        <v>25904.400000000001</v>
      </c>
      <c r="BF31" s="11">
        <f t="shared" si="79"/>
        <v>27523.600000000002</v>
      </c>
      <c r="BG31" s="11">
        <f t="shared" si="79"/>
        <v>29142.799999999999</v>
      </c>
      <c r="BH31" s="11">
        <f t="shared" si="79"/>
        <v>30762</v>
      </c>
    </row>
    <row r="32" spans="2:72" ht="15" thickBot="1">
      <c r="B32" s="17">
        <v>90000</v>
      </c>
      <c r="C32" s="18">
        <v>1.332E-2</v>
      </c>
      <c r="E32" s="19">
        <v>207500</v>
      </c>
      <c r="F32" s="18">
        <v>2.8029999999999999E-2</v>
      </c>
      <c r="G32" s="9"/>
      <c r="I32" s="22">
        <v>2800000</v>
      </c>
      <c r="J32" s="661">
        <v>9.0810000000000005E-3</v>
      </c>
      <c r="K32">
        <v>1.3339999999999998E-2</v>
      </c>
      <c r="L32" s="344"/>
      <c r="M32" s="22">
        <v>900001</v>
      </c>
      <c r="N32" s="21">
        <v>1.4959999999999999E-2</v>
      </c>
      <c r="O32" s="344"/>
      <c r="Q32" s="22">
        <v>115000</v>
      </c>
      <c r="R32" s="23">
        <v>4.2640500000000005E-2</v>
      </c>
      <c r="S32" s="23">
        <f t="shared" si="14"/>
        <v>4.4772525000000007E-2</v>
      </c>
      <c r="T32" s="87"/>
      <c r="U32" s="19">
        <v>412500</v>
      </c>
      <c r="V32" s="18">
        <v>2.8581000000000002E-2</v>
      </c>
      <c r="W32" s="18">
        <f t="shared" si="15"/>
        <v>3.0010050000000003E-2</v>
      </c>
      <c r="X32">
        <v>29</v>
      </c>
      <c r="Y32" s="656" t="s">
        <v>3989</v>
      </c>
      <c r="Z32" s="11">
        <f t="shared" si="56"/>
        <v>6961</v>
      </c>
      <c r="AA32" s="11">
        <f t="shared" ref="AA32:AO32" si="80">$Z32+($AA203*AA$3)</f>
        <v>8700.375</v>
      </c>
      <c r="AB32" s="11">
        <f t="shared" si="80"/>
        <v>10439.75</v>
      </c>
      <c r="AC32" s="11">
        <f t="shared" si="80"/>
        <v>12179.125</v>
      </c>
      <c r="AD32" s="11">
        <f t="shared" si="80"/>
        <v>13918.5</v>
      </c>
      <c r="AE32" s="11">
        <f t="shared" si="80"/>
        <v>15657.875000000002</v>
      </c>
      <c r="AF32" s="11">
        <f t="shared" si="80"/>
        <v>17397.25</v>
      </c>
      <c r="AG32" s="11">
        <f t="shared" si="80"/>
        <v>19136.625</v>
      </c>
      <c r="AH32" s="11">
        <f t="shared" si="80"/>
        <v>20876</v>
      </c>
      <c r="AI32" s="11">
        <f t="shared" si="80"/>
        <v>22615.375</v>
      </c>
      <c r="AJ32" s="11">
        <f t="shared" si="80"/>
        <v>24354.750000000004</v>
      </c>
      <c r="AK32" s="11">
        <f t="shared" si="80"/>
        <v>26094.125000000004</v>
      </c>
      <c r="AL32" s="11">
        <f t="shared" si="80"/>
        <v>27833.500000000004</v>
      </c>
      <c r="AM32" s="11">
        <f t="shared" si="80"/>
        <v>29572.875000000004</v>
      </c>
      <c r="AN32" s="11">
        <f t="shared" si="80"/>
        <v>31312.250000000004</v>
      </c>
      <c r="AO32" s="11">
        <f t="shared" si="80"/>
        <v>33051.625</v>
      </c>
      <c r="AQ32">
        <v>29</v>
      </c>
      <c r="AR32" s="656" t="s">
        <v>3989</v>
      </c>
      <c r="AS32" s="11">
        <f t="shared" si="58"/>
        <v>6961</v>
      </c>
      <c r="AT32" s="11">
        <f t="shared" ref="AT32:BH32" si="81">$Z32+($AA203*AT$3)</f>
        <v>8700.375</v>
      </c>
      <c r="AU32" s="11">
        <f t="shared" si="81"/>
        <v>10439.75</v>
      </c>
      <c r="AV32" s="11">
        <f t="shared" si="81"/>
        <v>12179.125</v>
      </c>
      <c r="AW32" s="11">
        <f t="shared" si="81"/>
        <v>13918.5</v>
      </c>
      <c r="AX32" s="11">
        <f t="shared" si="81"/>
        <v>15657.875000000002</v>
      </c>
      <c r="AY32" s="11">
        <f t="shared" si="81"/>
        <v>17397.25</v>
      </c>
      <c r="AZ32" s="11">
        <f t="shared" si="81"/>
        <v>19136.625</v>
      </c>
      <c r="BA32" s="11">
        <f t="shared" si="81"/>
        <v>20876</v>
      </c>
      <c r="BB32" s="11">
        <f t="shared" si="81"/>
        <v>22615.375</v>
      </c>
      <c r="BC32" s="11">
        <f t="shared" si="81"/>
        <v>24354.750000000004</v>
      </c>
      <c r="BD32" s="11">
        <f t="shared" si="81"/>
        <v>26094.125000000004</v>
      </c>
      <c r="BE32" s="11">
        <f t="shared" si="81"/>
        <v>27833.500000000004</v>
      </c>
      <c r="BF32" s="11">
        <f t="shared" si="81"/>
        <v>29572.875000000004</v>
      </c>
      <c r="BG32" s="11">
        <f t="shared" si="81"/>
        <v>31312.250000000004</v>
      </c>
      <c r="BH32" s="11">
        <f t="shared" si="81"/>
        <v>33051.625</v>
      </c>
    </row>
    <row r="33" spans="2:60" ht="15" thickBot="1">
      <c r="B33" s="17">
        <v>94999</v>
      </c>
      <c r="C33" s="18">
        <v>1.332E-2</v>
      </c>
      <c r="E33" s="19">
        <v>214999</v>
      </c>
      <c r="F33" s="18">
        <v>2.8029999999999999E-2</v>
      </c>
      <c r="G33" s="9"/>
      <c r="I33" s="22">
        <v>2900000</v>
      </c>
      <c r="J33" s="661">
        <v>9.0419999999999997E-3</v>
      </c>
      <c r="K33">
        <v>1.3339999999999998E-2</v>
      </c>
      <c r="L33" s="344"/>
      <c r="M33" s="22">
        <v>950000</v>
      </c>
      <c r="N33" s="21">
        <v>1.4959999999999999E-2</v>
      </c>
      <c r="O33" s="344"/>
      <c r="Q33" s="22">
        <v>119999</v>
      </c>
      <c r="R33" s="23">
        <v>4.2640500000000005E-2</v>
      </c>
      <c r="S33" s="23">
        <f t="shared" si="14"/>
        <v>4.4772525000000007E-2</v>
      </c>
      <c r="T33" s="87"/>
      <c r="U33" s="19">
        <v>424999</v>
      </c>
      <c r="V33" s="18">
        <v>2.8581000000000002E-2</v>
      </c>
      <c r="W33" s="18">
        <f t="shared" si="15"/>
        <v>3.0010050000000003E-2</v>
      </c>
      <c r="X33">
        <v>30</v>
      </c>
      <c r="Y33" s="656" t="s">
        <v>3988</v>
      </c>
      <c r="Z33" s="11">
        <f t="shared" si="56"/>
        <v>7445</v>
      </c>
      <c r="AA33" s="11">
        <f t="shared" ref="AA33:AO33" si="82">$Z33+($AA204*AA$3)</f>
        <v>9307.7124999999996</v>
      </c>
      <c r="AB33" s="11">
        <f t="shared" si="82"/>
        <v>11170.424999999999</v>
      </c>
      <c r="AC33" s="11">
        <f t="shared" si="82"/>
        <v>13033.137500000001</v>
      </c>
      <c r="AD33" s="11">
        <f t="shared" si="82"/>
        <v>14895.849999999999</v>
      </c>
      <c r="AE33" s="11">
        <f t="shared" si="82"/>
        <v>16758.5625</v>
      </c>
      <c r="AF33" s="11">
        <f t="shared" si="82"/>
        <v>18621.275000000001</v>
      </c>
      <c r="AG33" s="11">
        <f t="shared" si="82"/>
        <v>20483.987499999999</v>
      </c>
      <c r="AH33" s="11">
        <f t="shared" si="82"/>
        <v>22346.699999999997</v>
      </c>
      <c r="AI33" s="11">
        <f t="shared" si="82"/>
        <v>24209.412499999999</v>
      </c>
      <c r="AJ33" s="11">
        <f t="shared" si="82"/>
        <v>26072.125</v>
      </c>
      <c r="AK33" s="11">
        <f t="shared" si="82"/>
        <v>27934.837499999998</v>
      </c>
      <c r="AL33" s="11">
        <f t="shared" si="82"/>
        <v>29797.55</v>
      </c>
      <c r="AM33" s="11">
        <f t="shared" si="82"/>
        <v>31660.262499999997</v>
      </c>
      <c r="AN33" s="11">
        <f t="shared" si="82"/>
        <v>33522.974999999999</v>
      </c>
      <c r="AO33" s="11">
        <f t="shared" si="82"/>
        <v>35385.6875</v>
      </c>
      <c r="AQ33">
        <v>30</v>
      </c>
      <c r="AR33" s="656" t="s">
        <v>3988</v>
      </c>
      <c r="AS33" s="11">
        <f t="shared" si="58"/>
        <v>7445</v>
      </c>
      <c r="AT33" s="11">
        <f t="shared" ref="AT33:BH33" si="83">$Z33+($AA204*AT$3)</f>
        <v>9307.7124999999996</v>
      </c>
      <c r="AU33" s="11">
        <f t="shared" si="83"/>
        <v>11170.424999999999</v>
      </c>
      <c r="AV33" s="11">
        <f t="shared" si="83"/>
        <v>13033.137500000001</v>
      </c>
      <c r="AW33" s="11">
        <f t="shared" si="83"/>
        <v>14895.849999999999</v>
      </c>
      <c r="AX33" s="11">
        <f t="shared" si="83"/>
        <v>16758.5625</v>
      </c>
      <c r="AY33" s="11">
        <f t="shared" si="83"/>
        <v>18621.275000000001</v>
      </c>
      <c r="AZ33" s="11">
        <f t="shared" si="83"/>
        <v>20483.987499999999</v>
      </c>
      <c r="BA33" s="11">
        <f t="shared" si="83"/>
        <v>22346.699999999997</v>
      </c>
      <c r="BB33" s="11">
        <f t="shared" si="83"/>
        <v>24209.412499999999</v>
      </c>
      <c r="BC33" s="11">
        <f t="shared" si="83"/>
        <v>26072.125</v>
      </c>
      <c r="BD33" s="11">
        <f t="shared" si="83"/>
        <v>27934.837499999998</v>
      </c>
      <c r="BE33" s="11">
        <f t="shared" si="83"/>
        <v>29797.55</v>
      </c>
      <c r="BF33" s="11">
        <f t="shared" si="83"/>
        <v>31660.262499999997</v>
      </c>
      <c r="BG33" s="11">
        <f t="shared" si="83"/>
        <v>33522.974999999999</v>
      </c>
      <c r="BH33" s="11">
        <f t="shared" si="83"/>
        <v>35385.6875</v>
      </c>
    </row>
    <row r="34" spans="2:60" ht="15" thickBot="1">
      <c r="B34" s="17">
        <v>95000</v>
      </c>
      <c r="C34" s="18">
        <v>1.285E-2</v>
      </c>
      <c r="E34" s="19">
        <v>215000</v>
      </c>
      <c r="F34" s="18">
        <v>2.777E-2</v>
      </c>
      <c r="G34" s="9"/>
      <c r="I34" s="22">
        <v>3000000</v>
      </c>
      <c r="J34" s="661">
        <v>9.0030000000000006E-3</v>
      </c>
      <c r="K34">
        <v>1.3224999999999999E-2</v>
      </c>
      <c r="L34" s="344"/>
      <c r="M34" s="22">
        <v>950001</v>
      </c>
      <c r="N34" s="21">
        <v>1.4579999999999999E-2</v>
      </c>
      <c r="O34" s="344"/>
      <c r="Q34" s="22">
        <v>120000</v>
      </c>
      <c r="R34" s="23">
        <v>4.1958000000000002E-2</v>
      </c>
      <c r="S34" s="23">
        <f t="shared" si="14"/>
        <v>4.4055900000000002E-2</v>
      </c>
      <c r="T34" s="87"/>
      <c r="U34" s="19">
        <v>425000</v>
      </c>
      <c r="V34" s="18">
        <v>2.8224000000000003E-2</v>
      </c>
      <c r="W34" s="18">
        <f t="shared" si="15"/>
        <v>2.9635200000000004E-2</v>
      </c>
      <c r="X34">
        <v>31</v>
      </c>
      <c r="Y34" s="656" t="s">
        <v>3990</v>
      </c>
      <c r="Z34" s="11">
        <f t="shared" si="56"/>
        <v>7932</v>
      </c>
      <c r="AA34" s="11">
        <f t="shared" ref="AA34:AO34" si="84">$Z34+($AA205*AA$3)</f>
        <v>9914.8875000000007</v>
      </c>
      <c r="AB34" s="11">
        <f t="shared" si="84"/>
        <v>11897.775</v>
      </c>
      <c r="AC34" s="11">
        <f t="shared" si="84"/>
        <v>13880.662499999999</v>
      </c>
      <c r="AD34" s="11">
        <f t="shared" si="84"/>
        <v>15863.55</v>
      </c>
      <c r="AE34" s="11">
        <f t="shared" si="84"/>
        <v>17846.4375</v>
      </c>
      <c r="AF34" s="11">
        <f t="shared" si="84"/>
        <v>19829.324999999997</v>
      </c>
      <c r="AG34" s="11">
        <f t="shared" si="84"/>
        <v>21812.212499999998</v>
      </c>
      <c r="AH34" s="11">
        <f t="shared" si="84"/>
        <v>23795.1</v>
      </c>
      <c r="AI34" s="11">
        <f t="shared" si="84"/>
        <v>25777.987499999999</v>
      </c>
      <c r="AJ34" s="11">
        <f t="shared" si="84"/>
        <v>27760.875</v>
      </c>
      <c r="AK34" s="11">
        <f t="shared" si="84"/>
        <v>29743.762499999997</v>
      </c>
      <c r="AL34" s="11">
        <f t="shared" si="84"/>
        <v>31726.649999999998</v>
      </c>
      <c r="AM34" s="11">
        <f t="shared" si="84"/>
        <v>33709.537499999999</v>
      </c>
      <c r="AN34" s="11">
        <f t="shared" si="84"/>
        <v>35692.424999999996</v>
      </c>
      <c r="AO34" s="11">
        <f t="shared" si="84"/>
        <v>37675.3125</v>
      </c>
      <c r="AQ34">
        <v>31</v>
      </c>
      <c r="AR34" s="656" t="s">
        <v>3990</v>
      </c>
      <c r="AS34" s="11">
        <f t="shared" si="58"/>
        <v>7932</v>
      </c>
      <c r="AT34" s="11">
        <f t="shared" ref="AT34:BH34" si="85">$Z34+($AA205*AT$3)</f>
        <v>9914.8875000000007</v>
      </c>
      <c r="AU34" s="11">
        <f t="shared" si="85"/>
        <v>11897.775</v>
      </c>
      <c r="AV34" s="11">
        <f t="shared" si="85"/>
        <v>13880.662499999999</v>
      </c>
      <c r="AW34" s="11">
        <f t="shared" si="85"/>
        <v>15863.55</v>
      </c>
      <c r="AX34" s="11">
        <f t="shared" si="85"/>
        <v>17846.4375</v>
      </c>
      <c r="AY34" s="11">
        <f t="shared" si="85"/>
        <v>19829.324999999997</v>
      </c>
      <c r="AZ34" s="11">
        <f t="shared" si="85"/>
        <v>21812.212499999998</v>
      </c>
      <c r="BA34" s="11">
        <f t="shared" si="85"/>
        <v>23795.1</v>
      </c>
      <c r="BB34" s="11">
        <f t="shared" si="85"/>
        <v>25777.987499999999</v>
      </c>
      <c r="BC34" s="11">
        <f t="shared" si="85"/>
        <v>27760.875</v>
      </c>
      <c r="BD34" s="11">
        <f t="shared" si="85"/>
        <v>29743.762499999997</v>
      </c>
      <c r="BE34" s="11">
        <f t="shared" si="85"/>
        <v>31726.649999999998</v>
      </c>
      <c r="BF34" s="11">
        <f t="shared" si="85"/>
        <v>33709.537499999999</v>
      </c>
      <c r="BG34" s="11">
        <f t="shared" si="85"/>
        <v>35692.424999999996</v>
      </c>
      <c r="BH34" s="11">
        <f t="shared" si="85"/>
        <v>37675.3125</v>
      </c>
    </row>
    <row r="35" spans="2:60" ht="15" thickBot="1">
      <c r="B35" s="17">
        <v>99999</v>
      </c>
      <c r="C35" s="18">
        <v>1.285E-2</v>
      </c>
      <c r="E35" s="19">
        <v>222499</v>
      </c>
      <c r="F35" s="18">
        <v>2.777E-2</v>
      </c>
      <c r="G35" s="9"/>
      <c r="I35" s="22">
        <v>3100000</v>
      </c>
      <c r="J35" s="661">
        <v>8.964999999999999E-3</v>
      </c>
      <c r="K35">
        <v>1.3224999999999999E-2</v>
      </c>
      <c r="L35" s="344"/>
      <c r="M35" s="22">
        <v>955556</v>
      </c>
      <c r="N35" s="21">
        <v>1.41E-2</v>
      </c>
      <c r="O35" s="344"/>
      <c r="Q35" s="22">
        <v>124999</v>
      </c>
      <c r="R35" s="23">
        <v>4.1958000000000002E-2</v>
      </c>
      <c r="S35" s="23">
        <f t="shared" si="14"/>
        <v>4.4055900000000002E-2</v>
      </c>
      <c r="T35" s="87"/>
      <c r="U35" s="19">
        <v>437499</v>
      </c>
      <c r="V35" s="18">
        <v>2.8224000000000003E-2</v>
      </c>
      <c r="W35" s="18">
        <f t="shared" si="15"/>
        <v>2.9635200000000004E-2</v>
      </c>
      <c r="X35">
        <v>32</v>
      </c>
      <c r="Y35" s="656" t="s">
        <v>3991</v>
      </c>
      <c r="Z35" s="11">
        <f t="shared" si="56"/>
        <v>8415</v>
      </c>
      <c r="AA35" s="11">
        <f t="shared" ref="AA35:AO35" si="86">$Z35+($AA206*AA$3)</f>
        <v>10518.0625</v>
      </c>
      <c r="AB35" s="11">
        <f t="shared" si="86"/>
        <v>12621.125</v>
      </c>
      <c r="AC35" s="11">
        <f t="shared" si="86"/>
        <v>14724.1875</v>
      </c>
      <c r="AD35" s="11">
        <f t="shared" si="86"/>
        <v>16827.25</v>
      </c>
      <c r="AE35" s="11">
        <f t="shared" si="86"/>
        <v>18930.3125</v>
      </c>
      <c r="AF35" s="11">
        <f t="shared" si="86"/>
        <v>21033.375</v>
      </c>
      <c r="AG35" s="11">
        <f t="shared" si="86"/>
        <v>23136.4375</v>
      </c>
      <c r="AH35" s="11">
        <f t="shared" si="86"/>
        <v>25239.5</v>
      </c>
      <c r="AI35" s="11">
        <f t="shared" si="86"/>
        <v>27342.5625</v>
      </c>
      <c r="AJ35" s="11">
        <f t="shared" si="86"/>
        <v>29445.625</v>
      </c>
      <c r="AK35" s="11">
        <f t="shared" si="86"/>
        <v>31548.6875</v>
      </c>
      <c r="AL35" s="11">
        <f t="shared" si="86"/>
        <v>33651.75</v>
      </c>
      <c r="AM35" s="11">
        <f t="shared" si="86"/>
        <v>35754.8125</v>
      </c>
      <c r="AN35" s="11">
        <f t="shared" si="86"/>
        <v>37857.875</v>
      </c>
      <c r="AO35" s="11">
        <f t="shared" si="86"/>
        <v>39960.9375</v>
      </c>
      <c r="AQ35">
        <v>32</v>
      </c>
      <c r="AR35" s="656" t="s">
        <v>3991</v>
      </c>
      <c r="AS35" s="11">
        <f t="shared" si="58"/>
        <v>8415</v>
      </c>
      <c r="AT35" s="11">
        <f t="shared" ref="AT35:BH35" si="87">$Z35+($AA206*AT$3)</f>
        <v>10518.0625</v>
      </c>
      <c r="AU35" s="11">
        <f t="shared" si="87"/>
        <v>12621.125</v>
      </c>
      <c r="AV35" s="11">
        <f t="shared" si="87"/>
        <v>14724.1875</v>
      </c>
      <c r="AW35" s="11">
        <f t="shared" si="87"/>
        <v>16827.25</v>
      </c>
      <c r="AX35" s="11">
        <f t="shared" si="87"/>
        <v>18930.3125</v>
      </c>
      <c r="AY35" s="11">
        <f t="shared" si="87"/>
        <v>21033.375</v>
      </c>
      <c r="AZ35" s="11">
        <f t="shared" si="87"/>
        <v>23136.4375</v>
      </c>
      <c r="BA35" s="11">
        <f t="shared" si="87"/>
        <v>25239.5</v>
      </c>
      <c r="BB35" s="11">
        <f t="shared" si="87"/>
        <v>27342.5625</v>
      </c>
      <c r="BC35" s="11">
        <f t="shared" si="87"/>
        <v>29445.625</v>
      </c>
      <c r="BD35" s="11">
        <f t="shared" si="87"/>
        <v>31548.6875</v>
      </c>
      <c r="BE35" s="11">
        <f t="shared" si="87"/>
        <v>33651.75</v>
      </c>
      <c r="BF35" s="11">
        <f t="shared" si="87"/>
        <v>35754.8125</v>
      </c>
      <c r="BG35" s="11">
        <f t="shared" si="87"/>
        <v>37857.875</v>
      </c>
      <c r="BH35" s="11">
        <f t="shared" si="87"/>
        <v>39960.9375</v>
      </c>
    </row>
    <row r="36" spans="2:60" ht="15" thickBot="1">
      <c r="B36" s="17">
        <v>100000</v>
      </c>
      <c r="C36" s="18">
        <v>1.269E-2</v>
      </c>
      <c r="E36" s="19">
        <v>222500</v>
      </c>
      <c r="F36" s="18">
        <v>2.7629999999999998E-2</v>
      </c>
      <c r="G36" s="9"/>
      <c r="I36" s="22">
        <v>3200000</v>
      </c>
      <c r="J36" s="661">
        <v>8.9259999999999999E-3</v>
      </c>
      <c r="K36">
        <v>1.3109999999999997E-2</v>
      </c>
      <c r="L36" s="344"/>
      <c r="M36" s="22">
        <v>961111</v>
      </c>
      <c r="N36" s="21">
        <v>1.3580999999999999E-2</v>
      </c>
      <c r="O36" s="344"/>
      <c r="Q36" s="22">
        <v>125000</v>
      </c>
      <c r="R36" s="23">
        <v>4.12755E-2</v>
      </c>
      <c r="S36" s="23">
        <f t="shared" si="14"/>
        <v>4.3339275000000003E-2</v>
      </c>
      <c r="T36" s="87"/>
      <c r="U36" s="19">
        <v>437500</v>
      </c>
      <c r="V36" s="18">
        <v>2.7867000000000003E-2</v>
      </c>
      <c r="W36" s="18">
        <f t="shared" si="15"/>
        <v>2.9260350000000004E-2</v>
      </c>
      <c r="X36">
        <v>33</v>
      </c>
      <c r="Y36" s="656" t="s">
        <v>3992</v>
      </c>
      <c r="Z36" s="11">
        <f t="shared" si="56"/>
        <v>8902</v>
      </c>
      <c r="AA36" s="11">
        <f t="shared" ref="AA36:AO36" si="88">$Z36+($AA207*AA$3)</f>
        <v>11128.4</v>
      </c>
      <c r="AB36" s="11">
        <f t="shared" si="88"/>
        <v>13354.8</v>
      </c>
      <c r="AC36" s="11">
        <f t="shared" si="88"/>
        <v>15581.199999999999</v>
      </c>
      <c r="AD36" s="11">
        <f t="shared" si="88"/>
        <v>17807.599999999999</v>
      </c>
      <c r="AE36" s="11">
        <f t="shared" si="88"/>
        <v>20034</v>
      </c>
      <c r="AF36" s="11">
        <f t="shared" si="88"/>
        <v>22260.399999999998</v>
      </c>
      <c r="AG36" s="11">
        <f t="shared" si="88"/>
        <v>24486.799999999996</v>
      </c>
      <c r="AH36" s="11">
        <f t="shared" si="88"/>
        <v>26713.199999999997</v>
      </c>
      <c r="AI36" s="11">
        <f t="shared" si="88"/>
        <v>28939.599999999999</v>
      </c>
      <c r="AJ36" s="11">
        <f t="shared" si="88"/>
        <v>31165.999999999996</v>
      </c>
      <c r="AK36" s="11">
        <f t="shared" si="88"/>
        <v>33392.399999999994</v>
      </c>
      <c r="AL36" s="11">
        <f t="shared" si="88"/>
        <v>35618.799999999996</v>
      </c>
      <c r="AM36" s="11">
        <f t="shared" si="88"/>
        <v>37845.199999999997</v>
      </c>
      <c r="AN36" s="11">
        <f t="shared" si="88"/>
        <v>40071.599999999991</v>
      </c>
      <c r="AO36" s="11">
        <f t="shared" si="88"/>
        <v>42297.999999999993</v>
      </c>
      <c r="AQ36">
        <v>33</v>
      </c>
      <c r="AR36" s="656" t="s">
        <v>3992</v>
      </c>
      <c r="AS36" s="11">
        <f t="shared" si="58"/>
        <v>8902</v>
      </c>
      <c r="AT36" s="11">
        <f t="shared" ref="AT36:BH36" si="89">$Z36+($AA207*AT$3)</f>
        <v>11128.4</v>
      </c>
      <c r="AU36" s="11">
        <f t="shared" si="89"/>
        <v>13354.8</v>
      </c>
      <c r="AV36" s="11">
        <f t="shared" si="89"/>
        <v>15581.199999999999</v>
      </c>
      <c r="AW36" s="11">
        <f t="shared" si="89"/>
        <v>17807.599999999999</v>
      </c>
      <c r="AX36" s="11">
        <f t="shared" si="89"/>
        <v>20034</v>
      </c>
      <c r="AY36" s="11">
        <f t="shared" si="89"/>
        <v>22260.399999999998</v>
      </c>
      <c r="AZ36" s="11">
        <f t="shared" si="89"/>
        <v>24486.799999999996</v>
      </c>
      <c r="BA36" s="11">
        <f t="shared" si="89"/>
        <v>26713.199999999997</v>
      </c>
      <c r="BB36" s="11">
        <f t="shared" si="89"/>
        <v>28939.599999999999</v>
      </c>
      <c r="BC36" s="11">
        <f t="shared" si="89"/>
        <v>31165.999999999996</v>
      </c>
      <c r="BD36" s="11">
        <f t="shared" si="89"/>
        <v>33392.399999999994</v>
      </c>
      <c r="BE36" s="11">
        <f t="shared" si="89"/>
        <v>35618.799999999996</v>
      </c>
      <c r="BF36" s="11">
        <f t="shared" si="89"/>
        <v>37845.199999999997</v>
      </c>
      <c r="BG36" s="11">
        <f t="shared" si="89"/>
        <v>40071.599999999991</v>
      </c>
      <c r="BH36" s="11">
        <f t="shared" si="89"/>
        <v>42297.999999999993</v>
      </c>
    </row>
    <row r="37" spans="2:60" ht="15" thickBot="1">
      <c r="B37" s="17">
        <v>104999</v>
      </c>
      <c r="C37" s="18">
        <v>1.269E-2</v>
      </c>
      <c r="E37" s="19">
        <v>229999</v>
      </c>
      <c r="F37" s="18">
        <v>2.7629999999999998E-2</v>
      </c>
      <c r="G37" s="9"/>
      <c r="I37" s="22">
        <v>3300000</v>
      </c>
      <c r="J37" s="661">
        <v>8.8870000000000008E-3</v>
      </c>
      <c r="K37">
        <v>1.3109999999999997E-2</v>
      </c>
      <c r="L37" s="344"/>
      <c r="M37" s="22">
        <v>966666</v>
      </c>
      <c r="N37" s="21">
        <v>1.3061999999999999E-2</v>
      </c>
      <c r="O37" s="344"/>
      <c r="Q37" s="22">
        <v>129999</v>
      </c>
      <c r="R37" s="23">
        <v>4.12755E-2</v>
      </c>
      <c r="S37" s="23">
        <f t="shared" si="14"/>
        <v>4.3339275000000003E-2</v>
      </c>
      <c r="T37" s="87"/>
      <c r="U37" s="19">
        <v>449999</v>
      </c>
      <c r="V37" s="18">
        <v>2.7867000000000003E-2</v>
      </c>
      <c r="W37" s="18">
        <f t="shared" si="15"/>
        <v>2.9260350000000004E-2</v>
      </c>
      <c r="X37">
        <v>34</v>
      </c>
      <c r="Y37" s="656" t="s">
        <v>3993</v>
      </c>
      <c r="Z37" s="11">
        <f t="shared" si="56"/>
        <v>9497</v>
      </c>
      <c r="AA37" s="11">
        <f t="shared" ref="AA37:AO37" si="90">$Z37+($AA208*AA$3)</f>
        <v>11878.362499999999</v>
      </c>
      <c r="AB37" s="11">
        <f t="shared" si="90"/>
        <v>14259.724999999999</v>
      </c>
      <c r="AC37" s="11">
        <f t="shared" si="90"/>
        <v>16641.087499999998</v>
      </c>
      <c r="AD37" s="11">
        <f t="shared" si="90"/>
        <v>19022.449999999997</v>
      </c>
      <c r="AE37" s="11">
        <f t="shared" si="90"/>
        <v>21403.812499999996</v>
      </c>
      <c r="AF37" s="11">
        <f t="shared" si="90"/>
        <v>23785.174999999996</v>
      </c>
      <c r="AG37" s="11">
        <f t="shared" si="90"/>
        <v>26166.537499999995</v>
      </c>
      <c r="AH37" s="11">
        <f t="shared" si="90"/>
        <v>28547.899999999994</v>
      </c>
      <c r="AI37" s="11">
        <f t="shared" si="90"/>
        <v>30929.262499999993</v>
      </c>
      <c r="AJ37" s="11">
        <f t="shared" si="90"/>
        <v>33310.624999999993</v>
      </c>
      <c r="AK37" s="11">
        <f t="shared" si="90"/>
        <v>35691.987499999988</v>
      </c>
      <c r="AL37" s="11">
        <f t="shared" si="90"/>
        <v>38073.349999999991</v>
      </c>
      <c r="AM37" s="11">
        <f t="shared" si="90"/>
        <v>40454.712499999994</v>
      </c>
      <c r="AN37" s="11">
        <f t="shared" si="90"/>
        <v>42836.07499999999</v>
      </c>
      <c r="AO37" s="11">
        <f t="shared" si="90"/>
        <v>45217.437499999985</v>
      </c>
      <c r="AQ37">
        <v>34</v>
      </c>
      <c r="AR37" s="656" t="s">
        <v>3993</v>
      </c>
      <c r="AS37" s="11">
        <f t="shared" si="58"/>
        <v>9497</v>
      </c>
      <c r="AT37" s="11">
        <f t="shared" ref="AT37:BH37" si="91">$Z37+($AA208*AT$3)</f>
        <v>11878.362499999999</v>
      </c>
      <c r="AU37" s="11">
        <f t="shared" si="91"/>
        <v>14259.724999999999</v>
      </c>
      <c r="AV37" s="11">
        <f t="shared" si="91"/>
        <v>16641.087499999998</v>
      </c>
      <c r="AW37" s="11">
        <f t="shared" si="91"/>
        <v>19022.449999999997</v>
      </c>
      <c r="AX37" s="11">
        <f t="shared" si="91"/>
        <v>21403.812499999996</v>
      </c>
      <c r="AY37" s="11">
        <f t="shared" si="91"/>
        <v>23785.174999999996</v>
      </c>
      <c r="AZ37" s="11">
        <f t="shared" si="91"/>
        <v>26166.537499999995</v>
      </c>
      <c r="BA37" s="11">
        <f t="shared" si="91"/>
        <v>28547.899999999994</v>
      </c>
      <c r="BB37" s="11">
        <f t="shared" si="91"/>
        <v>30929.262499999993</v>
      </c>
      <c r="BC37" s="11">
        <f t="shared" si="91"/>
        <v>33310.624999999993</v>
      </c>
      <c r="BD37" s="11">
        <f t="shared" si="91"/>
        <v>35691.987499999988</v>
      </c>
      <c r="BE37" s="11">
        <f t="shared" si="91"/>
        <v>38073.349999999991</v>
      </c>
      <c r="BF37" s="11">
        <f t="shared" si="91"/>
        <v>40454.712499999994</v>
      </c>
      <c r="BG37" s="11">
        <f t="shared" si="91"/>
        <v>42836.07499999999</v>
      </c>
      <c r="BH37" s="11">
        <f t="shared" si="91"/>
        <v>45217.437499999985</v>
      </c>
    </row>
    <row r="38" spans="2:60" ht="15" thickBot="1">
      <c r="B38" s="17">
        <v>105000</v>
      </c>
      <c r="C38" s="18">
        <v>1.256E-2</v>
      </c>
      <c r="E38" s="19">
        <v>230000</v>
      </c>
      <c r="F38" s="18">
        <v>2.7359999999999999E-2</v>
      </c>
      <c r="G38" s="9"/>
      <c r="I38" s="22">
        <v>3400000</v>
      </c>
      <c r="J38" s="661">
        <v>8.849000000000001E-3</v>
      </c>
      <c r="K38">
        <v>1.2994999999999998E-2</v>
      </c>
      <c r="L38" s="344"/>
      <c r="M38" s="22">
        <v>972221</v>
      </c>
      <c r="N38" s="21">
        <v>1.2542999999999999E-2</v>
      </c>
      <c r="O38" s="344"/>
      <c r="Q38" s="22">
        <v>130000</v>
      </c>
      <c r="R38" s="23">
        <v>4.0593000000000004E-2</v>
      </c>
      <c r="S38" s="23">
        <f t="shared" si="14"/>
        <v>4.2622650000000005E-2</v>
      </c>
      <c r="T38" s="87"/>
      <c r="U38" s="19">
        <v>450000</v>
      </c>
      <c r="V38" s="18">
        <v>2.7520500000000003E-2</v>
      </c>
      <c r="W38" s="18">
        <f t="shared" si="15"/>
        <v>2.8896525000000006E-2</v>
      </c>
      <c r="X38">
        <v>35</v>
      </c>
      <c r="Y38" s="656" t="s">
        <v>3994</v>
      </c>
      <c r="Z38" s="11">
        <f t="shared" si="56"/>
        <v>10088</v>
      </c>
      <c r="AA38" s="11">
        <f t="shared" ref="AA38:AO38" si="92">$Z38+($AA209*AA$3)</f>
        <v>12627.487499999999</v>
      </c>
      <c r="AB38" s="11">
        <f t="shared" si="92"/>
        <v>15166.974999999999</v>
      </c>
      <c r="AC38" s="11">
        <f t="shared" si="92"/>
        <v>17706.462499999998</v>
      </c>
      <c r="AD38" s="11">
        <f t="shared" si="92"/>
        <v>20245.949999999997</v>
      </c>
      <c r="AE38" s="11">
        <f t="shared" si="92"/>
        <v>22785.437499999996</v>
      </c>
      <c r="AF38" s="11">
        <f t="shared" si="92"/>
        <v>25324.924999999996</v>
      </c>
      <c r="AG38" s="11">
        <f t="shared" si="92"/>
        <v>27864.412499999995</v>
      </c>
      <c r="AH38" s="11">
        <f t="shared" si="92"/>
        <v>30403.899999999994</v>
      </c>
      <c r="AI38" s="11">
        <f t="shared" si="92"/>
        <v>32943.387499999997</v>
      </c>
      <c r="AJ38" s="11">
        <f t="shared" si="92"/>
        <v>35482.874999999993</v>
      </c>
      <c r="AK38" s="11">
        <f t="shared" si="92"/>
        <v>38022.362499999988</v>
      </c>
      <c r="AL38" s="11">
        <f t="shared" si="92"/>
        <v>40561.849999999991</v>
      </c>
      <c r="AM38" s="11">
        <f t="shared" si="92"/>
        <v>43101.337499999994</v>
      </c>
      <c r="AN38" s="11">
        <f t="shared" si="92"/>
        <v>45640.82499999999</v>
      </c>
      <c r="AO38" s="11">
        <f t="shared" si="92"/>
        <v>48180.312499999985</v>
      </c>
      <c r="AQ38">
        <v>35</v>
      </c>
      <c r="AR38" s="656" t="s">
        <v>3994</v>
      </c>
      <c r="AS38" s="11">
        <f t="shared" si="58"/>
        <v>10088</v>
      </c>
      <c r="AT38" s="11">
        <f t="shared" ref="AT38:BH38" si="93">$Z38+($AA209*AT$3)</f>
        <v>12627.487499999999</v>
      </c>
      <c r="AU38" s="11">
        <f t="shared" si="93"/>
        <v>15166.974999999999</v>
      </c>
      <c r="AV38" s="11">
        <f t="shared" si="93"/>
        <v>17706.462499999998</v>
      </c>
      <c r="AW38" s="11">
        <f t="shared" si="93"/>
        <v>20245.949999999997</v>
      </c>
      <c r="AX38" s="11">
        <f t="shared" si="93"/>
        <v>22785.437499999996</v>
      </c>
      <c r="AY38" s="11">
        <f t="shared" si="93"/>
        <v>25324.924999999996</v>
      </c>
      <c r="AZ38" s="11">
        <f t="shared" si="93"/>
        <v>27864.412499999995</v>
      </c>
      <c r="BA38" s="11">
        <f t="shared" si="93"/>
        <v>30403.899999999994</v>
      </c>
      <c r="BB38" s="11">
        <f t="shared" si="93"/>
        <v>32943.387499999997</v>
      </c>
      <c r="BC38" s="11">
        <f t="shared" si="93"/>
        <v>35482.874999999993</v>
      </c>
      <c r="BD38" s="11">
        <f t="shared" si="93"/>
        <v>38022.362499999988</v>
      </c>
      <c r="BE38" s="11">
        <f t="shared" si="93"/>
        <v>40561.849999999991</v>
      </c>
      <c r="BF38" s="11">
        <f t="shared" si="93"/>
        <v>43101.337499999994</v>
      </c>
      <c r="BG38" s="11">
        <f t="shared" si="93"/>
        <v>45640.82499999999</v>
      </c>
      <c r="BH38" s="11">
        <f t="shared" si="93"/>
        <v>48180.312499999985</v>
      </c>
    </row>
    <row r="39" spans="2:60" ht="15" thickBot="1">
      <c r="B39" s="17">
        <v>109999</v>
      </c>
      <c r="C39" s="18">
        <v>1.256E-2</v>
      </c>
      <c r="E39" s="19">
        <v>237499</v>
      </c>
      <c r="F39" s="18">
        <v>2.7359999999999999E-2</v>
      </c>
      <c r="G39" s="9"/>
      <c r="I39" s="22">
        <v>3500000</v>
      </c>
      <c r="J39" s="661">
        <v>8.8100000000000001E-3</v>
      </c>
      <c r="K39">
        <v>1.2994999999999998E-2</v>
      </c>
      <c r="L39" s="344"/>
      <c r="M39" s="22">
        <v>977776</v>
      </c>
      <c r="N39" s="21">
        <v>1.2023999999999998E-2</v>
      </c>
      <c r="O39" s="344"/>
      <c r="Q39" s="22">
        <v>134999</v>
      </c>
      <c r="R39" s="23">
        <v>4.0593000000000004E-2</v>
      </c>
      <c r="S39" s="23">
        <f t="shared" si="14"/>
        <v>4.2622650000000005E-2</v>
      </c>
      <c r="T39" s="87"/>
      <c r="U39" s="19">
        <v>462499</v>
      </c>
      <c r="V39" s="18">
        <v>2.7520500000000003E-2</v>
      </c>
      <c r="W39" s="18">
        <f t="shared" si="15"/>
        <v>2.8896525000000006E-2</v>
      </c>
      <c r="X39">
        <v>36</v>
      </c>
      <c r="Y39" s="656" t="s">
        <v>3995</v>
      </c>
      <c r="Z39" s="11">
        <f t="shared" si="56"/>
        <v>10683</v>
      </c>
      <c r="AA39" s="11">
        <f t="shared" ref="AA39:AO39" si="94">$Z39+($AA210*AA$3)</f>
        <v>13377.449999999999</v>
      </c>
      <c r="AB39" s="11">
        <f t="shared" si="94"/>
        <v>16071.899999999998</v>
      </c>
      <c r="AC39" s="11">
        <f t="shared" si="94"/>
        <v>18766.349999999999</v>
      </c>
      <c r="AD39" s="11">
        <f t="shared" si="94"/>
        <v>21460.799999999996</v>
      </c>
      <c r="AE39" s="11">
        <f t="shared" si="94"/>
        <v>24155.249999999996</v>
      </c>
      <c r="AF39" s="11">
        <f t="shared" si="94"/>
        <v>26849.699999999997</v>
      </c>
      <c r="AG39" s="11">
        <f t="shared" si="94"/>
        <v>29544.149999999994</v>
      </c>
      <c r="AH39" s="11">
        <f t="shared" si="94"/>
        <v>32238.599999999995</v>
      </c>
      <c r="AI39" s="11">
        <f t="shared" si="94"/>
        <v>34933.049999999996</v>
      </c>
      <c r="AJ39" s="11">
        <f t="shared" si="94"/>
        <v>37627.499999999993</v>
      </c>
      <c r="AK39" s="11">
        <f t="shared" si="94"/>
        <v>40321.949999999997</v>
      </c>
      <c r="AL39" s="11">
        <f t="shared" si="94"/>
        <v>43016.399999999994</v>
      </c>
      <c r="AM39" s="11">
        <f t="shared" si="94"/>
        <v>45710.849999999991</v>
      </c>
      <c r="AN39" s="11">
        <f t="shared" si="94"/>
        <v>48405.299999999988</v>
      </c>
      <c r="AO39" s="11">
        <f t="shared" si="94"/>
        <v>51099.749999999993</v>
      </c>
      <c r="AQ39">
        <v>36</v>
      </c>
      <c r="AR39" s="656" t="s">
        <v>3995</v>
      </c>
      <c r="AS39" s="11">
        <f t="shared" si="58"/>
        <v>10683</v>
      </c>
      <c r="AT39" s="11">
        <f t="shared" ref="AT39:BH39" si="95">$Z39+($AA210*AT$3)</f>
        <v>13377.449999999999</v>
      </c>
      <c r="AU39" s="11">
        <f t="shared" si="95"/>
        <v>16071.899999999998</v>
      </c>
      <c r="AV39" s="11">
        <f t="shared" si="95"/>
        <v>18766.349999999999</v>
      </c>
      <c r="AW39" s="11">
        <f t="shared" si="95"/>
        <v>21460.799999999996</v>
      </c>
      <c r="AX39" s="11">
        <f t="shared" si="95"/>
        <v>24155.249999999996</v>
      </c>
      <c r="AY39" s="11">
        <f t="shared" si="95"/>
        <v>26849.699999999997</v>
      </c>
      <c r="AZ39" s="11">
        <f t="shared" si="95"/>
        <v>29544.149999999994</v>
      </c>
      <c r="BA39" s="11">
        <f t="shared" si="95"/>
        <v>32238.599999999995</v>
      </c>
      <c r="BB39" s="11">
        <f t="shared" si="95"/>
        <v>34933.049999999996</v>
      </c>
      <c r="BC39" s="11">
        <f t="shared" si="95"/>
        <v>37627.499999999993</v>
      </c>
      <c r="BD39" s="11">
        <f t="shared" si="95"/>
        <v>40321.949999999997</v>
      </c>
      <c r="BE39" s="11">
        <f t="shared" si="95"/>
        <v>43016.399999999994</v>
      </c>
      <c r="BF39" s="11">
        <f t="shared" si="95"/>
        <v>45710.849999999991</v>
      </c>
      <c r="BG39" s="11">
        <f t="shared" si="95"/>
        <v>48405.299999999988</v>
      </c>
      <c r="BH39" s="11">
        <f t="shared" si="95"/>
        <v>51099.749999999993</v>
      </c>
    </row>
    <row r="40" spans="2:60" ht="15" thickBot="1">
      <c r="B40" s="17">
        <v>110000</v>
      </c>
      <c r="C40" s="18">
        <v>1.2409999999999999E-2</v>
      </c>
      <c r="E40" s="19">
        <v>237500</v>
      </c>
      <c r="F40" s="18">
        <v>2.7099999999999999E-2</v>
      </c>
      <c r="G40" s="9"/>
      <c r="I40" s="22">
        <v>3600000</v>
      </c>
      <c r="J40" s="661">
        <v>8.8100000000000001E-3</v>
      </c>
      <c r="K40">
        <v>1.2880000000000001E-2</v>
      </c>
      <c r="L40" s="344"/>
      <c r="M40" s="22">
        <v>983331</v>
      </c>
      <c r="N40" s="21">
        <v>1.1504999999999998E-2</v>
      </c>
      <c r="O40" s="344"/>
      <c r="Q40" s="22">
        <v>135000</v>
      </c>
      <c r="R40" s="23">
        <v>3.9920999999999998E-2</v>
      </c>
      <c r="S40" s="23">
        <f t="shared" si="14"/>
        <v>4.1917049999999997E-2</v>
      </c>
      <c r="T40" s="87"/>
      <c r="U40" s="19">
        <v>462500</v>
      </c>
      <c r="V40" s="18">
        <v>2.71635E-2</v>
      </c>
      <c r="W40" s="18">
        <f t="shared" si="15"/>
        <v>2.8521675E-2</v>
      </c>
      <c r="X40">
        <v>37</v>
      </c>
      <c r="Y40" s="656" t="s">
        <v>3996</v>
      </c>
      <c r="Z40" s="11">
        <f t="shared" si="56"/>
        <v>11277</v>
      </c>
      <c r="AA40" s="11">
        <f t="shared" ref="AA40:AO40" si="96">$Z40+($AA211*AA$3)</f>
        <v>14129.574999999999</v>
      </c>
      <c r="AB40" s="11">
        <f t="shared" si="96"/>
        <v>16982.149999999998</v>
      </c>
      <c r="AC40" s="11">
        <f t="shared" si="96"/>
        <v>19834.724999999999</v>
      </c>
      <c r="AD40" s="11">
        <f t="shared" si="96"/>
        <v>22687.299999999996</v>
      </c>
      <c r="AE40" s="11">
        <f t="shared" si="96"/>
        <v>25539.874999999996</v>
      </c>
      <c r="AF40" s="11">
        <f t="shared" si="96"/>
        <v>28392.449999999997</v>
      </c>
      <c r="AG40" s="11">
        <f t="shared" si="96"/>
        <v>31245.024999999994</v>
      </c>
      <c r="AH40" s="11">
        <f t="shared" si="96"/>
        <v>34097.599999999991</v>
      </c>
      <c r="AI40" s="11">
        <f t="shared" si="96"/>
        <v>36950.174999999996</v>
      </c>
      <c r="AJ40" s="11">
        <f t="shared" si="96"/>
        <v>39802.749999999993</v>
      </c>
      <c r="AK40" s="11">
        <f t="shared" si="96"/>
        <v>42655.324999999997</v>
      </c>
      <c r="AL40" s="11">
        <f t="shared" si="96"/>
        <v>45507.899999999994</v>
      </c>
      <c r="AM40" s="11">
        <f t="shared" si="96"/>
        <v>48360.474999999991</v>
      </c>
      <c r="AN40" s="11">
        <f t="shared" si="96"/>
        <v>51213.049999999988</v>
      </c>
      <c r="AO40" s="11">
        <f t="shared" si="96"/>
        <v>54065.624999999993</v>
      </c>
      <c r="AQ40">
        <v>37</v>
      </c>
      <c r="AR40" s="656" t="s">
        <v>3996</v>
      </c>
      <c r="AS40" s="11">
        <f t="shared" si="58"/>
        <v>11277</v>
      </c>
      <c r="AT40" s="11">
        <f t="shared" ref="AT40:BH40" si="97">$Z40+($AA211*AT$3)</f>
        <v>14129.574999999999</v>
      </c>
      <c r="AU40" s="11">
        <f t="shared" si="97"/>
        <v>16982.149999999998</v>
      </c>
      <c r="AV40" s="11">
        <f t="shared" si="97"/>
        <v>19834.724999999999</v>
      </c>
      <c r="AW40" s="11">
        <f t="shared" si="97"/>
        <v>22687.299999999996</v>
      </c>
      <c r="AX40" s="11">
        <f t="shared" si="97"/>
        <v>25539.874999999996</v>
      </c>
      <c r="AY40" s="11">
        <f t="shared" si="97"/>
        <v>28392.449999999997</v>
      </c>
      <c r="AZ40" s="11">
        <f t="shared" si="97"/>
        <v>31245.024999999994</v>
      </c>
      <c r="BA40" s="11">
        <f t="shared" si="97"/>
        <v>34097.599999999991</v>
      </c>
      <c r="BB40" s="11">
        <f t="shared" si="97"/>
        <v>36950.174999999996</v>
      </c>
      <c r="BC40" s="11">
        <f t="shared" si="97"/>
        <v>39802.749999999993</v>
      </c>
      <c r="BD40" s="11">
        <f t="shared" si="97"/>
        <v>42655.324999999997</v>
      </c>
      <c r="BE40" s="11">
        <f t="shared" si="97"/>
        <v>45507.899999999994</v>
      </c>
      <c r="BF40" s="11">
        <f t="shared" si="97"/>
        <v>48360.474999999991</v>
      </c>
      <c r="BG40" s="11">
        <f t="shared" si="97"/>
        <v>51213.049999999988</v>
      </c>
      <c r="BH40" s="11">
        <f t="shared" si="97"/>
        <v>54065.624999999993</v>
      </c>
    </row>
    <row r="41" spans="2:60" ht="15" thickBot="1">
      <c r="B41" s="17">
        <v>114999</v>
      </c>
      <c r="C41" s="18">
        <v>1.2409999999999999E-2</v>
      </c>
      <c r="E41" s="19">
        <v>244999</v>
      </c>
      <c r="F41" s="18">
        <v>2.7099999999999999E-2</v>
      </c>
      <c r="G41" s="9"/>
      <c r="I41" s="22">
        <v>3700000</v>
      </c>
      <c r="J41" s="661">
        <v>8.8100000000000001E-3</v>
      </c>
      <c r="K41">
        <v>1.2880000000000001E-2</v>
      </c>
      <c r="L41" s="344"/>
      <c r="M41" s="22">
        <v>988886</v>
      </c>
      <c r="N41" s="21">
        <v>1.0985999999999998E-2</v>
      </c>
      <c r="O41" s="344"/>
      <c r="Q41" s="22">
        <v>139999</v>
      </c>
      <c r="R41" s="23">
        <v>3.9920999999999998E-2</v>
      </c>
      <c r="S41" s="23">
        <f t="shared" si="14"/>
        <v>4.1917049999999997E-2</v>
      </c>
      <c r="T41" s="87"/>
      <c r="U41" s="19">
        <v>474999</v>
      </c>
      <c r="V41" s="18">
        <v>2.71635E-2</v>
      </c>
      <c r="W41" s="18">
        <f t="shared" si="15"/>
        <v>2.8521675E-2</v>
      </c>
      <c r="X41">
        <v>38</v>
      </c>
      <c r="Y41" s="656" t="s">
        <v>3997</v>
      </c>
      <c r="Z41" s="11">
        <f t="shared" si="56"/>
        <v>11869</v>
      </c>
      <c r="AA41" s="11">
        <f t="shared" ref="AA41:AO41" si="98">$Z41+($AA212*AA$3)</f>
        <v>14876.5375</v>
      </c>
      <c r="AB41" s="11">
        <f t="shared" si="98"/>
        <v>17884.075000000001</v>
      </c>
      <c r="AC41" s="11">
        <f t="shared" si="98"/>
        <v>20891.612499999999</v>
      </c>
      <c r="AD41" s="11">
        <f t="shared" si="98"/>
        <v>23899.15</v>
      </c>
      <c r="AE41" s="11">
        <f t="shared" si="98"/>
        <v>26906.6875</v>
      </c>
      <c r="AF41" s="11">
        <f t="shared" si="98"/>
        <v>29914.224999999999</v>
      </c>
      <c r="AG41" s="11">
        <f t="shared" si="98"/>
        <v>32921.762499999997</v>
      </c>
      <c r="AH41" s="11">
        <f t="shared" si="98"/>
        <v>35929.300000000003</v>
      </c>
      <c r="AI41" s="11">
        <f t="shared" si="98"/>
        <v>38936.837499999994</v>
      </c>
      <c r="AJ41" s="11">
        <f t="shared" si="98"/>
        <v>41944.375</v>
      </c>
      <c r="AK41" s="11">
        <f t="shared" si="98"/>
        <v>44951.912499999999</v>
      </c>
      <c r="AL41" s="11">
        <f t="shared" si="98"/>
        <v>47959.45</v>
      </c>
      <c r="AM41" s="11">
        <f t="shared" si="98"/>
        <v>50966.987499999996</v>
      </c>
      <c r="AN41" s="11">
        <f t="shared" si="98"/>
        <v>53974.525000000001</v>
      </c>
      <c r="AO41" s="11">
        <f t="shared" si="98"/>
        <v>56982.0625</v>
      </c>
      <c r="AQ41">
        <v>38</v>
      </c>
      <c r="AR41" s="656" t="s">
        <v>3997</v>
      </c>
      <c r="AS41" s="11">
        <f t="shared" si="58"/>
        <v>11869</v>
      </c>
      <c r="AT41" s="11">
        <f t="shared" ref="AT41:BH41" si="99">$Z41+($AA212*AT$3)</f>
        <v>14876.5375</v>
      </c>
      <c r="AU41" s="11">
        <f t="shared" si="99"/>
        <v>17884.075000000001</v>
      </c>
      <c r="AV41" s="11">
        <f t="shared" si="99"/>
        <v>20891.612499999999</v>
      </c>
      <c r="AW41" s="11">
        <f t="shared" si="99"/>
        <v>23899.15</v>
      </c>
      <c r="AX41" s="11">
        <f t="shared" si="99"/>
        <v>26906.6875</v>
      </c>
      <c r="AY41" s="11">
        <f t="shared" si="99"/>
        <v>29914.224999999999</v>
      </c>
      <c r="AZ41" s="11">
        <f t="shared" si="99"/>
        <v>32921.762499999997</v>
      </c>
      <c r="BA41" s="11">
        <f t="shared" si="99"/>
        <v>35929.300000000003</v>
      </c>
      <c r="BB41" s="11">
        <f t="shared" si="99"/>
        <v>38936.837499999994</v>
      </c>
      <c r="BC41" s="11">
        <f t="shared" si="99"/>
        <v>41944.375</v>
      </c>
      <c r="BD41" s="11">
        <f t="shared" si="99"/>
        <v>44951.912499999999</v>
      </c>
      <c r="BE41" s="11">
        <f t="shared" si="99"/>
        <v>47959.45</v>
      </c>
      <c r="BF41" s="11">
        <f t="shared" si="99"/>
        <v>50966.987499999996</v>
      </c>
      <c r="BG41" s="11">
        <f t="shared" si="99"/>
        <v>53974.525000000001</v>
      </c>
      <c r="BH41" s="11">
        <f t="shared" si="99"/>
        <v>56982.0625</v>
      </c>
    </row>
    <row r="42" spans="2:60" ht="15" thickBot="1">
      <c r="B42" s="17">
        <v>115000</v>
      </c>
      <c r="C42" s="18">
        <v>1.227E-2</v>
      </c>
      <c r="E42" s="19">
        <v>245000</v>
      </c>
      <c r="F42" s="18">
        <v>2.683E-2</v>
      </c>
      <c r="G42" s="9"/>
      <c r="I42" s="22">
        <v>3800000</v>
      </c>
      <c r="J42" s="661">
        <v>8.8100000000000001E-3</v>
      </c>
      <c r="K42">
        <v>1.2765E-2</v>
      </c>
      <c r="L42" s="344"/>
      <c r="M42" s="22">
        <v>994441</v>
      </c>
      <c r="N42" s="21">
        <v>1.0466999999999997E-2</v>
      </c>
      <c r="O42" s="344"/>
      <c r="Q42" s="22">
        <v>140000</v>
      </c>
      <c r="R42" s="23">
        <v>3.9238500000000003E-2</v>
      </c>
      <c r="S42" s="23">
        <f t="shared" si="14"/>
        <v>4.1200425000000006E-2</v>
      </c>
      <c r="T42" s="87"/>
      <c r="U42" s="19">
        <v>475000</v>
      </c>
      <c r="V42" s="18">
        <v>2.6817000000000001E-2</v>
      </c>
      <c r="W42" s="18">
        <f t="shared" si="15"/>
        <v>2.8157850000000002E-2</v>
      </c>
      <c r="X42">
        <v>39</v>
      </c>
      <c r="Y42" s="656" t="s">
        <v>3998</v>
      </c>
      <c r="Z42" s="11">
        <f t="shared" si="56"/>
        <v>12463</v>
      </c>
      <c r="AA42" s="11">
        <f t="shared" ref="AA42:AO42" si="100">$Z42+($AA213*AA$3)</f>
        <v>15628.662499999999</v>
      </c>
      <c r="AB42" s="11">
        <f t="shared" si="100"/>
        <v>18794.324999999997</v>
      </c>
      <c r="AC42" s="11">
        <f t="shared" si="100"/>
        <v>21959.987499999999</v>
      </c>
      <c r="AD42" s="11">
        <f t="shared" si="100"/>
        <v>25125.649999999998</v>
      </c>
      <c r="AE42" s="11">
        <f t="shared" si="100"/>
        <v>28291.312499999996</v>
      </c>
      <c r="AF42" s="11">
        <f t="shared" si="100"/>
        <v>31456.974999999999</v>
      </c>
      <c r="AG42" s="11">
        <f t="shared" si="100"/>
        <v>34622.637499999997</v>
      </c>
      <c r="AH42" s="11">
        <f t="shared" si="100"/>
        <v>37788.299999999996</v>
      </c>
      <c r="AI42" s="11">
        <f t="shared" si="100"/>
        <v>40953.962499999994</v>
      </c>
      <c r="AJ42" s="11">
        <f t="shared" si="100"/>
        <v>44119.624999999993</v>
      </c>
      <c r="AK42" s="11">
        <f t="shared" si="100"/>
        <v>47285.287499999991</v>
      </c>
      <c r="AL42" s="11">
        <f t="shared" si="100"/>
        <v>50450.95</v>
      </c>
      <c r="AM42" s="11">
        <f t="shared" si="100"/>
        <v>53616.612499999996</v>
      </c>
      <c r="AN42" s="11">
        <f t="shared" si="100"/>
        <v>56782.274999999994</v>
      </c>
      <c r="AO42" s="11">
        <f t="shared" si="100"/>
        <v>59947.937499999993</v>
      </c>
      <c r="AQ42">
        <v>39</v>
      </c>
      <c r="AR42" s="656" t="s">
        <v>3998</v>
      </c>
      <c r="AS42" s="11">
        <f t="shared" si="58"/>
        <v>12463</v>
      </c>
      <c r="AT42" s="11">
        <f t="shared" ref="AT42:BH42" si="101">$Z42+($AA213*AT$3)</f>
        <v>15628.662499999999</v>
      </c>
      <c r="AU42" s="11">
        <f t="shared" si="101"/>
        <v>18794.324999999997</v>
      </c>
      <c r="AV42" s="11">
        <f t="shared" si="101"/>
        <v>21959.987499999999</v>
      </c>
      <c r="AW42" s="11">
        <f t="shared" si="101"/>
        <v>25125.649999999998</v>
      </c>
      <c r="AX42" s="11">
        <f t="shared" si="101"/>
        <v>28291.312499999996</v>
      </c>
      <c r="AY42" s="11">
        <f t="shared" si="101"/>
        <v>31456.974999999999</v>
      </c>
      <c r="AZ42" s="11">
        <f t="shared" si="101"/>
        <v>34622.637499999997</v>
      </c>
      <c r="BA42" s="11">
        <f t="shared" si="101"/>
        <v>37788.299999999996</v>
      </c>
      <c r="BB42" s="11">
        <f t="shared" si="101"/>
        <v>40953.962499999994</v>
      </c>
      <c r="BC42" s="11">
        <f t="shared" si="101"/>
        <v>44119.624999999993</v>
      </c>
      <c r="BD42" s="11">
        <f t="shared" si="101"/>
        <v>47285.287499999991</v>
      </c>
      <c r="BE42" s="11">
        <f t="shared" si="101"/>
        <v>50450.95</v>
      </c>
      <c r="BF42" s="11">
        <f t="shared" si="101"/>
        <v>53616.612499999996</v>
      </c>
      <c r="BG42" s="11">
        <f t="shared" si="101"/>
        <v>56782.274999999994</v>
      </c>
      <c r="BH42" s="11">
        <f t="shared" si="101"/>
        <v>59947.937499999993</v>
      </c>
    </row>
    <row r="43" spans="2:60" ht="15" thickBot="1">
      <c r="B43" s="17">
        <v>119999</v>
      </c>
      <c r="C43" s="18">
        <v>1.227E-2</v>
      </c>
      <c r="E43" s="19">
        <v>252499</v>
      </c>
      <c r="F43" s="18">
        <v>2.683E-2</v>
      </c>
      <c r="G43" s="9"/>
      <c r="I43" s="22">
        <v>3900000</v>
      </c>
      <c r="J43" s="661">
        <v>8.8100000000000001E-3</v>
      </c>
      <c r="K43">
        <v>1.2765E-2</v>
      </c>
      <c r="L43" s="344"/>
      <c r="M43" s="22">
        <v>999996</v>
      </c>
      <c r="N43" s="21">
        <v>9.9479999999999968E-3</v>
      </c>
      <c r="O43" s="344"/>
      <c r="Q43" s="22">
        <v>144999</v>
      </c>
      <c r="R43" s="23">
        <v>3.9238500000000003E-2</v>
      </c>
      <c r="S43" s="23">
        <f t="shared" si="14"/>
        <v>4.1200425000000006E-2</v>
      </c>
      <c r="T43" s="87"/>
      <c r="U43" s="19">
        <v>487499</v>
      </c>
      <c r="V43" s="18">
        <v>2.6817000000000001E-2</v>
      </c>
      <c r="W43" s="18">
        <f t="shared" si="15"/>
        <v>2.8157850000000002E-2</v>
      </c>
      <c r="X43">
        <v>40</v>
      </c>
      <c r="Y43" s="656" t="s">
        <v>3999</v>
      </c>
      <c r="Z43" s="11">
        <f t="shared" si="56"/>
        <v>13058</v>
      </c>
      <c r="AA43" s="11">
        <f t="shared" ref="AA43:AO43" si="102">$Z43+($AA214*AA$3)</f>
        <v>16378.625</v>
      </c>
      <c r="AB43" s="11">
        <f t="shared" si="102"/>
        <v>19699.25</v>
      </c>
      <c r="AC43" s="11">
        <f t="shared" si="102"/>
        <v>23019.874999999996</v>
      </c>
      <c r="AD43" s="11">
        <f t="shared" si="102"/>
        <v>26340.499999999996</v>
      </c>
      <c r="AE43" s="11">
        <f t="shared" si="102"/>
        <v>29661.124999999996</v>
      </c>
      <c r="AF43" s="11">
        <f t="shared" si="102"/>
        <v>32981.749999999993</v>
      </c>
      <c r="AG43" s="11">
        <f t="shared" si="102"/>
        <v>36302.374999999993</v>
      </c>
      <c r="AH43" s="11">
        <f t="shared" si="102"/>
        <v>39622.999999999993</v>
      </c>
      <c r="AI43" s="11">
        <f t="shared" si="102"/>
        <v>42943.624999999993</v>
      </c>
      <c r="AJ43" s="11">
        <f t="shared" si="102"/>
        <v>46264.249999999993</v>
      </c>
      <c r="AK43" s="11">
        <f t="shared" si="102"/>
        <v>49584.874999999993</v>
      </c>
      <c r="AL43" s="11">
        <f t="shared" si="102"/>
        <v>52905.499999999985</v>
      </c>
      <c r="AM43" s="11">
        <f t="shared" si="102"/>
        <v>56226.124999999985</v>
      </c>
      <c r="AN43" s="11">
        <f t="shared" si="102"/>
        <v>59546.749999999985</v>
      </c>
      <c r="AO43" s="11">
        <f t="shared" si="102"/>
        <v>62867.374999999985</v>
      </c>
      <c r="AQ43">
        <v>40</v>
      </c>
      <c r="AR43" s="656" t="s">
        <v>3999</v>
      </c>
      <c r="AS43" s="11">
        <f t="shared" si="58"/>
        <v>13058</v>
      </c>
      <c r="AT43" s="11">
        <f t="shared" ref="AT43:BH43" si="103">$Z43+($AA214*AT$3)</f>
        <v>16378.625</v>
      </c>
      <c r="AU43" s="11">
        <f t="shared" si="103"/>
        <v>19699.25</v>
      </c>
      <c r="AV43" s="11">
        <f t="shared" si="103"/>
        <v>23019.874999999996</v>
      </c>
      <c r="AW43" s="11">
        <f t="shared" si="103"/>
        <v>26340.499999999996</v>
      </c>
      <c r="AX43" s="11">
        <f t="shared" si="103"/>
        <v>29661.124999999996</v>
      </c>
      <c r="AY43" s="11">
        <f t="shared" si="103"/>
        <v>32981.749999999993</v>
      </c>
      <c r="AZ43" s="11">
        <f t="shared" si="103"/>
        <v>36302.374999999993</v>
      </c>
      <c r="BA43" s="11">
        <f t="shared" si="103"/>
        <v>39622.999999999993</v>
      </c>
      <c r="BB43" s="11">
        <f t="shared" si="103"/>
        <v>42943.624999999993</v>
      </c>
      <c r="BC43" s="11">
        <f t="shared" si="103"/>
        <v>46264.249999999993</v>
      </c>
      <c r="BD43" s="11">
        <f t="shared" si="103"/>
        <v>49584.874999999993</v>
      </c>
      <c r="BE43" s="11">
        <f t="shared" si="103"/>
        <v>52905.499999999985</v>
      </c>
      <c r="BF43" s="11">
        <f t="shared" si="103"/>
        <v>56226.124999999985</v>
      </c>
      <c r="BG43" s="11">
        <f t="shared" si="103"/>
        <v>59546.749999999985</v>
      </c>
      <c r="BH43" s="11">
        <f t="shared" si="103"/>
        <v>62867.374999999985</v>
      </c>
    </row>
    <row r="44" spans="2:60" ht="15" thickBot="1">
      <c r="B44" s="17">
        <v>120000</v>
      </c>
      <c r="C44" s="18">
        <v>1.2120000000000001E-2</v>
      </c>
      <c r="E44" s="19">
        <v>252500</v>
      </c>
      <c r="F44" s="18">
        <v>2.657E-2</v>
      </c>
      <c r="G44" s="9"/>
      <c r="I44" s="22">
        <v>4000000</v>
      </c>
      <c r="J44" s="661">
        <v>8.6700000000000006E-3</v>
      </c>
      <c r="K44">
        <v>1.265E-2</v>
      </c>
      <c r="L44" s="344"/>
      <c r="M44" s="19">
        <v>1000000</v>
      </c>
      <c r="N44" s="18">
        <v>9.9299999999999996E-3</v>
      </c>
      <c r="O44" s="344"/>
      <c r="Q44" s="22">
        <v>145000</v>
      </c>
      <c r="R44" s="23">
        <v>3.8556000000000007E-2</v>
      </c>
      <c r="S44" s="23">
        <f t="shared" si="14"/>
        <v>4.0483800000000007E-2</v>
      </c>
      <c r="T44" s="87"/>
      <c r="U44" s="19">
        <v>487500</v>
      </c>
      <c r="V44" s="18">
        <v>2.6460000000000001E-2</v>
      </c>
      <c r="W44" s="18">
        <f t="shared" si="15"/>
        <v>2.7783000000000002E-2</v>
      </c>
      <c r="X44">
        <v>41</v>
      </c>
      <c r="Y44" s="656" t="s">
        <v>4000</v>
      </c>
      <c r="Z44" s="11">
        <f t="shared" si="56"/>
        <v>13649</v>
      </c>
      <c r="AA44" s="11">
        <f t="shared" ref="AA44:AO44" si="104">$Z44+($AA215*AA$3)</f>
        <v>17127.75</v>
      </c>
      <c r="AB44" s="11">
        <f t="shared" si="104"/>
        <v>20606.5</v>
      </c>
      <c r="AC44" s="11">
        <f t="shared" si="104"/>
        <v>24085.249999999996</v>
      </c>
      <c r="AD44" s="11">
        <f t="shared" si="104"/>
        <v>27563.999999999996</v>
      </c>
      <c r="AE44" s="11">
        <f t="shared" si="104"/>
        <v>31042.749999999996</v>
      </c>
      <c r="AF44" s="11">
        <f t="shared" si="104"/>
        <v>34521.499999999993</v>
      </c>
      <c r="AG44" s="11">
        <f t="shared" si="104"/>
        <v>38000.249999999993</v>
      </c>
      <c r="AH44" s="11">
        <f t="shared" si="104"/>
        <v>41478.999999999993</v>
      </c>
      <c r="AI44" s="11">
        <f t="shared" si="104"/>
        <v>44957.749999999993</v>
      </c>
      <c r="AJ44" s="11">
        <f t="shared" si="104"/>
        <v>48436.499999999993</v>
      </c>
      <c r="AK44" s="11">
        <f t="shared" si="104"/>
        <v>51915.249999999993</v>
      </c>
      <c r="AL44" s="11">
        <f t="shared" si="104"/>
        <v>55393.999999999985</v>
      </c>
      <c r="AM44" s="11">
        <f t="shared" si="104"/>
        <v>58872.749999999985</v>
      </c>
      <c r="AN44" s="11">
        <f t="shared" si="104"/>
        <v>62351.499999999985</v>
      </c>
      <c r="AO44" s="11">
        <f t="shared" si="104"/>
        <v>65830.249999999985</v>
      </c>
      <c r="AQ44">
        <v>41</v>
      </c>
      <c r="AR44" s="656" t="s">
        <v>4000</v>
      </c>
      <c r="AS44" s="11">
        <f t="shared" si="58"/>
        <v>13649</v>
      </c>
      <c r="AT44" s="11">
        <f t="shared" ref="AT44:BH44" si="105">$Z44+($AA215*AT$3)</f>
        <v>17127.75</v>
      </c>
      <c r="AU44" s="11">
        <f t="shared" si="105"/>
        <v>20606.5</v>
      </c>
      <c r="AV44" s="11">
        <f t="shared" si="105"/>
        <v>24085.249999999996</v>
      </c>
      <c r="AW44" s="11">
        <f t="shared" si="105"/>
        <v>27563.999999999996</v>
      </c>
      <c r="AX44" s="11">
        <f t="shared" si="105"/>
        <v>31042.749999999996</v>
      </c>
      <c r="AY44" s="11">
        <f t="shared" si="105"/>
        <v>34521.499999999993</v>
      </c>
      <c r="AZ44" s="11">
        <f t="shared" si="105"/>
        <v>38000.249999999993</v>
      </c>
      <c r="BA44" s="11">
        <f t="shared" si="105"/>
        <v>41478.999999999993</v>
      </c>
      <c r="BB44" s="11">
        <f t="shared" si="105"/>
        <v>44957.749999999993</v>
      </c>
      <c r="BC44" s="11">
        <f t="shared" si="105"/>
        <v>48436.499999999993</v>
      </c>
      <c r="BD44" s="11">
        <f t="shared" si="105"/>
        <v>51915.249999999993</v>
      </c>
      <c r="BE44" s="11">
        <f t="shared" si="105"/>
        <v>55393.999999999985</v>
      </c>
      <c r="BF44" s="11">
        <f t="shared" si="105"/>
        <v>58872.749999999985</v>
      </c>
      <c r="BG44" s="11">
        <f t="shared" si="105"/>
        <v>62351.499999999985</v>
      </c>
      <c r="BH44" s="11">
        <f t="shared" si="105"/>
        <v>65830.249999999985</v>
      </c>
    </row>
    <row r="45" spans="2:60" ht="15" thickBot="1">
      <c r="B45" s="17">
        <v>124999</v>
      </c>
      <c r="C45" s="18">
        <v>1.2120000000000001E-2</v>
      </c>
      <c r="E45" s="19">
        <v>259999</v>
      </c>
      <c r="F45" s="18">
        <v>2.657E-2</v>
      </c>
      <c r="G45" s="9"/>
      <c r="I45" s="22">
        <v>4100000</v>
      </c>
      <c r="J45" s="661">
        <v>8.6700000000000006E-3</v>
      </c>
      <c r="K45">
        <v>1.265E-2</v>
      </c>
      <c r="L45" s="344"/>
      <c r="M45" s="19">
        <v>1524999</v>
      </c>
      <c r="N45" s="18">
        <v>9.9000000000000008E-3</v>
      </c>
      <c r="O45" s="344"/>
      <c r="Q45" s="22">
        <v>149999</v>
      </c>
      <c r="R45" s="23">
        <v>3.8556000000000007E-2</v>
      </c>
      <c r="S45" s="23">
        <f t="shared" si="14"/>
        <v>4.0483800000000007E-2</v>
      </c>
      <c r="T45" s="87"/>
      <c r="U45" s="19">
        <v>499999</v>
      </c>
      <c r="V45" s="18">
        <v>2.6460000000000001E-2</v>
      </c>
      <c r="W45" s="18">
        <f t="shared" si="15"/>
        <v>2.7783000000000002E-2</v>
      </c>
      <c r="X45">
        <v>42</v>
      </c>
      <c r="Y45" s="656" t="s">
        <v>4001</v>
      </c>
      <c r="Z45" s="11">
        <f t="shared" si="56"/>
        <v>14244</v>
      </c>
      <c r="AA45" s="11">
        <f t="shared" ref="AA45:AO45" si="106">$Z45+($AA216*AA$3)</f>
        <v>17877.712499999998</v>
      </c>
      <c r="AB45" s="11">
        <f t="shared" si="106"/>
        <v>21511.424999999996</v>
      </c>
      <c r="AC45" s="11">
        <f t="shared" si="106"/>
        <v>25145.137499999997</v>
      </c>
      <c r="AD45" s="11">
        <f t="shared" si="106"/>
        <v>28778.849999999995</v>
      </c>
      <c r="AE45" s="11">
        <f t="shared" si="106"/>
        <v>32412.562499999993</v>
      </c>
      <c r="AF45" s="11">
        <f t="shared" si="106"/>
        <v>36046.274999999994</v>
      </c>
      <c r="AG45" s="11">
        <f t="shared" si="106"/>
        <v>39679.987499999988</v>
      </c>
      <c r="AH45" s="11">
        <f t="shared" si="106"/>
        <v>43313.69999999999</v>
      </c>
      <c r="AI45" s="11">
        <f t="shared" si="106"/>
        <v>46947.412499999991</v>
      </c>
      <c r="AJ45" s="11">
        <f t="shared" si="106"/>
        <v>50581.124999999985</v>
      </c>
      <c r="AK45" s="11">
        <f t="shared" si="106"/>
        <v>54214.837499999987</v>
      </c>
      <c r="AL45" s="11">
        <f t="shared" si="106"/>
        <v>57848.549999999988</v>
      </c>
      <c r="AM45" s="11">
        <f t="shared" si="106"/>
        <v>61482.262499999983</v>
      </c>
      <c r="AN45" s="11">
        <f t="shared" si="106"/>
        <v>65115.974999999984</v>
      </c>
      <c r="AO45" s="11">
        <f t="shared" si="106"/>
        <v>68749.687499999971</v>
      </c>
      <c r="AQ45">
        <v>42</v>
      </c>
      <c r="AR45" s="656" t="s">
        <v>4001</v>
      </c>
      <c r="AS45" s="11">
        <f t="shared" si="58"/>
        <v>14244</v>
      </c>
      <c r="AT45" s="11">
        <f t="shared" ref="AT45:BH45" si="107">$Z45+($AA216*AT$3)</f>
        <v>17877.712499999998</v>
      </c>
      <c r="AU45" s="11">
        <f t="shared" si="107"/>
        <v>21511.424999999996</v>
      </c>
      <c r="AV45" s="11">
        <f t="shared" si="107"/>
        <v>25145.137499999997</v>
      </c>
      <c r="AW45" s="11">
        <f t="shared" si="107"/>
        <v>28778.849999999995</v>
      </c>
      <c r="AX45" s="11">
        <f t="shared" si="107"/>
        <v>32412.562499999993</v>
      </c>
      <c r="AY45" s="11">
        <f t="shared" si="107"/>
        <v>36046.274999999994</v>
      </c>
      <c r="AZ45" s="11">
        <f t="shared" si="107"/>
        <v>39679.987499999988</v>
      </c>
      <c r="BA45" s="11">
        <f t="shared" si="107"/>
        <v>43313.69999999999</v>
      </c>
      <c r="BB45" s="11">
        <f t="shared" si="107"/>
        <v>46947.412499999991</v>
      </c>
      <c r="BC45" s="11">
        <f t="shared" si="107"/>
        <v>50581.124999999985</v>
      </c>
      <c r="BD45" s="11">
        <f t="shared" si="107"/>
        <v>54214.837499999987</v>
      </c>
      <c r="BE45" s="11">
        <f t="shared" si="107"/>
        <v>57848.549999999988</v>
      </c>
      <c r="BF45" s="11">
        <f t="shared" si="107"/>
        <v>61482.262499999983</v>
      </c>
      <c r="BG45" s="11">
        <f t="shared" si="107"/>
        <v>65115.974999999984</v>
      </c>
      <c r="BH45" s="11">
        <f t="shared" si="107"/>
        <v>68749.687499999971</v>
      </c>
    </row>
    <row r="46" spans="2:60" ht="15" thickBot="1">
      <c r="B46" s="17">
        <v>125000</v>
      </c>
      <c r="C46" s="18">
        <v>1.1979999999999999E-2</v>
      </c>
      <c r="E46" s="19">
        <v>260000</v>
      </c>
      <c r="F46" s="18">
        <v>2.63E-2</v>
      </c>
      <c r="G46" s="9"/>
      <c r="I46" s="22">
        <v>4200000</v>
      </c>
      <c r="J46" s="661">
        <v>8.6700000000000006E-3</v>
      </c>
      <c r="K46">
        <v>1.2534999999999999E-2</v>
      </c>
      <c r="L46" s="344"/>
      <c r="M46" s="19">
        <v>1549999</v>
      </c>
      <c r="N46" s="18">
        <v>9.8700000000000003E-3</v>
      </c>
      <c r="O46" s="344"/>
      <c r="Q46" s="22">
        <v>150000</v>
      </c>
      <c r="R46" s="23">
        <v>3.7947000000000002E-2</v>
      </c>
      <c r="S46" s="23">
        <f t="shared" si="14"/>
        <v>3.9844350000000001E-2</v>
      </c>
      <c r="T46" s="87"/>
      <c r="U46" s="19">
        <v>500000</v>
      </c>
      <c r="V46" s="18">
        <v>2.6082000000000001E-2</v>
      </c>
      <c r="W46" s="18">
        <f t="shared" si="15"/>
        <v>2.7386100000000003E-2</v>
      </c>
      <c r="X46">
        <v>43</v>
      </c>
      <c r="Y46" s="656" t="s">
        <v>4002</v>
      </c>
      <c r="Z46" s="11">
        <f t="shared" si="56"/>
        <v>14838</v>
      </c>
      <c r="AA46" s="11">
        <f t="shared" ref="AA46:AO46" si="108">$Z46+($AA217*AA$3)</f>
        <v>18626.674999999999</v>
      </c>
      <c r="AB46" s="11">
        <f t="shared" si="108"/>
        <v>22415.35</v>
      </c>
      <c r="AC46" s="11">
        <f t="shared" si="108"/>
        <v>26204.024999999994</v>
      </c>
      <c r="AD46" s="11">
        <f t="shared" si="108"/>
        <v>29992.699999999997</v>
      </c>
      <c r="AE46" s="11">
        <f t="shared" si="108"/>
        <v>33781.374999999993</v>
      </c>
      <c r="AF46" s="11">
        <f t="shared" si="108"/>
        <v>37570.049999999988</v>
      </c>
      <c r="AG46" s="11">
        <f t="shared" si="108"/>
        <v>41358.724999999991</v>
      </c>
      <c r="AH46" s="11">
        <f t="shared" si="108"/>
        <v>45147.399999999994</v>
      </c>
      <c r="AI46" s="11">
        <f t="shared" si="108"/>
        <v>48936.07499999999</v>
      </c>
      <c r="AJ46" s="11">
        <f t="shared" si="108"/>
        <v>52724.749999999985</v>
      </c>
      <c r="AK46" s="11">
        <f t="shared" si="108"/>
        <v>56513.424999999988</v>
      </c>
      <c r="AL46" s="11">
        <f t="shared" si="108"/>
        <v>60302.099999999984</v>
      </c>
      <c r="AM46" s="11">
        <f t="shared" si="108"/>
        <v>64090.774999999987</v>
      </c>
      <c r="AN46" s="11">
        <f t="shared" si="108"/>
        <v>67879.449999999983</v>
      </c>
      <c r="AO46" s="11">
        <f t="shared" si="108"/>
        <v>71668.124999999985</v>
      </c>
      <c r="AQ46">
        <v>43</v>
      </c>
      <c r="AR46" s="656" t="s">
        <v>4002</v>
      </c>
      <c r="AS46" s="11">
        <f t="shared" si="58"/>
        <v>14838</v>
      </c>
      <c r="AT46" s="11">
        <f t="shared" ref="AT46:BH46" si="109">$Z46+($AA217*AT$3)</f>
        <v>18626.674999999999</v>
      </c>
      <c r="AU46" s="11">
        <f t="shared" si="109"/>
        <v>22415.35</v>
      </c>
      <c r="AV46" s="11">
        <f t="shared" si="109"/>
        <v>26204.024999999994</v>
      </c>
      <c r="AW46" s="11">
        <f t="shared" si="109"/>
        <v>29992.699999999997</v>
      </c>
      <c r="AX46" s="11">
        <f t="shared" si="109"/>
        <v>33781.374999999993</v>
      </c>
      <c r="AY46" s="11">
        <f t="shared" si="109"/>
        <v>37570.049999999988</v>
      </c>
      <c r="AZ46" s="11">
        <f t="shared" si="109"/>
        <v>41358.724999999991</v>
      </c>
      <c r="BA46" s="11">
        <f t="shared" si="109"/>
        <v>45147.399999999994</v>
      </c>
      <c r="BB46" s="11">
        <f t="shared" si="109"/>
        <v>48936.07499999999</v>
      </c>
      <c r="BC46" s="11">
        <f t="shared" si="109"/>
        <v>52724.749999999985</v>
      </c>
      <c r="BD46" s="11">
        <f t="shared" si="109"/>
        <v>56513.424999999988</v>
      </c>
      <c r="BE46" s="11">
        <f t="shared" si="109"/>
        <v>60302.099999999984</v>
      </c>
      <c r="BF46" s="11">
        <f t="shared" si="109"/>
        <v>64090.774999999987</v>
      </c>
      <c r="BG46" s="11">
        <f t="shared" si="109"/>
        <v>67879.449999999983</v>
      </c>
      <c r="BH46" s="11">
        <f t="shared" si="109"/>
        <v>71668.124999999985</v>
      </c>
    </row>
    <row r="47" spans="2:60" ht="15" thickBot="1">
      <c r="B47" s="17">
        <v>129999</v>
      </c>
      <c r="C47" s="18">
        <v>1.1979999999999999E-2</v>
      </c>
      <c r="E47" s="19">
        <v>267499</v>
      </c>
      <c r="F47" s="18">
        <v>2.63E-2</v>
      </c>
      <c r="G47" s="9"/>
      <c r="I47" s="22">
        <v>4300000</v>
      </c>
      <c r="J47" s="661">
        <v>8.6700000000000006E-3</v>
      </c>
      <c r="K47">
        <v>1.2534999999999999E-2</v>
      </c>
      <c r="L47" s="344"/>
      <c r="M47" s="19">
        <v>1574999</v>
      </c>
      <c r="N47" s="18">
        <v>9.8399999999999998E-3</v>
      </c>
      <c r="O47" s="344"/>
      <c r="Q47" s="22">
        <v>154999</v>
      </c>
      <c r="R47" s="23">
        <v>3.7947000000000002E-2</v>
      </c>
      <c r="S47" s="23">
        <f t="shared" si="14"/>
        <v>3.9844350000000001E-2</v>
      </c>
      <c r="T47" s="87"/>
      <c r="U47" s="19">
        <v>524999</v>
      </c>
      <c r="V47" s="18">
        <v>2.6082000000000001E-2</v>
      </c>
      <c r="W47" s="18">
        <f t="shared" si="15"/>
        <v>2.7386100000000003E-2</v>
      </c>
      <c r="Y47" s="53"/>
      <c r="Z47" s="53"/>
      <c r="AA47" s="53"/>
      <c r="AB47" s="53"/>
      <c r="AC47" s="53"/>
      <c r="AD47" s="53"/>
      <c r="AE47" s="53"/>
      <c r="AF47" s="53"/>
      <c r="AG47" s="559"/>
      <c r="AH47" s="53"/>
      <c r="AI47" s="53"/>
      <c r="AJ47" s="53"/>
      <c r="AK47" s="53"/>
      <c r="AL47" s="53"/>
      <c r="AM47" s="53"/>
      <c r="AN47" s="53"/>
      <c r="AR47" s="656"/>
      <c r="AS47" s="11"/>
      <c r="AT47" s="11"/>
      <c r="AU47" s="11"/>
      <c r="AV47" s="11"/>
      <c r="AW47" s="11"/>
      <c r="AX47" s="11"/>
      <c r="AY47" s="11"/>
      <c r="AZ47" s="11"/>
      <c r="BA47" s="11"/>
      <c r="BB47" s="11"/>
      <c r="BC47" s="11"/>
      <c r="BD47" s="11"/>
      <c r="BE47" s="11"/>
      <c r="BF47" s="11"/>
      <c r="BG47" s="11"/>
      <c r="BH47" s="11"/>
    </row>
    <row r="48" spans="2:60" ht="15" thickBot="1">
      <c r="B48" s="17">
        <v>130000</v>
      </c>
      <c r="C48" s="18">
        <v>1.1849999999999999E-2</v>
      </c>
      <c r="E48" s="19">
        <v>267500</v>
      </c>
      <c r="F48" s="18">
        <v>2.6030000000000001E-2</v>
      </c>
      <c r="G48" s="9"/>
      <c r="I48" s="22">
        <v>4400000</v>
      </c>
      <c r="J48" s="661">
        <v>8.6700000000000006E-3</v>
      </c>
      <c r="K48">
        <v>1.242E-2</v>
      </c>
      <c r="L48" s="344"/>
      <c r="M48" s="19">
        <v>1599999</v>
      </c>
      <c r="N48" s="18">
        <v>9.8099999999999993E-3</v>
      </c>
      <c r="O48" s="344"/>
      <c r="Q48" s="22">
        <v>155000</v>
      </c>
      <c r="R48" s="23">
        <v>3.73485E-2</v>
      </c>
      <c r="S48" s="23">
        <f t="shared" si="14"/>
        <v>3.9215924999999999E-2</v>
      </c>
      <c r="T48" s="87"/>
      <c r="U48" s="19">
        <v>525000</v>
      </c>
      <c r="V48" s="18">
        <v>2.5714500000000001E-2</v>
      </c>
      <c r="W48" s="18">
        <f t="shared" si="15"/>
        <v>2.7000225000000003E-2</v>
      </c>
      <c r="X48" t="s">
        <v>2862</v>
      </c>
      <c r="Y48" s="53"/>
      <c r="Z48" s="53"/>
      <c r="AA48" s="53"/>
      <c r="AB48" s="53"/>
      <c r="AC48" s="53"/>
      <c r="AD48" s="53"/>
      <c r="AE48" s="53"/>
      <c r="AF48" s="53"/>
      <c r="AG48" s="559"/>
      <c r="AH48" s="53"/>
      <c r="AI48" s="53"/>
      <c r="AJ48" s="53"/>
      <c r="AK48" s="53"/>
      <c r="AL48" s="53"/>
      <c r="AM48" s="53"/>
      <c r="AN48" s="53"/>
      <c r="AR48" s="656"/>
      <c r="AS48" s="11"/>
      <c r="AT48" s="11"/>
      <c r="AU48" s="11"/>
      <c r="AV48" s="11"/>
      <c r="AW48" s="11"/>
      <c r="AX48" s="11"/>
      <c r="AY48" s="11"/>
      <c r="AZ48" s="11"/>
      <c r="BA48" s="11"/>
      <c r="BB48" s="11"/>
      <c r="BC48" s="11"/>
      <c r="BD48" s="11"/>
      <c r="BE48" s="11"/>
      <c r="BF48" s="11"/>
      <c r="BG48" s="11"/>
      <c r="BH48" s="11"/>
    </row>
    <row r="49" spans="2:55" ht="15" thickBot="1">
      <c r="B49" s="17">
        <v>134999</v>
      </c>
      <c r="C49" s="18">
        <v>1.1849999999999999E-2</v>
      </c>
      <c r="E49" s="19">
        <v>274999</v>
      </c>
      <c r="F49" s="18">
        <v>2.6030000000000001E-2</v>
      </c>
      <c r="G49" s="9"/>
      <c r="I49" s="22">
        <v>4500000</v>
      </c>
      <c r="J49" s="661">
        <v>8.5799999999999991E-3</v>
      </c>
      <c r="K49">
        <v>1.242E-2</v>
      </c>
      <c r="L49" s="344"/>
      <c r="M49" s="19">
        <v>1624999</v>
      </c>
      <c r="N49" s="18">
        <v>9.7799999999999988E-3</v>
      </c>
      <c r="O49" s="344"/>
      <c r="Q49" s="22">
        <v>159999</v>
      </c>
      <c r="R49" s="23">
        <v>3.73485E-2</v>
      </c>
      <c r="S49" s="23">
        <f t="shared" si="14"/>
        <v>3.9215924999999999E-2</v>
      </c>
      <c r="T49" s="87"/>
      <c r="U49" s="19">
        <v>549999</v>
      </c>
      <c r="V49" s="18">
        <v>2.5714500000000001E-2</v>
      </c>
      <c r="W49" s="18">
        <f t="shared" si="15"/>
        <v>2.7000225000000003E-2</v>
      </c>
      <c r="Z49">
        <v>0</v>
      </c>
      <c r="AA49">
        <v>1</v>
      </c>
      <c r="AB49">
        <v>2</v>
      </c>
      <c r="AC49">
        <v>3</v>
      </c>
      <c r="AD49">
        <v>4</v>
      </c>
      <c r="AE49">
        <v>5</v>
      </c>
      <c r="AF49">
        <v>6</v>
      </c>
      <c r="AG49">
        <v>7</v>
      </c>
      <c r="AH49">
        <v>8</v>
      </c>
      <c r="AI49">
        <v>9</v>
      </c>
      <c r="AQ49" s="53" t="s">
        <v>2863</v>
      </c>
    </row>
    <row r="50" spans="2:55" ht="15" thickBot="1">
      <c r="B50" s="17">
        <v>135000</v>
      </c>
      <c r="C50" s="18">
        <v>1.17E-2</v>
      </c>
      <c r="E50" s="19">
        <v>275000</v>
      </c>
      <c r="F50" s="18">
        <v>2.5770000000000001E-2</v>
      </c>
      <c r="G50" s="9"/>
      <c r="I50" s="22">
        <v>4600000</v>
      </c>
      <c r="J50" s="661">
        <v>8.5799999999999991E-3</v>
      </c>
      <c r="K50">
        <v>1.2305E-2</v>
      </c>
      <c r="L50" s="344"/>
      <c r="M50" s="19">
        <v>1649999</v>
      </c>
      <c r="N50" s="18">
        <v>9.7499999999999983E-3</v>
      </c>
      <c r="O50" s="344"/>
      <c r="Q50" s="22">
        <v>160000</v>
      </c>
      <c r="R50" s="23">
        <v>3.6739500000000001E-2</v>
      </c>
      <c r="S50" s="23">
        <f t="shared" si="14"/>
        <v>3.8576475000000006E-2</v>
      </c>
      <c r="T50" s="87"/>
      <c r="U50" s="19">
        <v>550000</v>
      </c>
      <c r="V50" s="18">
        <v>2.5336500000000001E-2</v>
      </c>
      <c r="W50" s="18">
        <f t="shared" si="15"/>
        <v>2.6603325000000004E-2</v>
      </c>
      <c r="X50">
        <v>1</v>
      </c>
      <c r="Y50" t="s">
        <v>60</v>
      </c>
      <c r="Z50">
        <f t="shared" ref="Z50:AI50" si="110">ROUND(Z156*1.15,0)</f>
        <v>725</v>
      </c>
      <c r="AA50">
        <f t="shared" si="110"/>
        <v>725</v>
      </c>
      <c r="AB50">
        <f t="shared" si="110"/>
        <v>725</v>
      </c>
      <c r="AC50">
        <f t="shared" si="110"/>
        <v>725</v>
      </c>
      <c r="AD50">
        <f t="shared" si="110"/>
        <v>725</v>
      </c>
      <c r="AE50">
        <f t="shared" si="110"/>
        <v>725</v>
      </c>
      <c r="AF50">
        <f t="shared" si="110"/>
        <v>725</v>
      </c>
      <c r="AG50">
        <f t="shared" si="110"/>
        <v>725</v>
      </c>
      <c r="AH50">
        <f t="shared" si="110"/>
        <v>725</v>
      </c>
      <c r="AI50">
        <f t="shared" si="110"/>
        <v>725</v>
      </c>
      <c r="AT50" s="53">
        <v>0</v>
      </c>
      <c r="AU50" s="53">
        <v>1</v>
      </c>
      <c r="AV50" s="53">
        <v>2</v>
      </c>
      <c r="AW50" s="53">
        <v>3</v>
      </c>
      <c r="AX50" s="53">
        <v>4</v>
      </c>
      <c r="AY50" s="53">
        <v>5</v>
      </c>
      <c r="AZ50" s="53">
        <v>6</v>
      </c>
      <c r="BA50" s="53">
        <v>7</v>
      </c>
      <c r="BB50" s="53">
        <v>8</v>
      </c>
      <c r="BC50" s="53">
        <v>9</v>
      </c>
    </row>
    <row r="51" spans="2:55" ht="15" thickBot="1">
      <c r="B51" s="17">
        <v>139999</v>
      </c>
      <c r="C51" s="18">
        <v>1.17E-2</v>
      </c>
      <c r="E51" s="19">
        <v>282499</v>
      </c>
      <c r="F51" s="18">
        <v>2.5770000000000001E-2</v>
      </c>
      <c r="G51" s="9"/>
      <c r="I51" s="22">
        <v>4700000</v>
      </c>
      <c r="J51" s="661">
        <v>8.5799999999999991E-3</v>
      </c>
      <c r="K51">
        <v>1.2305E-2</v>
      </c>
      <c r="L51" s="344"/>
      <c r="M51" s="19">
        <v>1674999</v>
      </c>
      <c r="N51" s="18">
        <v>9.7199999999999977E-3</v>
      </c>
      <c r="O51" s="344"/>
      <c r="Q51" s="22">
        <v>164999</v>
      </c>
      <c r="R51" s="23">
        <v>3.6739500000000001E-2</v>
      </c>
      <c r="S51" s="23">
        <f t="shared" si="14"/>
        <v>3.8576475000000006E-2</v>
      </c>
      <c r="T51" s="87"/>
      <c r="U51" s="19">
        <v>574999</v>
      </c>
      <c r="V51" s="18">
        <v>2.5336500000000001E-2</v>
      </c>
      <c r="W51" s="18">
        <f t="shared" si="15"/>
        <v>2.6603325000000004E-2</v>
      </c>
      <c r="X51">
        <v>2</v>
      </c>
      <c r="Y51" t="s">
        <v>61</v>
      </c>
      <c r="Z51">
        <f t="shared" ref="Z51:AI51" si="111">ROUND(Z157*1.15,0)</f>
        <v>725</v>
      </c>
      <c r="AA51">
        <f t="shared" si="111"/>
        <v>894</v>
      </c>
      <c r="AB51">
        <f t="shared" si="111"/>
        <v>1029</v>
      </c>
      <c r="AC51">
        <f t="shared" si="111"/>
        <v>1155</v>
      </c>
      <c r="AD51">
        <f t="shared" si="111"/>
        <v>1275</v>
      </c>
      <c r="AE51">
        <f t="shared" si="111"/>
        <v>1362</v>
      </c>
      <c r="AF51">
        <f t="shared" si="111"/>
        <v>1440</v>
      </c>
      <c r="AG51">
        <f t="shared" si="111"/>
        <v>1517</v>
      </c>
      <c r="AH51">
        <f t="shared" si="111"/>
        <v>1594</v>
      </c>
      <c r="AI51">
        <f t="shared" si="111"/>
        <v>1671</v>
      </c>
      <c r="AQ51">
        <v>1</v>
      </c>
      <c r="AR51" t="s">
        <v>60</v>
      </c>
      <c r="AS51" t="s">
        <v>2864</v>
      </c>
      <c r="AT51" t="s">
        <v>2864</v>
      </c>
      <c r="AU51" t="s">
        <v>2864</v>
      </c>
      <c r="AV51" t="s">
        <v>2864</v>
      </c>
      <c r="AW51" t="s">
        <v>2864</v>
      </c>
      <c r="AX51" t="s">
        <v>2864</v>
      </c>
      <c r="AY51" t="s">
        <v>2864</v>
      </c>
      <c r="AZ51" t="s">
        <v>2864</v>
      </c>
      <c r="BA51" t="s">
        <v>2864</v>
      </c>
      <c r="BB51" t="s">
        <v>2864</v>
      </c>
    </row>
    <row r="52" spans="2:55" ht="15" thickBot="1">
      <c r="B52" s="17">
        <v>140000</v>
      </c>
      <c r="C52" s="18">
        <v>1.1560000000000001E-2</v>
      </c>
      <c r="E52" s="19">
        <v>282500</v>
      </c>
      <c r="F52" s="18">
        <v>2.564E-2</v>
      </c>
      <c r="G52" s="9"/>
      <c r="I52" s="22">
        <v>4800000</v>
      </c>
      <c r="J52" s="661">
        <v>8.5799999999999991E-3</v>
      </c>
      <c r="K52">
        <v>1.2189999999999999E-2</v>
      </c>
      <c r="L52" s="344"/>
      <c r="M52" s="19">
        <v>1699999</v>
      </c>
      <c r="N52" s="18">
        <v>9.6899999999999972E-3</v>
      </c>
      <c r="O52" s="344"/>
      <c r="Q52" s="22">
        <v>165000</v>
      </c>
      <c r="R52" s="23">
        <v>3.6141E-2</v>
      </c>
      <c r="S52" s="23">
        <f t="shared" si="14"/>
        <v>3.7948050000000004E-2</v>
      </c>
      <c r="T52" s="87"/>
      <c r="U52" s="19">
        <v>575000</v>
      </c>
      <c r="V52" s="18">
        <v>2.4958500000000002E-2</v>
      </c>
      <c r="W52" s="18">
        <f t="shared" si="15"/>
        <v>2.6206425000000002E-2</v>
      </c>
      <c r="X52">
        <v>3</v>
      </c>
      <c r="Y52" t="s">
        <v>62</v>
      </c>
      <c r="Z52">
        <f t="shared" ref="Z52:AI52" si="112">ROUND(Z158*1.15,0)</f>
        <v>725</v>
      </c>
      <c r="AA52">
        <f t="shared" si="112"/>
        <v>966</v>
      </c>
      <c r="AB52">
        <f t="shared" si="112"/>
        <v>1159</v>
      </c>
      <c r="AC52">
        <f t="shared" si="112"/>
        <v>1343</v>
      </c>
      <c r="AD52">
        <f t="shared" si="112"/>
        <v>1512</v>
      </c>
      <c r="AE52">
        <f t="shared" si="112"/>
        <v>1633</v>
      </c>
      <c r="AF52">
        <f t="shared" si="112"/>
        <v>1743</v>
      </c>
      <c r="AG52">
        <f t="shared" si="112"/>
        <v>1855</v>
      </c>
      <c r="AH52">
        <f t="shared" si="112"/>
        <v>1965</v>
      </c>
      <c r="AI52">
        <f t="shared" si="112"/>
        <v>2077</v>
      </c>
      <c r="AQ52">
        <v>2</v>
      </c>
      <c r="AR52" t="s">
        <v>61</v>
      </c>
      <c r="AS52" t="s">
        <v>2864</v>
      </c>
      <c r="AT52" t="s">
        <v>2864</v>
      </c>
      <c r="AU52" t="s">
        <v>2864</v>
      </c>
      <c r="AV52" t="s">
        <v>2864</v>
      </c>
      <c r="AW52" t="s">
        <v>2864</v>
      </c>
      <c r="AX52" t="s">
        <v>2864</v>
      </c>
      <c r="AY52" t="s">
        <v>2864</v>
      </c>
      <c r="AZ52" t="s">
        <v>2864</v>
      </c>
      <c r="BA52" t="s">
        <v>2864</v>
      </c>
      <c r="BB52" t="s">
        <v>2864</v>
      </c>
    </row>
    <row r="53" spans="2:55" ht="15" thickBot="1">
      <c r="B53" s="17">
        <v>144999</v>
      </c>
      <c r="C53" s="18">
        <v>1.1560000000000001E-2</v>
      </c>
      <c r="E53" s="19">
        <v>289999</v>
      </c>
      <c r="F53" s="18">
        <v>2.564E-2</v>
      </c>
      <c r="G53" s="9"/>
      <c r="I53" s="22">
        <v>4900000</v>
      </c>
      <c r="J53" s="661">
        <v>8.5799999999999991E-3</v>
      </c>
      <c r="K53">
        <v>1.2189999999999999E-2</v>
      </c>
      <c r="L53" s="344"/>
      <c r="M53" s="19">
        <v>1724999</v>
      </c>
      <c r="N53" s="18">
        <v>9.6599999999999967E-3</v>
      </c>
      <c r="O53" s="344"/>
      <c r="Q53" s="22">
        <v>169999</v>
      </c>
      <c r="R53" s="23">
        <v>3.6141E-2</v>
      </c>
      <c r="S53" s="23">
        <f t="shared" si="14"/>
        <v>3.7948050000000004E-2</v>
      </c>
      <c r="T53" s="87"/>
      <c r="U53" s="19">
        <v>599999</v>
      </c>
      <c r="V53" s="18">
        <v>2.4958500000000002E-2</v>
      </c>
      <c r="W53" s="18">
        <f t="shared" si="15"/>
        <v>2.6206425000000002E-2</v>
      </c>
      <c r="X53">
        <v>4</v>
      </c>
      <c r="Y53" t="s">
        <v>63</v>
      </c>
      <c r="Z53">
        <f t="shared" ref="Z53:AI53" si="113">ROUND(Z159*1.15,0)</f>
        <v>966</v>
      </c>
      <c r="AA53">
        <f t="shared" si="113"/>
        <v>966</v>
      </c>
      <c r="AB53">
        <f t="shared" si="113"/>
        <v>966</v>
      </c>
      <c r="AC53">
        <f t="shared" si="113"/>
        <v>966</v>
      </c>
      <c r="AD53">
        <f t="shared" si="113"/>
        <v>966</v>
      </c>
      <c r="AE53">
        <f t="shared" si="113"/>
        <v>966</v>
      </c>
      <c r="AF53">
        <f t="shared" si="113"/>
        <v>966</v>
      </c>
      <c r="AG53">
        <f t="shared" si="113"/>
        <v>966</v>
      </c>
      <c r="AH53">
        <f t="shared" si="113"/>
        <v>966</v>
      </c>
      <c r="AI53">
        <f t="shared" si="113"/>
        <v>966</v>
      </c>
      <c r="AQ53">
        <v>3</v>
      </c>
      <c r="AR53" t="s">
        <v>62</v>
      </c>
      <c r="AS53" t="s">
        <v>2864</v>
      </c>
      <c r="AT53" t="s">
        <v>2864</v>
      </c>
      <c r="AU53" t="s">
        <v>2864</v>
      </c>
      <c r="AV53" t="s">
        <v>2864</v>
      </c>
      <c r="AW53" t="s">
        <v>2864</v>
      </c>
      <c r="AX53" t="s">
        <v>2864</v>
      </c>
      <c r="AY53" t="s">
        <v>2864</v>
      </c>
      <c r="AZ53" t="s">
        <v>2864</v>
      </c>
      <c r="BA53" t="s">
        <v>2864</v>
      </c>
      <c r="BB53" t="s">
        <v>2864</v>
      </c>
    </row>
    <row r="54" spans="2:55" ht="15" thickBot="1">
      <c r="B54" s="17">
        <v>145000</v>
      </c>
      <c r="C54" s="18">
        <v>1.141E-2</v>
      </c>
      <c r="E54" s="19">
        <v>290000</v>
      </c>
      <c r="F54" s="18">
        <v>2.538E-2</v>
      </c>
      <c r="G54" s="9"/>
      <c r="I54" s="22">
        <v>5000000</v>
      </c>
      <c r="J54" s="661">
        <v>8.5100000000000002E-3</v>
      </c>
      <c r="K54">
        <v>1.2075000000000001E-2</v>
      </c>
      <c r="L54" s="344"/>
      <c r="M54" s="19">
        <v>1749999</v>
      </c>
      <c r="N54" s="18">
        <v>9.6299999999999962E-3</v>
      </c>
      <c r="O54" s="344"/>
      <c r="Q54" s="22">
        <v>170000</v>
      </c>
      <c r="R54" s="23">
        <v>3.5532000000000001E-2</v>
      </c>
      <c r="S54" s="23">
        <f t="shared" si="14"/>
        <v>3.7308600000000004E-2</v>
      </c>
      <c r="T54" s="87"/>
      <c r="U54" s="19">
        <v>600000</v>
      </c>
      <c r="V54" s="18">
        <v>2.4591000000000002E-2</v>
      </c>
      <c r="W54" s="18">
        <f t="shared" si="15"/>
        <v>2.5820550000000005E-2</v>
      </c>
      <c r="X54">
        <v>5</v>
      </c>
      <c r="Y54" t="s">
        <v>64</v>
      </c>
      <c r="Z54">
        <f t="shared" ref="Z54:AI54" si="114">ROUND(Z160*1.15,0)</f>
        <v>966</v>
      </c>
      <c r="AA54">
        <f t="shared" si="114"/>
        <v>1208</v>
      </c>
      <c r="AB54">
        <f t="shared" si="114"/>
        <v>1401</v>
      </c>
      <c r="AC54">
        <f t="shared" si="114"/>
        <v>1585</v>
      </c>
      <c r="AD54">
        <f t="shared" si="114"/>
        <v>1754</v>
      </c>
      <c r="AE54">
        <f t="shared" si="114"/>
        <v>1875</v>
      </c>
      <c r="AF54">
        <f t="shared" si="114"/>
        <v>1985</v>
      </c>
      <c r="AG54">
        <f t="shared" si="114"/>
        <v>2096</v>
      </c>
      <c r="AH54">
        <f t="shared" si="114"/>
        <v>2207</v>
      </c>
      <c r="AI54">
        <f t="shared" si="114"/>
        <v>2318</v>
      </c>
      <c r="AQ54">
        <v>4</v>
      </c>
      <c r="AR54" t="s">
        <v>63</v>
      </c>
      <c r="AS54">
        <v>819</v>
      </c>
      <c r="AT54">
        <v>819</v>
      </c>
      <c r="AU54">
        <v>819</v>
      </c>
      <c r="AV54">
        <v>819</v>
      </c>
      <c r="AW54">
        <v>819</v>
      </c>
      <c r="AX54">
        <v>819</v>
      </c>
      <c r="AY54">
        <v>819</v>
      </c>
      <c r="AZ54">
        <v>819</v>
      </c>
      <c r="BA54">
        <v>819</v>
      </c>
      <c r="BB54">
        <v>819</v>
      </c>
    </row>
    <row r="55" spans="2:55" ht="15" thickBot="1">
      <c r="B55" s="17">
        <v>149999</v>
      </c>
      <c r="C55" s="18">
        <v>1.141E-2</v>
      </c>
      <c r="E55" s="19">
        <v>297499</v>
      </c>
      <c r="F55" s="18">
        <v>2.538E-2</v>
      </c>
      <c r="G55" s="9"/>
      <c r="I55" s="22">
        <v>5100000</v>
      </c>
      <c r="J55" s="661">
        <v>7.9890000000000013E-3</v>
      </c>
      <c r="K55">
        <v>1.2075000000000001E-2</v>
      </c>
      <c r="L55" s="344"/>
      <c r="M55" s="19">
        <v>1774999</v>
      </c>
      <c r="N55" s="18">
        <v>9.5999999999999957E-3</v>
      </c>
      <c r="O55" s="344"/>
      <c r="Q55" s="22">
        <v>174999</v>
      </c>
      <c r="R55" s="23">
        <v>3.5532000000000001E-2</v>
      </c>
      <c r="S55" s="23">
        <f t="shared" si="14"/>
        <v>3.7308600000000004E-2</v>
      </c>
      <c r="T55" s="87"/>
      <c r="U55" s="19">
        <v>624999</v>
      </c>
      <c r="V55" s="18">
        <v>2.4591000000000002E-2</v>
      </c>
      <c r="W55" s="18">
        <f t="shared" si="15"/>
        <v>2.5820550000000005E-2</v>
      </c>
      <c r="X55">
        <v>6</v>
      </c>
      <c r="Y55" t="s">
        <v>65</v>
      </c>
      <c r="Z55">
        <f t="shared" ref="Z55:AI55" si="115">ROUND(Z161*1.15,0)</f>
        <v>966</v>
      </c>
      <c r="AA55">
        <f t="shared" si="115"/>
        <v>1691</v>
      </c>
      <c r="AB55">
        <f t="shared" si="115"/>
        <v>2270</v>
      </c>
      <c r="AC55">
        <f t="shared" si="115"/>
        <v>2816</v>
      </c>
      <c r="AD55">
        <f t="shared" si="115"/>
        <v>3324</v>
      </c>
      <c r="AE55">
        <f t="shared" si="115"/>
        <v>3686</v>
      </c>
      <c r="AF55">
        <f t="shared" si="115"/>
        <v>4014</v>
      </c>
      <c r="AG55">
        <f t="shared" si="115"/>
        <v>4342</v>
      </c>
      <c r="AH55">
        <f t="shared" si="115"/>
        <v>4670</v>
      </c>
      <c r="AI55">
        <f t="shared" si="115"/>
        <v>4999</v>
      </c>
      <c r="AQ55">
        <v>5</v>
      </c>
      <c r="AR55" t="s">
        <v>64</v>
      </c>
      <c r="AS55">
        <v>819</v>
      </c>
      <c r="AT55">
        <v>945</v>
      </c>
      <c r="AU55">
        <v>1046</v>
      </c>
      <c r="AV55">
        <v>1140</v>
      </c>
      <c r="AW55">
        <v>1229</v>
      </c>
      <c r="AX55">
        <v>1292</v>
      </c>
      <c r="AY55">
        <v>1348</v>
      </c>
      <c r="AZ55">
        <v>1405</v>
      </c>
      <c r="BA55">
        <v>1462</v>
      </c>
      <c r="BB55">
        <v>1518</v>
      </c>
    </row>
    <row r="56" spans="2:55" ht="15" thickBot="1">
      <c r="B56" s="17">
        <v>150000</v>
      </c>
      <c r="C56" s="18">
        <v>1.1270000000000001E-2</v>
      </c>
      <c r="E56" s="19">
        <v>297500</v>
      </c>
      <c r="F56" s="18">
        <v>2.511E-2</v>
      </c>
      <c r="G56" s="9"/>
      <c r="I56" s="22">
        <v>5200000</v>
      </c>
      <c r="J56" s="661">
        <v>7.4679999999999998E-3</v>
      </c>
      <c r="K56">
        <v>1.1959999999999998E-2</v>
      </c>
      <c r="L56" s="344"/>
      <c r="M56" s="19">
        <v>1799999</v>
      </c>
      <c r="N56" s="18">
        <v>9.5699999999999952E-3</v>
      </c>
      <c r="O56" s="344"/>
      <c r="Q56" s="22">
        <v>175000</v>
      </c>
      <c r="R56" s="23">
        <v>3.4923000000000003E-2</v>
      </c>
      <c r="S56" s="23">
        <f t="shared" si="14"/>
        <v>3.6669150000000005E-2</v>
      </c>
      <c r="T56" s="87"/>
      <c r="U56" s="19">
        <v>625000</v>
      </c>
      <c r="V56" s="18">
        <v>2.4213000000000002E-2</v>
      </c>
      <c r="W56" s="18">
        <f t="shared" si="15"/>
        <v>2.5423650000000002E-2</v>
      </c>
      <c r="X56">
        <v>7</v>
      </c>
      <c r="Y56" t="s">
        <v>66</v>
      </c>
      <c r="Z56">
        <f t="shared" ref="Z56:AI56" si="116">ROUND(Z162*1.15,0)</f>
        <v>966</v>
      </c>
      <c r="AA56">
        <f t="shared" si="116"/>
        <v>1811</v>
      </c>
      <c r="AB56">
        <f t="shared" si="116"/>
        <v>2487</v>
      </c>
      <c r="AC56">
        <f t="shared" si="116"/>
        <v>3120</v>
      </c>
      <c r="AD56">
        <f t="shared" si="116"/>
        <v>3715</v>
      </c>
      <c r="AE56">
        <f t="shared" si="116"/>
        <v>4139</v>
      </c>
      <c r="AF56">
        <f t="shared" si="116"/>
        <v>4521</v>
      </c>
      <c r="AG56">
        <f t="shared" si="116"/>
        <v>4902</v>
      </c>
      <c r="AH56">
        <f t="shared" si="116"/>
        <v>5284</v>
      </c>
      <c r="AI56">
        <f t="shared" si="116"/>
        <v>5666</v>
      </c>
      <c r="AQ56">
        <v>6</v>
      </c>
      <c r="AR56" t="s">
        <v>65</v>
      </c>
      <c r="AS56">
        <v>819</v>
      </c>
      <c r="AT56">
        <v>995</v>
      </c>
      <c r="AU56">
        <v>1136</v>
      </c>
      <c r="AV56">
        <v>1268</v>
      </c>
      <c r="AW56">
        <v>1392</v>
      </c>
      <c r="AX56">
        <v>1481</v>
      </c>
      <c r="AY56">
        <v>1560</v>
      </c>
      <c r="AZ56">
        <v>1639</v>
      </c>
      <c r="BA56">
        <v>1719</v>
      </c>
      <c r="BB56">
        <v>1798</v>
      </c>
    </row>
    <row r="57" spans="2:55" ht="15" thickBot="1">
      <c r="B57" s="17">
        <v>154999</v>
      </c>
      <c r="C57" s="18">
        <v>1.1270000000000001E-2</v>
      </c>
      <c r="E57" s="19">
        <v>304999</v>
      </c>
      <c r="F57" s="18">
        <v>2.511E-2</v>
      </c>
      <c r="G57" s="9"/>
      <c r="I57" s="22">
        <v>5300000</v>
      </c>
      <c r="J57" s="661">
        <v>6.9470000000000001E-3</v>
      </c>
      <c r="K57">
        <v>1.1959999999999998E-2</v>
      </c>
      <c r="L57" s="344"/>
      <c r="M57" s="19">
        <v>1824999</v>
      </c>
      <c r="N57" s="18">
        <v>9.5399999999999947E-3</v>
      </c>
      <c r="O57" s="344"/>
      <c r="Q57" s="22">
        <v>179999</v>
      </c>
      <c r="R57" s="23">
        <v>3.4923000000000003E-2</v>
      </c>
      <c r="S57" s="23">
        <f t="shared" si="14"/>
        <v>3.6669150000000005E-2</v>
      </c>
      <c r="T57" s="87"/>
      <c r="U57" s="19">
        <v>649999</v>
      </c>
      <c r="V57" s="18">
        <v>2.4213000000000002E-2</v>
      </c>
      <c r="W57" s="18">
        <f t="shared" si="15"/>
        <v>2.5423650000000002E-2</v>
      </c>
      <c r="X57">
        <v>8</v>
      </c>
      <c r="Y57" t="s">
        <v>67</v>
      </c>
      <c r="Z57">
        <f t="shared" ref="Z57:AI57" si="117">ROUND(Z163*1.15,0)</f>
        <v>966</v>
      </c>
      <c r="AA57">
        <f t="shared" si="117"/>
        <v>1875</v>
      </c>
      <c r="AB57">
        <f t="shared" si="117"/>
        <v>2599</v>
      </c>
      <c r="AC57">
        <f t="shared" si="117"/>
        <v>3280</v>
      </c>
      <c r="AD57">
        <f t="shared" si="117"/>
        <v>3917</v>
      </c>
      <c r="AE57">
        <f t="shared" si="117"/>
        <v>4371</v>
      </c>
      <c r="AF57">
        <f t="shared" si="117"/>
        <v>4782</v>
      </c>
      <c r="AG57">
        <f t="shared" si="117"/>
        <v>5192</v>
      </c>
      <c r="AH57">
        <f t="shared" si="117"/>
        <v>5603</v>
      </c>
      <c r="AI57">
        <f t="shared" si="117"/>
        <v>6013</v>
      </c>
      <c r="AQ57">
        <v>7</v>
      </c>
      <c r="AR57" t="s">
        <v>66</v>
      </c>
      <c r="AS57" t="s">
        <v>2864</v>
      </c>
      <c r="AT57" t="s">
        <v>2864</v>
      </c>
      <c r="AU57" t="s">
        <v>2864</v>
      </c>
      <c r="AV57" t="s">
        <v>2864</v>
      </c>
      <c r="AW57" t="s">
        <v>2864</v>
      </c>
      <c r="AX57" t="s">
        <v>2864</v>
      </c>
      <c r="AY57" t="s">
        <v>2864</v>
      </c>
      <c r="AZ57" t="s">
        <v>2864</v>
      </c>
      <c r="BA57" t="s">
        <v>2864</v>
      </c>
      <c r="BB57" t="s">
        <v>2864</v>
      </c>
    </row>
    <row r="58" spans="2:55" ht="15" thickBot="1">
      <c r="B58" s="17">
        <v>155000</v>
      </c>
      <c r="C58" s="18">
        <v>1.1129999999999999E-2</v>
      </c>
      <c r="E58" s="19">
        <v>305000</v>
      </c>
      <c r="F58" s="18">
        <v>2.4840000000000001E-2</v>
      </c>
      <c r="G58" s="9"/>
      <c r="I58" s="22">
        <v>5400000</v>
      </c>
      <c r="J58" s="661">
        <v>6.4259999999999994E-3</v>
      </c>
      <c r="K58">
        <v>1.1845E-2</v>
      </c>
      <c r="L58" s="344"/>
      <c r="M58" s="19">
        <v>1849999</v>
      </c>
      <c r="N58" s="18">
        <v>9.5099999999999942E-3</v>
      </c>
      <c r="O58" s="344"/>
      <c r="Q58" s="22">
        <v>180000</v>
      </c>
      <c r="R58" s="23">
        <v>3.4324500000000001E-2</v>
      </c>
      <c r="S58" s="23">
        <f t="shared" si="14"/>
        <v>3.6040725000000003E-2</v>
      </c>
      <c r="T58" s="87"/>
      <c r="U58" s="19">
        <v>650000</v>
      </c>
      <c r="V58" s="18">
        <v>2.3835000000000002E-2</v>
      </c>
      <c r="W58" s="18">
        <f t="shared" si="15"/>
        <v>2.5026750000000004E-2</v>
      </c>
      <c r="X58">
        <v>9</v>
      </c>
      <c r="Y58" t="s">
        <v>68</v>
      </c>
      <c r="Z58">
        <f t="shared" ref="Z58:AI58" si="118">ROUND(Z164*1.15,0)</f>
        <v>966</v>
      </c>
      <c r="AA58">
        <f t="shared" si="118"/>
        <v>1932</v>
      </c>
      <c r="AB58">
        <f t="shared" si="118"/>
        <v>2705</v>
      </c>
      <c r="AC58">
        <f t="shared" si="118"/>
        <v>3429</v>
      </c>
      <c r="AD58">
        <f t="shared" si="118"/>
        <v>4106</v>
      </c>
      <c r="AE58">
        <f t="shared" si="118"/>
        <v>4589</v>
      </c>
      <c r="AF58">
        <f t="shared" si="118"/>
        <v>5023</v>
      </c>
      <c r="AG58">
        <f t="shared" si="118"/>
        <v>5458</v>
      </c>
      <c r="AH58">
        <f t="shared" si="118"/>
        <v>5893</v>
      </c>
      <c r="AI58">
        <f t="shared" si="118"/>
        <v>6327</v>
      </c>
      <c r="AQ58">
        <v>8</v>
      </c>
      <c r="AR58" t="s">
        <v>67</v>
      </c>
      <c r="AS58" t="s">
        <v>2864</v>
      </c>
      <c r="AT58" t="s">
        <v>2864</v>
      </c>
      <c r="AU58" t="s">
        <v>2864</v>
      </c>
      <c r="AV58" t="s">
        <v>2864</v>
      </c>
      <c r="AW58" t="s">
        <v>2864</v>
      </c>
      <c r="AX58" t="s">
        <v>2864</v>
      </c>
      <c r="AY58" t="s">
        <v>2864</v>
      </c>
      <c r="AZ58" t="s">
        <v>2864</v>
      </c>
      <c r="BA58" t="s">
        <v>2864</v>
      </c>
      <c r="BB58" t="s">
        <v>2864</v>
      </c>
    </row>
    <row r="59" spans="2:55" ht="15" thickBot="1">
      <c r="B59" s="17">
        <v>159999</v>
      </c>
      <c r="C59" s="18">
        <v>1.1129999999999999E-2</v>
      </c>
      <c r="E59" s="19">
        <v>312499</v>
      </c>
      <c r="F59" s="18">
        <v>2.4840000000000001E-2</v>
      </c>
      <c r="G59" s="9"/>
      <c r="I59" s="22">
        <v>5500000</v>
      </c>
      <c r="J59" s="661">
        <v>5.9050000000000005E-3</v>
      </c>
      <c r="K59">
        <v>1.1845E-2</v>
      </c>
      <c r="L59" s="344"/>
      <c r="M59" s="19">
        <v>1874999</v>
      </c>
      <c r="N59" s="18">
        <v>9.4799999999999936E-3</v>
      </c>
      <c r="O59" s="344"/>
      <c r="Q59" s="22">
        <v>184999</v>
      </c>
      <c r="R59" s="23">
        <v>3.4324500000000001E-2</v>
      </c>
      <c r="S59" s="23">
        <f t="shared" si="14"/>
        <v>3.6040725000000003E-2</v>
      </c>
      <c r="T59" s="87"/>
      <c r="U59" s="19">
        <v>674999</v>
      </c>
      <c r="V59" s="18">
        <v>2.3835000000000002E-2</v>
      </c>
      <c r="W59" s="18">
        <f t="shared" si="15"/>
        <v>2.5026750000000004E-2</v>
      </c>
      <c r="X59">
        <v>10</v>
      </c>
      <c r="Y59" s="53" t="s">
        <v>69</v>
      </c>
      <c r="Z59">
        <f t="shared" ref="Z59:Z65" si="119">ROUND(Z165*1.15,0)</f>
        <v>966</v>
      </c>
      <c r="AA59">
        <v>1750</v>
      </c>
      <c r="AB59">
        <f t="shared" ref="AB59:AI65" si="120">ROUND(AB165*1.15,0)</f>
        <v>1938</v>
      </c>
      <c r="AC59">
        <f t="shared" si="120"/>
        <v>2577</v>
      </c>
      <c r="AD59">
        <f t="shared" si="120"/>
        <v>3402</v>
      </c>
      <c r="AE59">
        <f t="shared" si="120"/>
        <v>4422</v>
      </c>
      <c r="AF59">
        <f t="shared" si="120"/>
        <v>5660</v>
      </c>
      <c r="AG59">
        <f t="shared" si="120"/>
        <v>7018</v>
      </c>
      <c r="AH59">
        <f t="shared" si="120"/>
        <v>8282</v>
      </c>
      <c r="AI59">
        <f t="shared" si="120"/>
        <v>8365</v>
      </c>
      <c r="AQ59">
        <v>9</v>
      </c>
      <c r="AR59" t="s">
        <v>68</v>
      </c>
      <c r="AS59" t="s">
        <v>2864</v>
      </c>
      <c r="AT59" t="s">
        <v>2864</v>
      </c>
      <c r="AU59" t="s">
        <v>2864</v>
      </c>
      <c r="AV59" t="s">
        <v>2864</v>
      </c>
      <c r="AW59" t="s">
        <v>2864</v>
      </c>
      <c r="AX59" t="s">
        <v>2864</v>
      </c>
      <c r="AY59" t="s">
        <v>2864</v>
      </c>
      <c r="AZ59" t="s">
        <v>2864</v>
      </c>
      <c r="BA59" t="s">
        <v>2864</v>
      </c>
      <c r="BB59" t="s">
        <v>2864</v>
      </c>
    </row>
    <row r="60" spans="2:55" ht="15" thickBot="1">
      <c r="B60" s="17">
        <v>160000</v>
      </c>
      <c r="C60" s="18">
        <v>1.098E-2</v>
      </c>
      <c r="E60" s="19">
        <v>312500</v>
      </c>
      <c r="F60" s="18">
        <v>2.4580000000000001E-2</v>
      </c>
      <c r="G60" s="9"/>
      <c r="I60" s="22">
        <v>5600000</v>
      </c>
      <c r="J60" s="661">
        <v>5.3839999999999999E-3</v>
      </c>
      <c r="K60">
        <v>1.1729999999999999E-2</v>
      </c>
      <c r="L60" s="344"/>
      <c r="M60" s="19">
        <v>1899999</v>
      </c>
      <c r="N60" s="18">
        <v>9.4499999999999931E-3</v>
      </c>
      <c r="O60" s="344"/>
      <c r="Q60" s="22">
        <v>185000</v>
      </c>
      <c r="R60" s="23">
        <v>3.3715500000000002E-2</v>
      </c>
      <c r="S60" s="23">
        <f t="shared" si="14"/>
        <v>3.5401275000000003E-2</v>
      </c>
      <c r="T60" s="87"/>
      <c r="U60" s="19">
        <v>675000</v>
      </c>
      <c r="V60" s="18">
        <v>2.3456999999999999E-2</v>
      </c>
      <c r="W60" s="18">
        <f t="shared" si="15"/>
        <v>2.4629849999999998E-2</v>
      </c>
      <c r="X60">
        <v>11</v>
      </c>
      <c r="Y60" s="53" t="s">
        <v>70</v>
      </c>
      <c r="Z60">
        <f t="shared" si="119"/>
        <v>2343</v>
      </c>
      <c r="AA60">
        <f t="shared" ref="AA60:AI66" si="121">ROUND(AA166*1.15,0)</f>
        <v>2343</v>
      </c>
      <c r="AB60">
        <f t="shared" si="120"/>
        <v>2343</v>
      </c>
      <c r="AC60">
        <f t="shared" si="120"/>
        <v>2343</v>
      </c>
      <c r="AD60">
        <f t="shared" si="120"/>
        <v>2343</v>
      </c>
      <c r="AE60">
        <f t="shared" si="120"/>
        <v>2343</v>
      </c>
      <c r="AF60">
        <f t="shared" si="120"/>
        <v>2343</v>
      </c>
      <c r="AG60">
        <f t="shared" si="120"/>
        <v>2343</v>
      </c>
      <c r="AH60">
        <f t="shared" si="120"/>
        <v>2343</v>
      </c>
      <c r="AI60">
        <f t="shared" si="120"/>
        <v>2343</v>
      </c>
      <c r="AQ60">
        <v>10</v>
      </c>
      <c r="AR60" s="53" t="s">
        <v>69</v>
      </c>
      <c r="AS60" t="s">
        <v>2864</v>
      </c>
      <c r="AT60" t="s">
        <v>2864</v>
      </c>
      <c r="AU60" t="s">
        <v>2864</v>
      </c>
      <c r="AV60" t="s">
        <v>2864</v>
      </c>
      <c r="AW60" t="s">
        <v>2864</v>
      </c>
      <c r="AX60" t="s">
        <v>2864</v>
      </c>
      <c r="AY60" t="s">
        <v>2864</v>
      </c>
      <c r="AZ60" t="s">
        <v>2864</v>
      </c>
      <c r="BA60" t="s">
        <v>2864</v>
      </c>
      <c r="BB60" t="s">
        <v>2864</v>
      </c>
    </row>
    <row r="61" spans="2:55" ht="15" thickBot="1">
      <c r="B61" s="17">
        <v>164999</v>
      </c>
      <c r="C61" s="18">
        <v>1.098E-2</v>
      </c>
      <c r="E61" s="19">
        <v>319999</v>
      </c>
      <c r="F61" s="18">
        <v>2.4580000000000001E-2</v>
      </c>
      <c r="G61" s="9"/>
      <c r="I61" s="22">
        <v>5700000</v>
      </c>
      <c r="J61" s="661">
        <v>4.8630000000000001E-3</v>
      </c>
      <c r="K61">
        <v>1.1729999999999999E-2</v>
      </c>
      <c r="L61" s="344"/>
      <c r="M61" s="19">
        <v>1924999</v>
      </c>
      <c r="N61" s="18">
        <v>9.4199999999999926E-3</v>
      </c>
      <c r="O61" s="344"/>
      <c r="Q61" s="22">
        <v>189999</v>
      </c>
      <c r="R61" s="23">
        <v>3.3715500000000002E-2</v>
      </c>
      <c r="S61" s="23">
        <f t="shared" si="14"/>
        <v>3.5401275000000003E-2</v>
      </c>
      <c r="T61" s="87"/>
      <c r="U61" s="19">
        <v>699999</v>
      </c>
      <c r="V61" s="18">
        <v>2.3456999999999999E-2</v>
      </c>
      <c r="W61" s="18">
        <f t="shared" si="15"/>
        <v>2.4629849999999998E-2</v>
      </c>
      <c r="X61">
        <v>12</v>
      </c>
      <c r="Y61" s="53" t="s">
        <v>71</v>
      </c>
      <c r="Z61">
        <f t="shared" si="119"/>
        <v>2343</v>
      </c>
      <c r="AA61">
        <f t="shared" si="121"/>
        <v>2584</v>
      </c>
      <c r="AB61">
        <f t="shared" si="120"/>
        <v>2777</v>
      </c>
      <c r="AC61">
        <f t="shared" si="120"/>
        <v>2961</v>
      </c>
      <c r="AD61">
        <f t="shared" si="120"/>
        <v>3130</v>
      </c>
      <c r="AE61">
        <f t="shared" si="120"/>
        <v>3251</v>
      </c>
      <c r="AF61">
        <f t="shared" si="120"/>
        <v>3361</v>
      </c>
      <c r="AG61">
        <f t="shared" si="120"/>
        <v>3473</v>
      </c>
      <c r="AH61">
        <f t="shared" si="120"/>
        <v>3583</v>
      </c>
      <c r="AI61">
        <f t="shared" si="120"/>
        <v>3695</v>
      </c>
      <c r="AQ61">
        <v>11</v>
      </c>
      <c r="AR61" s="53" t="s">
        <v>70</v>
      </c>
      <c r="AS61" t="s">
        <v>2864</v>
      </c>
      <c r="AT61" t="s">
        <v>2864</v>
      </c>
      <c r="AU61" t="s">
        <v>2864</v>
      </c>
      <c r="AV61" t="s">
        <v>2864</v>
      </c>
      <c r="AW61" t="s">
        <v>2864</v>
      </c>
      <c r="AX61" t="s">
        <v>2864</v>
      </c>
      <c r="AY61" t="s">
        <v>2864</v>
      </c>
      <c r="AZ61" t="s">
        <v>2864</v>
      </c>
      <c r="BA61" t="s">
        <v>2864</v>
      </c>
      <c r="BB61" t="s">
        <v>2864</v>
      </c>
    </row>
    <row r="62" spans="2:55" ht="15" thickBot="1">
      <c r="B62" s="17">
        <v>165000</v>
      </c>
      <c r="C62" s="18">
        <v>1.0840000000000001E-2</v>
      </c>
      <c r="E62" s="19">
        <v>320000</v>
      </c>
      <c r="F62" s="18">
        <v>2.4309999999999998E-2</v>
      </c>
      <c r="G62" s="9"/>
      <c r="I62" s="22">
        <v>5800000</v>
      </c>
      <c r="J62" s="661">
        <v>4.3419999999999995E-3</v>
      </c>
      <c r="K62">
        <v>1.1614999999999999E-2</v>
      </c>
      <c r="L62" s="344"/>
      <c r="M62" s="19">
        <v>1949999</v>
      </c>
      <c r="N62" s="18">
        <v>9.3899999999999921E-3</v>
      </c>
      <c r="O62" s="344"/>
      <c r="Q62" s="22">
        <v>190000</v>
      </c>
      <c r="R62" s="23">
        <v>3.3117000000000001E-2</v>
      </c>
      <c r="S62" s="23">
        <f t="shared" si="14"/>
        <v>3.4772850000000001E-2</v>
      </c>
      <c r="T62" s="87"/>
      <c r="U62" s="19">
        <v>700000</v>
      </c>
      <c r="V62" s="18">
        <v>2.3089499999999999E-2</v>
      </c>
      <c r="W62" s="18">
        <f t="shared" si="15"/>
        <v>2.4243975000000001E-2</v>
      </c>
      <c r="X62">
        <v>13</v>
      </c>
      <c r="Y62" s="53" t="s">
        <v>72</v>
      </c>
      <c r="Z62">
        <f t="shared" si="119"/>
        <v>2343</v>
      </c>
      <c r="AA62">
        <f t="shared" si="121"/>
        <v>3067</v>
      </c>
      <c r="AB62">
        <f t="shared" si="120"/>
        <v>3647</v>
      </c>
      <c r="AC62">
        <f t="shared" si="120"/>
        <v>4193</v>
      </c>
      <c r="AD62">
        <f t="shared" si="120"/>
        <v>4700</v>
      </c>
      <c r="AE62">
        <f t="shared" si="120"/>
        <v>5062</v>
      </c>
      <c r="AF62">
        <f t="shared" si="120"/>
        <v>5390</v>
      </c>
      <c r="AG62">
        <f t="shared" si="120"/>
        <v>5719</v>
      </c>
      <c r="AH62">
        <f t="shared" si="120"/>
        <v>6047</v>
      </c>
      <c r="AI62">
        <f t="shared" si="120"/>
        <v>6376</v>
      </c>
      <c r="AQ62">
        <v>12</v>
      </c>
      <c r="AR62" s="53" t="s">
        <v>71</v>
      </c>
      <c r="AS62" t="s">
        <v>2864</v>
      </c>
      <c r="AT62" t="s">
        <v>2864</v>
      </c>
      <c r="AU62" t="s">
        <v>2864</v>
      </c>
      <c r="AV62" t="s">
        <v>2864</v>
      </c>
      <c r="AW62" t="s">
        <v>2864</v>
      </c>
      <c r="AX62" t="s">
        <v>2864</v>
      </c>
      <c r="AY62" t="s">
        <v>2864</v>
      </c>
      <c r="AZ62" t="s">
        <v>2864</v>
      </c>
      <c r="BA62" t="s">
        <v>2864</v>
      </c>
      <c r="BB62" t="s">
        <v>2864</v>
      </c>
    </row>
    <row r="63" spans="2:55" ht="15" thickBot="1">
      <c r="B63" s="17">
        <v>169999</v>
      </c>
      <c r="C63" s="18">
        <v>1.0840000000000001E-2</v>
      </c>
      <c r="E63" s="19">
        <v>327499</v>
      </c>
      <c r="F63" s="18">
        <v>2.4309999999999998E-2</v>
      </c>
      <c r="G63" s="9"/>
      <c r="I63" s="22">
        <v>5900000</v>
      </c>
      <c r="J63" s="661">
        <v>3.8209999999999997E-3</v>
      </c>
      <c r="K63">
        <v>1.1614999999999999E-2</v>
      </c>
      <c r="L63" s="344"/>
      <c r="M63" s="19">
        <v>1974999</v>
      </c>
      <c r="N63" s="18">
        <v>9.3599999999999916E-3</v>
      </c>
      <c r="O63" s="344"/>
      <c r="Q63" s="22">
        <v>194999</v>
      </c>
      <c r="R63" s="23">
        <v>3.3117000000000001E-2</v>
      </c>
      <c r="S63" s="23">
        <f t="shared" si="14"/>
        <v>3.4772850000000001E-2</v>
      </c>
      <c r="T63" s="87"/>
      <c r="U63" s="19">
        <v>724999</v>
      </c>
      <c r="V63" s="18">
        <v>2.3089499999999999E-2</v>
      </c>
      <c r="W63" s="18">
        <f t="shared" si="15"/>
        <v>2.4243975000000001E-2</v>
      </c>
      <c r="X63">
        <v>14</v>
      </c>
      <c r="Y63" s="53" t="s">
        <v>74</v>
      </c>
      <c r="Z63">
        <f t="shared" si="119"/>
        <v>2343</v>
      </c>
      <c r="AA63">
        <f t="shared" si="121"/>
        <v>3159</v>
      </c>
      <c r="AB63">
        <f t="shared" si="120"/>
        <v>3864</v>
      </c>
      <c r="AC63">
        <f t="shared" si="120"/>
        <v>4497</v>
      </c>
      <c r="AD63">
        <f t="shared" si="120"/>
        <v>5091</v>
      </c>
      <c r="AE63">
        <f t="shared" si="120"/>
        <v>5515</v>
      </c>
      <c r="AF63">
        <f t="shared" si="120"/>
        <v>5897</v>
      </c>
      <c r="AG63">
        <f t="shared" si="120"/>
        <v>6279</v>
      </c>
      <c r="AH63">
        <f t="shared" si="120"/>
        <v>6661</v>
      </c>
      <c r="AI63">
        <f t="shared" si="120"/>
        <v>7043</v>
      </c>
      <c r="AQ63">
        <v>13</v>
      </c>
      <c r="AR63" s="53" t="s">
        <v>72</v>
      </c>
      <c r="AS63" t="s">
        <v>2864</v>
      </c>
      <c r="AT63" t="s">
        <v>2864</v>
      </c>
      <c r="AU63" t="s">
        <v>2864</v>
      </c>
      <c r="AV63" t="s">
        <v>2864</v>
      </c>
      <c r="AW63" t="s">
        <v>2864</v>
      </c>
      <c r="AX63" t="s">
        <v>2864</v>
      </c>
      <c r="AY63" t="s">
        <v>2864</v>
      </c>
      <c r="AZ63" t="s">
        <v>2864</v>
      </c>
      <c r="BA63" t="s">
        <v>2864</v>
      </c>
      <c r="BB63" t="s">
        <v>2864</v>
      </c>
    </row>
    <row r="64" spans="2:55" ht="15" thickBot="1">
      <c r="B64" s="17">
        <v>170000</v>
      </c>
      <c r="C64" s="18">
        <v>1.0699999999999999E-2</v>
      </c>
      <c r="E64" s="19">
        <v>327500</v>
      </c>
      <c r="F64" s="18">
        <v>2.4049999999999998E-2</v>
      </c>
      <c r="G64" s="9"/>
      <c r="I64" s="22">
        <v>6000000</v>
      </c>
      <c r="J64" s="661">
        <v>3.3E-3</v>
      </c>
      <c r="K64">
        <v>1.15E-2</v>
      </c>
      <c r="L64" s="344"/>
      <c r="M64" s="19">
        <v>1999999</v>
      </c>
      <c r="N64" s="18">
        <v>9.3299999999999911E-3</v>
      </c>
      <c r="O64" s="344"/>
      <c r="Q64" s="22">
        <v>195000</v>
      </c>
      <c r="R64" s="23">
        <v>3.2508000000000002E-2</v>
      </c>
      <c r="S64" s="23">
        <f t="shared" si="14"/>
        <v>3.4133400000000001E-2</v>
      </c>
      <c r="T64" s="87"/>
      <c r="U64" s="19">
        <v>725000</v>
      </c>
      <c r="V64" s="18">
        <v>2.2711500000000003E-2</v>
      </c>
      <c r="W64" s="18">
        <f t="shared" si="15"/>
        <v>2.3847075000000002E-2</v>
      </c>
      <c r="X64">
        <v>15</v>
      </c>
      <c r="Y64" s="53" t="s">
        <v>76</v>
      </c>
      <c r="Z64">
        <f t="shared" si="119"/>
        <v>2343</v>
      </c>
      <c r="AA64">
        <f t="shared" si="121"/>
        <v>3251</v>
      </c>
      <c r="AB64">
        <f t="shared" si="120"/>
        <v>3976</v>
      </c>
      <c r="AC64">
        <f t="shared" si="120"/>
        <v>4656</v>
      </c>
      <c r="AD64">
        <f t="shared" si="120"/>
        <v>5293</v>
      </c>
      <c r="AE64">
        <f t="shared" si="120"/>
        <v>5748</v>
      </c>
      <c r="AF64">
        <f t="shared" si="120"/>
        <v>6158</v>
      </c>
      <c r="AG64">
        <f t="shared" si="120"/>
        <v>6569</v>
      </c>
      <c r="AH64">
        <f t="shared" si="120"/>
        <v>6979</v>
      </c>
      <c r="AI64">
        <f t="shared" si="120"/>
        <v>7390</v>
      </c>
      <c r="AQ64">
        <v>14</v>
      </c>
      <c r="AR64" s="53" t="s">
        <v>74</v>
      </c>
      <c r="AS64" t="s">
        <v>2864</v>
      </c>
      <c r="AT64" t="s">
        <v>2864</v>
      </c>
      <c r="AU64" t="s">
        <v>2864</v>
      </c>
      <c r="AV64" t="s">
        <v>2864</v>
      </c>
      <c r="AW64" t="s">
        <v>2864</v>
      </c>
      <c r="AX64" t="s">
        <v>2864</v>
      </c>
      <c r="AY64" t="s">
        <v>2864</v>
      </c>
      <c r="AZ64" t="s">
        <v>2864</v>
      </c>
      <c r="BA64" t="s">
        <v>2864</v>
      </c>
      <c r="BB64" t="s">
        <v>2864</v>
      </c>
    </row>
    <row r="65" spans="2:54" ht="15" thickBot="1">
      <c r="B65" s="17">
        <v>174999</v>
      </c>
      <c r="C65" s="18">
        <v>1.0699999999999999E-2</v>
      </c>
      <c r="E65" s="19">
        <v>334999</v>
      </c>
      <c r="F65" s="18">
        <v>2.4049999999999998E-2</v>
      </c>
      <c r="G65" s="9"/>
      <c r="I65" s="22">
        <v>6100000</v>
      </c>
      <c r="J65" s="661">
        <v>3.29E-3</v>
      </c>
      <c r="K65">
        <v>1.15E-2</v>
      </c>
      <c r="L65" s="344"/>
      <c r="M65" s="19">
        <v>2000000</v>
      </c>
      <c r="N65" s="18">
        <v>9.389999999999999E-3</v>
      </c>
      <c r="O65" s="20"/>
      <c r="Q65" s="22">
        <v>199999</v>
      </c>
      <c r="R65" s="23">
        <v>3.2508000000000002E-2</v>
      </c>
      <c r="S65" s="23">
        <f t="shared" si="14"/>
        <v>3.4133400000000001E-2</v>
      </c>
      <c r="T65" s="87"/>
      <c r="U65" s="19">
        <v>749999</v>
      </c>
      <c r="V65" s="18">
        <v>2.2711500000000003E-2</v>
      </c>
      <c r="W65" s="18">
        <f t="shared" si="15"/>
        <v>2.3847075000000002E-2</v>
      </c>
      <c r="X65">
        <v>16</v>
      </c>
      <c r="Y65" s="53" t="s">
        <v>78</v>
      </c>
      <c r="Z65">
        <f t="shared" si="119"/>
        <v>2343</v>
      </c>
      <c r="AA65">
        <f t="shared" si="121"/>
        <v>3309</v>
      </c>
      <c r="AB65">
        <f t="shared" si="120"/>
        <v>4081</v>
      </c>
      <c r="AC65">
        <f t="shared" si="120"/>
        <v>4806</v>
      </c>
      <c r="AD65">
        <f t="shared" si="120"/>
        <v>5482</v>
      </c>
      <c r="AE65">
        <f t="shared" si="120"/>
        <v>5965</v>
      </c>
      <c r="AF65">
        <f t="shared" si="120"/>
        <v>6400</v>
      </c>
      <c r="AG65">
        <f t="shared" si="120"/>
        <v>6834</v>
      </c>
      <c r="AH65">
        <f t="shared" si="120"/>
        <v>7269</v>
      </c>
      <c r="AI65">
        <f t="shared" si="120"/>
        <v>7704</v>
      </c>
      <c r="AQ65">
        <v>15</v>
      </c>
      <c r="AR65" s="53" t="s">
        <v>76</v>
      </c>
      <c r="AS65" t="s">
        <v>2864</v>
      </c>
      <c r="AT65" t="s">
        <v>2864</v>
      </c>
      <c r="AU65" t="s">
        <v>2864</v>
      </c>
      <c r="AV65" t="s">
        <v>2864</v>
      </c>
      <c r="AW65" t="s">
        <v>2864</v>
      </c>
      <c r="AX65" t="s">
        <v>2864</v>
      </c>
      <c r="AY65" t="s">
        <v>2864</v>
      </c>
      <c r="AZ65" t="s">
        <v>2864</v>
      </c>
      <c r="BA65" t="s">
        <v>2864</v>
      </c>
      <c r="BB65" t="s">
        <v>2864</v>
      </c>
    </row>
    <row r="66" spans="2:54" ht="15" thickBot="1">
      <c r="B66" s="17">
        <v>175000</v>
      </c>
      <c r="C66" s="18">
        <v>1.057E-2</v>
      </c>
      <c r="E66" s="19">
        <v>335000</v>
      </c>
      <c r="F66" s="18">
        <v>2.3910000000000001E-2</v>
      </c>
      <c r="G66" s="9"/>
      <c r="I66" s="22">
        <v>6200000</v>
      </c>
      <c r="J66" s="661">
        <v>3.2799999999999999E-3</v>
      </c>
      <c r="M66" s="19">
        <v>2100000</v>
      </c>
      <c r="N66" s="18">
        <v>9.3509999999999999E-3</v>
      </c>
      <c r="Q66" s="22">
        <v>200000</v>
      </c>
      <c r="R66" s="23">
        <v>3.2455499999999998E-2</v>
      </c>
      <c r="S66" s="23">
        <f t="shared" si="14"/>
        <v>3.4078274999999998E-2</v>
      </c>
      <c r="T66" s="87"/>
      <c r="U66" s="19">
        <v>750000</v>
      </c>
      <c r="V66" s="18">
        <v>2.2890000000000001E-2</v>
      </c>
      <c r="W66" s="18">
        <f t="shared" si="15"/>
        <v>2.40345E-2</v>
      </c>
      <c r="X66">
        <v>17</v>
      </c>
      <c r="Y66" s="53" t="s">
        <v>80</v>
      </c>
      <c r="Z66">
        <f>ROUND(Z172*1.15,0)</f>
        <v>2343</v>
      </c>
      <c r="AA66">
        <f t="shared" si="121"/>
        <v>3482</v>
      </c>
      <c r="AB66">
        <f t="shared" si="121"/>
        <v>4395</v>
      </c>
      <c r="AC66">
        <f t="shared" si="121"/>
        <v>5250</v>
      </c>
      <c r="AD66">
        <f t="shared" si="121"/>
        <v>6047</v>
      </c>
      <c r="AE66">
        <f t="shared" si="121"/>
        <v>6617</v>
      </c>
      <c r="AF66">
        <f t="shared" si="121"/>
        <v>7129</v>
      </c>
      <c r="AG66">
        <f t="shared" si="121"/>
        <v>7641</v>
      </c>
      <c r="AH66">
        <f t="shared" si="121"/>
        <v>8154</v>
      </c>
      <c r="AI66">
        <f t="shared" si="121"/>
        <v>8665</v>
      </c>
      <c r="AL66">
        <v>1</v>
      </c>
      <c r="AM66">
        <v>0</v>
      </c>
      <c r="AQ66">
        <v>16</v>
      </c>
      <c r="AR66" s="53" t="s">
        <v>78</v>
      </c>
      <c r="AS66" t="s">
        <v>2864</v>
      </c>
      <c r="AT66" t="s">
        <v>2864</v>
      </c>
      <c r="AU66" t="s">
        <v>2864</v>
      </c>
      <c r="AV66" t="s">
        <v>2864</v>
      </c>
      <c r="AW66" t="s">
        <v>2864</v>
      </c>
      <c r="AX66" t="s">
        <v>2864</v>
      </c>
      <c r="AY66" t="s">
        <v>2864</v>
      </c>
      <c r="AZ66" t="s">
        <v>2864</v>
      </c>
      <c r="BA66" t="s">
        <v>2864</v>
      </c>
      <c r="BB66" t="s">
        <v>2864</v>
      </c>
    </row>
    <row r="67" spans="2:54" ht="15" thickBot="1">
      <c r="B67" s="17">
        <v>179999</v>
      </c>
      <c r="C67" s="18">
        <v>1.057E-2</v>
      </c>
      <c r="E67" s="19">
        <v>342499</v>
      </c>
      <c r="F67" s="18">
        <v>2.3910000000000001E-2</v>
      </c>
      <c r="G67" s="9"/>
      <c r="I67" s="22">
        <v>6300000</v>
      </c>
      <c r="J67" s="661">
        <v>3.2700000000000003E-3</v>
      </c>
      <c r="M67" s="19">
        <v>2200000</v>
      </c>
      <c r="N67" s="18">
        <v>9.3130000000000001E-3</v>
      </c>
      <c r="Q67" s="22">
        <v>249999</v>
      </c>
      <c r="R67" s="23">
        <v>3.2455499999999998E-2</v>
      </c>
      <c r="S67" s="23">
        <f t="shared" si="14"/>
        <v>3.4078274999999998E-2</v>
      </c>
      <c r="T67" s="87"/>
      <c r="U67" s="19">
        <v>774999</v>
      </c>
      <c r="V67" s="18">
        <v>2.2890000000000001E-2</v>
      </c>
      <c r="W67" s="18">
        <f t="shared" si="15"/>
        <v>2.40345E-2</v>
      </c>
      <c r="X67">
        <v>18</v>
      </c>
      <c r="Y67" s="53" t="s">
        <v>82</v>
      </c>
      <c r="Z67">
        <f>ROUND(Z66*1.95,0)</f>
        <v>4569</v>
      </c>
      <c r="AA67">
        <f t="shared" ref="AA67:AI67" si="122">ROUND(AA66*1.95,0)</f>
        <v>6790</v>
      </c>
      <c r="AB67">
        <f t="shared" si="122"/>
        <v>8570</v>
      </c>
      <c r="AC67">
        <f t="shared" si="122"/>
        <v>10238</v>
      </c>
      <c r="AD67">
        <f t="shared" si="122"/>
        <v>11792</v>
      </c>
      <c r="AE67">
        <f t="shared" si="122"/>
        <v>12903</v>
      </c>
      <c r="AF67">
        <f t="shared" si="122"/>
        <v>13902</v>
      </c>
      <c r="AG67">
        <f t="shared" si="122"/>
        <v>14900</v>
      </c>
      <c r="AH67">
        <f t="shared" si="122"/>
        <v>15900</v>
      </c>
      <c r="AI67">
        <f t="shared" si="122"/>
        <v>16897</v>
      </c>
      <c r="AL67">
        <v>2</v>
      </c>
      <c r="AQ67">
        <v>17</v>
      </c>
      <c r="AR67" s="53" t="s">
        <v>80</v>
      </c>
      <c r="AS67" t="s">
        <v>2864</v>
      </c>
      <c r="AT67" t="s">
        <v>2864</v>
      </c>
      <c r="AU67" t="s">
        <v>2864</v>
      </c>
      <c r="AV67" t="s">
        <v>2864</v>
      </c>
      <c r="AW67" t="s">
        <v>2864</v>
      </c>
      <c r="AX67" t="s">
        <v>2864</v>
      </c>
      <c r="AY67" t="s">
        <v>2864</v>
      </c>
      <c r="AZ67" t="s">
        <v>2864</v>
      </c>
      <c r="BA67" t="s">
        <v>2864</v>
      </c>
      <c r="BB67" t="s">
        <v>2864</v>
      </c>
    </row>
    <row r="68" spans="2:54" ht="15" thickBot="1">
      <c r="B68" s="17">
        <v>180000</v>
      </c>
      <c r="C68" s="18">
        <v>1.0410000000000001E-2</v>
      </c>
      <c r="E68" s="19">
        <v>342500</v>
      </c>
      <c r="F68" s="18">
        <v>2.3640000000000001E-2</v>
      </c>
      <c r="G68" s="9"/>
      <c r="I68" s="22">
        <v>6400000</v>
      </c>
      <c r="J68" s="661">
        <v>3.2600000000000003E-3</v>
      </c>
      <c r="M68" s="19">
        <v>2300000</v>
      </c>
      <c r="N68" s="18">
        <v>9.2739999999999993E-3</v>
      </c>
      <c r="Q68" s="22">
        <v>250000</v>
      </c>
      <c r="R68" s="23">
        <v>3.2403000000000001E-2</v>
      </c>
      <c r="S68" s="23">
        <f t="shared" si="14"/>
        <v>3.4023150000000002E-2</v>
      </c>
      <c r="T68" s="87"/>
      <c r="U68" s="19">
        <v>775000</v>
      </c>
      <c r="V68" s="18">
        <v>2.3068500000000002E-2</v>
      </c>
      <c r="W68" s="18">
        <f t="shared" si="15"/>
        <v>2.4221925000000002E-2</v>
      </c>
      <c r="X68">
        <v>19</v>
      </c>
      <c r="Y68" s="53" t="s">
        <v>84</v>
      </c>
      <c r="Z68">
        <f>ROUND(Z66*2.9,0)</f>
        <v>6795</v>
      </c>
      <c r="AA68">
        <f t="shared" ref="AA68:AI68" si="123">ROUND(AA66*2.9,0)</f>
        <v>10098</v>
      </c>
      <c r="AB68">
        <f t="shared" si="123"/>
        <v>12746</v>
      </c>
      <c r="AC68">
        <f t="shared" si="123"/>
        <v>15225</v>
      </c>
      <c r="AD68">
        <f t="shared" si="123"/>
        <v>17536</v>
      </c>
      <c r="AE68">
        <f t="shared" si="123"/>
        <v>19189</v>
      </c>
      <c r="AF68">
        <f t="shared" si="123"/>
        <v>20674</v>
      </c>
      <c r="AG68">
        <f t="shared" si="123"/>
        <v>22159</v>
      </c>
      <c r="AH68">
        <f t="shared" si="123"/>
        <v>23647</v>
      </c>
      <c r="AI68">
        <f t="shared" si="123"/>
        <v>25129</v>
      </c>
      <c r="AL68">
        <v>3</v>
      </c>
    </row>
    <row r="69" spans="2:54" ht="15" thickBot="1">
      <c r="B69" s="17">
        <v>184999</v>
      </c>
      <c r="C69" s="18">
        <v>1.0410000000000001E-2</v>
      </c>
      <c r="E69" s="19">
        <v>349999</v>
      </c>
      <c r="F69" s="18">
        <v>2.3640000000000001E-2</v>
      </c>
      <c r="G69" s="9"/>
      <c r="I69" s="22">
        <v>6500000</v>
      </c>
      <c r="J69" s="661">
        <v>3.2500000000000003E-3</v>
      </c>
      <c r="M69" s="19">
        <v>2400000</v>
      </c>
      <c r="N69" s="18">
        <v>9.2350000000000002E-3</v>
      </c>
      <c r="Q69" s="22">
        <v>299999</v>
      </c>
      <c r="R69" s="23">
        <v>3.2403000000000001E-2</v>
      </c>
      <c r="S69" s="23">
        <f t="shared" ref="S69:S99" si="124">R69*1.05</f>
        <v>3.4023150000000002E-2</v>
      </c>
      <c r="T69" s="87"/>
      <c r="U69" s="19">
        <v>799999</v>
      </c>
      <c r="V69" s="18">
        <v>2.3068500000000002E-2</v>
      </c>
      <c r="W69" s="18">
        <f t="shared" ref="W69:W126" si="125">V69*1.05</f>
        <v>2.4221925000000002E-2</v>
      </c>
      <c r="X69">
        <v>20</v>
      </c>
      <c r="Y69" s="53" t="s">
        <v>86</v>
      </c>
      <c r="Z69">
        <f>ROUND(Z66*3.4,0)</f>
        <v>7966</v>
      </c>
      <c r="AA69">
        <f t="shared" ref="AA69:AI69" si="126">ROUND(AA66*3.4,0)</f>
        <v>11839</v>
      </c>
      <c r="AB69">
        <f t="shared" si="126"/>
        <v>14943</v>
      </c>
      <c r="AC69">
        <f t="shared" si="126"/>
        <v>17850</v>
      </c>
      <c r="AD69">
        <f t="shared" si="126"/>
        <v>20560</v>
      </c>
      <c r="AE69">
        <f t="shared" si="126"/>
        <v>22498</v>
      </c>
      <c r="AF69">
        <f t="shared" si="126"/>
        <v>24239</v>
      </c>
      <c r="AG69">
        <f t="shared" si="126"/>
        <v>25979</v>
      </c>
      <c r="AH69">
        <f t="shared" si="126"/>
        <v>27724</v>
      </c>
      <c r="AI69">
        <f t="shared" si="126"/>
        <v>29461</v>
      </c>
      <c r="AL69">
        <v>4</v>
      </c>
      <c r="AQ69" s="53" t="s">
        <v>2865</v>
      </c>
    </row>
    <row r="70" spans="2:54" ht="15" thickBot="1">
      <c r="B70" s="17">
        <v>185000</v>
      </c>
      <c r="C70" s="18">
        <v>1.0279999999999999E-2</v>
      </c>
      <c r="E70" s="19">
        <v>350000</v>
      </c>
      <c r="F70" s="18">
        <v>2.3519999999999999E-2</v>
      </c>
      <c r="G70" s="9"/>
      <c r="I70" s="22">
        <v>6600000</v>
      </c>
      <c r="J70" s="661">
        <v>3.2400000000000003E-3</v>
      </c>
      <c r="M70" s="19">
        <v>2500000</v>
      </c>
      <c r="N70" s="18">
        <v>9.1970000000000003E-3</v>
      </c>
      <c r="Q70" s="22">
        <v>300000</v>
      </c>
      <c r="R70" s="23">
        <v>3.2361000000000001E-2</v>
      </c>
      <c r="S70" s="23">
        <f t="shared" si="124"/>
        <v>3.3979050000000004E-2</v>
      </c>
      <c r="T70" s="87"/>
      <c r="U70" s="19">
        <v>800000</v>
      </c>
      <c r="V70" s="18">
        <v>2.32365E-2</v>
      </c>
      <c r="W70" s="18">
        <f t="shared" si="125"/>
        <v>2.4398325000000002E-2</v>
      </c>
      <c r="AL70">
        <v>5</v>
      </c>
      <c r="AM70">
        <v>190</v>
      </c>
      <c r="AS70" s="53">
        <v>0</v>
      </c>
      <c r="AT70" s="53">
        <v>1</v>
      </c>
      <c r="AU70" s="53">
        <v>2</v>
      </c>
      <c r="AV70" s="53">
        <v>3</v>
      </c>
      <c r="AW70" s="53">
        <v>4</v>
      </c>
      <c r="AX70" s="53">
        <v>5</v>
      </c>
      <c r="AY70" s="53">
        <v>6</v>
      </c>
      <c r="AZ70" s="53">
        <v>7</v>
      </c>
      <c r="BA70" s="53">
        <v>8</v>
      </c>
      <c r="BB70" s="53">
        <v>9</v>
      </c>
    </row>
    <row r="71" spans="2:54" ht="15" thickBot="1">
      <c r="B71" s="17">
        <v>189999</v>
      </c>
      <c r="C71" s="18">
        <v>1.0279999999999999E-2</v>
      </c>
      <c r="E71" s="19">
        <v>359999</v>
      </c>
      <c r="F71" s="18">
        <v>2.3519999999999999E-2</v>
      </c>
      <c r="G71" s="9"/>
      <c r="I71" s="22">
        <v>6700000</v>
      </c>
      <c r="J71" s="661">
        <v>3.2300000000000002E-3</v>
      </c>
      <c r="M71" s="19">
        <v>2600000</v>
      </c>
      <c r="N71" s="18">
        <v>9.1579999999999995E-3</v>
      </c>
      <c r="Q71" s="22">
        <v>349999</v>
      </c>
      <c r="R71" s="23">
        <v>3.2361000000000001E-2</v>
      </c>
      <c r="S71" s="23">
        <f t="shared" si="124"/>
        <v>3.3979050000000004E-2</v>
      </c>
      <c r="T71" s="87"/>
      <c r="U71" s="19">
        <v>824999</v>
      </c>
      <c r="V71" s="18">
        <v>2.32365E-2</v>
      </c>
      <c r="W71" s="18">
        <f t="shared" si="125"/>
        <v>2.4398325000000002E-2</v>
      </c>
      <c r="AL71">
        <v>6</v>
      </c>
      <c r="AM71">
        <v>193</v>
      </c>
      <c r="AQ71">
        <v>1</v>
      </c>
      <c r="AR71" t="s">
        <v>60</v>
      </c>
      <c r="AS71" t="s">
        <v>2864</v>
      </c>
      <c r="AT71" t="s">
        <v>2864</v>
      </c>
      <c r="AU71" t="s">
        <v>2864</v>
      </c>
      <c r="AV71" t="s">
        <v>2864</v>
      </c>
      <c r="AW71" t="s">
        <v>2864</v>
      </c>
      <c r="AX71" t="s">
        <v>2864</v>
      </c>
      <c r="AY71" t="s">
        <v>2864</v>
      </c>
      <c r="AZ71" t="s">
        <v>2864</v>
      </c>
      <c r="BA71" t="s">
        <v>2864</v>
      </c>
      <c r="BB71" t="s">
        <v>2864</v>
      </c>
    </row>
    <row r="72" spans="2:54" ht="15" thickBot="1">
      <c r="B72" s="17">
        <v>190000</v>
      </c>
      <c r="C72" s="18">
        <v>1.013E-2</v>
      </c>
      <c r="E72" s="19">
        <v>360000</v>
      </c>
      <c r="F72" s="18">
        <v>2.3380000000000001E-2</v>
      </c>
      <c r="G72" s="9"/>
      <c r="I72" s="22">
        <v>6800000</v>
      </c>
      <c r="J72" s="661">
        <v>3.2200000000000002E-3</v>
      </c>
      <c r="M72" s="19">
        <v>2700000</v>
      </c>
      <c r="N72" s="18">
        <v>9.1190000000000004E-3</v>
      </c>
      <c r="Q72" s="22">
        <v>350000</v>
      </c>
      <c r="R72" s="23">
        <v>3.2308499999999997E-2</v>
      </c>
      <c r="S72" s="23">
        <f t="shared" si="124"/>
        <v>3.3923925000000001E-2</v>
      </c>
      <c r="T72" s="87"/>
      <c r="U72" s="19">
        <v>825000</v>
      </c>
      <c r="V72" s="18">
        <v>2.3415000000000002E-2</v>
      </c>
      <c r="W72" s="18">
        <f t="shared" si="125"/>
        <v>2.4585750000000003E-2</v>
      </c>
      <c r="AL72">
        <v>7</v>
      </c>
      <c r="AM72">
        <v>195</v>
      </c>
      <c r="AQ72">
        <v>2</v>
      </c>
      <c r="AR72" t="s">
        <v>61</v>
      </c>
      <c r="AS72" t="s">
        <v>2864</v>
      </c>
      <c r="AT72" t="s">
        <v>2864</v>
      </c>
      <c r="AU72" t="s">
        <v>2864</v>
      </c>
      <c r="AV72" t="s">
        <v>2864</v>
      </c>
      <c r="AW72" t="s">
        <v>2864</v>
      </c>
      <c r="AX72" t="s">
        <v>2864</v>
      </c>
      <c r="AY72" t="s">
        <v>2864</v>
      </c>
      <c r="AZ72" t="s">
        <v>2864</v>
      </c>
      <c r="BA72" t="s">
        <v>2864</v>
      </c>
      <c r="BB72" t="s">
        <v>2864</v>
      </c>
    </row>
    <row r="73" spans="2:54" ht="15" thickBot="1">
      <c r="B73" s="17">
        <v>194999</v>
      </c>
      <c r="C73" s="18">
        <v>1.013E-2</v>
      </c>
      <c r="E73" s="19">
        <v>369999</v>
      </c>
      <c r="F73" s="18">
        <v>2.3380000000000001E-2</v>
      </c>
      <c r="G73" s="9"/>
      <c r="I73" s="22">
        <v>6900000</v>
      </c>
      <c r="J73" s="661">
        <v>3.2100000000000002E-3</v>
      </c>
      <c r="M73" s="19">
        <v>2800000</v>
      </c>
      <c r="N73" s="18">
        <v>9.0810000000000005E-3</v>
      </c>
      <c r="Q73" s="22">
        <v>399999</v>
      </c>
      <c r="R73" s="23">
        <v>3.2308499999999997E-2</v>
      </c>
      <c r="S73" s="23">
        <f t="shared" si="124"/>
        <v>3.3923925000000001E-2</v>
      </c>
      <c r="T73" s="87"/>
      <c r="U73" s="19">
        <v>849999</v>
      </c>
      <c r="V73" s="18">
        <v>2.3415000000000002E-2</v>
      </c>
      <c r="W73" s="18">
        <f t="shared" si="125"/>
        <v>2.4585750000000003E-2</v>
      </c>
      <c r="AL73">
        <v>8</v>
      </c>
      <c r="AM73">
        <v>198</v>
      </c>
      <c r="AQ73">
        <v>3</v>
      </c>
      <c r="AR73" t="s">
        <v>62</v>
      </c>
      <c r="AS73" t="s">
        <v>2864</v>
      </c>
      <c r="AT73" t="s">
        <v>2864</v>
      </c>
      <c r="AU73" t="s">
        <v>2864</v>
      </c>
      <c r="AV73" t="s">
        <v>2864</v>
      </c>
      <c r="AW73" t="s">
        <v>2864</v>
      </c>
      <c r="AX73" t="s">
        <v>2864</v>
      </c>
      <c r="AY73" t="s">
        <v>2864</v>
      </c>
      <c r="AZ73" t="s">
        <v>2864</v>
      </c>
      <c r="BA73" t="s">
        <v>2864</v>
      </c>
      <c r="BB73" t="s">
        <v>2864</v>
      </c>
    </row>
    <row r="74" spans="2:54" ht="15" thickBot="1">
      <c r="B74" s="17">
        <v>195000</v>
      </c>
      <c r="C74" s="18">
        <v>9.9900000000000006E-3</v>
      </c>
      <c r="E74" s="19">
        <v>370000</v>
      </c>
      <c r="F74" s="18">
        <v>2.325E-2</v>
      </c>
      <c r="G74" s="9"/>
      <c r="I74" s="22">
        <v>7000000</v>
      </c>
      <c r="J74" s="661">
        <v>3.2000000000000002E-3</v>
      </c>
      <c r="M74" s="19">
        <v>2900000</v>
      </c>
      <c r="N74" s="18">
        <v>9.0419999999999997E-3</v>
      </c>
      <c r="Q74" s="22">
        <v>400000</v>
      </c>
      <c r="R74" s="23">
        <v>3.2256E-2</v>
      </c>
      <c r="S74" s="23">
        <f t="shared" si="124"/>
        <v>3.3868800000000004E-2</v>
      </c>
      <c r="T74" s="87"/>
      <c r="U74" s="19">
        <v>850000</v>
      </c>
      <c r="V74" s="18">
        <v>2.35935E-2</v>
      </c>
      <c r="W74" s="18">
        <f t="shared" si="125"/>
        <v>2.4773175000000001E-2</v>
      </c>
      <c r="AL74">
        <v>9</v>
      </c>
      <c r="AM74">
        <v>201</v>
      </c>
      <c r="AQ74">
        <v>4</v>
      </c>
      <c r="AR74" t="s">
        <v>63</v>
      </c>
      <c r="AS74">
        <f t="shared" ref="AS74:BA75" si="127">ROUND(AA109*1.05,0)</f>
        <v>2546</v>
      </c>
      <c r="AT74">
        <f t="shared" si="127"/>
        <v>2563</v>
      </c>
      <c r="AU74">
        <f t="shared" si="127"/>
        <v>2878</v>
      </c>
      <c r="AV74">
        <f t="shared" si="127"/>
        <v>3172</v>
      </c>
      <c r="AW74">
        <f t="shared" si="127"/>
        <v>3382</v>
      </c>
      <c r="AX74">
        <f t="shared" si="127"/>
        <v>3571</v>
      </c>
      <c r="AY74">
        <f t="shared" si="127"/>
        <v>3760</v>
      </c>
      <c r="AZ74">
        <f t="shared" si="127"/>
        <v>3949</v>
      </c>
      <c r="BA74">
        <f t="shared" si="127"/>
        <v>4138</v>
      </c>
      <c r="BB74">
        <f t="shared" ref="BB74:BB75" si="128">ROUND(AP94*1.05,0)</f>
        <v>0</v>
      </c>
    </row>
    <row r="75" spans="2:54" ht="15" thickBot="1">
      <c r="B75" s="17">
        <v>199999</v>
      </c>
      <c r="C75" s="18">
        <v>9.9900000000000006E-3</v>
      </c>
      <c r="E75" s="19">
        <v>379999</v>
      </c>
      <c r="F75" s="18">
        <v>2.325E-2</v>
      </c>
      <c r="G75" s="9"/>
      <c r="I75" s="22">
        <v>7100000</v>
      </c>
      <c r="J75" s="661">
        <v>3.1900000000000001E-3</v>
      </c>
      <c r="M75" s="19">
        <v>3000000</v>
      </c>
      <c r="N75" s="18">
        <v>9.0030000000000006E-3</v>
      </c>
      <c r="Q75" s="22">
        <v>449999</v>
      </c>
      <c r="R75" s="23">
        <v>3.2256E-2</v>
      </c>
      <c r="S75" s="23">
        <f t="shared" si="124"/>
        <v>3.3868800000000004E-2</v>
      </c>
      <c r="T75" s="87"/>
      <c r="U75" s="19">
        <v>874999</v>
      </c>
      <c r="V75" s="18">
        <v>2.35935E-2</v>
      </c>
      <c r="W75" s="18">
        <f t="shared" si="125"/>
        <v>2.4773175000000001E-2</v>
      </c>
      <c r="AL75">
        <v>10</v>
      </c>
      <c r="AM75">
        <v>204</v>
      </c>
      <c r="AQ75">
        <v>5</v>
      </c>
      <c r="AR75" t="s">
        <v>64</v>
      </c>
      <c r="AS75">
        <f t="shared" si="127"/>
        <v>2835</v>
      </c>
      <c r="AT75">
        <f t="shared" si="127"/>
        <v>3083</v>
      </c>
      <c r="AU75">
        <f t="shared" si="127"/>
        <v>3614</v>
      </c>
      <c r="AV75">
        <f t="shared" si="127"/>
        <v>4111</v>
      </c>
      <c r="AW75">
        <f t="shared" si="127"/>
        <v>4466</v>
      </c>
      <c r="AX75">
        <f t="shared" si="127"/>
        <v>4785</v>
      </c>
      <c r="AY75">
        <f t="shared" si="127"/>
        <v>5104</v>
      </c>
      <c r="AZ75">
        <f t="shared" si="127"/>
        <v>5423</v>
      </c>
      <c r="BA75">
        <f t="shared" si="127"/>
        <v>5742</v>
      </c>
      <c r="BB75">
        <f t="shared" si="128"/>
        <v>0</v>
      </c>
    </row>
    <row r="76" spans="2:54" ht="15" thickBot="1">
      <c r="B76" s="17">
        <v>200000</v>
      </c>
      <c r="C76" s="18">
        <v>9.9900000000000006E-3</v>
      </c>
      <c r="E76" s="19">
        <v>380000</v>
      </c>
      <c r="F76" s="18">
        <v>2.3109999999999999E-2</v>
      </c>
      <c r="G76" s="9"/>
      <c r="I76" s="22">
        <v>7200000</v>
      </c>
      <c r="J76" s="661">
        <v>3.1800000000000001E-3</v>
      </c>
      <c r="M76" s="19">
        <v>3100000</v>
      </c>
      <c r="N76" s="18">
        <v>8.964999999999999E-3</v>
      </c>
      <c r="Q76" s="22">
        <v>450000</v>
      </c>
      <c r="R76" s="23">
        <v>3.2203500000000003E-2</v>
      </c>
      <c r="S76" s="23">
        <f t="shared" si="124"/>
        <v>3.3813675000000001E-2</v>
      </c>
      <c r="T76" s="87"/>
      <c r="U76" s="19">
        <v>875000</v>
      </c>
      <c r="V76" s="18">
        <v>2.3772000000000001E-2</v>
      </c>
      <c r="W76" s="18">
        <f t="shared" si="125"/>
        <v>2.4960600000000003E-2</v>
      </c>
      <c r="AQ76">
        <v>6</v>
      </c>
      <c r="AR76" t="s">
        <v>65</v>
      </c>
      <c r="AS76" t="s">
        <v>2864</v>
      </c>
      <c r="AT76" t="s">
        <v>2864</v>
      </c>
      <c r="AU76" t="s">
        <v>2864</v>
      </c>
      <c r="AV76" t="s">
        <v>2864</v>
      </c>
      <c r="AW76" t="s">
        <v>2864</v>
      </c>
      <c r="AX76" t="s">
        <v>2864</v>
      </c>
      <c r="AY76" t="s">
        <v>2864</v>
      </c>
      <c r="AZ76" t="s">
        <v>2864</v>
      </c>
      <c r="BA76" t="s">
        <v>2864</v>
      </c>
      <c r="BB76" t="s">
        <v>2864</v>
      </c>
    </row>
    <row r="77" spans="2:54" ht="15" thickBot="1">
      <c r="B77" s="17">
        <v>3500000</v>
      </c>
      <c r="C77" s="18">
        <v>9.9900000000000006E-3</v>
      </c>
      <c r="E77" s="19">
        <v>389999</v>
      </c>
      <c r="F77" s="18">
        <v>2.3109999999999999E-2</v>
      </c>
      <c r="G77" s="9"/>
      <c r="I77" s="22">
        <v>7300000</v>
      </c>
      <c r="J77" s="661">
        <v>3.1700000000000001E-3</v>
      </c>
      <c r="M77" s="19">
        <v>3200000</v>
      </c>
      <c r="N77" s="18">
        <v>8.9259999999999999E-3</v>
      </c>
      <c r="Q77" s="22">
        <v>499999</v>
      </c>
      <c r="R77" s="23">
        <v>3.2203500000000003E-2</v>
      </c>
      <c r="S77" s="23">
        <f t="shared" si="124"/>
        <v>3.3813675000000001E-2</v>
      </c>
      <c r="T77" s="87"/>
      <c r="U77" s="19">
        <v>899999</v>
      </c>
      <c r="V77" s="18">
        <v>2.3772000000000001E-2</v>
      </c>
      <c r="W77" s="18">
        <f t="shared" si="125"/>
        <v>2.4960600000000003E-2</v>
      </c>
      <c r="AQ77">
        <v>7</v>
      </c>
      <c r="AR77" t="s">
        <v>66</v>
      </c>
      <c r="AS77" t="s">
        <v>2864</v>
      </c>
      <c r="AT77" t="s">
        <v>2864</v>
      </c>
      <c r="AU77" t="s">
        <v>2864</v>
      </c>
      <c r="AV77" t="s">
        <v>2864</v>
      </c>
      <c r="AW77" t="s">
        <v>2864</v>
      </c>
      <c r="AX77" t="s">
        <v>2864</v>
      </c>
      <c r="AY77" t="s">
        <v>2864</v>
      </c>
      <c r="AZ77" t="s">
        <v>2864</v>
      </c>
      <c r="BA77" t="s">
        <v>2864</v>
      </c>
      <c r="BB77" t="s">
        <v>2864</v>
      </c>
    </row>
    <row r="78" spans="2:54" ht="15" thickBot="1">
      <c r="B78" s="17"/>
      <c r="C78" s="21"/>
      <c r="E78" s="19">
        <v>390000</v>
      </c>
      <c r="F78" s="18">
        <v>2.299E-2</v>
      </c>
      <c r="G78" s="9"/>
      <c r="I78" s="22">
        <v>7400000</v>
      </c>
      <c r="J78" s="661">
        <v>3.16E-3</v>
      </c>
      <c r="M78" s="19">
        <v>3300000</v>
      </c>
      <c r="N78" s="18">
        <v>8.8870000000000008E-3</v>
      </c>
      <c r="Q78" s="22">
        <v>500000</v>
      </c>
      <c r="R78" s="23">
        <v>3.2151000000000006E-2</v>
      </c>
      <c r="S78" s="23">
        <f t="shared" si="124"/>
        <v>3.3758550000000005E-2</v>
      </c>
      <c r="T78" s="87"/>
      <c r="U78" s="19">
        <v>900000</v>
      </c>
      <c r="V78" s="18">
        <v>2.3950500000000003E-2</v>
      </c>
      <c r="W78" s="18">
        <f t="shared" si="125"/>
        <v>2.5148025000000004E-2</v>
      </c>
      <c r="AQ78">
        <v>8</v>
      </c>
      <c r="AR78" t="s">
        <v>67</v>
      </c>
      <c r="AS78" t="s">
        <v>2864</v>
      </c>
      <c r="AT78" t="s">
        <v>2864</v>
      </c>
      <c r="AU78" t="s">
        <v>2864</v>
      </c>
      <c r="AV78" t="s">
        <v>2864</v>
      </c>
      <c r="AW78" t="s">
        <v>2864</v>
      </c>
      <c r="AX78" t="s">
        <v>2864</v>
      </c>
      <c r="AY78" t="s">
        <v>2864</v>
      </c>
      <c r="AZ78" t="s">
        <v>2864</v>
      </c>
      <c r="BA78" t="s">
        <v>2864</v>
      </c>
      <c r="BB78" t="s">
        <v>2864</v>
      </c>
    </row>
    <row r="79" spans="2:54" ht="15" thickBot="1">
      <c r="B79" s="17"/>
      <c r="C79" s="21"/>
      <c r="E79" s="19">
        <v>399999</v>
      </c>
      <c r="F79" s="18">
        <v>2.299E-2</v>
      </c>
      <c r="G79" s="9"/>
      <c r="I79" s="22">
        <v>7500000</v>
      </c>
      <c r="J79" s="661">
        <v>3.15E-3</v>
      </c>
      <c r="M79" s="19">
        <v>3400000</v>
      </c>
      <c r="N79" s="18">
        <v>8.849000000000001E-3</v>
      </c>
      <c r="Q79" s="22">
        <v>549999</v>
      </c>
      <c r="R79" s="23">
        <v>3.2151000000000006E-2</v>
      </c>
      <c r="S79" s="23">
        <f t="shared" si="124"/>
        <v>3.3758550000000005E-2</v>
      </c>
      <c r="T79" s="87"/>
      <c r="U79" s="19">
        <v>924999</v>
      </c>
      <c r="V79" s="18">
        <v>2.3950500000000003E-2</v>
      </c>
      <c r="W79" s="18">
        <f t="shared" si="125"/>
        <v>2.5148025000000004E-2</v>
      </c>
      <c r="AQ79">
        <v>9</v>
      </c>
      <c r="AR79" t="s">
        <v>68</v>
      </c>
      <c r="AS79" t="s">
        <v>2864</v>
      </c>
      <c r="AT79" t="s">
        <v>2864</v>
      </c>
      <c r="AU79" t="s">
        <v>2864</v>
      </c>
      <c r="AV79" t="s">
        <v>2864</v>
      </c>
      <c r="AW79" t="s">
        <v>2864</v>
      </c>
      <c r="AX79" t="s">
        <v>2864</v>
      </c>
      <c r="AY79" t="s">
        <v>2864</v>
      </c>
      <c r="AZ79" t="s">
        <v>2864</v>
      </c>
      <c r="BA79" t="s">
        <v>2864</v>
      </c>
      <c r="BB79" t="s">
        <v>2864</v>
      </c>
    </row>
    <row r="80" spans="2:54" ht="15" thickBot="1">
      <c r="B80" s="17"/>
      <c r="C80" s="21"/>
      <c r="E80" s="19">
        <v>400000</v>
      </c>
      <c r="F80" s="18">
        <v>2.2849999999999999E-2</v>
      </c>
      <c r="G80" s="9"/>
      <c r="I80" s="22">
        <v>7600000</v>
      </c>
      <c r="J80" s="661">
        <v>3.14E-3</v>
      </c>
      <c r="M80" s="19">
        <v>3500000</v>
      </c>
      <c r="N80" s="18">
        <v>8.8100000000000001E-3</v>
      </c>
      <c r="Q80" s="22">
        <v>550000</v>
      </c>
      <c r="R80" s="23">
        <v>3.2108999999999999E-2</v>
      </c>
      <c r="S80" s="23">
        <f t="shared" si="124"/>
        <v>3.371445E-2</v>
      </c>
      <c r="T80" s="87"/>
      <c r="U80" s="19">
        <v>925000</v>
      </c>
      <c r="V80" s="18">
        <v>2.4118500000000001E-2</v>
      </c>
      <c r="W80" s="18">
        <f t="shared" si="125"/>
        <v>2.5324425000000001E-2</v>
      </c>
      <c r="AQ80">
        <v>10</v>
      </c>
      <c r="AR80" s="53" t="s">
        <v>69</v>
      </c>
      <c r="AS80" t="s">
        <v>2864</v>
      </c>
      <c r="AT80" t="s">
        <v>2864</v>
      </c>
      <c r="AU80" t="s">
        <v>2864</v>
      </c>
      <c r="AV80" t="s">
        <v>2864</v>
      </c>
      <c r="AW80" t="s">
        <v>2864</v>
      </c>
      <c r="AX80" t="s">
        <v>2864</v>
      </c>
      <c r="AY80" t="s">
        <v>2864</v>
      </c>
      <c r="AZ80" t="s">
        <v>2864</v>
      </c>
      <c r="BA80" t="s">
        <v>2864</v>
      </c>
      <c r="BB80" t="s">
        <v>2864</v>
      </c>
    </row>
    <row r="81" spans="2:60" ht="15" thickBot="1">
      <c r="B81" s="17"/>
      <c r="C81" s="21"/>
      <c r="E81" s="19">
        <v>409999</v>
      </c>
      <c r="F81" s="18">
        <v>2.2849999999999999E-2</v>
      </c>
      <c r="G81" s="9"/>
      <c r="I81" s="22">
        <v>7700000</v>
      </c>
      <c r="J81" s="661">
        <v>3.13E-3</v>
      </c>
      <c r="M81" s="19">
        <v>3600000</v>
      </c>
      <c r="N81" s="18">
        <v>8.796E-3</v>
      </c>
      <c r="Q81" s="22">
        <v>599999</v>
      </c>
      <c r="R81" s="23">
        <v>3.2108999999999999E-2</v>
      </c>
      <c r="S81" s="23">
        <f t="shared" si="124"/>
        <v>3.371445E-2</v>
      </c>
      <c r="T81" s="87"/>
      <c r="U81" s="19">
        <v>949999</v>
      </c>
      <c r="V81" s="18">
        <v>2.4118500000000001E-2</v>
      </c>
      <c r="W81" s="18">
        <f t="shared" si="125"/>
        <v>2.5324425000000001E-2</v>
      </c>
      <c r="AQ81">
        <v>11</v>
      </c>
      <c r="AR81" s="53" t="s">
        <v>70</v>
      </c>
      <c r="AS81" t="s">
        <v>2864</v>
      </c>
      <c r="AT81" t="s">
        <v>2864</v>
      </c>
      <c r="AU81" t="s">
        <v>2864</v>
      </c>
      <c r="AV81" t="s">
        <v>2864</v>
      </c>
      <c r="AW81" t="s">
        <v>2864</v>
      </c>
      <c r="AX81" t="s">
        <v>2864</v>
      </c>
      <c r="AY81" t="s">
        <v>2864</v>
      </c>
      <c r="AZ81" t="s">
        <v>2864</v>
      </c>
      <c r="BA81" t="s">
        <v>2864</v>
      </c>
      <c r="BB81" t="s">
        <v>2864</v>
      </c>
    </row>
    <row r="82" spans="2:60" ht="15" thickBot="1">
      <c r="B82" s="17"/>
      <c r="C82" s="21"/>
      <c r="E82" s="19">
        <v>410000</v>
      </c>
      <c r="F82" s="18">
        <v>2.2720000000000001E-2</v>
      </c>
      <c r="G82" s="9"/>
      <c r="I82" s="22">
        <v>7800000</v>
      </c>
      <c r="J82" s="661">
        <v>3.1199999999999999E-3</v>
      </c>
      <c r="M82" s="19">
        <v>3700000</v>
      </c>
      <c r="N82" s="18">
        <v>8.7819999999999999E-3</v>
      </c>
      <c r="Q82" s="22">
        <v>600000</v>
      </c>
      <c r="R82" s="23">
        <v>3.2056500000000002E-2</v>
      </c>
      <c r="S82" s="23">
        <f t="shared" si="124"/>
        <v>3.3659325000000004E-2</v>
      </c>
      <c r="T82" s="87"/>
      <c r="U82" s="19">
        <v>950000</v>
      </c>
      <c r="V82" s="18">
        <v>2.4297000000000003E-2</v>
      </c>
      <c r="W82" s="18">
        <f t="shared" si="125"/>
        <v>2.5511850000000003E-2</v>
      </c>
      <c r="AQ82">
        <v>12</v>
      </c>
      <c r="AR82" s="53" t="s">
        <v>71</v>
      </c>
      <c r="AS82" t="s">
        <v>2864</v>
      </c>
      <c r="AT82" t="s">
        <v>2864</v>
      </c>
      <c r="AU82" t="s">
        <v>2864</v>
      </c>
      <c r="AV82" t="s">
        <v>2864</v>
      </c>
      <c r="AW82" t="s">
        <v>2864</v>
      </c>
      <c r="AX82" t="s">
        <v>2864</v>
      </c>
      <c r="AY82" t="s">
        <v>2864</v>
      </c>
      <c r="AZ82" t="s">
        <v>2864</v>
      </c>
      <c r="BA82" t="s">
        <v>2864</v>
      </c>
      <c r="BB82" t="s">
        <v>2864</v>
      </c>
    </row>
    <row r="83" spans="2:60" ht="15" thickBot="1">
      <c r="B83" s="17"/>
      <c r="C83" s="21"/>
      <c r="E83" s="19">
        <v>419999</v>
      </c>
      <c r="F83" s="18">
        <v>2.2720000000000001E-2</v>
      </c>
      <c r="G83" s="9"/>
      <c r="I83" s="22">
        <v>7900000</v>
      </c>
      <c r="J83" s="661">
        <v>3.1099999999999999E-3</v>
      </c>
      <c r="M83" s="19">
        <v>3800000</v>
      </c>
      <c r="N83" s="18">
        <v>8.7679999999999998E-3</v>
      </c>
      <c r="Q83" s="22">
        <v>649999</v>
      </c>
      <c r="R83" s="23">
        <v>3.2056500000000002E-2</v>
      </c>
      <c r="S83" s="23">
        <f t="shared" si="124"/>
        <v>3.3659325000000004E-2</v>
      </c>
      <c r="T83" s="87"/>
      <c r="U83" s="19">
        <v>974999</v>
      </c>
      <c r="V83" s="18">
        <v>2.4297000000000003E-2</v>
      </c>
      <c r="W83" s="18">
        <f t="shared" si="125"/>
        <v>2.5511850000000003E-2</v>
      </c>
      <c r="X83" t="s">
        <v>44</v>
      </c>
      <c r="Y83" s="24"/>
      <c r="AQ83">
        <v>13</v>
      </c>
      <c r="AR83" s="53" t="s">
        <v>72</v>
      </c>
      <c r="AS83" t="s">
        <v>2864</v>
      </c>
      <c r="AT83" t="s">
        <v>2864</v>
      </c>
      <c r="AU83" t="s">
        <v>2864</v>
      </c>
      <c r="AV83" t="s">
        <v>2864</v>
      </c>
      <c r="AW83" t="s">
        <v>2864</v>
      </c>
      <c r="AX83" t="s">
        <v>2864</v>
      </c>
      <c r="AY83" t="s">
        <v>2864</v>
      </c>
      <c r="AZ83" t="s">
        <v>2864</v>
      </c>
      <c r="BA83" t="s">
        <v>2864</v>
      </c>
      <c r="BB83" t="s">
        <v>2864</v>
      </c>
    </row>
    <row r="84" spans="2:60" ht="15" thickBot="1">
      <c r="B84" s="17"/>
      <c r="C84" s="21"/>
      <c r="E84" s="19">
        <v>420000</v>
      </c>
      <c r="F84" s="18">
        <v>2.2579999999999999E-2</v>
      </c>
      <c r="G84" s="9"/>
      <c r="I84" s="22">
        <v>8000000</v>
      </c>
      <c r="J84" s="661">
        <v>3.0999999999999999E-3</v>
      </c>
      <c r="M84" s="19">
        <v>3800000</v>
      </c>
      <c r="N84" s="18">
        <v>8.77E-3</v>
      </c>
      <c r="Q84" s="22">
        <v>650000</v>
      </c>
      <c r="R84" s="23">
        <v>3.2004000000000005E-2</v>
      </c>
      <c r="S84" s="23">
        <f t="shared" si="124"/>
        <v>3.3604200000000008E-2</v>
      </c>
      <c r="T84" s="87"/>
      <c r="U84" s="19">
        <v>975000</v>
      </c>
      <c r="V84" s="18">
        <v>2.4475500000000001E-2</v>
      </c>
      <c r="W84" s="18">
        <f t="shared" si="125"/>
        <v>2.5699275000000001E-2</v>
      </c>
      <c r="X84">
        <v>1</v>
      </c>
      <c r="Y84" s="25">
        <v>1000</v>
      </c>
      <c r="Z84" s="26">
        <v>0</v>
      </c>
      <c r="AQ84">
        <v>14</v>
      </c>
      <c r="AR84" s="53" t="s">
        <v>74</v>
      </c>
      <c r="AS84" t="s">
        <v>2864</v>
      </c>
      <c r="AT84" t="s">
        <v>2864</v>
      </c>
      <c r="AU84" t="s">
        <v>2864</v>
      </c>
      <c r="AV84" t="s">
        <v>2864</v>
      </c>
      <c r="AW84" t="s">
        <v>2864</v>
      </c>
      <c r="AX84" t="s">
        <v>2864</v>
      </c>
      <c r="AY84" t="s">
        <v>2864</v>
      </c>
      <c r="AZ84" t="s">
        <v>2864</v>
      </c>
      <c r="BA84" t="s">
        <v>2864</v>
      </c>
      <c r="BB84" t="s">
        <v>2864</v>
      </c>
    </row>
    <row r="85" spans="2:60" ht="15" thickBot="1">
      <c r="B85" s="17"/>
      <c r="C85" s="21"/>
      <c r="E85" s="19">
        <v>429999</v>
      </c>
      <c r="F85" s="18">
        <v>2.2579999999999999E-2</v>
      </c>
      <c r="G85" s="9"/>
      <c r="I85" s="22">
        <v>8100000</v>
      </c>
      <c r="J85" s="661">
        <v>3.0999999999999999E-3</v>
      </c>
      <c r="M85" s="19">
        <v>3900000</v>
      </c>
      <c r="N85" s="18">
        <v>8.7500000000000008E-3</v>
      </c>
      <c r="Q85" s="22">
        <v>699999</v>
      </c>
      <c r="R85" s="23">
        <v>3.2004000000000005E-2</v>
      </c>
      <c r="S85" s="23">
        <f t="shared" si="124"/>
        <v>3.3604200000000008E-2</v>
      </c>
      <c r="T85" s="87"/>
      <c r="U85" s="19">
        <v>999999</v>
      </c>
      <c r="V85" s="18">
        <v>2.4475500000000001E-2</v>
      </c>
      <c r="W85" s="18">
        <f t="shared" si="125"/>
        <v>2.5699275000000001E-2</v>
      </c>
      <c r="X85">
        <v>2</v>
      </c>
      <c r="Y85" s="25">
        <v>3000</v>
      </c>
      <c r="Z85" s="26">
        <v>5</v>
      </c>
      <c r="AQ85">
        <v>15</v>
      </c>
      <c r="AR85" s="53" t="s">
        <v>76</v>
      </c>
      <c r="AS85" t="s">
        <v>2864</v>
      </c>
      <c r="AT85" t="s">
        <v>2864</v>
      </c>
      <c r="AU85" t="s">
        <v>2864</v>
      </c>
      <c r="AV85" t="s">
        <v>2864</v>
      </c>
      <c r="AW85" t="s">
        <v>2864</v>
      </c>
      <c r="AX85" t="s">
        <v>2864</v>
      </c>
      <c r="AY85" t="s">
        <v>2864</v>
      </c>
      <c r="AZ85" t="s">
        <v>2864</v>
      </c>
      <c r="BA85" t="s">
        <v>2864</v>
      </c>
      <c r="BB85" t="s">
        <v>2864</v>
      </c>
    </row>
    <row r="86" spans="2:60" ht="15" thickBot="1">
      <c r="B86" s="17"/>
      <c r="C86" s="21"/>
      <c r="E86" s="19">
        <v>430000</v>
      </c>
      <c r="F86" s="18">
        <v>2.2450000000000001E-2</v>
      </c>
      <c r="G86" s="9"/>
      <c r="I86" s="22">
        <v>8200000</v>
      </c>
      <c r="J86" s="661">
        <v>3.0999999999999999E-3</v>
      </c>
      <c r="M86" s="19">
        <v>4000000</v>
      </c>
      <c r="N86" s="18">
        <v>8.7399999999999995E-3</v>
      </c>
      <c r="Q86" s="22">
        <v>700000</v>
      </c>
      <c r="R86" s="23">
        <v>3.1951500000000001E-2</v>
      </c>
      <c r="S86" s="23">
        <f t="shared" si="124"/>
        <v>3.3549075000000005E-2</v>
      </c>
      <c r="T86" s="87"/>
      <c r="U86" s="19">
        <v>1000000</v>
      </c>
      <c r="V86" s="18">
        <v>2.43915E-2</v>
      </c>
      <c r="W86" s="18">
        <f t="shared" si="125"/>
        <v>2.5611075000000001E-2</v>
      </c>
      <c r="X86">
        <v>3</v>
      </c>
      <c r="Y86" s="25">
        <v>5000</v>
      </c>
      <c r="Z86" s="26">
        <v>10</v>
      </c>
      <c r="AQ86">
        <v>16</v>
      </c>
      <c r="AR86" s="53" t="s">
        <v>78</v>
      </c>
      <c r="AS86" t="s">
        <v>2864</v>
      </c>
      <c r="AT86" t="s">
        <v>2864</v>
      </c>
      <c r="AU86" t="s">
        <v>2864</v>
      </c>
      <c r="AV86" t="s">
        <v>2864</v>
      </c>
      <c r="AW86" t="s">
        <v>2864</v>
      </c>
      <c r="AX86" t="s">
        <v>2864</v>
      </c>
      <c r="AY86" t="s">
        <v>2864</v>
      </c>
      <c r="AZ86" t="s">
        <v>2864</v>
      </c>
      <c r="BA86" t="s">
        <v>2864</v>
      </c>
      <c r="BB86" t="s">
        <v>2864</v>
      </c>
    </row>
    <row r="87" spans="2:60" ht="15" thickBot="1">
      <c r="B87" s="17"/>
      <c r="C87" s="21"/>
      <c r="E87" s="19">
        <v>439999</v>
      </c>
      <c r="F87" s="18">
        <v>2.2450000000000001E-2</v>
      </c>
      <c r="G87" s="9"/>
      <c r="I87" s="22">
        <v>8300000</v>
      </c>
      <c r="J87" s="661">
        <v>3.0999999999999999E-3</v>
      </c>
      <c r="M87" s="19">
        <v>4100000</v>
      </c>
      <c r="N87" s="18">
        <v>8.7299999999999999E-3</v>
      </c>
      <c r="Q87" s="22">
        <v>749999</v>
      </c>
      <c r="R87" s="23">
        <v>3.1951500000000001E-2</v>
      </c>
      <c r="S87" s="23">
        <f t="shared" si="124"/>
        <v>3.3549075000000005E-2</v>
      </c>
      <c r="T87" s="87"/>
      <c r="U87" s="19">
        <v>1049999</v>
      </c>
      <c r="V87" s="18">
        <v>2.43915E-2</v>
      </c>
      <c r="W87" s="18">
        <f t="shared" si="125"/>
        <v>2.5611075000000001E-2</v>
      </c>
      <c r="X87">
        <v>4</v>
      </c>
      <c r="Y87" s="25">
        <v>10000</v>
      </c>
      <c r="Z87" s="26">
        <v>15</v>
      </c>
      <c r="AQ87">
        <v>17</v>
      </c>
      <c r="AR87" s="53" t="s">
        <v>80</v>
      </c>
      <c r="AS87" t="s">
        <v>2864</v>
      </c>
      <c r="AT87" t="s">
        <v>2864</v>
      </c>
      <c r="AU87" t="s">
        <v>2864</v>
      </c>
      <c r="AV87" t="s">
        <v>2864</v>
      </c>
      <c r="AW87" t="s">
        <v>2864</v>
      </c>
      <c r="AX87" t="s">
        <v>2864</v>
      </c>
      <c r="AY87" t="s">
        <v>2864</v>
      </c>
      <c r="AZ87" t="s">
        <v>2864</v>
      </c>
      <c r="BA87" t="s">
        <v>2864</v>
      </c>
      <c r="BB87" t="s">
        <v>2864</v>
      </c>
    </row>
    <row r="88" spans="2:60" ht="15" thickBot="1">
      <c r="B88" s="17"/>
      <c r="C88" s="21"/>
      <c r="E88" s="19">
        <v>440000</v>
      </c>
      <c r="F88" s="18">
        <v>2.231E-2</v>
      </c>
      <c r="G88" s="9"/>
      <c r="I88" s="22">
        <v>8400000</v>
      </c>
      <c r="J88" s="661">
        <v>3.0999999999999999E-3</v>
      </c>
      <c r="M88" s="19">
        <v>4200000</v>
      </c>
      <c r="N88" s="18">
        <v>8.7100000000000007E-3</v>
      </c>
      <c r="Q88" s="22">
        <v>750000</v>
      </c>
      <c r="R88" s="23">
        <v>3.1899000000000004E-2</v>
      </c>
      <c r="S88" s="23">
        <f t="shared" si="124"/>
        <v>3.3493950000000008E-2</v>
      </c>
      <c r="T88" s="87"/>
      <c r="U88" s="19">
        <v>1050000</v>
      </c>
      <c r="V88" s="18">
        <v>2.4297000000000003E-2</v>
      </c>
      <c r="W88" s="18">
        <f t="shared" si="125"/>
        <v>2.5511850000000003E-2</v>
      </c>
      <c r="BC88">
        <f t="shared" ref="AT88:BC93" si="129">BD70*1.4</f>
        <v>0</v>
      </c>
    </row>
    <row r="89" spans="2:60" ht="15" thickBot="1">
      <c r="B89" s="17"/>
      <c r="C89" s="21"/>
      <c r="E89" s="19">
        <v>449999</v>
      </c>
      <c r="F89" s="18">
        <v>2.231E-2</v>
      </c>
      <c r="G89" s="9"/>
      <c r="I89" s="22">
        <v>8500000</v>
      </c>
      <c r="J89" s="661">
        <v>3.0999999999999999E-3</v>
      </c>
      <c r="M89" s="19">
        <v>4300000</v>
      </c>
      <c r="N89" s="18">
        <v>8.6999999999999994E-3</v>
      </c>
      <c r="Q89" s="22">
        <v>799999</v>
      </c>
      <c r="R89" s="23">
        <v>3.1899000000000004E-2</v>
      </c>
      <c r="S89" s="23">
        <f t="shared" si="124"/>
        <v>3.3493950000000008E-2</v>
      </c>
      <c r="T89" s="87"/>
      <c r="U89" s="19">
        <v>1099999</v>
      </c>
      <c r="V89" s="18">
        <v>2.4297000000000003E-2</v>
      </c>
      <c r="W89" s="18">
        <f t="shared" si="125"/>
        <v>2.5511850000000003E-2</v>
      </c>
    </row>
    <row r="90" spans="2:60" ht="15" thickBot="1">
      <c r="B90" s="17"/>
      <c r="C90" s="21"/>
      <c r="E90" s="19">
        <v>450000</v>
      </c>
      <c r="F90" s="18">
        <v>2.2190000000000001E-2</v>
      </c>
      <c r="G90" s="9"/>
      <c r="I90" s="22">
        <v>8600000</v>
      </c>
      <c r="J90" s="661">
        <v>3.0999999999999999E-3</v>
      </c>
      <c r="M90" s="19">
        <v>4400000</v>
      </c>
      <c r="N90" s="18">
        <v>8.6800000000000002E-3</v>
      </c>
      <c r="Q90" s="22">
        <v>800000</v>
      </c>
      <c r="R90" s="23">
        <v>3.1857000000000003E-2</v>
      </c>
      <c r="S90" s="23">
        <f t="shared" si="124"/>
        <v>3.3449850000000003E-2</v>
      </c>
      <c r="T90" s="87"/>
      <c r="U90" s="19">
        <v>1100000</v>
      </c>
      <c r="V90" s="18">
        <v>2.4213000000000002E-2</v>
      </c>
      <c r="W90" s="18">
        <f t="shared" si="125"/>
        <v>2.5423650000000002E-2</v>
      </c>
    </row>
    <row r="91" spans="2:60" ht="15" thickBot="1">
      <c r="B91" s="17"/>
      <c r="C91" s="21"/>
      <c r="E91" s="19">
        <v>459999</v>
      </c>
      <c r="F91" s="18">
        <v>2.2190000000000001E-2</v>
      </c>
      <c r="G91" s="9"/>
      <c r="I91" s="22">
        <v>8700000</v>
      </c>
      <c r="J91" s="661">
        <v>3.0999999999999999E-3</v>
      </c>
      <c r="M91" s="19">
        <v>4500000</v>
      </c>
      <c r="N91" s="18">
        <v>8.5799999999999991E-3</v>
      </c>
      <c r="Q91" s="22">
        <v>849999</v>
      </c>
      <c r="R91" s="23">
        <v>3.1857000000000003E-2</v>
      </c>
      <c r="S91" s="23">
        <f t="shared" si="124"/>
        <v>3.3449850000000003E-2</v>
      </c>
      <c r="T91" s="87"/>
      <c r="U91" s="19">
        <v>1149999</v>
      </c>
      <c r="V91" s="18">
        <v>2.4213000000000002E-2</v>
      </c>
      <c r="W91" s="18">
        <f t="shared" si="125"/>
        <v>2.5423650000000002E-2</v>
      </c>
    </row>
    <row r="92" spans="2:60" ht="15" thickBot="1">
      <c r="B92" s="17"/>
      <c r="C92" s="21"/>
      <c r="E92" s="19">
        <v>460000</v>
      </c>
      <c r="F92" s="18">
        <v>2.205E-2</v>
      </c>
      <c r="G92" s="9"/>
      <c r="I92" s="22">
        <v>8800000</v>
      </c>
      <c r="J92" s="661">
        <v>3.0999999999999999E-3</v>
      </c>
      <c r="M92" s="19">
        <v>4600000</v>
      </c>
      <c r="N92" s="18">
        <v>8.5799999999999991E-3</v>
      </c>
      <c r="Q92" s="22">
        <v>850000</v>
      </c>
      <c r="R92" s="23">
        <v>3.1804499999999999E-2</v>
      </c>
      <c r="S92" s="23">
        <f t="shared" si="124"/>
        <v>3.3394725E-2</v>
      </c>
      <c r="T92" s="87"/>
      <c r="U92" s="19">
        <v>1150000</v>
      </c>
      <c r="V92" s="18">
        <v>2.4118500000000001E-2</v>
      </c>
      <c r="W92" s="18">
        <f t="shared" si="125"/>
        <v>2.5324425000000001E-2</v>
      </c>
    </row>
    <row r="93" spans="2:60" ht="15" thickBot="1">
      <c r="B93" s="17"/>
      <c r="C93" s="21"/>
      <c r="E93" s="19">
        <v>469999</v>
      </c>
      <c r="F93" s="18">
        <v>2.205E-2</v>
      </c>
      <c r="G93" s="9"/>
      <c r="I93" s="22">
        <v>8900000</v>
      </c>
      <c r="J93" s="661">
        <v>3.0999999999999999E-3</v>
      </c>
      <c r="M93" s="19">
        <v>4700000</v>
      </c>
      <c r="N93" s="18">
        <v>8.5799999999999991E-3</v>
      </c>
      <c r="Q93" s="22">
        <v>899999</v>
      </c>
      <c r="R93" s="23">
        <v>3.1804499999999999E-2</v>
      </c>
      <c r="S93" s="23">
        <f t="shared" si="124"/>
        <v>3.3394725E-2</v>
      </c>
      <c r="T93" s="87"/>
      <c r="U93" s="19">
        <v>1199999</v>
      </c>
      <c r="V93" s="18">
        <v>2.4118500000000001E-2</v>
      </c>
      <c r="W93" s="18">
        <f t="shared" si="125"/>
        <v>2.5324425000000001E-2</v>
      </c>
      <c r="AS93">
        <f>200*1.4</f>
        <v>280</v>
      </c>
      <c r="AT93">
        <f t="shared" si="129"/>
        <v>5059.5999999999995</v>
      </c>
      <c r="AU93">
        <f t="shared" si="129"/>
        <v>5755.4</v>
      </c>
      <c r="AV93">
        <f t="shared" si="129"/>
        <v>6252.4</v>
      </c>
      <c r="AW93">
        <f t="shared" si="129"/>
        <v>6699</v>
      </c>
      <c r="AX93">
        <f t="shared" si="129"/>
        <v>7145.5999999999995</v>
      </c>
      <c r="AY93">
        <f t="shared" si="129"/>
        <v>7592.2</v>
      </c>
      <c r="AZ93">
        <f t="shared" si="129"/>
        <v>8038.7999999999993</v>
      </c>
      <c r="BA93">
        <f t="shared" si="129"/>
        <v>0</v>
      </c>
      <c r="BB93">
        <f>BC70*1.4</f>
        <v>0</v>
      </c>
    </row>
    <row r="94" spans="2:60" ht="15" thickBot="1">
      <c r="B94" s="17"/>
      <c r="C94" s="21"/>
      <c r="E94" s="19">
        <v>470000</v>
      </c>
      <c r="F94" s="18">
        <v>2.205E-2</v>
      </c>
      <c r="G94" s="9"/>
      <c r="I94" s="22">
        <v>9000000</v>
      </c>
      <c r="J94" s="661">
        <v>3.0999999999999999E-3</v>
      </c>
      <c r="M94" s="19">
        <v>4800000</v>
      </c>
      <c r="N94" s="18">
        <v>8.5799999999999991E-3</v>
      </c>
      <c r="Q94" s="22">
        <v>900000</v>
      </c>
      <c r="R94" s="23">
        <v>3.1752000000000002E-2</v>
      </c>
      <c r="S94" s="23">
        <f t="shared" si="124"/>
        <v>3.3339600000000004E-2</v>
      </c>
      <c r="T94" s="87"/>
      <c r="U94" s="19">
        <v>1200000</v>
      </c>
      <c r="V94" s="18">
        <v>2.40345E-2</v>
      </c>
      <c r="W94" s="18">
        <f t="shared" si="125"/>
        <v>2.5236225000000001E-2</v>
      </c>
      <c r="AS94" s="85">
        <f>350/250</f>
        <v>1.4</v>
      </c>
    </row>
    <row r="95" spans="2:60" ht="15" thickBot="1">
      <c r="B95" s="17"/>
      <c r="C95" s="21"/>
      <c r="E95" s="19">
        <v>479999</v>
      </c>
      <c r="F95" s="18">
        <v>2.205E-2</v>
      </c>
      <c r="G95" s="9"/>
      <c r="I95" s="22">
        <v>9100000</v>
      </c>
      <c r="J95" s="661">
        <v>3.0899999999999999E-3</v>
      </c>
      <c r="M95" s="19">
        <v>4900000</v>
      </c>
      <c r="N95" s="18">
        <v>8.5799999999999991E-3</v>
      </c>
      <c r="Q95" s="22">
        <v>949999</v>
      </c>
      <c r="R95" s="23">
        <v>3.1752000000000002E-2</v>
      </c>
      <c r="S95" s="23">
        <f t="shared" si="124"/>
        <v>3.3339600000000004E-2</v>
      </c>
      <c r="T95" s="87"/>
      <c r="U95" s="19">
        <v>1249999</v>
      </c>
      <c r="V95" s="18">
        <v>2.40345E-2</v>
      </c>
      <c r="W95" s="18">
        <f t="shared" si="125"/>
        <v>2.5236225000000001E-2</v>
      </c>
    </row>
    <row r="96" spans="2:60" ht="15" thickBot="1">
      <c r="B96" s="17"/>
      <c r="C96" s="21"/>
      <c r="E96" s="19">
        <v>236000</v>
      </c>
      <c r="F96" s="18">
        <v>2.1919999999999999E-2</v>
      </c>
      <c r="G96" s="9"/>
      <c r="I96" s="22">
        <v>9200000</v>
      </c>
      <c r="J96" s="661">
        <v>3.0799999999999998E-3</v>
      </c>
      <c r="M96" s="19">
        <v>5000000</v>
      </c>
      <c r="N96" s="18">
        <v>8.5100000000000002E-3</v>
      </c>
      <c r="Q96" s="22">
        <v>950000</v>
      </c>
      <c r="R96" s="23">
        <v>3.1699500000000005E-2</v>
      </c>
      <c r="S96" s="23">
        <f t="shared" si="124"/>
        <v>3.3284475000000008E-2</v>
      </c>
      <c r="T96" s="87"/>
      <c r="U96" s="19">
        <v>1250000</v>
      </c>
      <c r="V96" s="18">
        <v>2.3950500000000003E-2</v>
      </c>
      <c r="W96" s="18">
        <f t="shared" si="125"/>
        <v>2.5148025000000004E-2</v>
      </c>
      <c r="AS96">
        <v>0</v>
      </c>
      <c r="AT96">
        <v>1</v>
      </c>
      <c r="AU96">
        <v>2</v>
      </c>
      <c r="AV96">
        <v>3</v>
      </c>
      <c r="AW96">
        <v>4</v>
      </c>
      <c r="AX96">
        <v>5</v>
      </c>
      <c r="AY96">
        <v>6</v>
      </c>
      <c r="AZ96">
        <v>7</v>
      </c>
      <c r="BA96">
        <v>8</v>
      </c>
      <c r="BB96">
        <v>9</v>
      </c>
      <c r="BC96">
        <v>10</v>
      </c>
      <c r="BD96">
        <v>11</v>
      </c>
      <c r="BE96">
        <v>12</v>
      </c>
      <c r="BF96">
        <v>13</v>
      </c>
      <c r="BG96">
        <v>14</v>
      </c>
      <c r="BH96">
        <v>15</v>
      </c>
    </row>
    <row r="97" spans="2:60" ht="15" thickBot="1">
      <c r="B97" s="17"/>
      <c r="C97" s="21"/>
      <c r="E97" s="19">
        <v>489999</v>
      </c>
      <c r="F97" s="18">
        <v>2.1919999999999999E-2</v>
      </c>
      <c r="G97" s="9"/>
      <c r="I97" s="22">
        <v>9300000</v>
      </c>
      <c r="J97" s="661">
        <v>3.0699999999999998E-3</v>
      </c>
      <c r="M97" s="19">
        <v>5100000</v>
      </c>
      <c r="N97" s="18">
        <v>7.9890000000000013E-3</v>
      </c>
      <c r="Q97" s="22">
        <v>999999</v>
      </c>
      <c r="R97" s="23">
        <v>3.1699500000000005E-2</v>
      </c>
      <c r="S97" s="23">
        <f t="shared" si="124"/>
        <v>3.3284475000000008E-2</v>
      </c>
      <c r="T97" s="87"/>
      <c r="U97" s="19">
        <v>1299999</v>
      </c>
      <c r="V97" s="18">
        <v>2.3950500000000003E-2</v>
      </c>
      <c r="W97" s="18">
        <f t="shared" si="125"/>
        <v>2.5148025000000004E-2</v>
      </c>
      <c r="AR97" t="s">
        <v>60</v>
      </c>
      <c r="AS97">
        <v>205</v>
      </c>
      <c r="AT97">
        <v>205</v>
      </c>
      <c r="AU97">
        <v>205</v>
      </c>
      <c r="AV97">
        <v>205</v>
      </c>
      <c r="AW97">
        <v>205</v>
      </c>
      <c r="AX97">
        <v>205</v>
      </c>
      <c r="AY97">
        <v>205</v>
      </c>
      <c r="AZ97">
        <v>205</v>
      </c>
      <c r="BA97">
        <v>205</v>
      </c>
      <c r="BB97">
        <v>205</v>
      </c>
      <c r="BC97">
        <v>205</v>
      </c>
      <c r="BD97">
        <v>205</v>
      </c>
      <c r="BE97">
        <v>205</v>
      </c>
      <c r="BF97">
        <v>205</v>
      </c>
      <c r="BG97">
        <v>205</v>
      </c>
      <c r="BH97">
        <v>205</v>
      </c>
    </row>
    <row r="98" spans="2:60" ht="15" thickBot="1">
      <c r="B98" s="17"/>
      <c r="C98" s="21"/>
      <c r="E98" s="19">
        <v>490000</v>
      </c>
      <c r="F98" s="18">
        <v>2.1780000000000001E-2</v>
      </c>
      <c r="G98" s="9"/>
      <c r="I98" s="22">
        <v>9400000</v>
      </c>
      <c r="J98" s="661">
        <v>3.0599999999999998E-3</v>
      </c>
      <c r="M98" s="19">
        <v>5200000</v>
      </c>
      <c r="N98" s="18">
        <v>7.4679999999999998E-3</v>
      </c>
      <c r="Q98" s="22">
        <v>1000000</v>
      </c>
      <c r="R98" s="23">
        <v>3.15E-2</v>
      </c>
      <c r="S98" s="23">
        <f t="shared" si="124"/>
        <v>3.3075E-2</v>
      </c>
      <c r="T98" s="87"/>
      <c r="U98" s="19">
        <v>1300000</v>
      </c>
      <c r="V98" s="18">
        <v>2.3856000000000002E-2</v>
      </c>
      <c r="W98" s="18">
        <f t="shared" si="125"/>
        <v>2.5048800000000003E-2</v>
      </c>
      <c r="AR98" t="s">
        <v>61</v>
      </c>
      <c r="AS98">
        <v>205</v>
      </c>
      <c r="AT98">
        <v>252</v>
      </c>
      <c r="AU98">
        <v>299</v>
      </c>
      <c r="AV98">
        <v>337</v>
      </c>
      <c r="AW98">
        <v>373</v>
      </c>
      <c r="AX98">
        <v>406</v>
      </c>
      <c r="AY98">
        <v>431</v>
      </c>
      <c r="AZ98">
        <v>452</v>
      </c>
      <c r="BA98">
        <v>473</v>
      </c>
      <c r="BB98">
        <v>494</v>
      </c>
      <c r="BC98">
        <f>BB98+21</f>
        <v>515</v>
      </c>
      <c r="BD98">
        <f t="shared" ref="BD98:BH98" si="130">BC98+21</f>
        <v>536</v>
      </c>
      <c r="BE98">
        <f t="shared" si="130"/>
        <v>557</v>
      </c>
      <c r="BF98">
        <f t="shared" si="130"/>
        <v>578</v>
      </c>
      <c r="BG98">
        <f t="shared" si="130"/>
        <v>599</v>
      </c>
      <c r="BH98">
        <f t="shared" si="130"/>
        <v>620</v>
      </c>
    </row>
    <row r="99" spans="2:60" ht="15" thickBot="1">
      <c r="B99" s="17"/>
      <c r="C99" s="21"/>
      <c r="E99" s="19">
        <v>499999</v>
      </c>
      <c r="F99" s="18">
        <v>2.1780000000000001E-2</v>
      </c>
      <c r="G99" s="9"/>
      <c r="I99" s="22">
        <v>9500000</v>
      </c>
      <c r="J99" s="661">
        <v>3.0499999999999998E-3</v>
      </c>
      <c r="M99" s="19">
        <v>5300000</v>
      </c>
      <c r="N99" s="18">
        <v>6.9470000000000001E-3</v>
      </c>
      <c r="Q99" s="22">
        <v>1000000</v>
      </c>
      <c r="R99" s="23">
        <v>3.15E-2</v>
      </c>
      <c r="S99" s="23">
        <f t="shared" si="124"/>
        <v>3.3075E-2</v>
      </c>
      <c r="T99" s="87"/>
      <c r="U99" s="19">
        <v>1349999</v>
      </c>
      <c r="V99" s="18">
        <v>2.3856000000000002E-2</v>
      </c>
      <c r="W99" s="18">
        <f t="shared" si="125"/>
        <v>2.5048800000000003E-2</v>
      </c>
      <c r="AR99" t="s">
        <v>62</v>
      </c>
      <c r="AS99">
        <v>205</v>
      </c>
      <c r="AT99">
        <v>273</v>
      </c>
      <c r="AU99">
        <v>341</v>
      </c>
      <c r="AV99">
        <v>396</v>
      </c>
      <c r="AW99">
        <v>447</v>
      </c>
      <c r="AX99">
        <v>496</v>
      </c>
      <c r="AY99">
        <v>530</v>
      </c>
      <c r="AZ99">
        <v>561</v>
      </c>
      <c r="BA99">
        <v>591</v>
      </c>
      <c r="BB99">
        <v>622</v>
      </c>
      <c r="BC99">
        <f>BB99+31</f>
        <v>653</v>
      </c>
      <c r="BD99">
        <f t="shared" ref="BD99:BH99" si="131">BC99+31</f>
        <v>684</v>
      </c>
      <c r="BE99">
        <f t="shared" si="131"/>
        <v>715</v>
      </c>
      <c r="BF99">
        <f t="shared" si="131"/>
        <v>746</v>
      </c>
      <c r="BG99">
        <f t="shared" si="131"/>
        <v>777</v>
      </c>
      <c r="BH99">
        <f t="shared" si="131"/>
        <v>808</v>
      </c>
    </row>
    <row r="100" spans="2:60" ht="15" thickBot="1">
      <c r="B100" s="17"/>
      <c r="C100" s="21"/>
      <c r="E100" s="19">
        <v>500000</v>
      </c>
      <c r="F100" s="18">
        <v>2.086E-2</v>
      </c>
      <c r="G100" s="9"/>
      <c r="I100" s="22">
        <v>9600000</v>
      </c>
      <c r="J100" s="661">
        <v>3.0399999999999997E-3</v>
      </c>
      <c r="M100" s="19">
        <v>5400000</v>
      </c>
      <c r="N100" s="18">
        <v>6.4259999999999994E-3</v>
      </c>
      <c r="U100" s="19">
        <v>1350000</v>
      </c>
      <c r="V100" s="18">
        <v>2.3772000000000001E-2</v>
      </c>
      <c r="W100" s="18">
        <f t="shared" si="125"/>
        <v>2.4960600000000003E-2</v>
      </c>
      <c r="AR100" t="s">
        <v>63</v>
      </c>
      <c r="AS100">
        <v>273</v>
      </c>
      <c r="AT100">
        <v>273</v>
      </c>
      <c r="AU100">
        <v>273</v>
      </c>
      <c r="AV100">
        <v>273</v>
      </c>
      <c r="AW100">
        <v>273</v>
      </c>
      <c r="AX100">
        <v>273</v>
      </c>
      <c r="AY100">
        <v>273</v>
      </c>
      <c r="AZ100">
        <v>273</v>
      </c>
      <c r="BA100">
        <v>273</v>
      </c>
      <c r="BB100">
        <v>273</v>
      </c>
      <c r="BC100">
        <v>273</v>
      </c>
      <c r="BD100">
        <v>273</v>
      </c>
      <c r="BE100">
        <v>273</v>
      </c>
      <c r="BF100">
        <v>273</v>
      </c>
      <c r="BG100">
        <v>273</v>
      </c>
      <c r="BH100">
        <v>273</v>
      </c>
    </row>
    <row r="101" spans="2:60" ht="15" thickBot="1">
      <c r="B101" s="17"/>
      <c r="C101" s="21"/>
      <c r="E101" s="19">
        <v>599999</v>
      </c>
      <c r="F101" s="18">
        <v>2.086E-2</v>
      </c>
      <c r="G101" s="9"/>
      <c r="I101" s="22">
        <v>9700000</v>
      </c>
      <c r="J101" s="661">
        <v>3.0299999999999997E-3</v>
      </c>
      <c r="M101" s="19">
        <v>5500000</v>
      </c>
      <c r="N101" s="18">
        <v>5.9050000000000005E-3</v>
      </c>
      <c r="U101" s="19">
        <v>1399999</v>
      </c>
      <c r="V101" s="18">
        <v>2.3772000000000001E-2</v>
      </c>
      <c r="W101" s="18">
        <f t="shared" si="125"/>
        <v>2.4960600000000003E-2</v>
      </c>
      <c r="AR101" t="s">
        <v>64</v>
      </c>
      <c r="AS101">
        <v>273</v>
      </c>
      <c r="AT101">
        <v>341</v>
      </c>
      <c r="AU101">
        <v>410</v>
      </c>
      <c r="AV101">
        <v>464</v>
      </c>
      <c r="AW101">
        <v>516</v>
      </c>
      <c r="AX101">
        <v>564</v>
      </c>
      <c r="AY101">
        <v>599</v>
      </c>
      <c r="AZ101">
        <v>629</v>
      </c>
      <c r="BA101">
        <v>659</v>
      </c>
      <c r="BB101">
        <v>690</v>
      </c>
      <c r="BC101">
        <f>BB101+31</f>
        <v>721</v>
      </c>
      <c r="BD101">
        <f t="shared" ref="BD101:BH101" si="132">BC101+31</f>
        <v>752</v>
      </c>
      <c r="BE101">
        <f t="shared" si="132"/>
        <v>783</v>
      </c>
      <c r="BF101">
        <f t="shared" si="132"/>
        <v>814</v>
      </c>
      <c r="BG101">
        <f t="shared" si="132"/>
        <v>845</v>
      </c>
      <c r="BH101">
        <f t="shared" si="132"/>
        <v>876</v>
      </c>
    </row>
    <row r="102" spans="2:60" ht="15" thickBot="1">
      <c r="B102" s="17"/>
      <c r="C102" s="21"/>
      <c r="E102" s="19">
        <v>600000</v>
      </c>
      <c r="F102" s="18">
        <v>2.0060000000000001E-2</v>
      </c>
      <c r="G102" s="9"/>
      <c r="I102" s="22">
        <v>9800000</v>
      </c>
      <c r="J102" s="661">
        <v>3.0200000000000001E-3</v>
      </c>
      <c r="M102" s="19">
        <v>5600000</v>
      </c>
      <c r="N102" s="18">
        <v>5.3839999999999999E-3</v>
      </c>
      <c r="U102" s="19">
        <v>1400000</v>
      </c>
      <c r="V102" s="18">
        <v>2.3677500000000001E-2</v>
      </c>
      <c r="W102" s="18">
        <f t="shared" si="125"/>
        <v>2.4861375000000002E-2</v>
      </c>
      <c r="AR102" t="s">
        <v>65</v>
      </c>
      <c r="AS102">
        <v>273</v>
      </c>
      <c r="AT102">
        <v>478</v>
      </c>
      <c r="AU102">
        <v>683</v>
      </c>
      <c r="AV102">
        <v>846</v>
      </c>
      <c r="AW102">
        <v>1000</v>
      </c>
      <c r="AX102">
        <v>1143</v>
      </c>
      <c r="AY102">
        <v>1246</v>
      </c>
      <c r="AZ102">
        <v>1339</v>
      </c>
      <c r="BA102">
        <v>1431</v>
      </c>
      <c r="BB102">
        <v>1524</v>
      </c>
      <c r="BC102">
        <f>BB102+93</f>
        <v>1617</v>
      </c>
      <c r="BD102">
        <f t="shared" ref="BD102:BH102" si="133">BC102+93</f>
        <v>1710</v>
      </c>
      <c r="BE102">
        <f t="shared" si="133"/>
        <v>1803</v>
      </c>
      <c r="BF102">
        <f t="shared" si="133"/>
        <v>1896</v>
      </c>
      <c r="BG102">
        <f t="shared" si="133"/>
        <v>1989</v>
      </c>
      <c r="BH102">
        <f t="shared" si="133"/>
        <v>2082</v>
      </c>
    </row>
    <row r="103" spans="2:60" ht="15" thickBot="1">
      <c r="B103" s="17"/>
      <c r="C103" s="21"/>
      <c r="E103" s="19">
        <v>699999</v>
      </c>
      <c r="F103" s="18">
        <v>2.0060000000000001E-2</v>
      </c>
      <c r="G103" s="9"/>
      <c r="I103" s="22">
        <v>9900000</v>
      </c>
      <c r="J103" s="661">
        <v>3.0100000000000001E-3</v>
      </c>
      <c r="M103" s="19">
        <v>5700000</v>
      </c>
      <c r="N103" s="18">
        <v>4.8630000000000001E-3</v>
      </c>
      <c r="U103" s="19">
        <v>1449999</v>
      </c>
      <c r="V103" s="18">
        <v>2.3677500000000001E-2</v>
      </c>
      <c r="W103" s="18">
        <f t="shared" si="125"/>
        <v>2.4861375000000002E-2</v>
      </c>
      <c r="AR103" t="s">
        <v>66</v>
      </c>
      <c r="AS103">
        <v>273</v>
      </c>
      <c r="AT103">
        <v>515</v>
      </c>
      <c r="AU103">
        <v>756</v>
      </c>
      <c r="AV103">
        <v>949</v>
      </c>
      <c r="AW103">
        <v>1131</v>
      </c>
      <c r="AX103">
        <v>1300</v>
      </c>
      <c r="AY103">
        <v>1421</v>
      </c>
      <c r="AZ103">
        <v>1530</v>
      </c>
      <c r="BA103">
        <v>1639</v>
      </c>
      <c r="BB103">
        <v>1748</v>
      </c>
      <c r="BC103">
        <f>BB103+109</f>
        <v>1857</v>
      </c>
      <c r="BD103">
        <f t="shared" ref="BD103:BH103" si="134">BC103+109</f>
        <v>1966</v>
      </c>
      <c r="BE103">
        <f t="shared" si="134"/>
        <v>2075</v>
      </c>
      <c r="BF103">
        <f t="shared" si="134"/>
        <v>2184</v>
      </c>
      <c r="BG103">
        <f t="shared" si="134"/>
        <v>2293</v>
      </c>
      <c r="BH103">
        <f t="shared" si="134"/>
        <v>2402</v>
      </c>
    </row>
    <row r="104" spans="2:60" ht="15" thickBot="1">
      <c r="B104" s="17"/>
      <c r="C104" s="21"/>
      <c r="E104" s="19">
        <v>700000</v>
      </c>
      <c r="F104" s="18">
        <v>1.9130000000000001E-2</v>
      </c>
      <c r="G104" s="9"/>
      <c r="I104" s="22">
        <v>10000000</v>
      </c>
      <c r="J104" s="661">
        <v>3.0000000000000001E-3</v>
      </c>
      <c r="M104" s="19">
        <v>5800000</v>
      </c>
      <c r="N104" s="18">
        <v>4.3419999999999995E-3</v>
      </c>
      <c r="U104" s="19">
        <v>1450000</v>
      </c>
      <c r="V104" s="18">
        <v>2.35935E-2</v>
      </c>
      <c r="W104" s="18">
        <f t="shared" si="125"/>
        <v>2.4773175000000001E-2</v>
      </c>
      <c r="AJ104" s="388"/>
      <c r="AK104" s="388"/>
      <c r="AL104" s="388"/>
      <c r="AM104" s="388"/>
      <c r="AN104" s="388"/>
      <c r="AO104" s="388"/>
      <c r="AR104" s="53" t="s">
        <v>67</v>
      </c>
      <c r="AS104" s="53">
        <v>273</v>
      </c>
      <c r="AT104" s="53">
        <v>530</v>
      </c>
      <c r="AU104" s="53">
        <v>788</v>
      </c>
      <c r="AV104" s="53">
        <v>993</v>
      </c>
      <c r="AW104" s="53">
        <v>1187</v>
      </c>
      <c r="AX104" s="53">
        <v>1367</v>
      </c>
      <c r="AY104" s="53">
        <v>1496</v>
      </c>
      <c r="AZ104" s="53">
        <v>1612</v>
      </c>
      <c r="BA104" s="53">
        <v>1727</v>
      </c>
      <c r="BB104" s="53">
        <v>1843</v>
      </c>
      <c r="BC104">
        <f>BB104+116</f>
        <v>1959</v>
      </c>
      <c r="BD104">
        <f t="shared" ref="BD104:BH104" si="135">BC104+116</f>
        <v>2075</v>
      </c>
      <c r="BE104">
        <f t="shared" si="135"/>
        <v>2191</v>
      </c>
      <c r="BF104">
        <f t="shared" si="135"/>
        <v>2307</v>
      </c>
      <c r="BG104">
        <f t="shared" si="135"/>
        <v>2423</v>
      </c>
      <c r="BH104">
        <f t="shared" si="135"/>
        <v>2539</v>
      </c>
    </row>
    <row r="105" spans="2:60" ht="15" thickBot="1">
      <c r="B105" s="17"/>
      <c r="C105" s="21"/>
      <c r="E105" s="19">
        <v>799999</v>
      </c>
      <c r="F105" s="18">
        <v>1.9130000000000001E-2</v>
      </c>
      <c r="G105" s="9"/>
      <c r="I105" s="22">
        <v>10100000</v>
      </c>
      <c r="J105" s="661">
        <v>3.0000000000000001E-3</v>
      </c>
      <c r="M105" s="19">
        <v>5900000</v>
      </c>
      <c r="N105" s="18">
        <v>3.8209999999999997E-3</v>
      </c>
      <c r="U105" s="19">
        <v>1499999</v>
      </c>
      <c r="V105" s="18">
        <v>2.35935E-2</v>
      </c>
      <c r="W105" s="18">
        <f t="shared" si="125"/>
        <v>2.4773175000000001E-2</v>
      </c>
      <c r="AR105" s="53" t="s">
        <v>68</v>
      </c>
      <c r="AS105" s="53">
        <v>273</v>
      </c>
      <c r="AT105" s="53">
        <v>546</v>
      </c>
      <c r="AU105" s="53">
        <v>819</v>
      </c>
      <c r="AV105" s="53">
        <v>1037</v>
      </c>
      <c r="AW105" s="53">
        <v>1242</v>
      </c>
      <c r="AX105" s="53">
        <v>1433</v>
      </c>
      <c r="AY105" s="53">
        <v>1570</v>
      </c>
      <c r="AZ105" s="53">
        <v>1693</v>
      </c>
      <c r="BA105" s="53">
        <v>1815</v>
      </c>
      <c r="BB105" s="53">
        <v>1938</v>
      </c>
      <c r="BC105">
        <f>BB105+123</f>
        <v>2061</v>
      </c>
      <c r="BD105">
        <f t="shared" ref="BD105:BH105" si="136">BC105+123</f>
        <v>2184</v>
      </c>
      <c r="BE105">
        <f t="shared" si="136"/>
        <v>2307</v>
      </c>
      <c r="BF105">
        <f t="shared" si="136"/>
        <v>2430</v>
      </c>
      <c r="BG105">
        <f t="shared" si="136"/>
        <v>2553</v>
      </c>
      <c r="BH105">
        <f t="shared" si="136"/>
        <v>2676</v>
      </c>
    </row>
    <row r="106" spans="2:60" ht="15" thickBot="1">
      <c r="B106" s="17"/>
      <c r="C106" s="21"/>
      <c r="E106" s="19">
        <v>800000</v>
      </c>
      <c r="F106" s="18">
        <v>1.8329999999999999E-2</v>
      </c>
      <c r="G106" s="9"/>
      <c r="I106" s="22">
        <v>10200000</v>
      </c>
      <c r="J106" s="661">
        <v>3.0000000000000001E-3</v>
      </c>
      <c r="M106" s="19">
        <v>6000000</v>
      </c>
      <c r="N106" s="18">
        <v>3.3E-3</v>
      </c>
      <c r="U106" s="19">
        <v>1500000</v>
      </c>
      <c r="V106" s="18">
        <v>2.35515E-2</v>
      </c>
      <c r="W106" s="18">
        <f t="shared" si="125"/>
        <v>2.4729075E-2</v>
      </c>
      <c r="Y106" s="388" t="s">
        <v>2866</v>
      </c>
      <c r="Z106" s="388"/>
      <c r="AA106" s="388"/>
      <c r="AB106" s="388"/>
      <c r="AC106" s="388"/>
      <c r="AD106" s="388"/>
      <c r="AE106" s="388"/>
      <c r="AF106" s="388"/>
      <c r="AG106" s="388"/>
      <c r="AH106" s="388"/>
      <c r="AI106" s="388"/>
      <c r="AR106" s="53" t="s">
        <v>2857</v>
      </c>
      <c r="AS106" s="53">
        <v>273</v>
      </c>
      <c r="AT106">
        <v>956</v>
      </c>
      <c r="AU106">
        <v>1502</v>
      </c>
      <c r="AV106">
        <v>2014</v>
      </c>
      <c r="AW106">
        <v>2492</v>
      </c>
      <c r="AX106">
        <v>2833</v>
      </c>
      <c r="AY106">
        <v>3140</v>
      </c>
      <c r="AZ106">
        <v>3447</v>
      </c>
      <c r="BA106">
        <v>3754</v>
      </c>
      <c r="BB106">
        <v>4061</v>
      </c>
      <c r="BC106">
        <f>BB106+307</f>
        <v>4368</v>
      </c>
      <c r="BD106">
        <f t="shared" ref="BD106:BH106" si="137">BC106+307</f>
        <v>4675</v>
      </c>
      <c r="BE106">
        <f t="shared" si="137"/>
        <v>4982</v>
      </c>
      <c r="BF106">
        <f t="shared" si="137"/>
        <v>5289</v>
      </c>
      <c r="BG106">
        <f t="shared" si="137"/>
        <v>5596</v>
      </c>
      <c r="BH106">
        <f t="shared" si="137"/>
        <v>5903</v>
      </c>
    </row>
    <row r="107" spans="2:60" ht="15" thickBot="1">
      <c r="B107" s="17"/>
      <c r="C107" s="21"/>
      <c r="E107" s="28">
        <v>899999</v>
      </c>
      <c r="F107" s="18">
        <v>1.8329999999999999E-2</v>
      </c>
      <c r="G107" s="9"/>
      <c r="I107" s="22">
        <v>10300000</v>
      </c>
      <c r="J107" s="661">
        <v>3.0000000000000001E-3</v>
      </c>
      <c r="M107" s="19">
        <v>6100000</v>
      </c>
      <c r="N107" s="18">
        <v>3.29E-3</v>
      </c>
      <c r="U107" s="19">
        <v>1699999</v>
      </c>
      <c r="V107" s="18">
        <v>2.35515E-2</v>
      </c>
      <c r="W107" s="18">
        <f t="shared" si="125"/>
        <v>2.4729075E-2</v>
      </c>
      <c r="Y107" s="59"/>
      <c r="Z107" s="75"/>
      <c r="AA107" s="75"/>
      <c r="AB107" s="75"/>
      <c r="AC107" s="75"/>
      <c r="AD107" s="75"/>
      <c r="AE107" s="75"/>
      <c r="AF107" s="75"/>
      <c r="AG107" s="75"/>
      <c r="AH107" s="75"/>
      <c r="AI107" s="76"/>
      <c r="AR107" s="53" t="s">
        <v>70</v>
      </c>
      <c r="AS107" s="53">
        <v>663</v>
      </c>
      <c r="AT107" s="53">
        <v>663</v>
      </c>
      <c r="AU107" s="53">
        <v>663</v>
      </c>
      <c r="AV107" s="53">
        <v>663</v>
      </c>
      <c r="AW107" s="53">
        <v>663</v>
      </c>
      <c r="AX107" s="53">
        <v>663</v>
      </c>
      <c r="AY107" s="53">
        <v>663</v>
      </c>
      <c r="AZ107" s="53">
        <v>663</v>
      </c>
      <c r="BA107" s="53">
        <v>663</v>
      </c>
      <c r="BB107" s="53">
        <v>663</v>
      </c>
      <c r="BC107" s="53">
        <v>663</v>
      </c>
      <c r="BD107" s="53">
        <v>663</v>
      </c>
      <c r="BE107" s="53">
        <v>663</v>
      </c>
      <c r="BF107" s="53">
        <v>663</v>
      </c>
      <c r="BG107" s="53">
        <v>663</v>
      </c>
      <c r="BH107" s="53">
        <v>663</v>
      </c>
    </row>
    <row r="108" spans="2:60" ht="15" thickBot="1">
      <c r="E108" s="28">
        <v>900000</v>
      </c>
      <c r="F108" s="18">
        <v>1.7409999999999998E-2</v>
      </c>
      <c r="G108" s="9"/>
      <c r="I108" s="22">
        <v>10400000</v>
      </c>
      <c r="J108" s="661">
        <v>3.0000000000000001E-3</v>
      </c>
      <c r="M108" s="19">
        <v>6200000</v>
      </c>
      <c r="N108" s="18">
        <v>3.2799999999999999E-3</v>
      </c>
      <c r="U108" s="19">
        <v>1700000</v>
      </c>
      <c r="V108" s="18">
        <v>2.3509500000000003E-2</v>
      </c>
      <c r="W108" s="18">
        <f t="shared" si="125"/>
        <v>2.4684975000000005E-2</v>
      </c>
      <c r="Y108" s="60" t="s">
        <v>60</v>
      </c>
      <c r="Z108">
        <v>1721</v>
      </c>
      <c r="AA108">
        <v>1721</v>
      </c>
      <c r="AB108">
        <v>1721</v>
      </c>
      <c r="AC108">
        <v>1721</v>
      </c>
      <c r="AD108">
        <v>1721</v>
      </c>
      <c r="AE108">
        <v>1721</v>
      </c>
      <c r="AF108">
        <v>1721</v>
      </c>
      <c r="AG108">
        <v>1721</v>
      </c>
      <c r="AH108">
        <v>1721</v>
      </c>
      <c r="AI108" s="61">
        <v>1721</v>
      </c>
      <c r="AR108" s="53" t="s">
        <v>71</v>
      </c>
      <c r="AS108" s="53">
        <v>663</v>
      </c>
      <c r="AT108" s="53">
        <v>731</v>
      </c>
      <c r="AU108" s="53">
        <v>799</v>
      </c>
      <c r="AV108" s="53">
        <v>854</v>
      </c>
      <c r="AW108" s="53">
        <v>905</v>
      </c>
      <c r="AX108" s="53">
        <v>953</v>
      </c>
      <c r="AY108" s="53">
        <v>988</v>
      </c>
      <c r="AZ108" s="53">
        <v>1019</v>
      </c>
      <c r="BA108" s="53">
        <v>1049</v>
      </c>
      <c r="BB108" s="53">
        <v>1079</v>
      </c>
      <c r="BC108">
        <f>BB108+30</f>
        <v>1109</v>
      </c>
      <c r="BD108">
        <f t="shared" ref="BD108:BH108" si="138">BC108+30</f>
        <v>1139</v>
      </c>
      <c r="BE108">
        <f t="shared" si="138"/>
        <v>1169</v>
      </c>
      <c r="BF108">
        <f t="shared" si="138"/>
        <v>1199</v>
      </c>
      <c r="BG108">
        <f t="shared" si="138"/>
        <v>1229</v>
      </c>
      <c r="BH108">
        <f t="shared" si="138"/>
        <v>1259</v>
      </c>
    </row>
    <row r="109" spans="2:60" ht="15" thickBot="1">
      <c r="E109" s="28">
        <v>999999</v>
      </c>
      <c r="F109" s="18">
        <v>1.7409999999999998E-2</v>
      </c>
      <c r="G109" s="9"/>
      <c r="I109" s="22">
        <v>10500000</v>
      </c>
      <c r="J109" s="661">
        <v>3.0000000000000001E-3</v>
      </c>
      <c r="M109" s="19">
        <v>6300000</v>
      </c>
      <c r="N109" s="18">
        <v>3.2700000000000003E-3</v>
      </c>
      <c r="U109" s="19">
        <v>1899999</v>
      </c>
      <c r="V109" s="18">
        <v>2.3509500000000003E-2</v>
      </c>
      <c r="W109" s="18">
        <f t="shared" si="125"/>
        <v>2.4684975000000005E-2</v>
      </c>
      <c r="Y109" s="60" t="s">
        <v>61</v>
      </c>
      <c r="Z109">
        <v>1721</v>
      </c>
      <c r="AA109">
        <v>2425</v>
      </c>
      <c r="AB109">
        <f>SUM(Z109,400,ROUND(PRODUCT(400,$AI$1),0))</f>
        <v>2441</v>
      </c>
      <c r="AC109">
        <f>SUM(Z109,400,ROUND(PRODUCT(400,$AI$1),0),ROUND(PRODUCT(400,$AJ$1),0))</f>
        <v>2741</v>
      </c>
      <c r="AD109">
        <f>SUM(Z109,400,ROUND(PRODUCT(400,$AI$1),0),ROUND(PRODUCT(400,$AJ$1),0),ROUND(PRODUCT(400,$AK$1),0))</f>
        <v>3021</v>
      </c>
      <c r="AE109">
        <f>SUM(Z109,400,ROUND(PRODUCT(400,$AI$1),0),ROUND(PRODUCT(400,$AJ$1),0),ROUND(PRODUCT(400,$AK$1),0),ROUND(PRODUCT(400,$AL$1),0))</f>
        <v>3221</v>
      </c>
      <c r="AF109">
        <f>SUM(Z109,400,ROUND(PRODUCT(400,$AI$1),0),ROUND(PRODUCT(400,$AJ$1),0),ROUND(PRODUCT(400,$AK$1),0),ROUND(PRODUCT(400,$AL$1),0),ROUND(PRODUCT(400,$AM$1),0))</f>
        <v>3401</v>
      </c>
      <c r="AG109">
        <f>SUM(Z109,400,ROUND(PRODUCT(400,$AI$1),0),ROUND(PRODUCT(400,$AJ$1),0),ROUND(PRODUCT(400,$AK$1),0),ROUND(PRODUCT(400,$AL$1),0),ROUND(PRODUCT(400,$AM$1),0),ROUND(PRODUCT(400,$AN$1),0))</f>
        <v>3581</v>
      </c>
      <c r="AH109">
        <f>SUM(Z109,400,ROUND(PRODUCT(400,$AI$1),0),ROUND(PRODUCT(400,$AJ$1),0),ROUND(PRODUCT(400,$AK$1),0),ROUND(PRODUCT(400,$AL$1),0),ROUND(PRODUCT(400,$AM$1),0),ROUND(PRODUCT(400,$AN$1),0),ROUND(PRODUCT(400,$AO$1),0))</f>
        <v>3761</v>
      </c>
      <c r="AI109" s="61">
        <f>SUM(Z109,400,ROUND(PRODUCT(400,$AI$1),0),ROUND(PRODUCT(400,$AJ$1),0),ROUND(PRODUCT(400,$AK$1),0),ROUND(PRODUCT(400,$AL$1),0),ROUND(PRODUCT(400,$AM$1),0),ROUND(PRODUCT(400,$AN$1),0),ROUND(PRODUCT(400,$AO$1),0),ROUND(PRODUCT(400,$AP$1),0))</f>
        <v>3941</v>
      </c>
      <c r="AR109" s="53" t="s">
        <v>72</v>
      </c>
      <c r="AS109" s="53">
        <v>663</v>
      </c>
      <c r="AT109" s="53">
        <v>910</v>
      </c>
      <c r="AU109" s="53">
        <v>834</v>
      </c>
      <c r="AV109" s="53">
        <v>958</v>
      </c>
      <c r="AW109" s="53">
        <v>1074</v>
      </c>
      <c r="AX109" s="53">
        <v>1156</v>
      </c>
      <c r="AY109" s="53">
        <v>1232</v>
      </c>
      <c r="AZ109" s="53">
        <v>1066</v>
      </c>
      <c r="BA109" s="53">
        <v>1158</v>
      </c>
      <c r="BB109" s="53">
        <v>1251</v>
      </c>
      <c r="BC109">
        <f>BB109+93</f>
        <v>1344</v>
      </c>
      <c r="BD109">
        <f t="shared" ref="BD109:BH109" si="139">BC109+93</f>
        <v>1437</v>
      </c>
      <c r="BE109">
        <f t="shared" si="139"/>
        <v>1530</v>
      </c>
      <c r="BF109">
        <f t="shared" si="139"/>
        <v>1623</v>
      </c>
      <c r="BG109">
        <f t="shared" si="139"/>
        <v>1716</v>
      </c>
      <c r="BH109">
        <f t="shared" si="139"/>
        <v>1809</v>
      </c>
    </row>
    <row r="110" spans="2:60" ht="15" thickBot="1">
      <c r="E110" s="28">
        <v>1000000</v>
      </c>
      <c r="F110" s="18">
        <v>1.7409999999999998E-2</v>
      </c>
      <c r="G110" s="9"/>
      <c r="I110" s="22">
        <v>10600000</v>
      </c>
      <c r="J110" s="661">
        <v>3.0000000000000001E-3</v>
      </c>
      <c r="M110" s="19">
        <v>6400000</v>
      </c>
      <c r="N110" s="18">
        <v>3.2600000000000003E-3</v>
      </c>
      <c r="U110" s="19">
        <v>1900000</v>
      </c>
      <c r="V110" s="18">
        <v>2.3456999999999999E-2</v>
      </c>
      <c r="W110" s="18">
        <f t="shared" si="125"/>
        <v>2.4629849999999998E-2</v>
      </c>
      <c r="Y110" s="60" t="s">
        <v>62</v>
      </c>
      <c r="Z110">
        <v>1721</v>
      </c>
      <c r="AA110">
        <v>2700</v>
      </c>
      <c r="AB110">
        <f>SUM(Z110,675,ROUND(PRODUCT(675,$AI$1),0))</f>
        <v>2936</v>
      </c>
      <c r="AC110">
        <f>SUM(Z110,675,ROUND(PRODUCT(675,$AI$1),0),ROUND(PRODUCT(675,$AJ$1),0))</f>
        <v>3442</v>
      </c>
      <c r="AD110">
        <f>SUM(Z110,675,ROUND(PRODUCT(675,$AI$1),0),ROUND(PRODUCT(675,$AJ$1),0),ROUND(PRODUCT(675,$AK$1),0))</f>
        <v>3915</v>
      </c>
      <c r="AE110">
        <f>SUM(Z110,675,ROUND(PRODUCT(675,$AI$1),0),ROUND(PRODUCT(675,$AJ$1),0),ROUND(PRODUCT(675,$AK$1),0),ROUND(PRODUCT(675,$AL$1),0))</f>
        <v>4253</v>
      </c>
      <c r="AF110">
        <f>SUM(Z110,675,ROUND(PRODUCT(675,$AI$1),0),ROUND(PRODUCT(675,$AJ$1),0),ROUND(PRODUCT(675,$AK$1),0),ROUND(PRODUCT(675,$AL$1),0),ROUND(PRODUCT(675,$AM$1),0))</f>
        <v>4557</v>
      </c>
      <c r="AG110">
        <f>SUM(Z110,675,ROUND(PRODUCT(675,$AI$1),0),ROUND(PRODUCT(675,$AJ$1),0),ROUND(PRODUCT(675,$AK$1),0),ROUND(PRODUCT(675,$AL$1),0),ROUND(PRODUCT(675,$AM$1),0),ROUND(PRODUCT(675,$AN$1),0))</f>
        <v>4861</v>
      </c>
      <c r="AH110">
        <f>SUM(Z110,675,ROUND(PRODUCT(675,$AI$1),0),ROUND(PRODUCT(675,$AJ$1),0),ROUND(PRODUCT(675,$AK$1),0),ROUND(PRODUCT(675,$AL$1),0),ROUND(PRODUCT(675,$AM$1),0),ROUND(PRODUCT(675,$AN$1),0),ROUND(PRODUCT(675,$AO$1),0))</f>
        <v>5165</v>
      </c>
      <c r="AI110" s="61">
        <f>SUM(Z110,675,ROUND(PRODUCT(675,$AI$1),0),ROUND(PRODUCT(675,$AJ$1),0),ROUND(PRODUCT(675,$AK$1),0),ROUND(PRODUCT(675,$AL$1),0),ROUND(PRODUCT(675,$AM$1),0),ROUND(PRODUCT(675,$AN$1),0),ROUND(PRODUCT(675,$AO$1),0),ROUND(PRODUCT(675,$AP$1),0))</f>
        <v>5469</v>
      </c>
      <c r="AR110" s="53" t="s">
        <v>74</v>
      </c>
      <c r="AS110" s="53">
        <v>663</v>
      </c>
      <c r="AT110" s="53">
        <v>904</v>
      </c>
      <c r="AU110" s="53">
        <v>1146</v>
      </c>
      <c r="AV110" s="53">
        <v>1339</v>
      </c>
      <c r="AW110" s="53">
        <v>1520</v>
      </c>
      <c r="AX110" s="53">
        <v>1689</v>
      </c>
      <c r="AY110" s="53">
        <v>1810</v>
      </c>
      <c r="AZ110" s="53">
        <v>1919</v>
      </c>
      <c r="BA110" s="53">
        <v>2029</v>
      </c>
      <c r="BB110" s="53">
        <v>2138</v>
      </c>
      <c r="BC110">
        <f>BB110+109</f>
        <v>2247</v>
      </c>
      <c r="BD110">
        <f t="shared" ref="BD110:BH110" si="140">BC110+109</f>
        <v>2356</v>
      </c>
      <c r="BE110">
        <f t="shared" si="140"/>
        <v>2465</v>
      </c>
      <c r="BF110">
        <f t="shared" si="140"/>
        <v>2574</v>
      </c>
      <c r="BG110">
        <f t="shared" si="140"/>
        <v>2683</v>
      </c>
      <c r="BH110">
        <f t="shared" si="140"/>
        <v>2792</v>
      </c>
    </row>
    <row r="111" spans="2:60" ht="15" thickBot="1">
      <c r="E111" s="28">
        <v>3500000</v>
      </c>
      <c r="F111" s="18">
        <v>1.7409999999999998E-2</v>
      </c>
      <c r="G111" s="9"/>
      <c r="I111" s="22">
        <v>10700000</v>
      </c>
      <c r="J111" s="661">
        <v>3.0000000000000001E-3</v>
      </c>
      <c r="M111" s="19">
        <v>6500000</v>
      </c>
      <c r="N111" s="18">
        <v>3.2500000000000003E-3</v>
      </c>
      <c r="U111" s="19">
        <v>2099999</v>
      </c>
      <c r="V111" s="18">
        <v>2.3456999999999999E-2</v>
      </c>
      <c r="W111" s="18">
        <f t="shared" si="125"/>
        <v>2.4629849999999998E-2</v>
      </c>
      <c r="Y111" s="60" t="s">
        <v>63</v>
      </c>
      <c r="Z111">
        <v>1894</v>
      </c>
      <c r="AA111">
        <v>1894</v>
      </c>
      <c r="AB111">
        <v>1894</v>
      </c>
      <c r="AC111">
        <v>1894</v>
      </c>
      <c r="AD111">
        <v>1894</v>
      </c>
      <c r="AE111">
        <v>1894</v>
      </c>
      <c r="AF111">
        <v>1894</v>
      </c>
      <c r="AG111">
        <v>1894</v>
      </c>
      <c r="AH111">
        <v>1894</v>
      </c>
      <c r="AI111" s="61">
        <v>1894</v>
      </c>
      <c r="AR111" s="53" t="s">
        <v>76</v>
      </c>
      <c r="AS111" s="53">
        <v>663</v>
      </c>
      <c r="AT111" s="53">
        <v>920</v>
      </c>
      <c r="AU111" s="53">
        <v>1177</v>
      </c>
      <c r="AV111" s="53">
        <v>1383</v>
      </c>
      <c r="AW111" s="53">
        <v>1576</v>
      </c>
      <c r="AX111" s="53">
        <v>1757</v>
      </c>
      <c r="AY111" s="53">
        <v>1886</v>
      </c>
      <c r="AZ111" s="53">
        <v>2001</v>
      </c>
      <c r="BA111" s="53">
        <v>2117</v>
      </c>
      <c r="BB111" s="53">
        <v>2232</v>
      </c>
      <c r="BC111">
        <f>BB111+115</f>
        <v>2347</v>
      </c>
      <c r="BD111">
        <f t="shared" ref="BD111:BH111" si="141">BC111+115</f>
        <v>2462</v>
      </c>
      <c r="BE111">
        <f t="shared" si="141"/>
        <v>2577</v>
      </c>
      <c r="BF111">
        <f t="shared" si="141"/>
        <v>2692</v>
      </c>
      <c r="BG111">
        <f t="shared" si="141"/>
        <v>2807</v>
      </c>
      <c r="BH111">
        <f t="shared" si="141"/>
        <v>2922</v>
      </c>
    </row>
    <row r="112" spans="2:60" ht="15" thickBot="1">
      <c r="E112" s="79"/>
      <c r="F112" s="80"/>
      <c r="I112" s="22">
        <v>10800000</v>
      </c>
      <c r="J112" s="661">
        <v>3.0000000000000001E-3</v>
      </c>
      <c r="M112" s="19">
        <v>6600000</v>
      </c>
      <c r="N112" s="18">
        <v>3.2400000000000003E-3</v>
      </c>
      <c r="U112" s="19">
        <v>2100000</v>
      </c>
      <c r="V112" s="18">
        <v>2.3415000000000002E-2</v>
      </c>
      <c r="W112" s="18">
        <f t="shared" si="125"/>
        <v>2.4585750000000003E-2</v>
      </c>
      <c r="Y112" s="60" t="s">
        <v>64</v>
      </c>
      <c r="Z112">
        <v>1894</v>
      </c>
      <c r="AA112">
        <v>2903</v>
      </c>
      <c r="AB112">
        <f>SUM(Z112,675,ROUND(PRODUCT(675,$AI$1),0))</f>
        <v>3109</v>
      </c>
      <c r="AC112">
        <f>SUM(Z112,675,ROUND(PRODUCT(675,$AI$1),0),ROUND(PRODUCT(675,$AJ$1),0))</f>
        <v>3615</v>
      </c>
      <c r="AD112">
        <f>SUM(Z112,675,ROUND(PRODUCT(675,$AI$1),0),ROUND(PRODUCT(675,$AJ$1),0),ROUND(PRODUCT(675,$AK$1),0))</f>
        <v>4088</v>
      </c>
      <c r="AE112">
        <f>SUM(Z112,675,ROUND(PRODUCT(675,$AI$1),0),ROUND(PRODUCT(675,$AJ$1),0),ROUND(PRODUCT(675,$AK$1),0),ROUND(PRODUCT(675,$AL$1),0))</f>
        <v>4426</v>
      </c>
      <c r="AF112">
        <f>SUM(Z112,675,ROUND(PRODUCT(675,$AI$1),0),ROUND(PRODUCT(675,$AJ$1),0),ROUND(PRODUCT(675,$AK$1),0),ROUND(PRODUCT(675,$AL$1),0),ROUND(PRODUCT(675,$AM$1),0))</f>
        <v>4730</v>
      </c>
      <c r="AG112">
        <f>SUM(Z112,675,ROUND(PRODUCT(675,$AI$1),0),ROUND(PRODUCT(675,$AJ$1),0),ROUND(PRODUCT(675,$AK$1),0),ROUND(PRODUCT(675,$AL$1),0),ROUND(PRODUCT(675,$AM$1),0),ROUND(PRODUCT(675,$AN$1),0))</f>
        <v>5034</v>
      </c>
      <c r="AH112">
        <f>SUM(Z112,675,ROUND(PRODUCT(675,$AI$1),0),ROUND(PRODUCT(675,$AJ$1),0),ROUND(PRODUCT(675,$AK$1),0),ROUND(PRODUCT(675,$AL$1),0),ROUND(PRODUCT(675,$AM$1),0),ROUND(PRODUCT(675,$AN$1),0),ROUND(PRODUCT(675,$AO$1),0))</f>
        <v>5338</v>
      </c>
      <c r="AI112" s="61">
        <f>SUM(Z112,675,ROUND(PRODUCT(675,$AI$1),0),ROUND(PRODUCT(675,$AJ$1),0),ROUND(PRODUCT(675,$AK$1),0),ROUND(PRODUCT(675,$AL$1),0),ROUND(PRODUCT(675,$AM$1),0),ROUND(PRODUCT(675,$AN$1),0),ROUND(PRODUCT(675,$AO$1),0),ROUND(PRODUCT(675,$AP$1),0))</f>
        <v>5642</v>
      </c>
      <c r="AR112" s="53" t="s">
        <v>78</v>
      </c>
      <c r="AS112" s="53">
        <v>663</v>
      </c>
      <c r="AT112" s="53">
        <v>936</v>
      </c>
      <c r="AU112" s="53">
        <v>1209</v>
      </c>
      <c r="AV112" s="53">
        <v>1427</v>
      </c>
      <c r="AW112" s="53">
        <v>1632</v>
      </c>
      <c r="AX112" s="53">
        <v>1823</v>
      </c>
      <c r="AY112" s="53">
        <v>1959</v>
      </c>
      <c r="AZ112" s="53">
        <v>2082</v>
      </c>
      <c r="BA112" s="53">
        <v>2205</v>
      </c>
      <c r="BB112" s="53">
        <v>2328</v>
      </c>
      <c r="BC112">
        <f>BB112+123</f>
        <v>2451</v>
      </c>
      <c r="BD112">
        <f t="shared" ref="BD112:BH112" si="142">BC112+123</f>
        <v>2574</v>
      </c>
      <c r="BE112">
        <f t="shared" si="142"/>
        <v>2697</v>
      </c>
      <c r="BF112">
        <f t="shared" si="142"/>
        <v>2820</v>
      </c>
      <c r="BG112">
        <f t="shared" si="142"/>
        <v>2943</v>
      </c>
      <c r="BH112">
        <f t="shared" si="142"/>
        <v>3066</v>
      </c>
    </row>
    <row r="113" spans="2:60" ht="15" thickBot="1">
      <c r="E113" s="27"/>
      <c r="F113" s="81"/>
      <c r="G113" s="20"/>
      <c r="I113" s="22">
        <v>10900000</v>
      </c>
      <c r="J113" s="661">
        <v>3.0000000000000001E-3</v>
      </c>
      <c r="M113" s="19">
        <v>6700000</v>
      </c>
      <c r="N113" s="18">
        <v>3.2300000000000002E-3</v>
      </c>
      <c r="U113" s="19">
        <v>2299999</v>
      </c>
      <c r="V113" s="18">
        <v>2.3415000000000002E-2</v>
      </c>
      <c r="W113" s="18">
        <f t="shared" si="125"/>
        <v>2.4585750000000003E-2</v>
      </c>
      <c r="Y113" s="60" t="s">
        <v>65</v>
      </c>
      <c r="Z113">
        <v>1894</v>
      </c>
      <c r="AA113">
        <v>3178</v>
      </c>
      <c r="AB113">
        <f>SUM(Z113,950,ROUND(PRODUCT(950,$AI$1),0))</f>
        <v>3604</v>
      </c>
      <c r="AC113">
        <f>SUM(Z113,950,ROUND(PRODUCT(950,$AI$1),0),ROUND(PRODUCT(950,$AJ$1),0))</f>
        <v>4317</v>
      </c>
      <c r="AD113">
        <f>SUM(Z113,950,ROUND(PRODUCT(950,$AI$1),0),ROUND(PRODUCT(950,$AJ$1),0),ROUND(PRODUCT(950,$AK$1),0))</f>
        <v>4982</v>
      </c>
      <c r="AE113">
        <f>SUM(Z113,950,ROUND(PRODUCT(950,$AI$1),0),ROUND(PRODUCT(950,$AJ$1),0),ROUND(PRODUCT(950,$AK$1),0),ROUND(PRODUCT(950,$AL$1),0))</f>
        <v>5457</v>
      </c>
      <c r="AF113">
        <f>SUM(Z113,950,ROUND(PRODUCT(950,$AI$1),0),ROUND(PRODUCT(950,$AJ$1),0),ROUND(PRODUCT(950,$AK$1),0),ROUND(PRODUCT(950,$AL$1),0),ROUND(PRODUCT(950,$AM$1),0))</f>
        <v>5885</v>
      </c>
      <c r="AG113">
        <f>SUM(Z113,950,ROUND(PRODUCT(950,$AI$1),0),ROUND(PRODUCT(950,$AJ$1),0),ROUND(PRODUCT(950,$AK$1),0),ROUND(PRODUCT(950,$AL$1),0),ROUND(PRODUCT(950,$AM$1),0),ROUND(PRODUCT(950,$AN$1),0))</f>
        <v>6313</v>
      </c>
      <c r="AH113">
        <f>SUM(Z113,950,ROUND(PRODUCT(950,$AI$1),0),ROUND(PRODUCT(950,$AJ$1),0),ROUND(PRODUCT(950,$AK$1),0),ROUND(PRODUCT(950,$AL$1),0),ROUND(PRODUCT(950,$AM$1),0),ROUND(PRODUCT(950,$AN$1),0),ROUND(PRODUCT(950,$AO$1),0))</f>
        <v>6741</v>
      </c>
      <c r="AI113" s="61">
        <f>SUM(Z113,950,ROUND(PRODUCT(950,$AI$1),0),ROUND(PRODUCT(950,$AJ$1),0),ROUND(PRODUCT(950,$AK$1),0),ROUND(PRODUCT(950,$AL$1),0),ROUND(PRODUCT(950,$AM$1),0),ROUND(PRODUCT(950,$AN$1),0),ROUND(PRODUCT(950,$AO$1),0),ROUND(PRODUCT(950,$AP$1),0))</f>
        <v>7169</v>
      </c>
      <c r="AR113" s="53" t="s">
        <v>2858</v>
      </c>
      <c r="AS113" s="53">
        <v>663</v>
      </c>
      <c r="AT113" s="53">
        <v>1734</v>
      </c>
      <c r="AU113" s="53">
        <v>2590</v>
      </c>
      <c r="AV113" s="53">
        <v>3395</v>
      </c>
      <c r="AW113" s="53">
        <v>4145</v>
      </c>
      <c r="AX113" s="53">
        <v>4682</v>
      </c>
      <c r="AY113" s="53">
        <v>5164</v>
      </c>
      <c r="AZ113" s="53">
        <v>5646</v>
      </c>
      <c r="BA113" s="53">
        <v>6128</v>
      </c>
      <c r="BB113" s="53">
        <v>6610</v>
      </c>
      <c r="BC113">
        <f>BB113+482</f>
        <v>7092</v>
      </c>
      <c r="BD113">
        <f t="shared" ref="BD113:BH113" si="143">BC113+482</f>
        <v>7574</v>
      </c>
      <c r="BE113">
        <f t="shared" si="143"/>
        <v>8056</v>
      </c>
      <c r="BF113">
        <f t="shared" si="143"/>
        <v>8538</v>
      </c>
      <c r="BG113">
        <f t="shared" si="143"/>
        <v>9020</v>
      </c>
      <c r="BH113">
        <f t="shared" si="143"/>
        <v>9502</v>
      </c>
    </row>
    <row r="114" spans="2:60" ht="15" thickBot="1">
      <c r="F114" s="81"/>
      <c r="I114" s="22">
        <v>11000000</v>
      </c>
      <c r="J114" s="661">
        <v>3.0000000000000001E-3</v>
      </c>
      <c r="M114" s="19">
        <v>6800000</v>
      </c>
      <c r="N114" s="18">
        <v>3.2200000000000002E-3</v>
      </c>
      <c r="U114" s="19">
        <v>2300000</v>
      </c>
      <c r="V114" s="18">
        <v>2.3372999999999998E-2</v>
      </c>
      <c r="W114" s="18">
        <f t="shared" si="125"/>
        <v>2.4541649999999998E-2</v>
      </c>
      <c r="Y114" s="60" t="s">
        <v>66</v>
      </c>
      <c r="Z114">
        <v>1894</v>
      </c>
      <c r="AA114">
        <v>3228</v>
      </c>
      <c r="AB114">
        <f>SUM(Z114,1000,ROUND(PRODUCT(1000,$AI$1),0))</f>
        <v>3694</v>
      </c>
      <c r="AC114">
        <f>SUM(Z114,1000,ROUND(PRODUCT(1000,$AI$1),0),ROUND(PRODUCT(1000,$AJ$1),0))</f>
        <v>4444</v>
      </c>
      <c r="AD114">
        <f>SUM(Z114,1000,ROUND(PRODUCT(1000,$AI$1),0),ROUND(PRODUCT(1000,$AJ$1),0),ROUND(PRODUCT(1000,$AK$1),0))</f>
        <v>5144</v>
      </c>
      <c r="AE114">
        <f>SUM(Z114,1000,ROUND(PRODUCT(1000,$AI$1),0),ROUND(PRODUCT(1000,$AJ$1),0),ROUND(PRODUCT(1000,$AK$1),0),ROUND(PRODUCT(1000,$AL$1),0))</f>
        <v>5644</v>
      </c>
      <c r="AF114">
        <f>SUM(Z114,1000,ROUND(PRODUCT(1000,$AI$1),0),ROUND(PRODUCT(1000,$AJ$1),0),ROUND(PRODUCT(1000,$AK$1),0),ROUND(PRODUCT(1000,$AL$1),0),ROUND(PRODUCT(1000,$AM$1),0))</f>
        <v>6094</v>
      </c>
      <c r="AG114">
        <f>SUM(Z114,1000,ROUND(PRODUCT(1000,$AI$1),0),ROUND(PRODUCT(1000,$AJ$1),0),ROUND(PRODUCT(1000,$AK$1),0),ROUND(PRODUCT(1000,$AL$1),0),ROUND(PRODUCT(1000,$AM$1),0),ROUND(PRODUCT(1000,$AN$1),0))</f>
        <v>6544</v>
      </c>
      <c r="AH114">
        <f>SUM(Z114,1000,ROUND(PRODUCT(1000,$AI$1),0),ROUND(PRODUCT(1000,$AJ$1),0),ROUND(PRODUCT(1000,$AK$1),0),ROUND(PRODUCT(1000,$AL$1),0),ROUND(PRODUCT(1000,$AM$1),0),ROUND(PRODUCT(1000,$AN$1),0),ROUND(PRODUCT(1000,$AO$1),0))</f>
        <v>6994</v>
      </c>
      <c r="AI114" s="61">
        <f>SUM(Z114,1000,ROUND(PRODUCT(1000,$AI$1),0),ROUND(PRODUCT(1000,$AJ$1),0),ROUND(PRODUCT(1000,$AK$1),0),ROUND(PRODUCT(1000,$AL$1),0),ROUND(PRODUCT(1000,$AM$1),0),ROUND(PRODUCT(1000,$AN$1),0),ROUND(PRODUCT(1000,$AO$1),0),ROUND(PRODUCT(1000,$AP$1),0))</f>
        <v>7444</v>
      </c>
      <c r="AR114" s="53" t="s">
        <v>2859</v>
      </c>
      <c r="AS114" s="53">
        <v>1197</v>
      </c>
      <c r="AT114" s="53">
        <v>2660</v>
      </c>
      <c r="AU114" s="53">
        <v>3830</v>
      </c>
      <c r="AV114" s="53">
        <v>4927</v>
      </c>
      <c r="AW114" s="53">
        <v>5994</v>
      </c>
      <c r="AX114" s="53">
        <v>6682</v>
      </c>
      <c r="AY114" s="53">
        <v>7340</v>
      </c>
      <c r="AZ114" s="53">
        <v>7852</v>
      </c>
      <c r="BA114" s="53">
        <v>8802</v>
      </c>
      <c r="BB114" s="53">
        <v>9753</v>
      </c>
      <c r="BC114">
        <f>BB114+951</f>
        <v>10704</v>
      </c>
      <c r="BD114">
        <f t="shared" ref="BD114:BH114" si="144">BC114+951</f>
        <v>11655</v>
      </c>
      <c r="BE114">
        <f t="shared" si="144"/>
        <v>12606</v>
      </c>
      <c r="BF114">
        <f t="shared" si="144"/>
        <v>13557</v>
      </c>
      <c r="BG114">
        <f t="shared" si="144"/>
        <v>14508</v>
      </c>
      <c r="BH114">
        <f t="shared" si="144"/>
        <v>15459</v>
      </c>
    </row>
    <row r="115" spans="2:60" ht="15.75" thickBot="1">
      <c r="B115" s="83"/>
      <c r="E115" s="27"/>
      <c r="F115" s="81"/>
      <c r="G115" s="20"/>
      <c r="I115" s="22">
        <v>11100000</v>
      </c>
      <c r="J115" s="661">
        <v>3.0000000000000001E-3</v>
      </c>
      <c r="M115" s="19">
        <v>6900000</v>
      </c>
      <c r="N115" s="18">
        <v>3.2100000000000002E-3</v>
      </c>
      <c r="U115" s="19">
        <v>2499999</v>
      </c>
      <c r="V115" s="18">
        <v>2.3372999999999998E-2</v>
      </c>
      <c r="W115" s="18">
        <f t="shared" si="125"/>
        <v>2.4541649999999998E-2</v>
      </c>
      <c r="Y115" s="60" t="s">
        <v>67</v>
      </c>
      <c r="Z115">
        <v>1894</v>
      </c>
      <c r="AA115">
        <v>3378</v>
      </c>
      <c r="AB115">
        <f>SUM(Z115,1150,ROUND(PRODUCT(1150,$AI$1),0))</f>
        <v>3964</v>
      </c>
      <c r="AC115">
        <f>SUM(Z115,1150,ROUND(PRODUCT(1150,$AI$1),0),ROUND(PRODUCT(1150,$AJ$1),0))</f>
        <v>4827</v>
      </c>
      <c r="AD115">
        <f>SUM(Z115,1150,ROUND(PRODUCT(1150,$AI$1),0),ROUND(PRODUCT(1150,$AJ$1),0),ROUND(PRODUCT(1150,$AK$1),0))</f>
        <v>5632</v>
      </c>
      <c r="AE115">
        <f>SUM(Z115,1150,ROUND(PRODUCT(1150,$AI$1),0),ROUND(PRODUCT(1150,$AJ$1),0),ROUND(PRODUCT(1150,$AK$1),0),ROUND(PRODUCT(1150,$AL$1),0))</f>
        <v>6207</v>
      </c>
      <c r="AF115">
        <f>SUM(Z115,1150,ROUND(PRODUCT(1150,$AI$1),0),ROUND(PRODUCT(1150,$AJ$1),0),ROUND(PRODUCT(1150,$AK$1),0),ROUND(PRODUCT(1150,$AL$1),0),ROUND(PRODUCT(1150,$AM$1),0))</f>
        <v>6725</v>
      </c>
      <c r="AG115">
        <f>SUM(Z115,1150,ROUND(PRODUCT(1150,$AI$1),0),ROUND(PRODUCT(1150,$AJ$1),0),ROUND(PRODUCT(1150,$AK$1),0),ROUND(PRODUCT(1150,$AL$1),0),ROUND(PRODUCT(1150,$AM$1),0),ROUND(PRODUCT(1150,$AN$1),0))</f>
        <v>7243</v>
      </c>
      <c r="AH115">
        <f>SUM(Z115,1150,ROUND(PRODUCT(1150,$AI$1),0),ROUND(PRODUCT(1150,$AJ$1),0),ROUND(PRODUCT(1150,$AK$1),0),ROUND(PRODUCT(1150,$AL$1),0),ROUND(PRODUCT(1150,$AM$1),0),ROUND(PRODUCT(1150,$AN$1),0),ROUND(PRODUCT(1150,$AO$1),0))</f>
        <v>7761</v>
      </c>
      <c r="AI115" s="61">
        <f>SUM(Z115,1150,ROUND(PRODUCT(1150,$AI$1),0),ROUND(PRODUCT(1150,$AJ$1),0),ROUND(PRODUCT(1150,$AK$1),0),ROUND(PRODUCT(1150,$AL$1),0),ROUND(PRODUCT(1150,$AM$1),0),ROUND(PRODUCT(1150,$AN$1),0),ROUND(PRODUCT(1150,$AO$1),0),ROUND(PRODUCT(1150,$AP$1),0))</f>
        <v>8279</v>
      </c>
      <c r="AR115" s="53" t="s">
        <v>2860</v>
      </c>
      <c r="AS115" s="53">
        <v>3320</v>
      </c>
      <c r="AT115" s="53">
        <v>5563</v>
      </c>
      <c r="AU115" s="53">
        <v>7357</v>
      </c>
      <c r="AV115" s="53">
        <v>9039</v>
      </c>
      <c r="AW115" s="53">
        <v>10676</v>
      </c>
      <c r="AX115" s="53">
        <v>11730</v>
      </c>
      <c r="AY115" s="53">
        <v>12739</v>
      </c>
      <c r="AZ115" s="53">
        <v>13524</v>
      </c>
      <c r="BA115" s="53">
        <v>14981</v>
      </c>
      <c r="BB115" s="53">
        <v>16439</v>
      </c>
      <c r="BC115">
        <f>BB115+1458</f>
        <v>17897</v>
      </c>
      <c r="BD115">
        <f t="shared" ref="BD115:BH115" si="145">BC115+1458</f>
        <v>19355</v>
      </c>
      <c r="BE115">
        <f t="shared" si="145"/>
        <v>20813</v>
      </c>
      <c r="BF115">
        <f t="shared" si="145"/>
        <v>22271</v>
      </c>
      <c r="BG115">
        <f t="shared" si="145"/>
        <v>23729</v>
      </c>
      <c r="BH115">
        <f t="shared" si="145"/>
        <v>25187</v>
      </c>
    </row>
    <row r="116" spans="2:60" ht="15.75" thickBot="1">
      <c r="B116" s="83" t="s">
        <v>2780</v>
      </c>
      <c r="E116" s="84" t="s">
        <v>2783</v>
      </c>
      <c r="F116" s="82"/>
      <c r="I116" s="22">
        <v>11200000</v>
      </c>
      <c r="J116" s="661">
        <v>3.0000000000000001E-3</v>
      </c>
      <c r="M116" s="19">
        <v>7000000</v>
      </c>
      <c r="N116" s="18">
        <v>3.2000000000000002E-3</v>
      </c>
      <c r="O116" s="344"/>
      <c r="U116" s="19">
        <v>2500000</v>
      </c>
      <c r="V116" s="18">
        <v>2.3331000000000001E-2</v>
      </c>
      <c r="W116" s="18">
        <f t="shared" si="125"/>
        <v>2.4497550000000003E-2</v>
      </c>
      <c r="Y116" s="60" t="s">
        <v>68</v>
      </c>
      <c r="Z116">
        <v>1894</v>
      </c>
      <c r="AA116">
        <v>3898</v>
      </c>
      <c r="AB116">
        <f>SUM(Z116,1670,ROUND(PRODUCT(1670,$AI$1),0))</f>
        <v>4900</v>
      </c>
      <c r="AC116">
        <f>SUM(Z116,1670,ROUND(PRODUCT(1670,$AI$1),0),ROUND(PRODUCT(1670,$AJ$1),0))</f>
        <v>6153</v>
      </c>
      <c r="AD116">
        <f>SUM(Z116,1670,ROUND(PRODUCT(1670,$AI$1),0),ROUND(PRODUCT(1670,$AJ$1),0),ROUND(PRODUCT(1670,$AK$1),0))</f>
        <v>7322</v>
      </c>
      <c r="AE116">
        <f>SUM(Z116,1670,ROUND(PRODUCT(1670,$AI$1),0),ROUND(PRODUCT(1670,$AJ$1),0),ROUND(PRODUCT(1670,$AK$1),0),ROUND(PRODUCT(1670,$AL$1),0))</f>
        <v>8157</v>
      </c>
      <c r="AF116">
        <f>SUM(Z116,1670,ROUND(PRODUCT(1670,$AI$1),0),ROUND(PRODUCT(1670,$AJ$1),0),ROUND(PRODUCT(1670,$AK$1),0),ROUND(PRODUCT(1670,$AL$1),0),ROUND(PRODUCT(1670,$AM$1),0))</f>
        <v>8909</v>
      </c>
      <c r="AG116">
        <f>SUM(Z116,1670,ROUND(PRODUCT(1670,$AI$1),0),ROUND(PRODUCT(1670,$AJ$1),0),ROUND(PRODUCT(1670,$AK$1),0),ROUND(PRODUCT(1670,$AL$1),0),ROUND(PRODUCT(1670,$AM$1),0),ROUND(PRODUCT(1670,$AN$1),0))</f>
        <v>9661</v>
      </c>
      <c r="AH116">
        <f>SUM(Z116,1670,ROUND(PRODUCT(1670,$AI$1),0),ROUND(PRODUCT(1670,$AJ$1),0),ROUND(PRODUCT(1670,$AK$1),0),ROUND(PRODUCT(1670,$AL$1),0),ROUND(PRODUCT(1670,$AM$1),0),ROUND(PRODUCT(1670,$AN$1),0),ROUND(PRODUCT(1670,$AO$1),0))</f>
        <v>10413</v>
      </c>
      <c r="AI116" s="61">
        <f>SUM(Z116,1670,ROUND(PRODUCT(1670,$AI$1),0),ROUND(PRODUCT(1670,$AJ$1),0),ROUND(PRODUCT(1670,$AK$1),0),ROUND(PRODUCT(1670,$AL$1),0),ROUND(PRODUCT(1670,$AM$1),0),ROUND(PRODUCT(1670,$AN$1),0),ROUND(PRODUCT(1670,$AO$1),0),ROUND(PRODUCT(1670,$AP$1),0))</f>
        <v>11165</v>
      </c>
      <c r="AR116" s="53" t="s">
        <v>2861</v>
      </c>
      <c r="AS116" s="53">
        <v>13860</v>
      </c>
      <c r="AT116" s="53">
        <v>18053</v>
      </c>
      <c r="AU116" s="53">
        <v>21407</v>
      </c>
      <c r="AV116" s="53">
        <v>24551</v>
      </c>
      <c r="AW116" s="53">
        <v>27612</v>
      </c>
      <c r="AX116" s="53">
        <v>29582</v>
      </c>
      <c r="AY116" s="53">
        <v>31469</v>
      </c>
      <c r="AZ116" s="53">
        <v>32936</v>
      </c>
      <c r="BA116" s="53">
        <v>35662</v>
      </c>
      <c r="BB116" s="53">
        <v>38387</v>
      </c>
      <c r="BC116">
        <f>BB116+2725</f>
        <v>41112</v>
      </c>
      <c r="BD116">
        <f t="shared" ref="BD116:BH116" si="146">BC116+2725</f>
        <v>43837</v>
      </c>
      <c r="BE116">
        <f t="shared" si="146"/>
        <v>46562</v>
      </c>
      <c r="BF116">
        <f t="shared" si="146"/>
        <v>49287</v>
      </c>
      <c r="BG116">
        <f t="shared" si="146"/>
        <v>52012</v>
      </c>
      <c r="BH116">
        <f t="shared" si="146"/>
        <v>54737</v>
      </c>
    </row>
    <row r="117" spans="2:60" ht="15" thickBot="1">
      <c r="B117" s="19">
        <v>0</v>
      </c>
      <c r="C117" s="18">
        <v>6.3E-2</v>
      </c>
      <c r="E117" s="19">
        <v>0</v>
      </c>
      <c r="F117" s="18">
        <v>7.8E-2</v>
      </c>
      <c r="G117" s="63"/>
      <c r="I117" s="22">
        <v>11300000</v>
      </c>
      <c r="J117" s="661">
        <v>3.0000000000000001E-3</v>
      </c>
      <c r="M117" s="19">
        <v>7100000</v>
      </c>
      <c r="N117" s="18">
        <v>3.1900000000000001E-3</v>
      </c>
      <c r="O117" s="344"/>
      <c r="P117" s="19">
        <v>0</v>
      </c>
      <c r="Q117" s="18">
        <v>2.6599999999999999E-2</v>
      </c>
      <c r="R117" s="10">
        <f>ROUND(Q117*1.2,5)</f>
        <v>3.1919999999999997E-2</v>
      </c>
      <c r="U117" s="19">
        <v>2699999</v>
      </c>
      <c r="V117" s="18">
        <v>2.3331000000000001E-2</v>
      </c>
      <c r="W117" s="18">
        <f t="shared" si="125"/>
        <v>2.4497550000000003E-2</v>
      </c>
      <c r="Y117" s="60" t="s">
        <v>2857</v>
      </c>
      <c r="Z117">
        <v>1894</v>
      </c>
      <c r="AA117">
        <v>4456</v>
      </c>
      <c r="AB117">
        <f>SUM(Z117,2228,ROUND(PRODUCT(2228,$AI$1),0))</f>
        <v>5904</v>
      </c>
      <c r="AC117">
        <f>SUM(Z117,2228,ROUND(PRODUCT(2228,$AI$1),0),ROUND(PRODUCT(2228,$AJ$1),0))</f>
        <v>7575</v>
      </c>
      <c r="AD117">
        <f>SUM(Z117,2228,ROUND(PRODUCT(2228,$AI$1),0),ROUND(PRODUCT(2228,$AJ$1),0),ROUND(PRODUCT(2228,$AK$1),0))</f>
        <v>9135</v>
      </c>
      <c r="AE117">
        <f>SUM(Z117,2228,ROUND(PRODUCT(2228,$AI$1),0),ROUND(PRODUCT(2228,$AJ$1),0),ROUND(PRODUCT(2228,$AK$1),0),ROUND(PRODUCT(2228,$AL$1),0))</f>
        <v>10249</v>
      </c>
      <c r="AF117">
        <f>SUM(Z117,2228,ROUND(PRODUCT(2228,$AI$1),0),ROUND(PRODUCT(2228,$AJ$1),0),ROUND(PRODUCT(2228,$AK$1),0),ROUND(PRODUCT(2228,$AL$1),0),ROUND(PRODUCT(2228,$AM$1),0))</f>
        <v>11252</v>
      </c>
      <c r="AG117">
        <f>SUM(Z117,2228,ROUND(PRODUCT(2228,$AI$1),0),ROUND(PRODUCT(2228,$AJ$1),0),ROUND(PRODUCT(2228,$AK$1),0),ROUND(PRODUCT(2228,$AL$1),0),ROUND(PRODUCT(2228,$AM$1),0),ROUND(PRODUCT(2228,$AN$1),0))</f>
        <v>12255</v>
      </c>
      <c r="AH117">
        <f>SUM(Z117,2228,ROUND(PRODUCT(2228,$AI$1),0),ROUND(PRODUCT(2228,$AJ$1),0),ROUND(PRODUCT(2228,$AK$1),0),ROUND(PRODUCT(2228,$AL$1),0),ROUND(PRODUCT(2228,$AM$1),0),ROUND(PRODUCT(2228,$AN$1),0),ROUND(PRODUCT(2228,$AO$1),0))</f>
        <v>13258</v>
      </c>
      <c r="AI117" s="61">
        <f>SUM(Z117,2228,ROUND(PRODUCT(2228,$AI$1),0),ROUND(PRODUCT(2228,$AJ$1),0),ROUND(PRODUCT(2228,$AK$1),0),ROUND(PRODUCT(2228,$AL$1),0),ROUND(PRODUCT(2228,$AM$1),0),ROUND(PRODUCT(2228,$AN$1),0),ROUND(PRODUCT(2228,$AO$1),0),ROUND(PRODUCT(2228,$AP$1),0))</f>
        <v>14261</v>
      </c>
    </row>
    <row r="118" spans="2:60" ht="15" thickBot="1">
      <c r="B118" s="19">
        <v>19999</v>
      </c>
      <c r="C118" s="18">
        <v>6.3E-2</v>
      </c>
      <c r="E118" s="19">
        <v>19999</v>
      </c>
      <c r="F118" s="18">
        <v>7.8E-2</v>
      </c>
      <c r="G118" s="63"/>
      <c r="I118" s="22">
        <v>11400000</v>
      </c>
      <c r="J118" s="661">
        <v>3.0000000000000001E-3</v>
      </c>
      <c r="M118" s="19">
        <v>7200000</v>
      </c>
      <c r="N118" s="18">
        <v>3.1800000000000001E-3</v>
      </c>
      <c r="O118" s="344"/>
      <c r="P118" s="19">
        <v>249999</v>
      </c>
      <c r="Q118" s="18">
        <v>2.6599999999999999E-2</v>
      </c>
      <c r="R118" s="10">
        <f t="shared" ref="R118:R181" si="147">ROUND(Q118*1.2,5)</f>
        <v>3.1919999999999997E-2</v>
      </c>
      <c r="U118" s="19">
        <v>2700000</v>
      </c>
      <c r="V118" s="18">
        <v>2.3289000000000001E-2</v>
      </c>
      <c r="W118" s="18">
        <f t="shared" si="125"/>
        <v>2.4453450000000002E-2</v>
      </c>
      <c r="Y118" s="60" t="s">
        <v>70</v>
      </c>
      <c r="Z118">
        <v>2754</v>
      </c>
      <c r="AA118">
        <v>2754</v>
      </c>
      <c r="AB118">
        <v>2754</v>
      </c>
      <c r="AC118">
        <v>2754</v>
      </c>
      <c r="AD118">
        <v>2754</v>
      </c>
      <c r="AE118">
        <v>2754</v>
      </c>
      <c r="AF118">
        <v>2754</v>
      </c>
      <c r="AG118">
        <v>2754</v>
      </c>
      <c r="AH118">
        <v>2754</v>
      </c>
      <c r="AI118" s="61">
        <v>2754</v>
      </c>
    </row>
    <row r="119" spans="2:60" ht="15" thickBot="1">
      <c r="B119" s="19">
        <v>20000</v>
      </c>
      <c r="C119" s="18">
        <v>5.1000000000000004E-2</v>
      </c>
      <c r="E119" s="19">
        <v>20000</v>
      </c>
      <c r="F119" s="18">
        <v>6.3E-2</v>
      </c>
      <c r="G119" s="63"/>
      <c r="I119" s="22">
        <v>11500000</v>
      </c>
      <c r="J119" s="661">
        <v>3.0000000000000001E-3</v>
      </c>
      <c r="M119" s="19">
        <v>7300000</v>
      </c>
      <c r="N119" s="18">
        <v>3.1700000000000001E-3</v>
      </c>
      <c r="O119" s="344"/>
      <c r="P119" s="19">
        <v>250000</v>
      </c>
      <c r="Q119" s="18">
        <v>2.6319999999999996E-2</v>
      </c>
      <c r="R119" s="10">
        <f t="shared" si="147"/>
        <v>3.1579999999999997E-2</v>
      </c>
      <c r="U119" s="19">
        <v>2899999</v>
      </c>
      <c r="V119" s="18">
        <v>2.3289000000000001E-2</v>
      </c>
      <c r="W119" s="18">
        <f t="shared" si="125"/>
        <v>2.4453450000000002E-2</v>
      </c>
      <c r="Y119" s="60" t="s">
        <v>71</v>
      </c>
      <c r="Z119">
        <v>2754</v>
      </c>
      <c r="AA119">
        <v>3915</v>
      </c>
      <c r="AB119">
        <f>SUM(Z119,675,ROUND(PRODUCT(675,$AI$1),0))</f>
        <v>3969</v>
      </c>
      <c r="AC119">
        <f>SUM(Z119,675,ROUND(PRODUCT(675,$AI$1),0),ROUND(PRODUCT(675,$AJ$1),0))</f>
        <v>4475</v>
      </c>
      <c r="AD119">
        <f>SUM(Z119,675,ROUND(PRODUCT(675,$AI$1),0),ROUND(PRODUCT(675,$AJ$1),0),ROUND(PRODUCT(675,$AK$1),0))</f>
        <v>4948</v>
      </c>
      <c r="AE119">
        <f>SUM(Z119,675,ROUND(PRODUCT(675,$AI$1),0),ROUND(PRODUCT(675,$AJ$1),0),ROUND(PRODUCT(675,$AK$1),0),ROUND(PRODUCT(675,$AL$1),0))</f>
        <v>5286</v>
      </c>
      <c r="AF119">
        <f>SUM(Z119,675,ROUND(PRODUCT(675,$AI$1),0),ROUND(PRODUCT(675,$AJ$1),0),ROUND(PRODUCT(675,$AK$1),0),ROUND(PRODUCT(675,$AL$1),0),ROUND(PRODUCT(675,$AM$1),0))</f>
        <v>5590</v>
      </c>
      <c r="AG119">
        <f>SUM(Z119,675,ROUND(PRODUCT(675,$AI$1),0),ROUND(PRODUCT(675,$AJ$1),0),ROUND(PRODUCT(675,$AK$1),0),ROUND(PRODUCT(675,$AL$1),0),ROUND(PRODUCT(675,$AM$1),0),ROUND(PRODUCT(675,$AN$1),0))</f>
        <v>5894</v>
      </c>
      <c r="AH119">
        <f>SUM(Z119,675,ROUND(PRODUCT(675,$AI$1),0),ROUND(PRODUCT(675,$AJ$1),0),ROUND(PRODUCT(675,$AK$1),0),ROUND(PRODUCT(675,$AL$1),0),ROUND(PRODUCT(675,$AM$1),0),ROUND(PRODUCT(675,$AN$1),0),ROUND(PRODUCT(675,$AO$1),0))</f>
        <v>6198</v>
      </c>
      <c r="AI119" s="61">
        <f>SUM(Z119,675,ROUND(PRODUCT(675,$AI$1),0),ROUND(PRODUCT(675,$AJ$1),0),ROUND(PRODUCT(675,$AK$1),0),ROUND(PRODUCT(675,$AL$1),0),ROUND(PRODUCT(675,$AM$1),0),ROUND(PRODUCT(675,$AN$1),0),ROUND(PRODUCT(675,$AO$1),0),ROUND(PRODUCT(675,$AP$1),0))</f>
        <v>6502</v>
      </c>
    </row>
    <row r="120" spans="2:60" ht="15" thickBot="1">
      <c r="B120" s="19">
        <v>29999</v>
      </c>
      <c r="C120" s="18">
        <v>5.1000000000000004E-2</v>
      </c>
      <c r="E120" s="19">
        <v>29999</v>
      </c>
      <c r="F120" s="18">
        <v>6.3E-2</v>
      </c>
      <c r="G120" s="63"/>
      <c r="I120" s="22">
        <v>11600000</v>
      </c>
      <c r="J120" s="661">
        <v>3.0000000000000001E-3</v>
      </c>
      <c r="M120" s="19">
        <v>7400000</v>
      </c>
      <c r="N120" s="18">
        <v>3.16E-3</v>
      </c>
      <c r="O120" s="344"/>
      <c r="P120" s="19">
        <v>262499</v>
      </c>
      <c r="Q120" s="18">
        <v>2.6319999999999996E-2</v>
      </c>
      <c r="R120" s="10">
        <f t="shared" si="147"/>
        <v>3.1579999999999997E-2</v>
      </c>
      <c r="U120" s="19">
        <v>2900000</v>
      </c>
      <c r="V120" s="18">
        <v>2.32365E-2</v>
      </c>
      <c r="W120" s="18">
        <f t="shared" si="125"/>
        <v>2.4398325000000002E-2</v>
      </c>
      <c r="Y120" s="60" t="s">
        <v>72</v>
      </c>
      <c r="Z120">
        <v>2754</v>
      </c>
      <c r="AA120">
        <v>4190</v>
      </c>
      <c r="AB120">
        <f>SUM(Z120,950,ROUND(PRODUCT(950,$AI$1),0))</f>
        <v>4464</v>
      </c>
      <c r="AC120">
        <f>SUM(Z120,950,ROUND(PRODUCT(950,$AI$1),0),ROUND(PRODUCT(950,$AJ$1),0))</f>
        <v>5177</v>
      </c>
      <c r="AD120">
        <f>SUM(Z120,950,ROUND(PRODUCT(950,$AI$1),0),ROUND(PRODUCT(950,$AJ$1),0),ROUND(PRODUCT(950,$AK$1),0))</f>
        <v>5842</v>
      </c>
      <c r="AE120">
        <f>SUM(Z120,950,ROUND(PRODUCT(950,$AI$1),0),ROUND(PRODUCT(950,$AJ$1),0),ROUND(PRODUCT(950,$AK$1),0),ROUND(PRODUCT(950,$AL$1),0))</f>
        <v>6317</v>
      </c>
      <c r="AF120">
        <f>SUM(Z120,950,ROUND(PRODUCT(950,$AI$1),0),ROUND(PRODUCT(950,$AJ$1),0),ROUND(PRODUCT(950,$AK$1),0),ROUND(PRODUCT(950,$AL$1),0),ROUND(PRODUCT(950,$AM$1),0))</f>
        <v>6745</v>
      </c>
      <c r="AG120">
        <f>SUM(Z120,950,ROUND(PRODUCT(950,$AI$1),0),ROUND(PRODUCT(950,$AJ$1),0),ROUND(PRODUCT(950,$AK$1),0),ROUND(PRODUCT(950,$AL$1),0),ROUND(PRODUCT(950,$AM$1),0),ROUND(PRODUCT(950,$AN$1),0))</f>
        <v>7173</v>
      </c>
      <c r="AH120">
        <f>SUM(Z120,950,ROUND(PRODUCT(950,$AI$1),0),ROUND(PRODUCT(950,$AJ$1),0),ROUND(PRODUCT(950,$AK$1),0),ROUND(PRODUCT(950,$AL$1),0),ROUND(PRODUCT(950,$AM$1),0),ROUND(PRODUCT(950,$AN$1),0),ROUND(PRODUCT(950,$AO$1),0))</f>
        <v>7601</v>
      </c>
      <c r="AI120" s="61">
        <f>SUM(Z120,950,ROUND(PRODUCT(950,$AI$1),0),ROUND(PRODUCT(950,$AJ$1),0),ROUND(PRODUCT(950,$AK$1),0),ROUND(PRODUCT(950,$AL$1),0),ROUND(PRODUCT(950,$AM$1),0),ROUND(PRODUCT(950,$AN$1),0),ROUND(PRODUCT(950,$AO$1),0),ROUND(PRODUCT(950,$AP$1),0))</f>
        <v>8029</v>
      </c>
    </row>
    <row r="121" spans="2:60" ht="15" thickBot="1">
      <c r="B121" s="19">
        <v>30000</v>
      </c>
      <c r="C121" s="18">
        <v>3.9E-2</v>
      </c>
      <c r="E121" s="19">
        <v>30000</v>
      </c>
      <c r="F121" s="18">
        <v>4.8000000000000001E-2</v>
      </c>
      <c r="G121" s="63"/>
      <c r="I121" s="22">
        <v>11700000</v>
      </c>
      <c r="J121" s="661">
        <v>3.0000000000000001E-3</v>
      </c>
      <c r="M121" s="19">
        <v>7500000</v>
      </c>
      <c r="N121" s="18">
        <v>3.15E-3</v>
      </c>
      <c r="O121" s="20"/>
      <c r="P121" s="19">
        <v>262500</v>
      </c>
      <c r="Q121" s="18">
        <v>2.6039999999999997E-2</v>
      </c>
      <c r="R121" s="10">
        <f t="shared" si="147"/>
        <v>3.125E-2</v>
      </c>
      <c r="U121" s="19">
        <v>3099999</v>
      </c>
      <c r="V121" s="18">
        <v>2.32365E-2</v>
      </c>
      <c r="W121" s="18">
        <f t="shared" si="125"/>
        <v>2.4398325000000002E-2</v>
      </c>
      <c r="Y121" s="60" t="s">
        <v>74</v>
      </c>
      <c r="Z121">
        <v>2754</v>
      </c>
      <c r="AA121">
        <v>4540</v>
      </c>
      <c r="AB121">
        <f>SUM(Z121,1300,ROUND(PRODUCT(1300,$AI$1),0))</f>
        <v>5094</v>
      </c>
      <c r="AC121">
        <f>SUM(Z121,1300,ROUND(PRODUCT(1300,$AI$1),0),ROUND(PRODUCT(1300,$AJ$1),0))</f>
        <v>6069</v>
      </c>
      <c r="AD121">
        <f>SUM(Z121,1300,ROUND(PRODUCT(1300,$AI$1),0),ROUND(PRODUCT(1300,$AJ$1),0),ROUND(PRODUCT(1300,$AK$1),0))</f>
        <v>6979</v>
      </c>
      <c r="AE121">
        <f>SUM(Z121,1300,ROUND(PRODUCT(1300,$AI$1),0),ROUND(PRODUCT(1300,$AJ$1),0),ROUND(PRODUCT(1300,$AK$1),0),ROUND(PRODUCT(1300,$AL$1),0))</f>
        <v>7629</v>
      </c>
      <c r="AF121">
        <f>SUM(Z121,1300,ROUND(PRODUCT(1300,$AI$1),0),ROUND(PRODUCT(1300,$AJ$1),0),ROUND(PRODUCT(1300,$AK$1),0),ROUND(PRODUCT(1300,$AL$1),0),ROUND(PRODUCT(1300,$AM$1),0))</f>
        <v>8214</v>
      </c>
      <c r="AG121">
        <f>SUM(Z121,1300,ROUND(PRODUCT(1300,$AI$1),0),ROUND(PRODUCT(1300,$AJ$1),0),ROUND(PRODUCT(1300,$AK$1),0),ROUND(PRODUCT(1300,$AL$1),0),ROUND(PRODUCT(1300,$AM$1),0),ROUND(PRODUCT(1300,$AN$1),0))</f>
        <v>8799</v>
      </c>
      <c r="AH121">
        <f>SUM(Z121,1300,ROUND(PRODUCT(1300,$AI$1),0),ROUND(PRODUCT(1300,$AJ$1),0),ROUND(PRODUCT(1300,$AK$1),0),ROUND(PRODUCT(1300,$AL$1),0),ROUND(PRODUCT(1300,$AM$1),0),ROUND(PRODUCT(1300,$AN$1),0),ROUND(PRODUCT(1300,$AO$1),0))</f>
        <v>9384</v>
      </c>
      <c r="AI121" s="61">
        <f>SUM(Z121,1300,ROUND(PRODUCT(1300,$AI$1),0),ROUND(PRODUCT(1300,$AJ$1),0),ROUND(PRODUCT(1300,$AK$1),0),ROUND(PRODUCT(1300,$AL$1),0),ROUND(PRODUCT(1300,$AM$1),0),ROUND(PRODUCT(1300,$AN$1),0),ROUND(PRODUCT(1300,$AO$1),0),ROUND(PRODUCT(1300,$AP$1),0))</f>
        <v>9969</v>
      </c>
    </row>
    <row r="122" spans="2:60" ht="15" thickBot="1">
      <c r="B122" s="19">
        <v>49999</v>
      </c>
      <c r="C122" s="18">
        <v>3.9E-2</v>
      </c>
      <c r="E122" s="19">
        <v>49999</v>
      </c>
      <c r="F122" s="18">
        <v>4.8000000000000001E-2</v>
      </c>
      <c r="G122" s="63"/>
      <c r="I122" s="22">
        <v>11800000</v>
      </c>
      <c r="J122" s="661">
        <v>3.0000000000000001E-3</v>
      </c>
      <c r="M122" s="19">
        <v>7600000</v>
      </c>
      <c r="N122" s="18">
        <v>3.14E-3</v>
      </c>
      <c r="P122" s="19">
        <v>274999</v>
      </c>
      <c r="Q122" s="18">
        <v>2.6039999999999997E-2</v>
      </c>
      <c r="R122" s="10">
        <f t="shared" si="147"/>
        <v>3.125E-2</v>
      </c>
      <c r="U122" s="19">
        <v>3100000</v>
      </c>
      <c r="V122" s="18">
        <v>2.31945E-2</v>
      </c>
      <c r="W122" s="18">
        <f t="shared" si="125"/>
        <v>2.4354225E-2</v>
      </c>
      <c r="Y122" s="60" t="s">
        <v>76</v>
      </c>
      <c r="Z122">
        <v>2754</v>
      </c>
      <c r="AA122">
        <v>4890</v>
      </c>
      <c r="AB122">
        <f>SUM(Z122,1650,ROUND(PRODUCT(1650,$AI$1),0))</f>
        <v>5724</v>
      </c>
      <c r="AC122">
        <f>SUM(Z122,1650,ROUND(PRODUCT(1650,$AI$1),0),ROUND(PRODUCT(1650,$AJ$1),0))</f>
        <v>6962</v>
      </c>
      <c r="AD122">
        <f>SUM(Z122,1650,ROUND(PRODUCT(1650,$AI$1),0),ROUND(PRODUCT(1650,$AJ$1),0),ROUND(PRODUCT(1650,$AK$1),0))</f>
        <v>8117</v>
      </c>
      <c r="AE122">
        <f>SUM(Z122,1650,ROUND(PRODUCT(1650,$AI$1),0),ROUND(PRODUCT(1650,$AJ$1),0),ROUND(PRODUCT(1650,$AK$1),0),ROUND(PRODUCT(1650,$AL$1),0))</f>
        <v>8942</v>
      </c>
      <c r="AF122">
        <f>SUM(Z122,1650,ROUND(PRODUCT(1650,$AI$1),0),ROUND(PRODUCT(1650,$AJ$1),0),ROUND(PRODUCT(1650,$AK$1),0),ROUND(PRODUCT(1650,$AL$1),0),ROUND(PRODUCT(1650,$AM$1),0))</f>
        <v>9685</v>
      </c>
      <c r="AG122">
        <f>SUM(Z122,1650,ROUND(PRODUCT(1650,$AI$1),0),ROUND(PRODUCT(1650,$AJ$1),0),ROUND(PRODUCT(1650,$AK$1),0),ROUND(PRODUCT(1650,$AL$1),0),ROUND(PRODUCT(1650,$AM$1),0),ROUND(PRODUCT(1650,$AN$1),0))</f>
        <v>10428</v>
      </c>
      <c r="AH122">
        <f>SUM(Z122,1650,ROUND(PRODUCT(1650,$AI$1),0),ROUND(PRODUCT(1650,$AJ$1),0),ROUND(PRODUCT(1650,$AK$1),0),ROUND(PRODUCT(1650,$AL$1),0),ROUND(PRODUCT(1650,$AM$1),0),ROUND(PRODUCT(1650,$AN$1),0),ROUND(PRODUCT(1650,$AO$1),0))</f>
        <v>11171</v>
      </c>
      <c r="AI122" s="61">
        <f>SUM(Z122,1650,ROUND(PRODUCT(1650,$AI$1),0),ROUND(PRODUCT(1650,$AJ$1),0),ROUND(PRODUCT(1650,$AK$1),0),ROUND(PRODUCT(1650,$AL$1),0),ROUND(PRODUCT(1650,$AM$1),0),ROUND(PRODUCT(1650,$AN$1),0),ROUND(PRODUCT(1650,$AO$1),0),ROUND(PRODUCT(1650,$AP$1),0))</f>
        <v>11914</v>
      </c>
      <c r="AR122" t="s">
        <v>2867</v>
      </c>
    </row>
    <row r="123" spans="2:60" ht="15" thickBot="1">
      <c r="B123" s="19">
        <v>50000</v>
      </c>
      <c r="C123" s="18">
        <v>3.3000000000000002E-2</v>
      </c>
      <c r="E123" s="19">
        <v>50000</v>
      </c>
      <c r="F123" s="18">
        <v>4.0500000000000001E-2</v>
      </c>
      <c r="G123" s="63"/>
      <c r="I123" s="22">
        <v>11900000</v>
      </c>
      <c r="J123" s="661">
        <v>3.0000000000000001E-3</v>
      </c>
      <c r="M123" s="19">
        <v>7700000</v>
      </c>
      <c r="N123" s="18">
        <v>3.13E-3</v>
      </c>
      <c r="P123" s="19">
        <v>275000</v>
      </c>
      <c r="Q123" s="18">
        <v>2.5759999999999998E-2</v>
      </c>
      <c r="R123" s="10">
        <f t="shared" si="147"/>
        <v>3.091E-2</v>
      </c>
      <c r="U123" s="19">
        <v>3299999</v>
      </c>
      <c r="V123" s="18">
        <v>2.31945E-2</v>
      </c>
      <c r="W123" s="18">
        <f t="shared" si="125"/>
        <v>2.4354225E-2</v>
      </c>
      <c r="Y123" s="60" t="s">
        <v>78</v>
      </c>
      <c r="Z123">
        <v>2754</v>
      </c>
      <c r="AA123">
        <v>5240</v>
      </c>
      <c r="AB123">
        <f>SUM(Z123,2000,ROUND(PRODUCT(2000,$AI$1),0))</f>
        <v>6354</v>
      </c>
      <c r="AC123">
        <f>SUM(Z123,2000,ROUND(PRODUCT(2000,$AI$1),0),ROUND(PRODUCT(2000,$AJ$1),0))</f>
        <v>7854</v>
      </c>
      <c r="AD123">
        <f>SUM(Z123,2000,ROUND(PRODUCT(2000,$AI$1),0),ROUND(PRODUCT(2000,$AJ$1),0),ROUND(PRODUCT(2000,$AK$1),0))</f>
        <v>9254</v>
      </c>
      <c r="AE123">
        <f>SUM(Z123,2000,ROUND(PRODUCT(2000,$AI$1),0),ROUND(PRODUCT(2000,$AJ$1),0),ROUND(PRODUCT(2000,$AK$1),0),ROUND(PRODUCT(2000,$AL$1),0))</f>
        <v>10254</v>
      </c>
      <c r="AF123">
        <f>SUM(Z123,2000,ROUND(PRODUCT(2000,$AI$1),0),ROUND(PRODUCT(2000,$AJ$1),0),ROUND(PRODUCT(2000,$AK$1),0),ROUND(PRODUCT(2000,$AL$1),0),ROUND(PRODUCT(2000,$AM$1),0))</f>
        <v>11154</v>
      </c>
      <c r="AG123">
        <f>SUM(Z123,2000,ROUND(PRODUCT(2000,$AI$1),0),ROUND(PRODUCT(2000,$AJ$1),0),ROUND(PRODUCT(2000,$AK$1),0),ROUND(PRODUCT(2000,$AL$1),0),ROUND(PRODUCT(2000,$AM$1),0),ROUND(PRODUCT(2000,$AN$1),0))</f>
        <v>12054</v>
      </c>
      <c r="AH123">
        <f>SUM(Z123,2000,ROUND(PRODUCT(2000,$AI$1),0),ROUND(PRODUCT(2000,$AJ$1),0),ROUND(PRODUCT(2000,$AK$1),0),ROUND(PRODUCT(2000,$AL$1),0),ROUND(PRODUCT(2000,$AM$1),0),ROUND(PRODUCT(2000,$AN$1),0),ROUND(PRODUCT(2000,$AO$1),0))</f>
        <v>12954</v>
      </c>
      <c r="AI123" s="61">
        <f>SUM(Z123,2000,ROUND(PRODUCT(2000,$AI$1),0),ROUND(PRODUCT(2000,$AJ$1),0),ROUND(PRODUCT(2000,$AK$1),0),ROUND(PRODUCT(2000,$AL$1),0),ROUND(PRODUCT(2000,$AM$1),0),ROUND(PRODUCT(2000,$AN$1),0),ROUND(PRODUCT(2000,$AO$1),0),ROUND(PRODUCT(2000,$AP$1),0))</f>
        <v>13854</v>
      </c>
      <c r="AR123" t="s">
        <v>2868</v>
      </c>
      <c r="AS123">
        <v>1017</v>
      </c>
      <c r="AT123">
        <v>2261</v>
      </c>
      <c r="AU123">
        <v>3256</v>
      </c>
      <c r="AV123">
        <v>4188</v>
      </c>
      <c r="AW123">
        <v>5095</v>
      </c>
      <c r="AX123">
        <v>5680</v>
      </c>
      <c r="AY123">
        <v>6239</v>
      </c>
      <c r="AZ123">
        <v>6674</v>
      </c>
      <c r="BA123">
        <v>7482</v>
      </c>
      <c r="BB123">
        <v>8290</v>
      </c>
      <c r="BC123">
        <v>9098</v>
      </c>
      <c r="BD123">
        <v>9907</v>
      </c>
      <c r="BE123">
        <v>10715</v>
      </c>
      <c r="BF123">
        <v>11523</v>
      </c>
      <c r="BG123">
        <v>12332</v>
      </c>
      <c r="BH123">
        <v>13140</v>
      </c>
    </row>
    <row r="124" spans="2:60" ht="15" thickBot="1">
      <c r="B124" s="19">
        <v>74999</v>
      </c>
      <c r="C124" s="18">
        <v>3.3000000000000002E-2</v>
      </c>
      <c r="E124" s="19">
        <v>74999</v>
      </c>
      <c r="F124" s="18">
        <v>4.0500000000000001E-2</v>
      </c>
      <c r="G124" s="63"/>
      <c r="I124" s="22">
        <v>12000000</v>
      </c>
      <c r="J124" s="661">
        <v>3.0000000000000001E-3</v>
      </c>
      <c r="M124" s="19">
        <v>7800000</v>
      </c>
      <c r="N124" s="18">
        <v>3.1199999999999999E-3</v>
      </c>
      <c r="P124" s="19">
        <v>287499</v>
      </c>
      <c r="Q124" s="18">
        <v>2.5759999999999998E-2</v>
      </c>
      <c r="R124" s="10">
        <f t="shared" si="147"/>
        <v>3.091E-2</v>
      </c>
      <c r="U124" s="19">
        <v>3300000</v>
      </c>
      <c r="V124" s="18">
        <v>2.3152499999999999E-2</v>
      </c>
      <c r="W124" s="18">
        <f t="shared" si="125"/>
        <v>2.4310125000000002E-2</v>
      </c>
      <c r="Y124" s="62" t="s">
        <v>2858</v>
      </c>
      <c r="Z124" s="68">
        <v>2754</v>
      </c>
      <c r="AA124" s="68">
        <v>5940</v>
      </c>
      <c r="AB124" s="68">
        <f>SUM(Z124,2700,ROUND(PRODUCT(2700,$AI$1),0))</f>
        <v>7614</v>
      </c>
      <c r="AC124" s="68">
        <f>SUM(Z124,2700,ROUND(PRODUCT(2700,$AI$1),0),ROUND(PRODUCT(2700,$AJ$1),0))</f>
        <v>9639</v>
      </c>
      <c r="AD124" s="68">
        <f>SUM(Z124,2700,ROUND(PRODUCT(2700,$AI$1),0),ROUND(PRODUCT(2700,$AJ$1),0),ROUND(PRODUCT(2700,$AK$1),0))</f>
        <v>11529</v>
      </c>
      <c r="AE124" s="68">
        <f>SUM(Z124,2700,ROUND(PRODUCT(2700,$AI$1),0),ROUND(PRODUCT(2700,$AJ$1),0),ROUND(PRODUCT(2700,$AK$1),0),ROUND(PRODUCT(2700,$AL$1),0))</f>
        <v>12879</v>
      </c>
      <c r="AF124" s="68">
        <f>SUM(Z124,2700,ROUND(PRODUCT(2700,$AI$1),0),ROUND(PRODUCT(2700,$AJ$1),0),ROUND(PRODUCT(2700,$AK$1),0),ROUND(PRODUCT(2700,$AL$1),0),ROUND(PRODUCT(2700,$AM$1),0))</f>
        <v>14094</v>
      </c>
      <c r="AG124" s="68">
        <f>SUM(Z124,2700,ROUND(PRODUCT(2700,$AI$1),0),ROUND(PRODUCT(2700,$AJ$1),0),ROUND(PRODUCT(2700,$AK$1),0),ROUND(PRODUCT(2700,$AL$1),0),ROUND(PRODUCT(2700,$AM$1),0),ROUND(PRODUCT(2700,$AN$1),0))</f>
        <v>15309</v>
      </c>
      <c r="AH124" s="68">
        <f>SUM(Z124,2700,ROUND(PRODUCT(2700,$AI$1),0),ROUND(PRODUCT(2700,$AJ$1),0),ROUND(PRODUCT(2700,$AK$1),0),ROUND(PRODUCT(2700,$AL$1),0),ROUND(PRODUCT(2700,$AM$1),0),ROUND(PRODUCT(2700,$AN$1),0),ROUND(PRODUCT(2700,$AO$1),0))</f>
        <v>16524</v>
      </c>
      <c r="AI124" s="77">
        <f>SUM(Z124,2700,ROUND(PRODUCT(2700,$AI$1),0),ROUND(PRODUCT(2700,$AJ$1),0),ROUND(PRODUCT(2700,$AK$1),0),ROUND(PRODUCT(2700,$AL$1),0),ROUND(PRODUCT(2700,$AM$1),0),ROUND(PRODUCT(2700,$AN$1),0),ROUND(PRODUCT(2700,$AO$1),0),ROUND(PRODUCT(2700,$AP$1),0))</f>
        <v>17739</v>
      </c>
      <c r="AR124" t="s">
        <v>2869</v>
      </c>
      <c r="AS124">
        <v>2822</v>
      </c>
      <c r="AT124">
        <v>4729</v>
      </c>
      <c r="AU124">
        <v>6253</v>
      </c>
      <c r="AV124">
        <v>7683</v>
      </c>
      <c r="AW124">
        <v>9075</v>
      </c>
      <c r="AX124">
        <v>9971</v>
      </c>
      <c r="AY124">
        <v>10828</v>
      </c>
      <c r="AZ124">
        <v>11495</v>
      </c>
      <c r="BA124">
        <v>12734</v>
      </c>
      <c r="BB124">
        <v>13973</v>
      </c>
      <c r="BC124">
        <v>15212</v>
      </c>
      <c r="BD124">
        <v>16452</v>
      </c>
      <c r="BE124">
        <v>17691</v>
      </c>
      <c r="BF124">
        <v>18930</v>
      </c>
      <c r="BG124">
        <v>20170</v>
      </c>
      <c r="BH124">
        <v>21409</v>
      </c>
    </row>
    <row r="125" spans="2:60" ht="15" thickBot="1">
      <c r="B125" s="19">
        <v>75000</v>
      </c>
      <c r="C125" s="18">
        <v>2.7E-2</v>
      </c>
      <c r="E125" s="19">
        <v>75000</v>
      </c>
      <c r="F125" s="18">
        <v>3.3000000000000002E-2</v>
      </c>
      <c r="G125" s="63"/>
      <c r="I125" s="22">
        <v>12100000</v>
      </c>
      <c r="J125" s="661">
        <v>3.0000000000000001E-3</v>
      </c>
      <c r="M125" s="19">
        <v>7900000</v>
      </c>
      <c r="N125" s="18">
        <v>3.1099999999999999E-3</v>
      </c>
      <c r="P125" s="19">
        <v>287500</v>
      </c>
      <c r="Q125" s="18">
        <v>2.5479999999999996E-2</v>
      </c>
      <c r="R125" s="10">
        <f t="shared" si="147"/>
        <v>3.058E-2</v>
      </c>
      <c r="U125" s="19">
        <v>3499999</v>
      </c>
      <c r="V125" s="18">
        <v>2.3152499999999999E-2</v>
      </c>
      <c r="W125" s="18">
        <f t="shared" si="125"/>
        <v>2.4310125000000002E-2</v>
      </c>
      <c r="AR125" t="s">
        <v>2870</v>
      </c>
      <c r="AS125">
        <v>7623</v>
      </c>
      <c r="AT125">
        <v>9929</v>
      </c>
      <c r="AU125">
        <v>11774</v>
      </c>
      <c r="AV125">
        <v>13503</v>
      </c>
      <c r="AW125">
        <v>15187</v>
      </c>
      <c r="AX125">
        <v>16270</v>
      </c>
      <c r="AY125">
        <v>17308</v>
      </c>
      <c r="AZ125">
        <v>18115</v>
      </c>
      <c r="BA125">
        <v>19614</v>
      </c>
      <c r="BB125">
        <v>21113</v>
      </c>
      <c r="BC125">
        <v>22612</v>
      </c>
      <c r="BD125">
        <v>24110</v>
      </c>
      <c r="BE125">
        <v>25609</v>
      </c>
      <c r="BF125">
        <v>27108</v>
      </c>
      <c r="BG125">
        <v>28607</v>
      </c>
      <c r="BH125">
        <v>30105</v>
      </c>
    </row>
    <row r="126" spans="2:60" ht="15" thickBot="1">
      <c r="B126" s="19">
        <v>99999</v>
      </c>
      <c r="C126" s="18">
        <v>2.7E-2</v>
      </c>
      <c r="E126" s="19">
        <v>99999</v>
      </c>
      <c r="F126" s="18">
        <v>3.3000000000000002E-2</v>
      </c>
      <c r="G126" s="63"/>
      <c r="I126" s="22">
        <v>12200000</v>
      </c>
      <c r="J126" s="661">
        <v>3.0000000000000001E-3</v>
      </c>
      <c r="M126" s="19">
        <v>8000000</v>
      </c>
      <c r="N126" s="18">
        <v>3.0999999999999999E-3</v>
      </c>
      <c r="P126" s="19">
        <v>299999</v>
      </c>
      <c r="Q126" s="18">
        <v>2.5479999999999996E-2</v>
      </c>
      <c r="R126" s="10">
        <f t="shared" si="147"/>
        <v>3.058E-2</v>
      </c>
      <c r="U126" s="19">
        <v>3500000</v>
      </c>
      <c r="V126" s="18">
        <v>2.3152499999999999E-2</v>
      </c>
      <c r="W126" s="18">
        <f t="shared" si="125"/>
        <v>2.4310125000000002E-2</v>
      </c>
    </row>
    <row r="127" spans="2:60" ht="15" thickBot="1">
      <c r="B127" s="19">
        <v>100000</v>
      </c>
      <c r="C127" s="18">
        <v>2.4E-2</v>
      </c>
      <c r="E127" s="19">
        <v>100000</v>
      </c>
      <c r="F127" s="18">
        <v>2.9250000000000002E-2</v>
      </c>
      <c r="G127" s="63"/>
      <c r="I127" s="22">
        <v>12300000</v>
      </c>
      <c r="J127" s="661">
        <v>3.0000000000000001E-3</v>
      </c>
      <c r="M127" s="19">
        <v>8100000</v>
      </c>
      <c r="N127" s="18">
        <v>3.0999999999999999E-3</v>
      </c>
      <c r="P127" s="19">
        <v>300000</v>
      </c>
      <c r="Q127" s="18">
        <v>2.5199999999999997E-2</v>
      </c>
      <c r="R127" s="10">
        <f t="shared" si="147"/>
        <v>3.024E-2</v>
      </c>
    </row>
    <row r="128" spans="2:60" ht="15" thickBot="1">
      <c r="B128" s="19">
        <v>124999</v>
      </c>
      <c r="C128" s="18">
        <v>2.4E-2</v>
      </c>
      <c r="E128" s="19">
        <v>124999</v>
      </c>
      <c r="F128" s="18">
        <v>2.9250000000000002E-2</v>
      </c>
      <c r="G128" s="63"/>
      <c r="I128" s="22">
        <v>12400000</v>
      </c>
      <c r="J128" s="661">
        <v>3.0000000000000001E-3</v>
      </c>
      <c r="M128" s="19">
        <v>8200000</v>
      </c>
      <c r="N128" s="18">
        <v>3.0999999999999999E-3</v>
      </c>
      <c r="P128" s="19">
        <v>312499</v>
      </c>
      <c r="Q128" s="18">
        <v>2.5199999999999997E-2</v>
      </c>
      <c r="R128" s="10">
        <f t="shared" si="147"/>
        <v>3.024E-2</v>
      </c>
    </row>
    <row r="129" spans="2:41" ht="15" thickBot="1">
      <c r="B129" s="19">
        <v>125000</v>
      </c>
      <c r="C129" s="18">
        <v>2.2499999999999999E-2</v>
      </c>
      <c r="E129" s="19">
        <v>125000</v>
      </c>
      <c r="F129" s="18">
        <v>2.7380000000000002E-2</v>
      </c>
      <c r="G129" s="63"/>
      <c r="I129" s="22">
        <v>12500000</v>
      </c>
      <c r="J129" s="661">
        <v>3.0000000000000001E-3</v>
      </c>
      <c r="M129" s="19">
        <v>8300000</v>
      </c>
      <c r="N129" s="18">
        <v>3.0999999999999999E-3</v>
      </c>
      <c r="P129" s="19">
        <v>312500</v>
      </c>
      <c r="Q129" s="18">
        <v>2.4919999999999994E-2</v>
      </c>
      <c r="R129" s="10">
        <f t="shared" si="147"/>
        <v>2.9899999999999999E-2</v>
      </c>
      <c r="Y129" t="s">
        <v>2871</v>
      </c>
    </row>
    <row r="130" spans="2:41" ht="15.75" thickTop="1" thickBot="1">
      <c r="B130" s="19">
        <v>149999</v>
      </c>
      <c r="C130" s="18">
        <v>2.2499999999999999E-2</v>
      </c>
      <c r="E130" s="19">
        <v>149999</v>
      </c>
      <c r="F130" s="18">
        <v>2.7380000000000002E-2</v>
      </c>
      <c r="G130" s="63"/>
      <c r="I130" s="22">
        <v>12600000</v>
      </c>
      <c r="J130" s="661">
        <v>2.996E-3</v>
      </c>
      <c r="M130" s="19">
        <v>8400000</v>
      </c>
      <c r="N130" s="18">
        <v>3.0999999999999999E-3</v>
      </c>
      <c r="P130" s="19">
        <v>324999</v>
      </c>
      <c r="Q130" s="18">
        <v>2.4919999999999994E-2</v>
      </c>
      <c r="R130" s="10">
        <f t="shared" si="147"/>
        <v>2.9899999999999999E-2</v>
      </c>
      <c r="Y130" s="475" t="s">
        <v>2849</v>
      </c>
      <c r="Z130" s="476" t="s">
        <v>2850</v>
      </c>
      <c r="AA130" s="476"/>
      <c r="AB130" s="476"/>
      <c r="AC130" s="476"/>
      <c r="AD130" s="476"/>
      <c r="AE130" s="476"/>
      <c r="AF130" s="476"/>
      <c r="AG130" s="476"/>
      <c r="AH130" s="476"/>
      <c r="AI130" s="476"/>
    </row>
    <row r="131" spans="2:41" ht="15.75" thickTop="1" thickBot="1">
      <c r="B131" s="19">
        <v>150000</v>
      </c>
      <c r="C131" s="18">
        <v>2.1000000000000001E-2</v>
      </c>
      <c r="E131" s="19">
        <v>150000</v>
      </c>
      <c r="F131" s="18">
        <v>2.5499999999999998E-2</v>
      </c>
      <c r="G131" s="63"/>
      <c r="I131" s="22">
        <v>12700000</v>
      </c>
      <c r="J131" s="661">
        <v>2.9920000000000003E-3</v>
      </c>
      <c r="M131" s="19">
        <v>8500000</v>
      </c>
      <c r="N131" s="18">
        <v>3.0999999999999999E-3</v>
      </c>
      <c r="P131" s="19">
        <v>325000</v>
      </c>
      <c r="Q131" s="18">
        <v>2.4639999999999995E-2</v>
      </c>
      <c r="R131" s="10">
        <f t="shared" si="147"/>
        <v>2.9569999999999999E-2</v>
      </c>
      <c r="Y131" s="478"/>
      <c r="Z131">
        <v>0</v>
      </c>
      <c r="AA131">
        <v>1</v>
      </c>
      <c r="AB131">
        <v>2</v>
      </c>
      <c r="AC131">
        <v>3</v>
      </c>
      <c r="AD131">
        <v>4</v>
      </c>
      <c r="AE131">
        <v>5</v>
      </c>
      <c r="AF131">
        <v>6</v>
      </c>
      <c r="AG131">
        <v>7</v>
      </c>
      <c r="AH131">
        <v>8</v>
      </c>
      <c r="AI131">
        <v>9</v>
      </c>
      <c r="AJ131" s="476"/>
      <c r="AK131" s="476"/>
      <c r="AL131" s="476"/>
      <c r="AM131" s="476"/>
      <c r="AN131" s="476"/>
      <c r="AO131" s="477"/>
    </row>
    <row r="132" spans="2:41" ht="15" thickBot="1">
      <c r="B132" s="19">
        <v>174999</v>
      </c>
      <c r="C132" s="18">
        <v>2.1000000000000001E-2</v>
      </c>
      <c r="E132" s="19">
        <v>174999</v>
      </c>
      <c r="F132" s="18">
        <v>2.5499999999999998E-2</v>
      </c>
      <c r="G132" s="63"/>
      <c r="I132" s="22">
        <v>12800000</v>
      </c>
      <c r="J132" s="661">
        <v>2.9880000000000002E-3</v>
      </c>
      <c r="M132" s="19">
        <v>8600000</v>
      </c>
      <c r="N132" s="18">
        <v>3.0999999999999999E-3</v>
      </c>
      <c r="P132" s="19">
        <v>337499</v>
      </c>
      <c r="Q132" s="18">
        <v>2.4639999999999995E-2</v>
      </c>
      <c r="R132" s="10">
        <f t="shared" si="147"/>
        <v>2.9569999999999999E-2</v>
      </c>
      <c r="Y132" s="478" t="s">
        <v>60</v>
      </c>
      <c r="Z132">
        <v>158</v>
      </c>
      <c r="AA132">
        <v>158</v>
      </c>
      <c r="AB132">
        <v>158</v>
      </c>
      <c r="AC132">
        <v>158</v>
      </c>
      <c r="AD132">
        <v>158</v>
      </c>
      <c r="AE132">
        <v>158</v>
      </c>
      <c r="AF132">
        <v>158</v>
      </c>
      <c r="AG132">
        <v>158</v>
      </c>
      <c r="AH132">
        <v>158</v>
      </c>
      <c r="AI132">
        <v>158</v>
      </c>
      <c r="AJ132">
        <v>10</v>
      </c>
      <c r="AK132">
        <v>11</v>
      </c>
      <c r="AL132">
        <v>12</v>
      </c>
      <c r="AM132">
        <v>13</v>
      </c>
      <c r="AN132">
        <v>14</v>
      </c>
      <c r="AO132" s="479">
        <v>15</v>
      </c>
    </row>
    <row r="133" spans="2:41" ht="15" thickBot="1">
      <c r="B133" s="19">
        <v>175000</v>
      </c>
      <c r="C133" s="18">
        <v>1.95E-2</v>
      </c>
      <c r="E133" s="19">
        <v>175000</v>
      </c>
      <c r="F133" s="18">
        <v>2.3630000000000002E-2</v>
      </c>
      <c r="G133" s="63"/>
      <c r="I133" s="22">
        <v>12900000</v>
      </c>
      <c r="J133" s="661">
        <v>2.9840000000000001E-3</v>
      </c>
      <c r="M133" s="19">
        <v>8700000</v>
      </c>
      <c r="N133" s="18">
        <v>3.0999999999999999E-3</v>
      </c>
      <c r="P133" s="19">
        <v>337500</v>
      </c>
      <c r="Q133" s="18">
        <v>2.4359999999999996E-2</v>
      </c>
      <c r="R133" s="10">
        <f t="shared" si="147"/>
        <v>2.9229999999999999E-2</v>
      </c>
      <c r="Y133" s="478" t="s">
        <v>61</v>
      </c>
      <c r="Z133">
        <v>158</v>
      </c>
      <c r="AA133">
        <v>194</v>
      </c>
      <c r="AB133">
        <v>224</v>
      </c>
      <c r="AC133">
        <v>251</v>
      </c>
      <c r="AD133">
        <v>277</v>
      </c>
      <c r="AE133">
        <v>296</v>
      </c>
      <c r="AF133">
        <v>313</v>
      </c>
      <c r="AG133">
        <v>330</v>
      </c>
      <c r="AH133">
        <v>347</v>
      </c>
      <c r="AI133">
        <v>363</v>
      </c>
      <c r="AJ133">
        <v>158</v>
      </c>
      <c r="AK133">
        <v>158</v>
      </c>
      <c r="AL133">
        <v>158</v>
      </c>
      <c r="AM133">
        <v>158</v>
      </c>
      <c r="AN133">
        <v>158</v>
      </c>
      <c r="AO133" s="479">
        <v>158</v>
      </c>
    </row>
    <row r="134" spans="2:41" ht="15" thickBot="1">
      <c r="B134" s="19">
        <v>199999</v>
      </c>
      <c r="C134" s="18">
        <v>1.95E-2</v>
      </c>
      <c r="E134" s="19">
        <v>199999</v>
      </c>
      <c r="F134" s="18">
        <v>2.3630000000000002E-2</v>
      </c>
      <c r="G134" s="63"/>
      <c r="I134" s="22">
        <v>13000000</v>
      </c>
      <c r="J134" s="661">
        <v>2.98E-3</v>
      </c>
      <c r="M134" s="19">
        <v>8800000</v>
      </c>
      <c r="N134" s="18">
        <v>3.0999999999999999E-3</v>
      </c>
      <c r="P134" s="19">
        <v>349999</v>
      </c>
      <c r="Q134" s="18">
        <v>2.4359999999999996E-2</v>
      </c>
      <c r="R134" s="10">
        <f t="shared" si="147"/>
        <v>2.9229999999999999E-2</v>
      </c>
      <c r="Y134" s="478" t="s">
        <v>62</v>
      </c>
      <c r="Z134">
        <v>158</v>
      </c>
      <c r="AA134">
        <v>210</v>
      </c>
      <c r="AB134">
        <v>252</v>
      </c>
      <c r="AC134">
        <v>292</v>
      </c>
      <c r="AD134">
        <v>329</v>
      </c>
      <c r="AE134">
        <v>355</v>
      </c>
      <c r="AF134">
        <v>379</v>
      </c>
      <c r="AG134">
        <v>403</v>
      </c>
      <c r="AH134">
        <v>427</v>
      </c>
      <c r="AI134">
        <v>452</v>
      </c>
      <c r="AJ134">
        <f>AI133+16</f>
        <v>379</v>
      </c>
      <c r="AK134">
        <f t="shared" ref="AK134:AO134" si="148">AJ134+16</f>
        <v>395</v>
      </c>
      <c r="AL134">
        <f t="shared" si="148"/>
        <v>411</v>
      </c>
      <c r="AM134">
        <f t="shared" si="148"/>
        <v>427</v>
      </c>
      <c r="AN134">
        <f t="shared" si="148"/>
        <v>443</v>
      </c>
      <c r="AO134" s="479">
        <f t="shared" si="148"/>
        <v>459</v>
      </c>
    </row>
    <row r="135" spans="2:41" ht="15" thickBot="1">
      <c r="B135" s="19">
        <v>200000</v>
      </c>
      <c r="C135" s="18">
        <v>1.7999999999999999E-2</v>
      </c>
      <c r="E135" s="19">
        <v>200000</v>
      </c>
      <c r="F135" s="18">
        <v>2.1749999999999999E-2</v>
      </c>
      <c r="G135" s="63"/>
      <c r="I135" s="22">
        <v>13100000</v>
      </c>
      <c r="J135" s="661">
        <v>2.9759999999999999E-3</v>
      </c>
      <c r="M135" s="19">
        <v>8900000</v>
      </c>
      <c r="N135" s="18">
        <v>3.0999999999999999E-3</v>
      </c>
      <c r="P135" s="19">
        <v>350000</v>
      </c>
      <c r="Q135" s="18">
        <v>2.4079999999999994E-2</v>
      </c>
      <c r="R135" s="10">
        <f t="shared" si="147"/>
        <v>2.8899999999999999E-2</v>
      </c>
      <c r="Y135" s="478" t="s">
        <v>63</v>
      </c>
      <c r="Z135">
        <v>210</v>
      </c>
      <c r="AA135">
        <v>210</v>
      </c>
      <c r="AB135">
        <v>210</v>
      </c>
      <c r="AC135">
        <v>210</v>
      </c>
      <c r="AD135">
        <v>210</v>
      </c>
      <c r="AE135">
        <v>210</v>
      </c>
      <c r="AF135">
        <v>210</v>
      </c>
      <c r="AG135">
        <v>210</v>
      </c>
      <c r="AH135">
        <v>210</v>
      </c>
      <c r="AI135">
        <v>210</v>
      </c>
      <c r="AJ135">
        <f>AI134+25</f>
        <v>477</v>
      </c>
      <c r="AK135">
        <f t="shared" ref="AK135:AO135" si="149">AJ135+25</f>
        <v>502</v>
      </c>
      <c r="AL135">
        <f t="shared" si="149"/>
        <v>527</v>
      </c>
      <c r="AM135">
        <f t="shared" si="149"/>
        <v>552</v>
      </c>
      <c r="AN135">
        <f t="shared" si="149"/>
        <v>577</v>
      </c>
      <c r="AO135" s="479">
        <f t="shared" si="149"/>
        <v>602</v>
      </c>
    </row>
    <row r="136" spans="2:41" ht="15" thickBot="1">
      <c r="B136" s="19">
        <v>249999</v>
      </c>
      <c r="C136" s="18">
        <v>1.7999999999999999E-2</v>
      </c>
      <c r="E136" s="19">
        <v>249999</v>
      </c>
      <c r="F136" s="18">
        <v>2.1749999999999999E-2</v>
      </c>
      <c r="G136" s="63"/>
      <c r="I136" s="22">
        <v>13200000</v>
      </c>
      <c r="J136" s="661">
        <v>2.9720000000000002E-3</v>
      </c>
      <c r="M136" s="19">
        <v>9000000</v>
      </c>
      <c r="N136" s="18">
        <v>3.0999999999999999E-3</v>
      </c>
      <c r="P136" s="19">
        <v>362499</v>
      </c>
      <c r="Q136" s="18">
        <v>2.4079999999999994E-2</v>
      </c>
      <c r="R136" s="10">
        <f t="shared" si="147"/>
        <v>2.8899999999999999E-2</v>
      </c>
      <c r="Y136" s="478" t="s">
        <v>64</v>
      </c>
      <c r="Z136">
        <v>210</v>
      </c>
      <c r="AA136">
        <v>263</v>
      </c>
      <c r="AB136">
        <v>305</v>
      </c>
      <c r="AC136">
        <v>344</v>
      </c>
      <c r="AD136">
        <v>381</v>
      </c>
      <c r="AE136">
        <v>407</v>
      </c>
      <c r="AF136">
        <v>432</v>
      </c>
      <c r="AG136">
        <v>456</v>
      </c>
      <c r="AH136">
        <v>480</v>
      </c>
      <c r="AI136">
        <v>504</v>
      </c>
      <c r="AJ136">
        <v>210</v>
      </c>
      <c r="AK136">
        <v>210</v>
      </c>
      <c r="AL136">
        <v>210</v>
      </c>
      <c r="AM136">
        <v>210</v>
      </c>
      <c r="AN136">
        <v>210</v>
      </c>
      <c r="AO136" s="479">
        <v>210</v>
      </c>
    </row>
    <row r="137" spans="2:41" ht="15" thickBot="1">
      <c r="B137" s="19">
        <v>250000</v>
      </c>
      <c r="C137" s="18">
        <v>1.6500000000000001E-2</v>
      </c>
      <c r="E137" s="19">
        <v>250000</v>
      </c>
      <c r="F137" s="18">
        <v>1.9879999999999998E-2</v>
      </c>
      <c r="G137" s="63"/>
      <c r="I137" s="22">
        <v>13300000</v>
      </c>
      <c r="J137" s="661">
        <v>2.9680000000000002E-3</v>
      </c>
      <c r="M137" s="19">
        <v>9100000</v>
      </c>
      <c r="N137" s="18">
        <v>3.0899999999999999E-3</v>
      </c>
      <c r="P137" s="19">
        <v>362500</v>
      </c>
      <c r="Q137" s="18">
        <v>2.3799999999999995E-2</v>
      </c>
      <c r="R137" s="10">
        <f t="shared" si="147"/>
        <v>2.8559999999999999E-2</v>
      </c>
      <c r="Y137" s="478" t="s">
        <v>65</v>
      </c>
      <c r="Z137">
        <v>210</v>
      </c>
      <c r="AA137">
        <v>368</v>
      </c>
      <c r="AB137">
        <v>494</v>
      </c>
      <c r="AC137">
        <v>612</v>
      </c>
      <c r="AD137">
        <v>722</v>
      </c>
      <c r="AE137">
        <v>801</v>
      </c>
      <c r="AF137">
        <v>873</v>
      </c>
      <c r="AG137">
        <v>944</v>
      </c>
      <c r="AH137">
        <v>1015</v>
      </c>
      <c r="AI137">
        <v>1087</v>
      </c>
      <c r="AJ137">
        <f>AI136+24</f>
        <v>528</v>
      </c>
      <c r="AK137">
        <f t="shared" ref="AK137:AO137" si="150">AJ137+24</f>
        <v>552</v>
      </c>
      <c r="AL137">
        <f t="shared" si="150"/>
        <v>576</v>
      </c>
      <c r="AM137">
        <f t="shared" si="150"/>
        <v>600</v>
      </c>
      <c r="AN137">
        <f t="shared" si="150"/>
        <v>624</v>
      </c>
      <c r="AO137" s="479">
        <f t="shared" si="150"/>
        <v>648</v>
      </c>
    </row>
    <row r="138" spans="2:41" ht="15" thickBot="1">
      <c r="B138" s="19">
        <v>299999</v>
      </c>
      <c r="C138" s="18">
        <v>1.6500000000000001E-2</v>
      </c>
      <c r="E138" s="19">
        <v>299999</v>
      </c>
      <c r="F138" s="18">
        <v>1.9879999999999998E-2</v>
      </c>
      <c r="G138" s="63"/>
      <c r="I138" s="22">
        <v>13400000</v>
      </c>
      <c r="J138" s="661">
        <v>2.9640000000000001E-3</v>
      </c>
      <c r="M138" s="19">
        <v>9200000</v>
      </c>
      <c r="N138" s="18">
        <v>3.0799999999999998E-3</v>
      </c>
      <c r="P138" s="19">
        <v>374999</v>
      </c>
      <c r="Q138" s="18">
        <v>2.3799999999999995E-2</v>
      </c>
      <c r="R138" s="10">
        <f t="shared" si="147"/>
        <v>2.8559999999999999E-2</v>
      </c>
      <c r="Y138" s="478" t="s">
        <v>66</v>
      </c>
      <c r="Z138">
        <v>210</v>
      </c>
      <c r="AA138">
        <v>394</v>
      </c>
      <c r="AB138">
        <v>541</v>
      </c>
      <c r="AC138">
        <v>678</v>
      </c>
      <c r="AD138">
        <v>807</v>
      </c>
      <c r="AE138">
        <v>900</v>
      </c>
      <c r="AF138">
        <v>983</v>
      </c>
      <c r="AG138">
        <v>1066</v>
      </c>
      <c r="AH138">
        <v>1149</v>
      </c>
      <c r="AI138">
        <v>1232</v>
      </c>
      <c r="AJ138">
        <f>AI137+72</f>
        <v>1159</v>
      </c>
      <c r="AK138">
        <f t="shared" ref="AK138:AO138" si="151">AJ138+72</f>
        <v>1231</v>
      </c>
      <c r="AL138">
        <f t="shared" si="151"/>
        <v>1303</v>
      </c>
      <c r="AM138">
        <f t="shared" si="151"/>
        <v>1375</v>
      </c>
      <c r="AN138">
        <f t="shared" si="151"/>
        <v>1447</v>
      </c>
      <c r="AO138" s="479">
        <f t="shared" si="151"/>
        <v>1519</v>
      </c>
    </row>
    <row r="139" spans="2:41" ht="15" thickBot="1">
      <c r="B139" s="19">
        <v>300000</v>
      </c>
      <c r="C139" s="18">
        <v>1.6500000000000001E-2</v>
      </c>
      <c r="E139" s="19">
        <v>300000</v>
      </c>
      <c r="F139" s="18">
        <v>1.9879999999999998E-2</v>
      </c>
      <c r="G139" s="63"/>
      <c r="I139" s="22">
        <v>13500000</v>
      </c>
      <c r="J139" s="661">
        <v>2.96E-3</v>
      </c>
      <c r="M139" s="19">
        <v>9300000</v>
      </c>
      <c r="N139" s="18">
        <v>3.0699999999999998E-3</v>
      </c>
      <c r="P139" s="19">
        <v>375000</v>
      </c>
      <c r="Q139" s="18">
        <v>2.3519999999999992E-2</v>
      </c>
      <c r="R139" s="10">
        <f t="shared" si="147"/>
        <v>2.8219999999999999E-2</v>
      </c>
      <c r="Y139" s="480" t="s">
        <v>67</v>
      </c>
      <c r="Z139" s="53">
        <v>210</v>
      </c>
      <c r="AA139" s="53">
        <v>407</v>
      </c>
      <c r="AB139" s="53">
        <v>565</v>
      </c>
      <c r="AC139" s="53">
        <v>713</v>
      </c>
      <c r="AD139" s="53">
        <v>852</v>
      </c>
      <c r="AE139" s="53">
        <v>950</v>
      </c>
      <c r="AF139" s="53">
        <v>1040</v>
      </c>
      <c r="AG139" s="53">
        <v>1129</v>
      </c>
      <c r="AH139" s="53">
        <v>1218</v>
      </c>
      <c r="AI139" s="53">
        <v>1307</v>
      </c>
      <c r="AJ139">
        <f>AI138+83</f>
        <v>1315</v>
      </c>
      <c r="AK139">
        <f t="shared" ref="AK139:AO139" si="152">AJ139+83</f>
        <v>1398</v>
      </c>
      <c r="AL139">
        <f t="shared" si="152"/>
        <v>1481</v>
      </c>
      <c r="AM139">
        <f t="shared" si="152"/>
        <v>1564</v>
      </c>
      <c r="AN139">
        <f t="shared" si="152"/>
        <v>1647</v>
      </c>
      <c r="AO139" s="479">
        <f t="shared" si="152"/>
        <v>1730</v>
      </c>
    </row>
    <row r="140" spans="2:41" ht="15" thickBot="1">
      <c r="B140" s="19">
        <v>3500000</v>
      </c>
      <c r="C140" s="18">
        <v>1.6500000000000001E-2</v>
      </c>
      <c r="E140" s="19">
        <v>3500000</v>
      </c>
      <c r="F140" s="18">
        <v>1.9879999999999998E-2</v>
      </c>
      <c r="G140" s="63"/>
      <c r="I140" s="22">
        <v>13600000</v>
      </c>
      <c r="J140" s="661">
        <v>2.9559999999999999E-3</v>
      </c>
      <c r="M140" s="19">
        <v>9400000</v>
      </c>
      <c r="N140" s="18">
        <v>3.0599999999999998E-3</v>
      </c>
      <c r="P140" s="19">
        <v>387499</v>
      </c>
      <c r="Q140" s="18">
        <v>2.3519999999999992E-2</v>
      </c>
      <c r="R140" s="10">
        <f t="shared" si="147"/>
        <v>2.8219999999999999E-2</v>
      </c>
      <c r="Y140" s="480" t="s">
        <v>68</v>
      </c>
      <c r="Z140" s="53">
        <v>210</v>
      </c>
      <c r="AA140" s="53">
        <v>420</v>
      </c>
      <c r="AB140" s="53">
        <v>588</v>
      </c>
      <c r="AC140" s="53">
        <v>746</v>
      </c>
      <c r="AD140" s="53">
        <v>893</v>
      </c>
      <c r="AE140" s="53">
        <v>998</v>
      </c>
      <c r="AF140" s="53">
        <v>1092</v>
      </c>
      <c r="AG140" s="53">
        <v>1187</v>
      </c>
      <c r="AH140" s="53">
        <v>1281</v>
      </c>
      <c r="AI140" s="53">
        <v>1376</v>
      </c>
      <c r="AJ140">
        <f>AI139+89</f>
        <v>1396</v>
      </c>
      <c r="AK140">
        <f t="shared" ref="AK140:AO140" si="153">AJ140+89</f>
        <v>1485</v>
      </c>
      <c r="AL140">
        <f t="shared" si="153"/>
        <v>1574</v>
      </c>
      <c r="AM140">
        <f t="shared" si="153"/>
        <v>1663</v>
      </c>
      <c r="AN140">
        <f t="shared" si="153"/>
        <v>1752</v>
      </c>
      <c r="AO140" s="479">
        <f t="shared" si="153"/>
        <v>1841</v>
      </c>
    </row>
    <row r="141" spans="2:41" ht="15" thickBot="1">
      <c r="I141" s="22">
        <v>13700000</v>
      </c>
      <c r="J141" s="661">
        <v>2.9520000000000002E-3</v>
      </c>
      <c r="M141" s="19">
        <v>9500000</v>
      </c>
      <c r="N141" s="18">
        <v>3.0499999999999998E-3</v>
      </c>
      <c r="P141" s="19">
        <v>387500</v>
      </c>
      <c r="Q141" s="18">
        <v>2.3239999999999993E-2</v>
      </c>
      <c r="R141" s="10">
        <f t="shared" si="147"/>
        <v>2.7890000000000002E-2</v>
      </c>
      <c r="Y141" s="480" t="s">
        <v>2857</v>
      </c>
      <c r="Z141" s="53">
        <v>210</v>
      </c>
      <c r="AA141" s="53">
        <v>765</v>
      </c>
      <c r="AB141" s="53">
        <v>918</v>
      </c>
      <c r="AC141" s="53">
        <v>1071</v>
      </c>
      <c r="AD141" s="53">
        <v>1224</v>
      </c>
      <c r="AE141" s="53">
        <v>1377</v>
      </c>
      <c r="AF141" s="53">
        <v>1530</v>
      </c>
      <c r="AG141" s="53">
        <v>1683</v>
      </c>
      <c r="AH141" s="53">
        <v>1836</v>
      </c>
      <c r="AI141" s="53">
        <v>1989</v>
      </c>
      <c r="AJ141">
        <f>AI140+95</f>
        <v>1471</v>
      </c>
      <c r="AK141">
        <f t="shared" ref="AK141:AO141" si="154">AJ141+95</f>
        <v>1566</v>
      </c>
      <c r="AL141">
        <f t="shared" si="154"/>
        <v>1661</v>
      </c>
      <c r="AM141">
        <f t="shared" si="154"/>
        <v>1756</v>
      </c>
      <c r="AN141">
        <f t="shared" si="154"/>
        <v>1851</v>
      </c>
      <c r="AO141" s="479">
        <f t="shared" si="154"/>
        <v>1946</v>
      </c>
    </row>
    <row r="142" spans="2:41" ht="15" thickBot="1">
      <c r="I142" s="22">
        <v>13800000</v>
      </c>
      <c r="J142" s="661">
        <v>2.9480000000000001E-3</v>
      </c>
      <c r="M142" s="19">
        <v>9600000</v>
      </c>
      <c r="N142" s="18">
        <v>3.0399999999999997E-3</v>
      </c>
      <c r="P142" s="19">
        <v>399999</v>
      </c>
      <c r="Q142" s="18">
        <v>2.3239999999999993E-2</v>
      </c>
      <c r="R142" s="10">
        <f t="shared" si="147"/>
        <v>2.7890000000000002E-2</v>
      </c>
      <c r="Y142" s="480" t="s">
        <v>70</v>
      </c>
      <c r="Z142" s="53">
        <v>509</v>
      </c>
      <c r="AA142" s="53">
        <v>509</v>
      </c>
      <c r="AB142" s="53">
        <v>509</v>
      </c>
      <c r="AC142" s="53">
        <v>509</v>
      </c>
      <c r="AD142" s="53">
        <v>509</v>
      </c>
      <c r="AE142" s="53">
        <v>509</v>
      </c>
      <c r="AF142" s="53">
        <v>509</v>
      </c>
      <c r="AG142" s="53">
        <v>509</v>
      </c>
      <c r="AH142" s="53">
        <v>509</v>
      </c>
      <c r="AI142" s="53">
        <v>509</v>
      </c>
      <c r="AJ142">
        <f>AI141+153</f>
        <v>2142</v>
      </c>
      <c r="AK142">
        <f t="shared" ref="AK142:AO142" si="155">AJ142+153</f>
        <v>2295</v>
      </c>
      <c r="AL142">
        <f t="shared" si="155"/>
        <v>2448</v>
      </c>
      <c r="AM142">
        <f t="shared" si="155"/>
        <v>2601</v>
      </c>
      <c r="AN142">
        <f t="shared" si="155"/>
        <v>2754</v>
      </c>
      <c r="AO142" s="479">
        <f t="shared" si="155"/>
        <v>2907</v>
      </c>
    </row>
    <row r="143" spans="2:41" ht="15" thickBot="1">
      <c r="I143" s="22">
        <v>13900000</v>
      </c>
      <c r="J143" s="661">
        <v>2.944E-3</v>
      </c>
      <c r="M143" s="19">
        <v>9700000</v>
      </c>
      <c r="N143" s="18">
        <v>3.0299999999999997E-3</v>
      </c>
      <c r="P143" s="19">
        <v>400000</v>
      </c>
      <c r="Q143" s="18">
        <v>2.2959999999999994E-2</v>
      </c>
      <c r="R143" s="10">
        <f t="shared" si="147"/>
        <v>2.7550000000000002E-2</v>
      </c>
      <c r="Y143" s="480" t="s">
        <v>71</v>
      </c>
      <c r="Z143" s="53">
        <v>509</v>
      </c>
      <c r="AA143" s="53">
        <v>562</v>
      </c>
      <c r="AB143" s="53">
        <v>604</v>
      </c>
      <c r="AC143" s="53">
        <v>644</v>
      </c>
      <c r="AD143" s="53">
        <v>680</v>
      </c>
      <c r="AE143" s="53">
        <v>707</v>
      </c>
      <c r="AF143" s="53">
        <v>731</v>
      </c>
      <c r="AG143" s="53">
        <v>755</v>
      </c>
      <c r="AH143" s="53">
        <v>779</v>
      </c>
      <c r="AI143" s="53">
        <v>803</v>
      </c>
      <c r="AJ143" s="53">
        <v>509</v>
      </c>
      <c r="AK143" s="53">
        <v>509</v>
      </c>
      <c r="AL143" s="53">
        <v>509</v>
      </c>
      <c r="AM143" s="53">
        <v>509</v>
      </c>
      <c r="AN143" s="53">
        <v>509</v>
      </c>
      <c r="AO143" s="481">
        <v>509</v>
      </c>
    </row>
    <row r="144" spans="2:41" ht="15" thickBot="1">
      <c r="I144" s="22">
        <v>14000000</v>
      </c>
      <c r="J144" s="661">
        <v>2.9399999999999999E-3</v>
      </c>
      <c r="M144" s="19">
        <v>9800000</v>
      </c>
      <c r="N144" s="18">
        <v>3.0200000000000001E-3</v>
      </c>
      <c r="P144" s="19">
        <v>412499</v>
      </c>
      <c r="Q144" s="18">
        <v>2.2959999999999994E-2</v>
      </c>
      <c r="R144" s="10">
        <f t="shared" si="147"/>
        <v>2.7550000000000002E-2</v>
      </c>
      <c r="Y144" s="480" t="s">
        <v>72</v>
      </c>
      <c r="Z144" s="53">
        <v>509</v>
      </c>
      <c r="AA144" s="53">
        <v>667</v>
      </c>
      <c r="AB144" s="53">
        <v>793</v>
      </c>
      <c r="AC144" s="53">
        <v>911</v>
      </c>
      <c r="AD144" s="53">
        <v>1022</v>
      </c>
      <c r="AE144" s="53">
        <v>1100</v>
      </c>
      <c r="AF144" s="53">
        <v>1172</v>
      </c>
      <c r="AG144" s="53">
        <v>1243</v>
      </c>
      <c r="AH144" s="53">
        <v>1315</v>
      </c>
      <c r="AI144" s="53">
        <v>1386</v>
      </c>
      <c r="AJ144">
        <f>AI143+24</f>
        <v>827</v>
      </c>
      <c r="AK144">
        <f t="shared" ref="AK144:AO144" si="156">AJ144+24</f>
        <v>851</v>
      </c>
      <c r="AL144">
        <f t="shared" si="156"/>
        <v>875</v>
      </c>
      <c r="AM144">
        <f t="shared" si="156"/>
        <v>899</v>
      </c>
      <c r="AN144">
        <f t="shared" si="156"/>
        <v>923</v>
      </c>
      <c r="AO144" s="479">
        <f t="shared" si="156"/>
        <v>947</v>
      </c>
    </row>
    <row r="145" spans="9:41" ht="15" thickBot="1">
      <c r="I145" s="22">
        <v>14100000</v>
      </c>
      <c r="J145" s="661">
        <v>2.9360000000000002E-3</v>
      </c>
      <c r="M145" s="19">
        <v>9900000</v>
      </c>
      <c r="N145" s="18">
        <v>3.0100000000000001E-3</v>
      </c>
      <c r="P145" s="19">
        <v>412500</v>
      </c>
      <c r="Q145" s="18">
        <v>2.2679999999999992E-2</v>
      </c>
      <c r="R145" s="10">
        <f t="shared" si="147"/>
        <v>2.7220000000000001E-2</v>
      </c>
      <c r="Y145" s="480" t="s">
        <v>74</v>
      </c>
      <c r="Z145" s="53">
        <v>509</v>
      </c>
      <c r="AA145" s="53">
        <v>693</v>
      </c>
      <c r="AB145" s="53">
        <v>840</v>
      </c>
      <c r="AC145" s="53">
        <v>978</v>
      </c>
      <c r="AD145" s="53">
        <v>1107</v>
      </c>
      <c r="AE145" s="53">
        <v>1199</v>
      </c>
      <c r="AF145" s="53">
        <v>1282</v>
      </c>
      <c r="AG145" s="53">
        <v>1365</v>
      </c>
      <c r="AH145" s="53">
        <v>1448</v>
      </c>
      <c r="AI145" s="53">
        <v>1531</v>
      </c>
      <c r="AJ145">
        <f>AI144+71</f>
        <v>1457</v>
      </c>
      <c r="AK145">
        <f t="shared" ref="AK145:AO145" si="157">AJ145+71</f>
        <v>1528</v>
      </c>
      <c r="AL145">
        <f t="shared" si="157"/>
        <v>1599</v>
      </c>
      <c r="AM145">
        <f t="shared" si="157"/>
        <v>1670</v>
      </c>
      <c r="AN145">
        <f t="shared" si="157"/>
        <v>1741</v>
      </c>
      <c r="AO145" s="479">
        <f t="shared" si="157"/>
        <v>1812</v>
      </c>
    </row>
    <row r="146" spans="9:41" ht="15" thickBot="1">
      <c r="I146" s="22">
        <v>14200000</v>
      </c>
      <c r="J146" s="661">
        <v>2.9320000000000001E-3</v>
      </c>
      <c r="M146" s="19">
        <v>10000000</v>
      </c>
      <c r="N146" s="18">
        <v>3.0000000000000001E-3</v>
      </c>
      <c r="P146" s="19">
        <v>424999</v>
      </c>
      <c r="Q146" s="18">
        <v>2.2679999999999992E-2</v>
      </c>
      <c r="R146" s="10">
        <f t="shared" si="147"/>
        <v>2.7220000000000001E-2</v>
      </c>
      <c r="Y146" s="480" t="s">
        <v>76</v>
      </c>
      <c r="Z146" s="53">
        <v>509</v>
      </c>
      <c r="AA146" s="53">
        <v>707</v>
      </c>
      <c r="AB146" s="53">
        <v>864</v>
      </c>
      <c r="AC146" s="53">
        <v>1012</v>
      </c>
      <c r="AD146" s="53">
        <v>1151</v>
      </c>
      <c r="AE146" s="53">
        <v>1250</v>
      </c>
      <c r="AF146" s="53">
        <v>1339</v>
      </c>
      <c r="AG146" s="53">
        <v>1428</v>
      </c>
      <c r="AH146" s="53">
        <v>1517</v>
      </c>
      <c r="AI146" s="53">
        <v>1607</v>
      </c>
      <c r="AJ146">
        <f>AI145+83</f>
        <v>1614</v>
      </c>
      <c r="AK146">
        <f t="shared" ref="AK146:AO146" si="158">AJ146+83</f>
        <v>1697</v>
      </c>
      <c r="AL146">
        <f t="shared" si="158"/>
        <v>1780</v>
      </c>
      <c r="AM146">
        <f t="shared" si="158"/>
        <v>1863</v>
      </c>
      <c r="AN146">
        <f t="shared" si="158"/>
        <v>1946</v>
      </c>
      <c r="AO146" s="479">
        <f t="shared" si="158"/>
        <v>2029</v>
      </c>
    </row>
    <row r="147" spans="9:41" ht="15" thickBot="1">
      <c r="I147" s="22">
        <v>14300000</v>
      </c>
      <c r="J147" s="661">
        <v>2.928E-3</v>
      </c>
      <c r="M147" s="19">
        <v>10100000</v>
      </c>
      <c r="N147" s="18">
        <v>3.0000000000000001E-3</v>
      </c>
      <c r="P147" s="19">
        <v>425000</v>
      </c>
      <c r="Q147" s="18">
        <v>2.2399999999999993E-2</v>
      </c>
      <c r="R147" s="10">
        <f t="shared" si="147"/>
        <v>2.6880000000000001E-2</v>
      </c>
      <c r="Y147" s="480" t="s">
        <v>78</v>
      </c>
      <c r="Z147" s="53">
        <v>509</v>
      </c>
      <c r="AA147" s="53">
        <v>719</v>
      </c>
      <c r="AB147" s="53">
        <v>887</v>
      </c>
      <c r="AC147" s="53">
        <v>1045</v>
      </c>
      <c r="AD147" s="53">
        <v>1192</v>
      </c>
      <c r="AE147" s="53">
        <v>1297</v>
      </c>
      <c r="AF147" s="53">
        <v>1391</v>
      </c>
      <c r="AG147" s="53">
        <v>1486</v>
      </c>
      <c r="AH147" s="53">
        <v>1580</v>
      </c>
      <c r="AI147" s="53">
        <v>1675</v>
      </c>
      <c r="AJ147">
        <f>AI146+90</f>
        <v>1697</v>
      </c>
      <c r="AK147">
        <f t="shared" ref="AK147:AO147" si="159">AJ147+90</f>
        <v>1787</v>
      </c>
      <c r="AL147">
        <f t="shared" si="159"/>
        <v>1877</v>
      </c>
      <c r="AM147">
        <f t="shared" si="159"/>
        <v>1967</v>
      </c>
      <c r="AN147">
        <f t="shared" si="159"/>
        <v>2057</v>
      </c>
      <c r="AO147" s="479">
        <f t="shared" si="159"/>
        <v>2147</v>
      </c>
    </row>
    <row r="148" spans="9:41" ht="15" thickBot="1">
      <c r="I148" s="22">
        <v>14400000</v>
      </c>
      <c r="J148" s="661">
        <v>2.9239999999999999E-3</v>
      </c>
      <c r="M148" s="19">
        <v>10200000</v>
      </c>
      <c r="N148" s="18">
        <v>3.0000000000000001E-3</v>
      </c>
      <c r="P148" s="19">
        <v>437499</v>
      </c>
      <c r="Q148" s="18">
        <v>2.2399999999999993E-2</v>
      </c>
      <c r="R148" s="10">
        <f t="shared" si="147"/>
        <v>2.6880000000000001E-2</v>
      </c>
      <c r="Y148" s="480" t="s">
        <v>2858</v>
      </c>
      <c r="Z148" s="53">
        <v>509</v>
      </c>
      <c r="AA148" s="53">
        <v>894</v>
      </c>
      <c r="AB148" s="53">
        <v>1075</v>
      </c>
      <c r="AC148" s="53">
        <v>1255</v>
      </c>
      <c r="AD148" s="53">
        <v>1436</v>
      </c>
      <c r="AE148" s="53">
        <v>1616</v>
      </c>
      <c r="AF148" s="53">
        <v>1797</v>
      </c>
      <c r="AG148" s="53">
        <v>1977</v>
      </c>
      <c r="AH148" s="53">
        <v>2158</v>
      </c>
      <c r="AI148" s="53">
        <v>2338</v>
      </c>
      <c r="AJ148">
        <f>AI147+95</f>
        <v>1770</v>
      </c>
      <c r="AK148">
        <f t="shared" ref="AK148:AO148" si="160">AJ148+95</f>
        <v>1865</v>
      </c>
      <c r="AL148">
        <f t="shared" si="160"/>
        <v>1960</v>
      </c>
      <c r="AM148">
        <f t="shared" si="160"/>
        <v>2055</v>
      </c>
      <c r="AN148">
        <f t="shared" si="160"/>
        <v>2150</v>
      </c>
      <c r="AO148" s="479">
        <f t="shared" si="160"/>
        <v>2245</v>
      </c>
    </row>
    <row r="149" spans="9:41" ht="15" thickBot="1">
      <c r="I149" s="22">
        <v>14500000</v>
      </c>
      <c r="J149" s="661">
        <v>2.9199999999999999E-3</v>
      </c>
      <c r="M149" s="19">
        <v>10300000</v>
      </c>
      <c r="N149" s="18">
        <v>3.0000000000000001E-3</v>
      </c>
      <c r="P149" s="19">
        <v>437500</v>
      </c>
      <c r="Q149" s="18">
        <v>2.211999999999999E-2</v>
      </c>
      <c r="R149" s="10">
        <f t="shared" si="147"/>
        <v>2.6540000000000001E-2</v>
      </c>
      <c r="Y149" s="480" t="s">
        <v>2859</v>
      </c>
      <c r="Z149" s="53">
        <v>816</v>
      </c>
      <c r="AA149" s="53">
        <v>1024</v>
      </c>
      <c r="AB149" s="53">
        <v>1233</v>
      </c>
      <c r="AC149" s="53">
        <v>1441</v>
      </c>
      <c r="AD149" s="53">
        <v>1650</v>
      </c>
      <c r="AE149" s="53">
        <v>1858</v>
      </c>
      <c r="AF149" s="53">
        <v>2067</v>
      </c>
      <c r="AG149" s="53">
        <v>2275</v>
      </c>
      <c r="AH149" s="53">
        <v>2484</v>
      </c>
      <c r="AI149" s="53">
        <v>2692</v>
      </c>
      <c r="AJ149">
        <f>AI148+180</f>
        <v>2518</v>
      </c>
      <c r="AK149">
        <f t="shared" ref="AK149:AO149" si="161">AJ149+180</f>
        <v>2698</v>
      </c>
      <c r="AL149">
        <f t="shared" si="161"/>
        <v>2878</v>
      </c>
      <c r="AM149">
        <f t="shared" si="161"/>
        <v>3058</v>
      </c>
      <c r="AN149">
        <f t="shared" si="161"/>
        <v>3238</v>
      </c>
      <c r="AO149" s="479">
        <f t="shared" si="161"/>
        <v>3418</v>
      </c>
    </row>
    <row r="150" spans="9:41" ht="15" thickBot="1">
      <c r="I150" s="22">
        <v>14600000</v>
      </c>
      <c r="J150" s="661">
        <v>2.9160000000000002E-3</v>
      </c>
      <c r="M150" s="19">
        <v>10400000</v>
      </c>
      <c r="N150" s="18">
        <v>3.0000000000000001E-3</v>
      </c>
      <c r="P150" s="19">
        <v>449999</v>
      </c>
      <c r="Q150" s="18">
        <v>2.211999999999999E-2</v>
      </c>
      <c r="R150" s="10">
        <f t="shared" si="147"/>
        <v>2.6540000000000001E-2</v>
      </c>
      <c r="Y150" s="480" t="s">
        <v>2860</v>
      </c>
      <c r="Z150" s="53">
        <v>1019</v>
      </c>
      <c r="AA150" s="53">
        <v>1274</v>
      </c>
      <c r="AB150" s="53">
        <v>1529</v>
      </c>
      <c r="AC150" s="53">
        <v>1784</v>
      </c>
      <c r="AD150" s="53">
        <v>2039</v>
      </c>
      <c r="AE150" s="53">
        <v>2294</v>
      </c>
      <c r="AF150" s="53">
        <v>2549</v>
      </c>
      <c r="AG150" s="53">
        <v>2804</v>
      </c>
      <c r="AH150" s="53">
        <v>3059</v>
      </c>
      <c r="AI150" s="53">
        <v>3314</v>
      </c>
      <c r="AJ150">
        <f>AI149+208</f>
        <v>2900</v>
      </c>
      <c r="AK150">
        <f t="shared" ref="AK150:AO150" si="162">AJ150+208</f>
        <v>3108</v>
      </c>
      <c r="AL150">
        <f t="shared" si="162"/>
        <v>3316</v>
      </c>
      <c r="AM150">
        <f t="shared" si="162"/>
        <v>3524</v>
      </c>
      <c r="AN150">
        <f t="shared" si="162"/>
        <v>3732</v>
      </c>
      <c r="AO150" s="479">
        <f t="shared" si="162"/>
        <v>3940</v>
      </c>
    </row>
    <row r="151" spans="9:41" ht="15" thickBot="1">
      <c r="I151" s="22">
        <v>14700000</v>
      </c>
      <c r="J151" s="661">
        <v>2.9120000000000001E-3</v>
      </c>
      <c r="M151" s="19">
        <v>10500000</v>
      </c>
      <c r="N151" s="18">
        <v>3.0000000000000001E-3</v>
      </c>
      <c r="P151" s="19">
        <v>450000</v>
      </c>
      <c r="Q151" s="18">
        <v>2.1839999999999991E-2</v>
      </c>
      <c r="R151" s="10">
        <f t="shared" si="147"/>
        <v>2.6210000000000001E-2</v>
      </c>
      <c r="Y151" s="482" t="s">
        <v>2861</v>
      </c>
      <c r="Z151" s="483">
        <v>1529</v>
      </c>
      <c r="AA151" s="483">
        <v>1909</v>
      </c>
      <c r="AB151" s="483">
        <v>2289</v>
      </c>
      <c r="AC151" s="483">
        <v>2669</v>
      </c>
      <c r="AD151" s="483">
        <v>3049</v>
      </c>
      <c r="AE151" s="483">
        <v>3429</v>
      </c>
      <c r="AF151" s="483">
        <v>3809</v>
      </c>
      <c r="AG151" s="483">
        <v>4189</v>
      </c>
      <c r="AH151" s="483">
        <v>4569</v>
      </c>
      <c r="AI151" s="483">
        <v>4949</v>
      </c>
      <c r="AJ151">
        <f>AI150+255</f>
        <v>3569</v>
      </c>
      <c r="AK151">
        <f t="shared" ref="AK151:AO151" si="163">AJ151+255</f>
        <v>3824</v>
      </c>
      <c r="AL151">
        <f t="shared" si="163"/>
        <v>4079</v>
      </c>
      <c r="AM151">
        <f t="shared" si="163"/>
        <v>4334</v>
      </c>
      <c r="AN151">
        <f t="shared" si="163"/>
        <v>4589</v>
      </c>
      <c r="AO151" s="479">
        <f t="shared" si="163"/>
        <v>4844</v>
      </c>
    </row>
    <row r="152" spans="9:41" ht="15" thickBot="1">
      <c r="I152" s="22">
        <v>14800000</v>
      </c>
      <c r="J152" s="661">
        <v>2.908E-3</v>
      </c>
      <c r="M152" s="19">
        <v>10600000</v>
      </c>
      <c r="N152" s="18">
        <v>3.0000000000000001E-3</v>
      </c>
      <c r="P152" s="19">
        <v>462499</v>
      </c>
      <c r="Q152" s="18">
        <v>2.1839999999999991E-2</v>
      </c>
      <c r="R152" s="10">
        <f t="shared" si="147"/>
        <v>2.6210000000000001E-2</v>
      </c>
      <c r="Y152" s="53"/>
      <c r="Z152" s="53"/>
      <c r="AA152" s="53"/>
      <c r="AB152" s="53"/>
      <c r="AC152" s="53"/>
      <c r="AD152" s="53"/>
      <c r="AE152" s="53"/>
      <c r="AF152" s="53"/>
      <c r="AG152" s="53"/>
      <c r="AH152" s="53"/>
      <c r="AI152" s="53"/>
      <c r="AJ152" s="484">
        <f>AI151+380</f>
        <v>5329</v>
      </c>
      <c r="AK152" s="484">
        <f t="shared" ref="AK152:AO152" si="164">AJ152+380</f>
        <v>5709</v>
      </c>
      <c r="AL152" s="484">
        <f t="shared" si="164"/>
        <v>6089</v>
      </c>
      <c r="AM152" s="484">
        <f t="shared" si="164"/>
        <v>6469</v>
      </c>
      <c r="AN152" s="484">
        <f t="shared" si="164"/>
        <v>6849</v>
      </c>
      <c r="AO152" s="485">
        <f t="shared" si="164"/>
        <v>7229</v>
      </c>
    </row>
    <row r="153" spans="9:41" ht="15" thickBot="1">
      <c r="I153" s="22">
        <v>14900000</v>
      </c>
      <c r="J153" s="661">
        <v>2.9039999999999999E-3</v>
      </c>
      <c r="M153" s="19">
        <v>10700000</v>
      </c>
      <c r="N153" s="18">
        <v>3.0000000000000001E-3</v>
      </c>
      <c r="P153" s="19">
        <v>462500</v>
      </c>
      <c r="Q153" s="18">
        <v>2.1559999999999992E-2</v>
      </c>
      <c r="R153" s="10">
        <f t="shared" si="147"/>
        <v>2.5870000000000001E-2</v>
      </c>
      <c r="Y153" s="53"/>
      <c r="Z153" s="53"/>
      <c r="AA153" s="53"/>
      <c r="AB153" s="53"/>
      <c r="AC153" s="53"/>
      <c r="AD153" s="53"/>
      <c r="AE153" s="53"/>
      <c r="AF153" s="53"/>
      <c r="AG153" s="53"/>
      <c r="AH153" s="53"/>
      <c r="AI153" s="53"/>
    </row>
    <row r="154" spans="9:41" ht="15" thickBot="1">
      <c r="I154" s="22">
        <v>15000000</v>
      </c>
      <c r="J154" s="661">
        <v>2.8999999999999998E-3</v>
      </c>
      <c r="M154" s="19">
        <v>10800000</v>
      </c>
      <c r="N154" s="18">
        <v>3.0000000000000001E-3</v>
      </c>
      <c r="P154" s="19">
        <v>474999</v>
      </c>
      <c r="Q154" s="18">
        <v>2.1559999999999992E-2</v>
      </c>
      <c r="R154" s="10">
        <f t="shared" si="147"/>
        <v>2.5870000000000001E-2</v>
      </c>
    </row>
    <row r="155" spans="9:41" ht="15" thickBot="1">
      <c r="M155" s="19">
        <v>10900000</v>
      </c>
      <c r="N155" s="18">
        <v>3.0000000000000001E-3</v>
      </c>
      <c r="P155" s="19">
        <v>475000</v>
      </c>
      <c r="Q155" s="18">
        <v>2.1279999999999993E-2</v>
      </c>
      <c r="R155" s="10">
        <f t="shared" si="147"/>
        <v>2.554E-2</v>
      </c>
      <c r="Z155">
        <v>0</v>
      </c>
      <c r="AA155">
        <v>1</v>
      </c>
      <c r="AB155">
        <v>2</v>
      </c>
      <c r="AC155">
        <v>3</v>
      </c>
      <c r="AD155">
        <v>4</v>
      </c>
      <c r="AE155">
        <v>5</v>
      </c>
      <c r="AF155">
        <v>6</v>
      </c>
      <c r="AG155">
        <v>7</v>
      </c>
      <c r="AH155">
        <v>8</v>
      </c>
      <c r="AI155">
        <v>9</v>
      </c>
    </row>
    <row r="156" spans="9:41" ht="15" thickBot="1">
      <c r="M156" s="19">
        <v>11000000</v>
      </c>
      <c r="N156" s="18">
        <v>3.0000000000000001E-3</v>
      </c>
      <c r="P156" s="19">
        <v>487499</v>
      </c>
      <c r="Q156" s="18">
        <v>2.1279999999999993E-2</v>
      </c>
      <c r="R156" s="10">
        <f t="shared" si="147"/>
        <v>2.554E-2</v>
      </c>
      <c r="Y156" t="s">
        <v>60</v>
      </c>
      <c r="Z156">
        <v>630</v>
      </c>
      <c r="AA156">
        <v>630</v>
      </c>
      <c r="AB156">
        <v>630</v>
      </c>
      <c r="AC156">
        <v>630</v>
      </c>
      <c r="AD156">
        <v>630</v>
      </c>
      <c r="AE156">
        <v>630</v>
      </c>
      <c r="AF156">
        <v>630</v>
      </c>
      <c r="AG156">
        <v>630</v>
      </c>
      <c r="AH156">
        <v>630</v>
      </c>
      <c r="AI156">
        <v>630</v>
      </c>
    </row>
    <row r="157" spans="9:41" ht="15" thickBot="1">
      <c r="M157" s="19">
        <v>11100000</v>
      </c>
      <c r="N157" s="18">
        <v>3.0000000000000001E-3</v>
      </c>
      <c r="P157" s="19">
        <v>487500</v>
      </c>
      <c r="Q157" s="18">
        <v>2.0999999999999994E-2</v>
      </c>
      <c r="R157" s="10">
        <f t="shared" si="147"/>
        <v>2.52E-2</v>
      </c>
      <c r="Y157" t="s">
        <v>61</v>
      </c>
      <c r="Z157">
        <v>630</v>
      </c>
      <c r="AA157">
        <v>777</v>
      </c>
      <c r="AB157">
        <v>895</v>
      </c>
      <c r="AC157">
        <v>1004</v>
      </c>
      <c r="AD157">
        <v>1109</v>
      </c>
      <c r="AE157">
        <v>1184</v>
      </c>
      <c r="AF157">
        <v>1252</v>
      </c>
      <c r="AG157">
        <v>1319</v>
      </c>
      <c r="AH157">
        <v>1386</v>
      </c>
      <c r="AI157">
        <v>1453</v>
      </c>
    </row>
    <row r="158" spans="9:41" ht="15" thickBot="1">
      <c r="M158" s="19">
        <v>11200000</v>
      </c>
      <c r="N158" s="18">
        <v>3.0000000000000001E-3</v>
      </c>
      <c r="P158" s="19">
        <v>499999</v>
      </c>
      <c r="Q158" s="18">
        <v>2.0999999999999994E-2</v>
      </c>
      <c r="R158" s="10">
        <f t="shared" si="147"/>
        <v>2.52E-2</v>
      </c>
      <c r="Y158" t="s">
        <v>62</v>
      </c>
      <c r="Z158">
        <v>630</v>
      </c>
      <c r="AA158">
        <v>840</v>
      </c>
      <c r="AB158">
        <v>1008</v>
      </c>
      <c r="AC158">
        <v>1168</v>
      </c>
      <c r="AD158">
        <v>1315</v>
      </c>
      <c r="AE158">
        <v>1420</v>
      </c>
      <c r="AF158">
        <v>1516</v>
      </c>
      <c r="AG158">
        <v>1613</v>
      </c>
      <c r="AH158">
        <v>1709</v>
      </c>
      <c r="AI158">
        <v>1806</v>
      </c>
    </row>
    <row r="159" spans="9:41" ht="15" thickBot="1">
      <c r="M159" s="19">
        <v>11300000</v>
      </c>
      <c r="N159" s="18">
        <v>3.0000000000000001E-3</v>
      </c>
      <c r="P159" s="19">
        <v>500000</v>
      </c>
      <c r="Q159" s="18">
        <v>2.0702499999999992E-2</v>
      </c>
      <c r="R159" s="10">
        <f t="shared" si="147"/>
        <v>2.4840000000000001E-2</v>
      </c>
      <c r="Y159" t="s">
        <v>63</v>
      </c>
      <c r="Z159">
        <v>840</v>
      </c>
      <c r="AA159">
        <v>840</v>
      </c>
      <c r="AB159">
        <v>840</v>
      </c>
      <c r="AC159">
        <v>840</v>
      </c>
      <c r="AD159">
        <v>840</v>
      </c>
      <c r="AE159">
        <v>840</v>
      </c>
      <c r="AF159">
        <v>840</v>
      </c>
      <c r="AG159">
        <v>840</v>
      </c>
      <c r="AH159">
        <v>840</v>
      </c>
      <c r="AI159">
        <v>840</v>
      </c>
    </row>
    <row r="160" spans="9:41" ht="15" thickBot="1">
      <c r="M160" s="19">
        <v>11400000</v>
      </c>
      <c r="N160" s="18">
        <v>3.0000000000000001E-3</v>
      </c>
      <c r="P160" s="19">
        <v>524999</v>
      </c>
      <c r="Q160" s="18">
        <v>2.0702499999999992E-2</v>
      </c>
      <c r="R160" s="10">
        <f t="shared" si="147"/>
        <v>2.4840000000000001E-2</v>
      </c>
      <c r="Y160" t="s">
        <v>64</v>
      </c>
      <c r="Z160">
        <v>840</v>
      </c>
      <c r="AA160">
        <v>1050</v>
      </c>
      <c r="AB160">
        <v>1218</v>
      </c>
      <c r="AC160">
        <v>1378</v>
      </c>
      <c r="AD160">
        <v>1525</v>
      </c>
      <c r="AE160">
        <v>1630</v>
      </c>
      <c r="AF160">
        <v>1726</v>
      </c>
      <c r="AG160">
        <v>1823</v>
      </c>
      <c r="AH160">
        <v>1919</v>
      </c>
      <c r="AI160">
        <v>2016</v>
      </c>
    </row>
    <row r="161" spans="8:35" ht="15" thickBot="1">
      <c r="H161" s="9" t="s">
        <v>2795</v>
      </c>
      <c r="M161" s="19">
        <v>11500000</v>
      </c>
      <c r="N161" s="18">
        <v>3.0000000000000001E-3</v>
      </c>
      <c r="P161" s="19">
        <v>525000</v>
      </c>
      <c r="Q161" s="18">
        <v>2.0404999999999993E-2</v>
      </c>
      <c r="R161" s="10">
        <f t="shared" si="147"/>
        <v>2.4490000000000001E-2</v>
      </c>
      <c r="Y161" t="s">
        <v>65</v>
      </c>
      <c r="Z161">
        <v>840</v>
      </c>
      <c r="AA161">
        <v>1470</v>
      </c>
      <c r="AB161">
        <v>1974</v>
      </c>
      <c r="AC161">
        <v>2449</v>
      </c>
      <c r="AD161">
        <v>2890</v>
      </c>
      <c r="AE161">
        <v>3205</v>
      </c>
      <c r="AF161">
        <v>3490</v>
      </c>
      <c r="AG161">
        <v>3776</v>
      </c>
      <c r="AH161">
        <v>4061</v>
      </c>
      <c r="AI161">
        <v>4347</v>
      </c>
    </row>
    <row r="162" spans="8:35" ht="15" thickBot="1">
      <c r="H162" s="22">
        <v>0</v>
      </c>
      <c r="I162" s="18">
        <v>0.12</v>
      </c>
      <c r="M162" s="19">
        <v>11600000</v>
      </c>
      <c r="N162" s="18">
        <v>3.0000000000000001E-3</v>
      </c>
      <c r="P162" s="19">
        <v>549999</v>
      </c>
      <c r="Q162" s="18">
        <v>2.0404999999999993E-2</v>
      </c>
      <c r="R162" s="10">
        <f t="shared" si="147"/>
        <v>2.4490000000000001E-2</v>
      </c>
      <c r="Y162" t="s">
        <v>66</v>
      </c>
      <c r="Z162">
        <v>840</v>
      </c>
      <c r="AA162">
        <v>1575</v>
      </c>
      <c r="AB162">
        <v>2163</v>
      </c>
      <c r="AC162">
        <v>2713</v>
      </c>
      <c r="AD162">
        <v>3230</v>
      </c>
      <c r="AE162">
        <v>3599</v>
      </c>
      <c r="AF162">
        <v>3931</v>
      </c>
      <c r="AG162">
        <v>4263</v>
      </c>
      <c r="AH162">
        <v>4595</v>
      </c>
      <c r="AI162">
        <v>4927</v>
      </c>
    </row>
    <row r="163" spans="8:35" ht="15" thickBot="1">
      <c r="H163" s="22">
        <v>49999</v>
      </c>
      <c r="I163" s="18">
        <v>0.12</v>
      </c>
      <c r="M163" s="19">
        <v>11700000</v>
      </c>
      <c r="N163" s="18">
        <v>3.0000000000000001E-3</v>
      </c>
      <c r="P163" s="19">
        <v>550000</v>
      </c>
      <c r="Q163" s="18">
        <v>2.0107499999999993E-2</v>
      </c>
      <c r="R163" s="10">
        <f t="shared" si="147"/>
        <v>2.4129999999999999E-2</v>
      </c>
      <c r="Y163" t="s">
        <v>67</v>
      </c>
      <c r="Z163">
        <v>840</v>
      </c>
      <c r="AA163">
        <v>1630</v>
      </c>
      <c r="AB163">
        <v>2260</v>
      </c>
      <c r="AC163">
        <v>2852</v>
      </c>
      <c r="AD163">
        <v>3406</v>
      </c>
      <c r="AE163">
        <v>3801</v>
      </c>
      <c r="AF163">
        <v>4158</v>
      </c>
      <c r="AG163">
        <v>4515</v>
      </c>
      <c r="AH163">
        <v>4872</v>
      </c>
      <c r="AI163">
        <v>5229</v>
      </c>
    </row>
    <row r="164" spans="8:35" ht="15" thickBot="1">
      <c r="H164" s="22">
        <v>50000</v>
      </c>
      <c r="I164" s="18">
        <v>0.1188</v>
      </c>
      <c r="M164" s="19">
        <v>11800000</v>
      </c>
      <c r="N164" s="18">
        <v>3.0000000000000001E-3</v>
      </c>
      <c r="P164" s="19">
        <v>574999</v>
      </c>
      <c r="Q164" s="18">
        <v>2.0107499999999993E-2</v>
      </c>
      <c r="R164" s="10">
        <f t="shared" si="147"/>
        <v>2.4129999999999999E-2</v>
      </c>
      <c r="Y164" t="s">
        <v>68</v>
      </c>
      <c r="Z164">
        <v>840</v>
      </c>
      <c r="AA164">
        <v>1680</v>
      </c>
      <c r="AB164">
        <v>2352</v>
      </c>
      <c r="AC164">
        <v>2982</v>
      </c>
      <c r="AD164">
        <v>3570</v>
      </c>
      <c r="AE164">
        <v>3990</v>
      </c>
      <c r="AF164">
        <v>4368</v>
      </c>
      <c r="AG164">
        <v>4746</v>
      </c>
      <c r="AH164">
        <v>5124</v>
      </c>
      <c r="AI164">
        <v>5502</v>
      </c>
    </row>
    <row r="165" spans="8:35" ht="15" thickBot="1">
      <c r="H165" s="22">
        <v>54999</v>
      </c>
      <c r="I165" s="18">
        <v>0.1188</v>
      </c>
      <c r="M165" s="19">
        <v>11900000</v>
      </c>
      <c r="N165" s="18">
        <v>3.0000000000000001E-3</v>
      </c>
      <c r="P165" s="19">
        <v>575000</v>
      </c>
      <c r="Q165" s="18">
        <v>1.9809999999999994E-2</v>
      </c>
      <c r="R165" s="10">
        <f t="shared" si="147"/>
        <v>2.3769999999999999E-2</v>
      </c>
      <c r="Y165" t="s">
        <v>2857</v>
      </c>
      <c r="Z165">
        <v>840</v>
      </c>
      <c r="AA165">
        <v>1248</v>
      </c>
      <c r="AB165">
        <v>1685</v>
      </c>
      <c r="AC165">
        <v>2241</v>
      </c>
      <c r="AD165">
        <v>2958</v>
      </c>
      <c r="AE165">
        <v>3845</v>
      </c>
      <c r="AF165">
        <v>4922</v>
      </c>
      <c r="AG165">
        <v>6103</v>
      </c>
      <c r="AH165">
        <v>7202</v>
      </c>
      <c r="AI165">
        <v>7274</v>
      </c>
    </row>
    <row r="166" spans="8:35" ht="15" thickBot="1">
      <c r="H166" s="22">
        <v>55000</v>
      </c>
      <c r="I166" s="18">
        <v>0.1176</v>
      </c>
      <c r="M166" s="19">
        <v>12000000</v>
      </c>
      <c r="N166" s="18">
        <v>3.0000000000000001E-3</v>
      </c>
      <c r="P166" s="19">
        <v>599999</v>
      </c>
      <c r="Q166" s="18">
        <v>1.9809999999999994E-2</v>
      </c>
      <c r="R166" s="10">
        <f t="shared" si="147"/>
        <v>2.3769999999999999E-2</v>
      </c>
      <c r="Y166" t="s">
        <v>70</v>
      </c>
      <c r="Z166">
        <v>2037</v>
      </c>
      <c r="AA166">
        <v>2037</v>
      </c>
      <c r="AB166">
        <v>2037</v>
      </c>
      <c r="AC166">
        <v>2037</v>
      </c>
      <c r="AD166">
        <v>2037</v>
      </c>
      <c r="AE166">
        <v>2037</v>
      </c>
      <c r="AF166">
        <v>2037</v>
      </c>
      <c r="AG166">
        <v>2037</v>
      </c>
      <c r="AH166">
        <v>2037</v>
      </c>
      <c r="AI166">
        <v>2037</v>
      </c>
    </row>
    <row r="167" spans="8:35" ht="15" thickBot="1">
      <c r="H167" s="22">
        <v>59999</v>
      </c>
      <c r="I167" s="18">
        <v>0.1176</v>
      </c>
      <c r="M167" s="19">
        <v>12100000</v>
      </c>
      <c r="N167" s="18">
        <v>3.0000000000000001E-3</v>
      </c>
      <c r="P167" s="19">
        <v>600000</v>
      </c>
      <c r="Q167" s="18">
        <v>1.9512499999999995E-2</v>
      </c>
      <c r="R167" s="10">
        <f t="shared" si="147"/>
        <v>2.342E-2</v>
      </c>
      <c r="Y167" t="s">
        <v>71</v>
      </c>
      <c r="Z167">
        <v>2037</v>
      </c>
      <c r="AA167">
        <v>2247</v>
      </c>
      <c r="AB167">
        <v>2415</v>
      </c>
      <c r="AC167">
        <v>2575</v>
      </c>
      <c r="AD167">
        <v>2722</v>
      </c>
      <c r="AE167">
        <v>2827</v>
      </c>
      <c r="AF167">
        <v>2923</v>
      </c>
      <c r="AG167">
        <v>3020</v>
      </c>
      <c r="AH167">
        <v>3116</v>
      </c>
      <c r="AI167">
        <v>3213</v>
      </c>
    </row>
    <row r="168" spans="8:35" ht="15" thickBot="1">
      <c r="H168" s="22">
        <v>60000</v>
      </c>
      <c r="I168" s="18">
        <v>0.1164</v>
      </c>
      <c r="M168" s="19">
        <v>12200000</v>
      </c>
      <c r="N168" s="18">
        <v>3.0000000000000001E-3</v>
      </c>
      <c r="P168" s="19">
        <v>624999</v>
      </c>
      <c r="Q168" s="18">
        <v>1.9512499999999995E-2</v>
      </c>
      <c r="R168" s="10">
        <f t="shared" si="147"/>
        <v>2.342E-2</v>
      </c>
      <c r="Y168" t="s">
        <v>72</v>
      </c>
      <c r="Z168">
        <v>2037</v>
      </c>
      <c r="AA168">
        <v>2667</v>
      </c>
      <c r="AB168">
        <v>3171</v>
      </c>
      <c r="AC168">
        <v>3646</v>
      </c>
      <c r="AD168">
        <v>4087</v>
      </c>
      <c r="AE168">
        <v>4402</v>
      </c>
      <c r="AF168">
        <v>4687</v>
      </c>
      <c r="AG168">
        <v>4973</v>
      </c>
      <c r="AH168">
        <v>5258</v>
      </c>
      <c r="AI168">
        <v>5544</v>
      </c>
    </row>
    <row r="169" spans="8:35" ht="15" thickBot="1">
      <c r="H169" s="22">
        <v>64999</v>
      </c>
      <c r="I169" s="18">
        <v>0.1164</v>
      </c>
      <c r="M169" s="19">
        <v>12300000</v>
      </c>
      <c r="N169" s="18">
        <v>3.0000000000000001E-3</v>
      </c>
      <c r="P169" s="19">
        <v>625000</v>
      </c>
      <c r="Q169" s="18">
        <v>1.9214999999999993E-2</v>
      </c>
      <c r="R169" s="10">
        <f t="shared" si="147"/>
        <v>2.3060000000000001E-2</v>
      </c>
      <c r="Y169" t="s">
        <v>74</v>
      </c>
      <c r="Z169">
        <v>2037</v>
      </c>
      <c r="AA169">
        <v>2747</v>
      </c>
      <c r="AB169">
        <v>3360</v>
      </c>
      <c r="AC169">
        <v>3910</v>
      </c>
      <c r="AD169">
        <v>4427</v>
      </c>
      <c r="AE169">
        <v>4796</v>
      </c>
      <c r="AF169">
        <v>5128</v>
      </c>
      <c r="AG169">
        <v>5460</v>
      </c>
      <c r="AH169">
        <v>5792</v>
      </c>
      <c r="AI169">
        <v>6124</v>
      </c>
    </row>
    <row r="170" spans="8:35" ht="15" thickBot="1">
      <c r="H170" s="22">
        <v>65000</v>
      </c>
      <c r="I170" s="18">
        <v>0.1152</v>
      </c>
      <c r="M170" s="19">
        <v>12400000</v>
      </c>
      <c r="N170" s="18">
        <v>3.0000000000000001E-3</v>
      </c>
      <c r="P170" s="19">
        <v>649999</v>
      </c>
      <c r="Q170" s="18">
        <v>1.9214999999999993E-2</v>
      </c>
      <c r="R170" s="10">
        <f t="shared" si="147"/>
        <v>2.3060000000000001E-2</v>
      </c>
      <c r="Y170" t="s">
        <v>76</v>
      </c>
      <c r="Z170">
        <v>2037</v>
      </c>
      <c r="AA170">
        <v>2827</v>
      </c>
      <c r="AB170">
        <v>3457</v>
      </c>
      <c r="AC170">
        <v>4049</v>
      </c>
      <c r="AD170">
        <v>4603</v>
      </c>
      <c r="AE170">
        <v>4998</v>
      </c>
      <c r="AF170">
        <v>5355</v>
      </c>
      <c r="AG170">
        <v>5712</v>
      </c>
      <c r="AH170">
        <v>6069</v>
      </c>
      <c r="AI170">
        <v>6426</v>
      </c>
    </row>
    <row r="171" spans="8:35" ht="15" thickBot="1">
      <c r="H171" s="22">
        <v>69999</v>
      </c>
      <c r="I171" s="18">
        <v>0.1152</v>
      </c>
      <c r="M171" s="19">
        <v>12500000</v>
      </c>
      <c r="N171" s="18">
        <v>3.0000000000000001E-3</v>
      </c>
      <c r="P171" s="19">
        <v>650000</v>
      </c>
      <c r="Q171" s="18">
        <v>1.8917499999999993E-2</v>
      </c>
      <c r="R171" s="10">
        <f t="shared" si="147"/>
        <v>2.2700000000000001E-2</v>
      </c>
      <c r="Y171" t="s">
        <v>78</v>
      </c>
      <c r="Z171">
        <v>2037</v>
      </c>
      <c r="AA171">
        <v>2877</v>
      </c>
      <c r="AB171">
        <v>3549</v>
      </c>
      <c r="AC171">
        <v>4179</v>
      </c>
      <c r="AD171">
        <v>4767</v>
      </c>
      <c r="AE171">
        <v>5187</v>
      </c>
      <c r="AF171">
        <v>5565</v>
      </c>
      <c r="AG171">
        <v>5943</v>
      </c>
      <c r="AH171">
        <v>6321</v>
      </c>
      <c r="AI171">
        <v>6699</v>
      </c>
    </row>
    <row r="172" spans="8:35" ht="15" thickBot="1">
      <c r="H172" s="22">
        <v>70000</v>
      </c>
      <c r="I172" s="18">
        <v>0.114</v>
      </c>
      <c r="M172" s="19">
        <v>12600000</v>
      </c>
      <c r="N172" s="18">
        <v>2.996E-3</v>
      </c>
      <c r="O172" s="344"/>
      <c r="P172" s="19">
        <v>674999</v>
      </c>
      <c r="Q172" s="18">
        <v>1.8917499999999993E-2</v>
      </c>
      <c r="R172" s="10">
        <f t="shared" si="147"/>
        <v>2.2700000000000001E-2</v>
      </c>
      <c r="Y172" s="53" t="s">
        <v>2858</v>
      </c>
      <c r="Z172">
        <v>2037</v>
      </c>
      <c r="AA172">
        <v>3028</v>
      </c>
      <c r="AB172">
        <v>3822</v>
      </c>
      <c r="AC172">
        <v>4565</v>
      </c>
      <c r="AD172">
        <v>5258</v>
      </c>
      <c r="AE172">
        <v>5754</v>
      </c>
      <c r="AF172">
        <v>6199</v>
      </c>
      <c r="AG172">
        <v>6644</v>
      </c>
      <c r="AH172">
        <v>7090</v>
      </c>
      <c r="AI172">
        <v>7535</v>
      </c>
    </row>
    <row r="173" spans="8:35" ht="15" thickBot="1">
      <c r="H173" s="22">
        <v>74999</v>
      </c>
      <c r="I173" s="18">
        <v>0.114</v>
      </c>
      <c r="M173" s="19">
        <v>12700000</v>
      </c>
      <c r="N173" s="18">
        <v>2.9920000000000003E-3</v>
      </c>
      <c r="O173" s="344"/>
      <c r="P173" s="19">
        <v>675000</v>
      </c>
      <c r="Q173" s="18">
        <v>1.8619999999999994E-2</v>
      </c>
      <c r="R173" s="10">
        <f t="shared" si="147"/>
        <v>2.2339999999999999E-2</v>
      </c>
      <c r="Y173" s="53" t="s">
        <v>2859</v>
      </c>
    </row>
    <row r="174" spans="8:35" ht="15" thickBot="1">
      <c r="H174" s="22">
        <v>75000</v>
      </c>
      <c r="I174" s="18">
        <v>0.1128</v>
      </c>
      <c r="M174" s="19">
        <v>12800000</v>
      </c>
      <c r="N174" s="18">
        <v>2.9880000000000002E-3</v>
      </c>
      <c r="O174" s="344"/>
      <c r="P174" s="19">
        <v>699999</v>
      </c>
      <c r="Q174" s="18">
        <v>1.8619999999999994E-2</v>
      </c>
      <c r="R174" s="10">
        <f t="shared" si="147"/>
        <v>2.2339999999999999E-2</v>
      </c>
      <c r="Y174" s="53" t="s">
        <v>2860</v>
      </c>
    </row>
    <row r="175" spans="8:35" ht="15" thickBot="1">
      <c r="H175" s="22">
        <v>79999</v>
      </c>
      <c r="I175" s="18">
        <v>0.1128</v>
      </c>
      <c r="M175" s="19">
        <v>12900000</v>
      </c>
      <c r="N175" s="18">
        <v>2.9840000000000001E-3</v>
      </c>
      <c r="O175" s="344"/>
      <c r="P175" s="19">
        <v>700000</v>
      </c>
      <c r="Q175" s="18">
        <v>1.8322499999999995E-2</v>
      </c>
      <c r="R175" s="10">
        <f t="shared" si="147"/>
        <v>2.1989999999999999E-2</v>
      </c>
      <c r="Y175" s="53" t="s">
        <v>2861</v>
      </c>
    </row>
    <row r="176" spans="8:35" ht="15" thickBot="1">
      <c r="H176" s="22">
        <v>80000</v>
      </c>
      <c r="I176" s="18">
        <v>0.1116</v>
      </c>
      <c r="M176" s="19">
        <v>13000000</v>
      </c>
      <c r="N176" s="18">
        <v>2.98E-3</v>
      </c>
      <c r="O176" s="344"/>
      <c r="P176" s="19">
        <v>724999</v>
      </c>
      <c r="Q176" s="18">
        <v>1.8322499999999995E-2</v>
      </c>
      <c r="R176" s="10">
        <f t="shared" si="147"/>
        <v>2.1989999999999999E-2</v>
      </c>
    </row>
    <row r="177" spans="8:35" ht="15" thickBot="1">
      <c r="H177" s="22">
        <v>84999</v>
      </c>
      <c r="I177" s="18">
        <v>0.1116</v>
      </c>
      <c r="M177" s="19">
        <v>13100000</v>
      </c>
      <c r="N177" s="18">
        <v>2.9759999999999999E-3</v>
      </c>
      <c r="O177" s="20"/>
      <c r="P177" s="19">
        <v>725000</v>
      </c>
      <c r="Q177" s="18">
        <v>1.8024999999999992E-2</v>
      </c>
      <c r="R177" s="10">
        <f t="shared" si="147"/>
        <v>2.163E-2</v>
      </c>
    </row>
    <row r="178" spans="8:35" ht="15" thickBot="1">
      <c r="H178" s="22">
        <v>85000</v>
      </c>
      <c r="I178" s="18">
        <v>0.1104</v>
      </c>
      <c r="M178" s="19">
        <v>13200000</v>
      </c>
      <c r="N178" s="18">
        <v>2.9720000000000002E-3</v>
      </c>
      <c r="P178" s="19">
        <v>749999</v>
      </c>
      <c r="Q178" s="18">
        <v>1.8024999999999992E-2</v>
      </c>
      <c r="R178" s="10">
        <f t="shared" si="147"/>
        <v>2.163E-2</v>
      </c>
    </row>
    <row r="179" spans="8:35" ht="15" thickBot="1">
      <c r="H179" s="22">
        <v>89999</v>
      </c>
      <c r="I179" s="18">
        <v>0.1104</v>
      </c>
      <c r="M179" s="19">
        <v>13300000</v>
      </c>
      <c r="N179" s="18">
        <v>2.9680000000000002E-3</v>
      </c>
      <c r="P179" s="19">
        <v>750000</v>
      </c>
      <c r="Q179" s="18">
        <v>1.8164999999999994E-2</v>
      </c>
      <c r="R179" s="10">
        <f t="shared" si="147"/>
        <v>2.18E-2</v>
      </c>
      <c r="Y179" s="53" t="s">
        <v>2858</v>
      </c>
      <c r="Z179">
        <f t="shared" ref="Z179:AI179" si="165">ROUND(Z282*1.05,0)</f>
        <v>0</v>
      </c>
      <c r="AA179">
        <f t="shared" si="165"/>
        <v>0</v>
      </c>
      <c r="AB179">
        <f t="shared" si="165"/>
        <v>0</v>
      </c>
      <c r="AC179">
        <f t="shared" si="165"/>
        <v>0</v>
      </c>
      <c r="AD179">
        <f t="shared" si="165"/>
        <v>0</v>
      </c>
      <c r="AE179">
        <f t="shared" si="165"/>
        <v>0</v>
      </c>
      <c r="AF179">
        <f t="shared" si="165"/>
        <v>0</v>
      </c>
      <c r="AG179">
        <f t="shared" si="165"/>
        <v>0</v>
      </c>
      <c r="AH179">
        <f t="shared" si="165"/>
        <v>0</v>
      </c>
      <c r="AI179">
        <f t="shared" si="165"/>
        <v>0</v>
      </c>
    </row>
    <row r="180" spans="8:35" ht="15" thickBot="1">
      <c r="H180" s="22">
        <v>90000</v>
      </c>
      <c r="I180" s="18">
        <v>0.10920000000000001</v>
      </c>
      <c r="M180" s="19">
        <v>13400000</v>
      </c>
      <c r="N180" s="18">
        <v>2.9640000000000001E-3</v>
      </c>
      <c r="P180" s="19">
        <v>774999</v>
      </c>
      <c r="Q180" s="18">
        <v>1.8164999999999994E-2</v>
      </c>
      <c r="R180" s="10">
        <f t="shared" si="147"/>
        <v>2.18E-2</v>
      </c>
      <c r="Y180" s="53" t="s">
        <v>2859</v>
      </c>
      <c r="Z180">
        <f t="shared" ref="Z180:AI180" si="166">ROUND(Z283*1.05,0)</f>
        <v>0</v>
      </c>
      <c r="AA180">
        <f t="shared" si="166"/>
        <v>0</v>
      </c>
      <c r="AB180">
        <f t="shared" si="166"/>
        <v>0</v>
      </c>
      <c r="AC180">
        <f t="shared" si="166"/>
        <v>0</v>
      </c>
      <c r="AD180">
        <f t="shared" si="166"/>
        <v>0</v>
      </c>
      <c r="AE180">
        <f t="shared" si="166"/>
        <v>0</v>
      </c>
      <c r="AF180">
        <f t="shared" si="166"/>
        <v>0</v>
      </c>
      <c r="AG180">
        <f t="shared" si="166"/>
        <v>0</v>
      </c>
      <c r="AH180">
        <f t="shared" si="166"/>
        <v>0</v>
      </c>
      <c r="AI180">
        <f t="shared" si="166"/>
        <v>0</v>
      </c>
    </row>
    <row r="181" spans="8:35" ht="15" thickBot="1">
      <c r="H181" s="22">
        <v>94999</v>
      </c>
      <c r="I181" s="18">
        <v>0.10920000000000001</v>
      </c>
      <c r="M181" s="19">
        <v>13500000</v>
      </c>
      <c r="N181" s="18">
        <v>2.96E-3</v>
      </c>
      <c r="P181" s="19">
        <v>775000</v>
      </c>
      <c r="Q181" s="18">
        <v>1.8304999999999995E-2</v>
      </c>
      <c r="R181" s="10">
        <f t="shared" si="147"/>
        <v>2.197E-2</v>
      </c>
      <c r="Y181" s="53" t="s">
        <v>2860</v>
      </c>
      <c r="Z181">
        <f t="shared" ref="Z181:AI181" si="167">ROUND(Z284*1.05,0)</f>
        <v>0</v>
      </c>
      <c r="AA181">
        <f t="shared" si="167"/>
        <v>0</v>
      </c>
      <c r="AB181">
        <f t="shared" si="167"/>
        <v>0</v>
      </c>
      <c r="AC181">
        <f t="shared" si="167"/>
        <v>0</v>
      </c>
      <c r="AD181">
        <f t="shared" si="167"/>
        <v>0</v>
      </c>
      <c r="AE181">
        <f t="shared" si="167"/>
        <v>0</v>
      </c>
      <c r="AF181">
        <f t="shared" si="167"/>
        <v>0</v>
      </c>
      <c r="AG181">
        <f t="shared" si="167"/>
        <v>0</v>
      </c>
      <c r="AH181">
        <f t="shared" si="167"/>
        <v>0</v>
      </c>
      <c r="AI181">
        <f t="shared" si="167"/>
        <v>0</v>
      </c>
    </row>
    <row r="182" spans="8:35" ht="15" thickBot="1">
      <c r="H182" s="22">
        <v>95000</v>
      </c>
      <c r="I182" s="18">
        <v>0.108</v>
      </c>
      <c r="M182" s="19">
        <v>13600000</v>
      </c>
      <c r="N182" s="18">
        <v>2.9559999999999999E-3</v>
      </c>
      <c r="P182" s="19">
        <v>799999</v>
      </c>
      <c r="Q182" s="18">
        <v>1.8304999999999995E-2</v>
      </c>
      <c r="R182" s="10">
        <f t="shared" ref="R182:R239" si="168">ROUND(Q182*1.2,5)</f>
        <v>2.197E-2</v>
      </c>
      <c r="Y182" s="53" t="s">
        <v>2861</v>
      </c>
      <c r="Z182">
        <f t="shared" ref="Z182:AI182" si="169">ROUND(Z285*1.05,0)</f>
        <v>0</v>
      </c>
      <c r="AA182">
        <f t="shared" si="169"/>
        <v>0</v>
      </c>
      <c r="AB182">
        <f t="shared" si="169"/>
        <v>0</v>
      </c>
      <c r="AC182">
        <f t="shared" si="169"/>
        <v>0</v>
      </c>
      <c r="AD182">
        <f t="shared" si="169"/>
        <v>0</v>
      </c>
      <c r="AE182">
        <f t="shared" si="169"/>
        <v>0</v>
      </c>
      <c r="AF182">
        <f t="shared" si="169"/>
        <v>0</v>
      </c>
      <c r="AG182">
        <f t="shared" si="169"/>
        <v>0</v>
      </c>
      <c r="AH182">
        <f t="shared" si="169"/>
        <v>0</v>
      </c>
      <c r="AI182">
        <f t="shared" si="169"/>
        <v>0</v>
      </c>
    </row>
    <row r="183" spans="8:35" ht="15" thickBot="1">
      <c r="H183" s="22">
        <v>99999</v>
      </c>
      <c r="I183" s="18">
        <v>0.108</v>
      </c>
      <c r="M183" s="19">
        <v>13700000</v>
      </c>
      <c r="N183" s="18">
        <v>2.9520000000000002E-3</v>
      </c>
      <c r="P183" s="19">
        <v>800000</v>
      </c>
      <c r="Q183" s="18">
        <v>1.8444999999999996E-2</v>
      </c>
      <c r="R183" s="10">
        <f t="shared" si="168"/>
        <v>2.213E-2</v>
      </c>
    </row>
    <row r="184" spans="8:35" ht="15" thickBot="1">
      <c r="H184" s="22">
        <v>100000</v>
      </c>
      <c r="I184" s="18">
        <v>0.10638</v>
      </c>
      <c r="M184" s="19">
        <v>13800000</v>
      </c>
      <c r="N184" s="18">
        <v>2.9480000000000001E-3</v>
      </c>
      <c r="P184" s="19">
        <v>824999</v>
      </c>
      <c r="Q184" s="18">
        <v>1.8444999999999996E-2</v>
      </c>
      <c r="R184" s="10">
        <f t="shared" si="168"/>
        <v>2.213E-2</v>
      </c>
    </row>
    <row r="185" spans="8:35" ht="15" thickBot="1">
      <c r="H185" s="22">
        <v>104999</v>
      </c>
      <c r="I185" s="18">
        <v>0.10638</v>
      </c>
      <c r="M185" s="19">
        <v>13900000</v>
      </c>
      <c r="N185" s="18">
        <v>2.944E-3</v>
      </c>
      <c r="P185" s="19">
        <v>825000</v>
      </c>
      <c r="Q185" s="18">
        <v>1.8584999999999994E-2</v>
      </c>
      <c r="R185" s="10">
        <f t="shared" si="168"/>
        <v>2.23E-2</v>
      </c>
    </row>
    <row r="186" spans="8:35" ht="15" thickBot="1">
      <c r="H186" s="22">
        <v>105000</v>
      </c>
      <c r="I186" s="18">
        <v>0.10476000000000001</v>
      </c>
      <c r="M186" s="19">
        <v>14000000</v>
      </c>
      <c r="N186" s="18">
        <v>2.9399999999999999E-3</v>
      </c>
      <c r="P186" s="19">
        <v>849999</v>
      </c>
      <c r="Q186" s="18">
        <v>1.8584999999999994E-2</v>
      </c>
      <c r="R186" s="10">
        <f t="shared" si="168"/>
        <v>2.23E-2</v>
      </c>
    </row>
    <row r="187" spans="8:35" ht="15" thickBot="1">
      <c r="H187" s="22">
        <v>109999</v>
      </c>
      <c r="I187" s="18">
        <v>0.10476000000000001</v>
      </c>
      <c r="M187" s="19">
        <v>14100000</v>
      </c>
      <c r="N187" s="18">
        <v>2.9360000000000002E-3</v>
      </c>
      <c r="P187" s="19">
        <v>850000</v>
      </c>
      <c r="Q187" s="18">
        <v>1.8724999999999995E-2</v>
      </c>
      <c r="R187" s="10">
        <f t="shared" si="168"/>
        <v>2.247E-2</v>
      </c>
      <c r="Y187" t="s">
        <v>4003</v>
      </c>
    </row>
    <row r="188" spans="8:35" ht="15" thickBot="1">
      <c r="H188" s="22">
        <v>110000</v>
      </c>
      <c r="I188" s="18">
        <v>0.10314</v>
      </c>
      <c r="M188" s="19">
        <v>14200000</v>
      </c>
      <c r="N188" s="18">
        <v>2.9320000000000001E-3</v>
      </c>
      <c r="P188" s="19">
        <v>874999</v>
      </c>
      <c r="Q188" s="18">
        <v>1.8724999999999995E-2</v>
      </c>
      <c r="R188" s="10">
        <f t="shared" si="168"/>
        <v>2.247E-2</v>
      </c>
      <c r="Y188" s="657"/>
      <c r="Z188" s="387" t="s">
        <v>3448</v>
      </c>
      <c r="AA188" s="387"/>
      <c r="AB188" s="387" t="s">
        <v>2856</v>
      </c>
      <c r="AC188" s="387"/>
    </row>
    <row r="189" spans="8:35" ht="18" thickBot="1">
      <c r="H189" s="22">
        <v>114999</v>
      </c>
      <c r="I189" s="18">
        <v>0.10314</v>
      </c>
      <c r="M189" s="19">
        <v>14300000</v>
      </c>
      <c r="N189" s="18">
        <v>2.928E-3</v>
      </c>
      <c r="P189" s="19">
        <v>875000</v>
      </c>
      <c r="Q189" s="18">
        <v>1.8864999999999996E-2</v>
      </c>
      <c r="R189" s="10">
        <f t="shared" si="168"/>
        <v>2.264E-2</v>
      </c>
      <c r="Y189" s="658" t="s">
        <v>4004</v>
      </c>
      <c r="Z189" s="659" t="s">
        <v>4005</v>
      </c>
      <c r="AA189" s="659" t="s">
        <v>4006</v>
      </c>
      <c r="AB189" s="659" t="s">
        <v>4005</v>
      </c>
      <c r="AC189" s="659" t="s">
        <v>4006</v>
      </c>
    </row>
    <row r="190" spans="8:35" ht="15" thickBot="1">
      <c r="H190" s="22">
        <v>115000</v>
      </c>
      <c r="I190" s="18">
        <v>0.10152</v>
      </c>
      <c r="M190" s="19">
        <v>14400000</v>
      </c>
      <c r="N190" s="18">
        <v>2.9239999999999999E-3</v>
      </c>
      <c r="P190" s="19">
        <v>899999</v>
      </c>
      <c r="Q190" s="18">
        <v>1.8864999999999996E-2</v>
      </c>
      <c r="R190" s="10">
        <f t="shared" si="168"/>
        <v>2.264E-2</v>
      </c>
      <c r="Y190" s="657">
        <v>1000000</v>
      </c>
      <c r="Z190" s="8">
        <v>971</v>
      </c>
      <c r="AA190" s="8">
        <v>243.22499999999999</v>
      </c>
      <c r="AB190" s="8">
        <v>1456.5</v>
      </c>
      <c r="AC190" s="8">
        <v>364.83749999999998</v>
      </c>
    </row>
    <row r="191" spans="8:35" ht="15" thickBot="1">
      <c r="H191" s="22">
        <v>119999</v>
      </c>
      <c r="I191" s="18">
        <v>0.10152</v>
      </c>
      <c r="M191" s="19">
        <v>14500000</v>
      </c>
      <c r="N191" s="18">
        <v>2.9199999999999999E-3</v>
      </c>
      <c r="P191" s="19">
        <v>900000</v>
      </c>
      <c r="Q191" s="18">
        <v>1.9004999999999994E-2</v>
      </c>
      <c r="R191" s="10">
        <f t="shared" si="168"/>
        <v>2.281E-2</v>
      </c>
      <c r="Y191" s="657">
        <v>2000000</v>
      </c>
      <c r="Z191" s="8">
        <v>1700</v>
      </c>
      <c r="AA191" s="8">
        <v>429.52499999999998</v>
      </c>
      <c r="AB191" s="8">
        <v>4250</v>
      </c>
      <c r="AC191" s="8">
        <v>1073.8125</v>
      </c>
    </row>
    <row r="192" spans="8:35" ht="15" thickBot="1">
      <c r="H192" s="22">
        <v>120000</v>
      </c>
      <c r="I192" s="18">
        <v>9.9900000000000003E-2</v>
      </c>
      <c r="M192" s="19">
        <v>14600000</v>
      </c>
      <c r="N192" s="18">
        <v>2.9160000000000002E-3</v>
      </c>
      <c r="P192" s="19">
        <v>924999</v>
      </c>
      <c r="Q192" s="18">
        <v>1.9004999999999994E-2</v>
      </c>
      <c r="R192" s="10">
        <f t="shared" si="168"/>
        <v>2.281E-2</v>
      </c>
      <c r="Y192" s="657">
        <v>3000000</v>
      </c>
      <c r="Z192" s="8">
        <v>2159</v>
      </c>
      <c r="AA192" s="8">
        <v>552</v>
      </c>
      <c r="AB192" s="8">
        <v>6477</v>
      </c>
      <c r="AC192" s="8">
        <v>1656</v>
      </c>
    </row>
    <row r="193" spans="8:29" ht="15" thickBot="1">
      <c r="H193" s="22">
        <v>124999</v>
      </c>
      <c r="I193" s="18">
        <v>9.9900000000000003E-2</v>
      </c>
      <c r="M193" s="19">
        <v>14700000</v>
      </c>
      <c r="N193" s="18">
        <v>2.9120000000000001E-3</v>
      </c>
      <c r="P193" s="19">
        <v>925000</v>
      </c>
      <c r="Q193" s="18">
        <v>1.9144999999999995E-2</v>
      </c>
      <c r="R193" s="10">
        <f t="shared" si="168"/>
        <v>2.2970000000000001E-2</v>
      </c>
      <c r="Y193" s="657">
        <v>4000000</v>
      </c>
      <c r="Z193" s="8">
        <v>2669</v>
      </c>
      <c r="AA193" s="8">
        <v>689.42499999999995</v>
      </c>
      <c r="AB193" s="8">
        <v>8007</v>
      </c>
      <c r="AC193" s="8">
        <v>2068.2749999999996</v>
      </c>
    </row>
    <row r="194" spans="8:29" ht="15" thickBot="1">
      <c r="H194" s="22">
        <v>125000</v>
      </c>
      <c r="I194" s="18">
        <v>9.8280000000000006E-2</v>
      </c>
      <c r="M194" s="19">
        <v>14800000</v>
      </c>
      <c r="N194" s="18">
        <v>2.908E-3</v>
      </c>
      <c r="P194" s="19">
        <v>949999</v>
      </c>
      <c r="Q194" s="18">
        <v>1.9144999999999995E-2</v>
      </c>
      <c r="R194" s="10">
        <f t="shared" si="168"/>
        <v>2.2970000000000001E-2</v>
      </c>
      <c r="Y194" s="657">
        <v>5000000</v>
      </c>
      <c r="Z194" s="8">
        <v>2966</v>
      </c>
      <c r="AA194" s="8">
        <v>743.18749999999989</v>
      </c>
      <c r="AB194" s="8">
        <v>8898</v>
      </c>
      <c r="AC194" s="8">
        <v>2229.5624999999995</v>
      </c>
    </row>
    <row r="195" spans="8:29" ht="15" thickBot="1">
      <c r="H195" s="22">
        <v>129999</v>
      </c>
      <c r="I195" s="18">
        <v>9.8280000000000006E-2</v>
      </c>
      <c r="M195" s="19">
        <v>14900000</v>
      </c>
      <c r="N195" s="18">
        <v>2.9039999999999999E-3</v>
      </c>
      <c r="P195" s="19">
        <v>950000</v>
      </c>
      <c r="Q195" s="18">
        <v>1.9284999999999997E-2</v>
      </c>
      <c r="R195" s="10">
        <f t="shared" si="168"/>
        <v>2.3140000000000001E-2</v>
      </c>
      <c r="Y195" s="657">
        <v>6000000</v>
      </c>
      <c r="Z195" s="8">
        <v>3264</v>
      </c>
      <c r="AA195" s="8">
        <v>822.24999999999989</v>
      </c>
      <c r="AB195" s="8">
        <v>9792</v>
      </c>
      <c r="AC195" s="8">
        <v>2466.7499999999995</v>
      </c>
    </row>
    <row r="196" spans="8:29" ht="15" thickBot="1">
      <c r="H196" s="22">
        <v>130000</v>
      </c>
      <c r="I196" s="18">
        <v>9.6659999999999996E-2</v>
      </c>
      <c r="M196" s="19">
        <v>15000000</v>
      </c>
      <c r="N196" s="18">
        <v>2.8999999999999998E-3</v>
      </c>
      <c r="P196" s="19">
        <v>974999</v>
      </c>
      <c r="Q196" s="18">
        <v>1.9284999999999997E-2</v>
      </c>
      <c r="R196" s="10">
        <f t="shared" si="168"/>
        <v>2.3140000000000001E-2</v>
      </c>
      <c r="Y196" s="657">
        <v>7000000</v>
      </c>
      <c r="Z196" s="8">
        <v>3561</v>
      </c>
      <c r="AA196" s="8">
        <v>904.47500000000002</v>
      </c>
      <c r="AB196" s="8">
        <v>10683</v>
      </c>
      <c r="AC196" s="8">
        <v>2713.4250000000002</v>
      </c>
    </row>
    <row r="197" spans="8:29" ht="15" thickBot="1">
      <c r="H197" s="22">
        <v>134999</v>
      </c>
      <c r="I197" s="18">
        <v>9.6659999999999996E-2</v>
      </c>
      <c r="M197" s="19">
        <v>17500000</v>
      </c>
      <c r="N197" s="18">
        <v>2.8999999999999998E-3</v>
      </c>
      <c r="P197" s="19">
        <v>975000</v>
      </c>
      <c r="Q197" s="18">
        <v>1.9424999999999994E-2</v>
      </c>
      <c r="R197" s="10">
        <f t="shared" si="168"/>
        <v>2.3310000000000001E-2</v>
      </c>
      <c r="Y197" s="657">
        <v>8000000</v>
      </c>
      <c r="Z197" s="8">
        <v>3858</v>
      </c>
      <c r="AA197" s="8">
        <v>970.88749999999993</v>
      </c>
      <c r="AB197" s="8">
        <v>11574</v>
      </c>
      <c r="AC197" s="8">
        <v>2912.6624999999999</v>
      </c>
    </row>
    <row r="198" spans="8:29" ht="15" thickBot="1">
      <c r="H198" s="22">
        <v>135000</v>
      </c>
      <c r="I198" s="18">
        <v>9.5039999999999999E-2</v>
      </c>
      <c r="M198" s="19">
        <v>20000000</v>
      </c>
      <c r="N198" s="18">
        <v>2.8999999999999998E-3</v>
      </c>
      <c r="P198" s="19">
        <v>999999</v>
      </c>
      <c r="Q198" s="18">
        <v>1.9424999999999994E-2</v>
      </c>
      <c r="R198" s="10">
        <f t="shared" si="168"/>
        <v>2.3310000000000001E-2</v>
      </c>
      <c r="Y198" s="657">
        <v>9000000</v>
      </c>
      <c r="Z198" s="8">
        <v>4156</v>
      </c>
      <c r="AA198" s="660">
        <v>1053.1125</v>
      </c>
      <c r="AB198" s="8">
        <v>12468</v>
      </c>
      <c r="AC198" s="8">
        <v>3159.3374999999996</v>
      </c>
    </row>
    <row r="199" spans="8:29" ht="15" thickBot="1">
      <c r="H199" s="22">
        <v>139999</v>
      </c>
      <c r="I199" s="18">
        <v>9.5039999999999999E-2</v>
      </c>
      <c r="M199" s="19">
        <v>25000000</v>
      </c>
      <c r="N199" s="18">
        <v>2.8999999999999998E-3</v>
      </c>
      <c r="P199" s="19">
        <v>1000000</v>
      </c>
      <c r="Q199" s="18">
        <v>1.9354999999999997E-2</v>
      </c>
      <c r="R199" s="10">
        <f t="shared" si="168"/>
        <v>2.3230000000000001E-2</v>
      </c>
      <c r="Y199" s="657">
        <v>10000000</v>
      </c>
      <c r="Z199" s="8">
        <v>4450</v>
      </c>
      <c r="AA199" s="660">
        <v>1106.875</v>
      </c>
      <c r="AB199" s="8">
        <v>13350</v>
      </c>
      <c r="AC199" s="8">
        <v>3320.625</v>
      </c>
    </row>
    <row r="200" spans="8:29" ht="15" thickBot="1">
      <c r="H200" s="22">
        <v>140000</v>
      </c>
      <c r="I200" s="18">
        <v>9.3420000000000003E-2</v>
      </c>
      <c r="M200" s="19">
        <v>30000000</v>
      </c>
      <c r="N200" s="18">
        <v>2.8999999999999998E-3</v>
      </c>
      <c r="P200" s="19">
        <v>1049999</v>
      </c>
      <c r="Q200" s="18">
        <v>1.9354999999999997E-2</v>
      </c>
      <c r="R200" s="10">
        <f t="shared" si="168"/>
        <v>2.3230000000000001E-2</v>
      </c>
      <c r="Y200" s="657">
        <v>15000000</v>
      </c>
      <c r="Z200" s="8">
        <v>5193</v>
      </c>
      <c r="AA200" s="660">
        <v>1293.4625000000001</v>
      </c>
      <c r="AB200" s="8">
        <v>15579</v>
      </c>
      <c r="AC200" s="8">
        <v>3880.3875000000003</v>
      </c>
    </row>
    <row r="201" spans="8:29" ht="15" thickBot="1">
      <c r="H201" s="22">
        <v>144999</v>
      </c>
      <c r="I201" s="18">
        <v>9.3420000000000003E-2</v>
      </c>
      <c r="M201" s="19">
        <v>40000000</v>
      </c>
      <c r="N201" s="18">
        <v>2.8999999999999998E-3</v>
      </c>
      <c r="P201" s="19">
        <v>1050000</v>
      </c>
      <c r="Q201" s="18">
        <v>1.9284999999999997E-2</v>
      </c>
      <c r="R201" s="10">
        <f t="shared" si="168"/>
        <v>2.3140000000000001E-2</v>
      </c>
      <c r="Y201" s="657">
        <v>20000000</v>
      </c>
      <c r="Z201" s="8">
        <v>5936</v>
      </c>
      <c r="AA201" s="660">
        <v>1483.2125000000001</v>
      </c>
      <c r="AB201" s="8">
        <v>17808</v>
      </c>
      <c r="AC201" s="8">
        <v>4449.6375000000007</v>
      </c>
    </row>
    <row r="202" spans="8:29" ht="15" thickBot="1">
      <c r="H202" s="22">
        <v>145000</v>
      </c>
      <c r="I202" s="18">
        <v>9.1800000000000007E-2</v>
      </c>
      <c r="P202" s="19">
        <v>1099999</v>
      </c>
      <c r="Q202" s="18">
        <v>1.9284999999999997E-2</v>
      </c>
      <c r="R202" s="10">
        <f t="shared" si="168"/>
        <v>2.3140000000000001E-2</v>
      </c>
      <c r="Y202" s="657">
        <v>25000000</v>
      </c>
      <c r="Z202" s="8">
        <v>6474</v>
      </c>
      <c r="AA202" s="660">
        <v>1619.2</v>
      </c>
      <c r="AB202" s="8">
        <v>19422</v>
      </c>
      <c r="AC202" s="8">
        <v>4857.6000000000004</v>
      </c>
    </row>
    <row r="203" spans="8:29" ht="15" thickBot="1">
      <c r="H203" s="22">
        <v>149999</v>
      </c>
      <c r="I203" s="18">
        <v>9.1800000000000007E-2</v>
      </c>
      <c r="P203" s="19">
        <v>1100000</v>
      </c>
      <c r="Q203" s="18">
        <v>1.9214999999999999E-2</v>
      </c>
      <c r="R203" s="10">
        <f t="shared" si="168"/>
        <v>2.3060000000000001E-2</v>
      </c>
      <c r="Y203" s="657">
        <v>30000000</v>
      </c>
      <c r="Z203" s="8">
        <v>6961</v>
      </c>
      <c r="AA203" s="660">
        <v>1739.3750000000002</v>
      </c>
      <c r="AB203" s="8">
        <v>20883</v>
      </c>
      <c r="AC203" s="8">
        <v>5218.1250000000009</v>
      </c>
    </row>
    <row r="204" spans="8:29" ht="15" thickBot="1">
      <c r="H204" s="22">
        <v>150000</v>
      </c>
      <c r="I204" s="18">
        <v>9.0359999999999996E-2</v>
      </c>
      <c r="P204" s="19">
        <v>1149999</v>
      </c>
      <c r="Q204" s="18">
        <v>1.9214999999999999E-2</v>
      </c>
      <c r="R204" s="10">
        <f t="shared" si="168"/>
        <v>2.3060000000000001E-2</v>
      </c>
      <c r="Y204" s="657">
        <v>35000000</v>
      </c>
      <c r="Z204" s="8">
        <v>7445</v>
      </c>
      <c r="AA204" s="660">
        <v>1862.7124999999999</v>
      </c>
      <c r="AB204" s="8">
        <v>22335</v>
      </c>
      <c r="AC204" s="8">
        <v>5588.1374999999998</v>
      </c>
    </row>
    <row r="205" spans="8:29" ht="15" thickBot="1">
      <c r="H205" s="22">
        <v>154999</v>
      </c>
      <c r="I205" s="18">
        <v>9.0359999999999996E-2</v>
      </c>
      <c r="P205" s="19">
        <v>1150000</v>
      </c>
      <c r="Q205" s="18">
        <v>1.9145000000000002E-2</v>
      </c>
      <c r="R205" s="10">
        <f t="shared" si="168"/>
        <v>2.2970000000000001E-2</v>
      </c>
      <c r="Y205" s="657">
        <v>40000000</v>
      </c>
      <c r="Z205" s="8">
        <v>7932</v>
      </c>
      <c r="AA205" s="660">
        <v>1982.8874999999998</v>
      </c>
      <c r="AB205" s="8">
        <v>23796</v>
      </c>
      <c r="AC205" s="8">
        <v>5948.6624999999995</v>
      </c>
    </row>
    <row r="206" spans="8:29" ht="15" thickBot="1">
      <c r="H206" s="22">
        <v>155000</v>
      </c>
      <c r="I206" s="18">
        <v>8.8919999999999999E-2</v>
      </c>
      <c r="P206" s="19">
        <v>1199999</v>
      </c>
      <c r="Q206" s="18">
        <v>1.9145000000000002E-2</v>
      </c>
      <c r="R206" s="10">
        <f t="shared" si="168"/>
        <v>2.2970000000000001E-2</v>
      </c>
      <c r="Y206" s="657">
        <v>45000000</v>
      </c>
      <c r="Z206" s="8">
        <v>8415</v>
      </c>
      <c r="AA206" s="8">
        <v>2103.0625</v>
      </c>
      <c r="AB206" s="8">
        <v>25245</v>
      </c>
      <c r="AC206" s="8">
        <v>6309.1875</v>
      </c>
    </row>
    <row r="207" spans="8:29" ht="15" thickBot="1">
      <c r="H207" s="22">
        <v>159999</v>
      </c>
      <c r="I207" s="18">
        <v>8.8919999999999999E-2</v>
      </c>
      <c r="M207" t="s">
        <v>2872</v>
      </c>
      <c r="P207" s="19">
        <v>1200000</v>
      </c>
      <c r="Q207" s="18">
        <v>1.9075000000000005E-2</v>
      </c>
      <c r="R207" s="10">
        <f t="shared" si="168"/>
        <v>2.2890000000000001E-2</v>
      </c>
      <c r="Y207" s="657">
        <v>50000000</v>
      </c>
      <c r="Z207" s="8">
        <v>8902</v>
      </c>
      <c r="AA207" s="8">
        <v>2226.3999999999996</v>
      </c>
      <c r="AB207" s="8">
        <v>26706</v>
      </c>
      <c r="AC207" s="8">
        <v>6679.1999999999989</v>
      </c>
    </row>
    <row r="208" spans="8:29" ht="15" thickBot="1">
      <c r="H208" s="22">
        <v>160000</v>
      </c>
      <c r="I208" s="18">
        <v>8.7480000000000002E-2</v>
      </c>
      <c r="M208" s="22">
        <v>0</v>
      </c>
      <c r="N208" s="23">
        <v>0.04</v>
      </c>
      <c r="O208" s="29">
        <f>ROUND(N208*1.2,5)</f>
        <v>4.8000000000000001E-2</v>
      </c>
      <c r="P208" s="19">
        <v>1249999</v>
      </c>
      <c r="Q208" s="18">
        <v>1.9075000000000005E-2</v>
      </c>
      <c r="R208" s="10">
        <f t="shared" si="168"/>
        <v>2.2890000000000001E-2</v>
      </c>
      <c r="Y208" s="657">
        <v>55000000</v>
      </c>
      <c r="Z208" s="8">
        <v>9497</v>
      </c>
      <c r="AA208" s="8">
        <v>2381.3624999999993</v>
      </c>
      <c r="AB208" s="8">
        <v>28491</v>
      </c>
      <c r="AC208" s="8">
        <v>7144.0874999999978</v>
      </c>
    </row>
    <row r="209" spans="8:29" ht="15" thickBot="1">
      <c r="H209" s="22">
        <v>164999</v>
      </c>
      <c r="I209" s="18">
        <v>8.7480000000000002E-2</v>
      </c>
      <c r="M209" s="22">
        <v>49999</v>
      </c>
      <c r="N209" s="23">
        <v>0.04</v>
      </c>
      <c r="O209" s="29">
        <f t="shared" ref="O209:O272" si="170">ROUND(N209*1.2,5)</f>
        <v>4.8000000000000001E-2</v>
      </c>
      <c r="P209" s="19">
        <v>1250000</v>
      </c>
      <c r="Q209" s="18">
        <v>1.9005000000000005E-2</v>
      </c>
      <c r="R209" s="10">
        <f t="shared" si="168"/>
        <v>2.281E-2</v>
      </c>
      <c r="Y209" s="657">
        <v>60000000</v>
      </c>
      <c r="Z209" s="8">
        <v>10088</v>
      </c>
      <c r="AA209" s="8">
        <v>2539.4874999999993</v>
      </c>
      <c r="AB209" s="8">
        <v>30264</v>
      </c>
      <c r="AC209" s="8">
        <v>7618.4624999999978</v>
      </c>
    </row>
    <row r="210" spans="8:29" ht="15" thickBot="1">
      <c r="H210" s="22">
        <v>165000</v>
      </c>
      <c r="I210" s="18">
        <v>8.6040000000000005E-2</v>
      </c>
      <c r="M210" s="22">
        <v>50000</v>
      </c>
      <c r="N210" s="23">
        <v>3.9600000000000003E-2</v>
      </c>
      <c r="O210" s="29">
        <f t="shared" si="170"/>
        <v>4.752E-2</v>
      </c>
      <c r="P210" s="19">
        <v>1299999</v>
      </c>
      <c r="Q210" s="18">
        <v>1.9005000000000005E-2</v>
      </c>
      <c r="R210" s="10">
        <f t="shared" si="168"/>
        <v>2.281E-2</v>
      </c>
      <c r="Y210" s="657">
        <v>65000000</v>
      </c>
      <c r="Z210" s="8">
        <v>10683</v>
      </c>
      <c r="AA210" s="8">
        <v>2694.4499999999994</v>
      </c>
      <c r="AB210" s="8">
        <v>32049</v>
      </c>
      <c r="AC210" s="8">
        <v>8083.3499999999985</v>
      </c>
    </row>
    <row r="211" spans="8:29" ht="15" thickBot="1">
      <c r="H211" s="22">
        <v>169999</v>
      </c>
      <c r="I211" s="18">
        <v>8.6040000000000005E-2</v>
      </c>
      <c r="M211" s="22">
        <v>54999</v>
      </c>
      <c r="N211" s="23">
        <v>3.9600000000000003E-2</v>
      </c>
      <c r="O211" s="29">
        <f t="shared" si="170"/>
        <v>4.752E-2</v>
      </c>
      <c r="P211" s="19">
        <v>1300000</v>
      </c>
      <c r="Q211" s="18">
        <v>1.8935000000000004E-2</v>
      </c>
      <c r="R211" s="10">
        <f t="shared" si="168"/>
        <v>2.2720000000000001E-2</v>
      </c>
      <c r="Y211" s="657">
        <v>70000000</v>
      </c>
      <c r="Z211" s="8">
        <v>11277</v>
      </c>
      <c r="AA211" s="8">
        <v>2852.5749999999994</v>
      </c>
      <c r="AB211" s="8">
        <v>33831</v>
      </c>
      <c r="AC211" s="8">
        <v>8557.7249999999985</v>
      </c>
    </row>
    <row r="212" spans="8:29" ht="15" thickBot="1">
      <c r="H212" s="22">
        <v>170000</v>
      </c>
      <c r="I212" s="18">
        <v>8.4599999999999995E-2</v>
      </c>
      <c r="M212" s="22">
        <v>55000</v>
      </c>
      <c r="N212" s="23">
        <v>3.9199999999999999E-2</v>
      </c>
      <c r="O212" s="29">
        <f t="shared" si="170"/>
        <v>4.7039999999999998E-2</v>
      </c>
      <c r="P212" s="19">
        <v>1349999</v>
      </c>
      <c r="Q212" s="18">
        <v>1.8935000000000004E-2</v>
      </c>
      <c r="R212" s="10">
        <f t="shared" si="168"/>
        <v>2.2720000000000001E-2</v>
      </c>
      <c r="Y212" s="657">
        <v>75000000</v>
      </c>
      <c r="Z212" s="8">
        <v>11869</v>
      </c>
      <c r="AA212" s="8">
        <v>3007.5374999999999</v>
      </c>
      <c r="AB212" s="8">
        <v>35607</v>
      </c>
      <c r="AC212" s="8">
        <v>9022.6124999999993</v>
      </c>
    </row>
    <row r="213" spans="8:29" ht="15" thickBot="1">
      <c r="H213" s="22">
        <v>174999</v>
      </c>
      <c r="I213" s="18">
        <v>8.4599999999999995E-2</v>
      </c>
      <c r="M213" s="22">
        <v>59999</v>
      </c>
      <c r="N213" s="23">
        <v>3.9199999999999999E-2</v>
      </c>
      <c r="O213" s="29">
        <f t="shared" si="170"/>
        <v>4.7039999999999998E-2</v>
      </c>
      <c r="P213" s="19">
        <v>1350000</v>
      </c>
      <c r="Q213" s="18">
        <v>1.8865000000000007E-2</v>
      </c>
      <c r="R213" s="10">
        <f t="shared" si="168"/>
        <v>2.264E-2</v>
      </c>
      <c r="Y213" s="657">
        <v>80000000</v>
      </c>
      <c r="Z213" s="8">
        <v>12463</v>
      </c>
      <c r="AA213" s="8">
        <v>3165.6624999999995</v>
      </c>
      <c r="AB213" s="8">
        <v>37389</v>
      </c>
      <c r="AC213" s="8">
        <v>9496.9874999999993</v>
      </c>
    </row>
    <row r="214" spans="8:29" ht="15" thickBot="1">
      <c r="H214" s="22">
        <v>175000</v>
      </c>
      <c r="I214" s="18">
        <v>8.3159999999999998E-2</v>
      </c>
      <c r="M214" s="22">
        <v>60000</v>
      </c>
      <c r="N214" s="23">
        <v>3.8800000000000001E-2</v>
      </c>
      <c r="O214" s="29">
        <f t="shared" si="170"/>
        <v>4.6559999999999997E-2</v>
      </c>
      <c r="P214" s="19">
        <v>1399999</v>
      </c>
      <c r="Q214" s="18">
        <v>1.8865000000000007E-2</v>
      </c>
      <c r="R214" s="10">
        <f t="shared" si="168"/>
        <v>2.264E-2</v>
      </c>
      <c r="Y214" s="657">
        <v>85000000</v>
      </c>
      <c r="Z214" s="8">
        <v>13058</v>
      </c>
      <c r="AA214" s="8">
        <v>3320.6249999999991</v>
      </c>
      <c r="AB214" s="8">
        <v>39174</v>
      </c>
      <c r="AC214" s="8">
        <v>9961.8749999999964</v>
      </c>
    </row>
    <row r="215" spans="8:29" ht="15" thickBot="1">
      <c r="H215" s="22">
        <v>179999</v>
      </c>
      <c r="I215" s="18">
        <v>8.3159999999999998E-2</v>
      </c>
      <c r="M215" s="22">
        <v>64999</v>
      </c>
      <c r="N215" s="23">
        <v>3.8800000000000001E-2</v>
      </c>
      <c r="O215" s="29">
        <f t="shared" si="170"/>
        <v>4.6559999999999997E-2</v>
      </c>
      <c r="P215" s="19">
        <v>1400000</v>
      </c>
      <c r="Q215" s="18">
        <v>1.8795000000000006E-2</v>
      </c>
      <c r="R215" s="10">
        <f t="shared" si="168"/>
        <v>2.2550000000000001E-2</v>
      </c>
      <c r="Y215" s="657">
        <v>90000000</v>
      </c>
      <c r="Z215" s="8">
        <v>13649</v>
      </c>
      <c r="AA215" s="8">
        <v>3478.7499999999991</v>
      </c>
      <c r="AB215" s="8">
        <v>40947</v>
      </c>
      <c r="AC215" s="8">
        <v>10436.249999999996</v>
      </c>
    </row>
    <row r="216" spans="8:29" ht="15" thickBot="1">
      <c r="H216" s="22">
        <v>180000</v>
      </c>
      <c r="I216" s="18">
        <v>8.1720000000000001E-2</v>
      </c>
      <c r="M216" s="22">
        <v>65000</v>
      </c>
      <c r="N216" s="23">
        <v>3.8399999999999997E-2</v>
      </c>
      <c r="O216" s="29">
        <f t="shared" si="170"/>
        <v>4.6080000000000003E-2</v>
      </c>
      <c r="P216" s="19">
        <v>1449999</v>
      </c>
      <c r="Q216" s="18">
        <v>1.8795000000000006E-2</v>
      </c>
      <c r="R216" s="10">
        <f t="shared" si="168"/>
        <v>2.2550000000000001E-2</v>
      </c>
      <c r="Y216" s="657">
        <v>95000000</v>
      </c>
      <c r="Z216" s="8">
        <v>14244</v>
      </c>
      <c r="AA216" s="8">
        <v>3633.7124999999987</v>
      </c>
      <c r="AB216" s="8">
        <v>42732</v>
      </c>
      <c r="AC216" s="8">
        <v>10901.137499999997</v>
      </c>
    </row>
    <row r="217" spans="8:29" ht="15" thickBot="1">
      <c r="H217" s="22">
        <v>184999</v>
      </c>
      <c r="I217" s="18">
        <v>8.1720000000000001E-2</v>
      </c>
      <c r="M217" s="22">
        <v>69999</v>
      </c>
      <c r="N217" s="23">
        <v>3.8399999999999997E-2</v>
      </c>
      <c r="O217" s="29">
        <f t="shared" si="170"/>
        <v>4.6080000000000003E-2</v>
      </c>
      <c r="P217" s="19">
        <v>1450000</v>
      </c>
      <c r="Q217" s="18">
        <v>1.8725000000000009E-2</v>
      </c>
      <c r="R217" s="10">
        <f t="shared" si="168"/>
        <v>2.247E-2</v>
      </c>
      <c r="Y217" s="657">
        <v>100000000</v>
      </c>
      <c r="Z217" s="8">
        <v>14838</v>
      </c>
      <c r="AA217" s="8">
        <v>3788.6749999999988</v>
      </c>
      <c r="AB217" s="8">
        <v>44514</v>
      </c>
      <c r="AC217" s="8">
        <v>11366.024999999996</v>
      </c>
    </row>
    <row r="218" spans="8:29" ht="15" thickBot="1">
      <c r="H218" s="22">
        <v>185000</v>
      </c>
      <c r="I218" s="18">
        <v>8.0280000000000004E-2</v>
      </c>
      <c r="M218" s="22">
        <v>70000</v>
      </c>
      <c r="N218" s="23">
        <v>3.7999999999999999E-2</v>
      </c>
      <c r="O218" s="29">
        <f t="shared" si="170"/>
        <v>4.5600000000000002E-2</v>
      </c>
      <c r="P218" s="19">
        <v>1499999</v>
      </c>
      <c r="Q218" s="18">
        <v>1.8725000000000009E-2</v>
      </c>
      <c r="R218" s="10">
        <f t="shared" si="168"/>
        <v>2.247E-2</v>
      </c>
      <c r="Y218" s="657">
        <v>125000000</v>
      </c>
      <c r="Z218" s="8">
        <v>17536</v>
      </c>
      <c r="AA218" s="8">
        <v>4598.2749999999987</v>
      </c>
      <c r="AB218" s="8">
        <v>52608</v>
      </c>
      <c r="AC218" s="8">
        <v>13794.824999999997</v>
      </c>
    </row>
    <row r="219" spans="8:29" ht="15" thickBot="1">
      <c r="H219" s="22">
        <v>189999</v>
      </c>
      <c r="I219" s="18">
        <v>8.0280000000000004E-2</v>
      </c>
      <c r="M219" s="22">
        <v>74999</v>
      </c>
      <c r="N219" s="23">
        <v>3.7999999999999999E-2</v>
      </c>
      <c r="O219" s="29">
        <f t="shared" si="170"/>
        <v>4.5600000000000002E-2</v>
      </c>
      <c r="P219" s="19">
        <v>1500000</v>
      </c>
      <c r="Q219" s="18">
        <v>1.8690000000000009E-2</v>
      </c>
      <c r="R219" s="10">
        <f t="shared" si="168"/>
        <v>2.2429999999999999E-2</v>
      </c>
      <c r="Y219" s="657">
        <v>150000000</v>
      </c>
      <c r="Z219" s="8">
        <v>20234</v>
      </c>
      <c r="AA219" s="8">
        <v>5407.8749999999982</v>
      </c>
      <c r="AB219" s="8">
        <v>60702</v>
      </c>
      <c r="AC219" s="8">
        <v>16223.624999999995</v>
      </c>
    </row>
    <row r="220" spans="8:29" ht="15" thickBot="1">
      <c r="H220" s="22">
        <v>190000</v>
      </c>
      <c r="I220" s="18">
        <v>7.8839999999999993E-2</v>
      </c>
      <c r="M220" s="22">
        <v>75000</v>
      </c>
      <c r="N220" s="23">
        <v>3.7600000000000001E-2</v>
      </c>
      <c r="O220" s="29">
        <f t="shared" si="170"/>
        <v>4.512E-2</v>
      </c>
      <c r="P220" s="19">
        <v>1699999</v>
      </c>
      <c r="Q220" s="18">
        <v>1.8690000000000009E-2</v>
      </c>
      <c r="R220" s="10">
        <f t="shared" si="168"/>
        <v>2.2429999999999999E-2</v>
      </c>
      <c r="Y220" s="657">
        <v>175000000</v>
      </c>
      <c r="Z220" s="8">
        <v>23267</v>
      </c>
      <c r="AA220" s="8">
        <v>6192.1749999999984</v>
      </c>
      <c r="AB220" s="8">
        <v>69801</v>
      </c>
      <c r="AC220" s="8">
        <v>18576.524999999994</v>
      </c>
    </row>
    <row r="221" spans="8:29" ht="15" thickBot="1">
      <c r="H221" s="22">
        <v>194999</v>
      </c>
      <c r="I221" s="18">
        <v>7.8839999999999993E-2</v>
      </c>
      <c r="M221" s="22">
        <v>79999</v>
      </c>
      <c r="N221" s="23">
        <v>3.7600000000000001E-2</v>
      </c>
      <c r="O221" s="29">
        <f t="shared" si="170"/>
        <v>4.512E-2</v>
      </c>
      <c r="P221" s="19">
        <v>1700000</v>
      </c>
      <c r="Q221" s="18">
        <v>1.8655000000000012E-2</v>
      </c>
      <c r="R221" s="10">
        <f t="shared" si="168"/>
        <v>2.239E-2</v>
      </c>
      <c r="Y221" s="657">
        <v>200000000</v>
      </c>
      <c r="Z221" s="8">
        <v>26303</v>
      </c>
      <c r="AA221" s="8">
        <v>6960.6624999999976</v>
      </c>
      <c r="AB221" s="8">
        <v>78909</v>
      </c>
      <c r="AC221" s="8">
        <v>20881.987499999992</v>
      </c>
    </row>
    <row r="222" spans="8:29" ht="15" thickBot="1">
      <c r="H222" s="22">
        <v>195000</v>
      </c>
      <c r="I222" s="18">
        <v>7.7399999999999997E-2</v>
      </c>
      <c r="M222" s="22">
        <v>80000</v>
      </c>
      <c r="N222" s="23">
        <v>3.7199999999999997E-2</v>
      </c>
      <c r="O222" s="29">
        <f t="shared" si="170"/>
        <v>4.4639999999999999E-2</v>
      </c>
      <c r="P222" s="19">
        <v>1899999</v>
      </c>
      <c r="Q222" s="18">
        <v>1.8655000000000012E-2</v>
      </c>
      <c r="R222" s="10">
        <f t="shared" si="168"/>
        <v>2.239E-2</v>
      </c>
      <c r="Y222" s="657">
        <v>250000000</v>
      </c>
      <c r="Z222" s="8">
        <v>33450</v>
      </c>
      <c r="AA222" s="8">
        <v>8402.7624999999971</v>
      </c>
      <c r="AB222" s="8">
        <v>100350</v>
      </c>
      <c r="AC222" s="8">
        <v>25208.287499999991</v>
      </c>
    </row>
    <row r="223" spans="8:29" ht="15" thickBot="1">
      <c r="H223" s="22">
        <v>199999</v>
      </c>
      <c r="I223" s="18">
        <v>7.7399999999999997E-2</v>
      </c>
      <c r="M223" s="22">
        <v>84999</v>
      </c>
      <c r="N223" s="23">
        <v>3.7199999999999997E-2</v>
      </c>
      <c r="O223" s="29">
        <f t="shared" si="170"/>
        <v>4.4639999999999999E-2</v>
      </c>
      <c r="P223" s="19">
        <v>1900000</v>
      </c>
      <c r="Q223" s="18">
        <v>1.8620000000000012E-2</v>
      </c>
      <c r="R223" s="10">
        <f t="shared" si="168"/>
        <v>2.2339999999999999E-2</v>
      </c>
      <c r="Y223" s="657">
        <v>300000000</v>
      </c>
      <c r="Z223" s="8">
        <v>43162</v>
      </c>
      <c r="AA223" s="8">
        <v>9588.6999999999953</v>
      </c>
      <c r="AB223" s="8">
        <v>129486</v>
      </c>
      <c r="AC223" s="8">
        <v>28766.099999999984</v>
      </c>
    </row>
    <row r="224" spans="8:29" ht="15" thickBot="1">
      <c r="H224" s="22">
        <v>200000</v>
      </c>
      <c r="I224" s="18">
        <v>7.7280000000000001E-2</v>
      </c>
      <c r="M224" s="22">
        <v>85000</v>
      </c>
      <c r="N224" s="23">
        <v>3.6799999999999999E-2</v>
      </c>
      <c r="O224" s="29">
        <f t="shared" si="170"/>
        <v>4.4159999999999998E-2</v>
      </c>
      <c r="P224" s="19">
        <v>2099999</v>
      </c>
      <c r="Q224" s="18">
        <v>1.8620000000000012E-2</v>
      </c>
      <c r="R224" s="10">
        <f t="shared" si="168"/>
        <v>2.2339999999999999E-2</v>
      </c>
      <c r="Y224" s="657">
        <v>350000000</v>
      </c>
      <c r="Z224" s="8">
        <v>70138</v>
      </c>
      <c r="AA224" s="8">
        <v>9588.6999999999953</v>
      </c>
      <c r="AB224" s="8">
        <v>210414</v>
      </c>
      <c r="AC224" s="8">
        <v>28766.099999999984</v>
      </c>
    </row>
    <row r="225" spans="8:29" ht="15" thickBot="1">
      <c r="H225" s="22">
        <v>249999</v>
      </c>
      <c r="I225" s="18">
        <v>7.7280000000000001E-2</v>
      </c>
      <c r="M225" s="22">
        <v>89999</v>
      </c>
      <c r="N225" s="23">
        <v>3.6799999999999999E-2</v>
      </c>
      <c r="O225" s="29">
        <f t="shared" si="170"/>
        <v>4.4159999999999998E-2</v>
      </c>
      <c r="P225" s="19">
        <v>2100000</v>
      </c>
      <c r="Q225" s="18">
        <v>1.8585000000000015E-2</v>
      </c>
      <c r="R225" s="10">
        <f t="shared" si="168"/>
        <v>2.23E-2</v>
      </c>
      <c r="Y225" s="657">
        <v>400000000</v>
      </c>
      <c r="Z225" s="8">
        <v>97114</v>
      </c>
      <c r="AA225" s="8">
        <v>9588.6999999999953</v>
      </c>
      <c r="AB225" s="8">
        <v>291342</v>
      </c>
      <c r="AC225" s="8">
        <v>28766.099999999984</v>
      </c>
    </row>
    <row r="226" spans="8:29" ht="15" thickBot="1">
      <c r="H226" s="22">
        <v>250000</v>
      </c>
      <c r="I226" s="18">
        <v>7.7160000000000006E-2</v>
      </c>
      <c r="M226" s="22">
        <v>90000</v>
      </c>
      <c r="N226" s="23">
        <v>3.6400000000000002E-2</v>
      </c>
      <c r="O226" s="29">
        <f t="shared" si="170"/>
        <v>4.3679999999999997E-2</v>
      </c>
      <c r="P226" s="19">
        <v>2299999</v>
      </c>
      <c r="Q226" s="18">
        <v>1.8585000000000015E-2</v>
      </c>
      <c r="R226" s="10">
        <f t="shared" si="168"/>
        <v>2.23E-2</v>
      </c>
      <c r="Y226" s="657">
        <v>450000000</v>
      </c>
      <c r="Z226" s="8">
        <v>124090</v>
      </c>
      <c r="AA226" s="8">
        <v>9588.6999999999953</v>
      </c>
      <c r="AB226" s="8">
        <v>372270</v>
      </c>
      <c r="AC226" s="8">
        <v>28766.099999999984</v>
      </c>
    </row>
    <row r="227" spans="8:29" ht="15" thickBot="1">
      <c r="H227" s="22">
        <v>299999</v>
      </c>
      <c r="I227" s="18">
        <v>7.7160000000000006E-2</v>
      </c>
      <c r="M227" s="22">
        <v>94999</v>
      </c>
      <c r="N227" s="23">
        <v>3.6400000000000002E-2</v>
      </c>
      <c r="O227" s="29">
        <f t="shared" si="170"/>
        <v>4.3679999999999997E-2</v>
      </c>
      <c r="P227" s="19">
        <v>2300000</v>
      </c>
      <c r="Q227" s="18">
        <v>1.8550000000000014E-2</v>
      </c>
      <c r="R227" s="10">
        <f t="shared" si="168"/>
        <v>2.2259999999999999E-2</v>
      </c>
      <c r="Y227" s="657">
        <v>500000000</v>
      </c>
      <c r="Z227" s="8">
        <v>151066</v>
      </c>
      <c r="AA227" s="8">
        <v>9588.6999999999953</v>
      </c>
      <c r="AB227" s="8">
        <v>453198</v>
      </c>
      <c r="AC227" s="8">
        <v>28766.099999999984</v>
      </c>
    </row>
    <row r="228" spans="8:29" ht="15" thickBot="1">
      <c r="H228" s="22">
        <v>300000</v>
      </c>
      <c r="I228" s="18">
        <v>7.7039999999999997E-2</v>
      </c>
      <c r="M228" s="22">
        <v>95000</v>
      </c>
      <c r="N228" s="23">
        <v>3.5999999999999997E-2</v>
      </c>
      <c r="O228" s="29">
        <f t="shared" si="170"/>
        <v>4.3200000000000002E-2</v>
      </c>
      <c r="P228" s="19">
        <v>2499999</v>
      </c>
      <c r="Q228" s="18">
        <v>1.8550000000000014E-2</v>
      </c>
      <c r="R228" s="10">
        <f t="shared" si="168"/>
        <v>2.2259999999999999E-2</v>
      </c>
    </row>
    <row r="229" spans="8:29" ht="15" thickBot="1">
      <c r="H229" s="22">
        <v>349999</v>
      </c>
      <c r="I229" s="18">
        <v>7.7039999999999997E-2</v>
      </c>
      <c r="M229" s="22">
        <v>99999</v>
      </c>
      <c r="N229" s="23">
        <v>3.5999999999999997E-2</v>
      </c>
      <c r="O229" s="29">
        <f t="shared" si="170"/>
        <v>4.3200000000000002E-2</v>
      </c>
      <c r="P229" s="19">
        <v>2500000</v>
      </c>
      <c r="Q229" s="18">
        <v>1.8515000000000014E-2</v>
      </c>
      <c r="R229" s="10">
        <f t="shared" si="168"/>
        <v>2.222E-2</v>
      </c>
    </row>
    <row r="230" spans="8:29" ht="15" thickBot="1">
      <c r="H230" s="22">
        <v>350000</v>
      </c>
      <c r="I230" s="18">
        <v>7.6920000000000002E-2</v>
      </c>
      <c r="M230" s="22">
        <v>100000</v>
      </c>
      <c r="N230" s="23">
        <v>3.5459999999999998E-2</v>
      </c>
      <c r="O230" s="29">
        <f t="shared" si="170"/>
        <v>4.2549999999999998E-2</v>
      </c>
      <c r="P230" s="19">
        <v>2699999</v>
      </c>
      <c r="Q230" s="18">
        <v>1.8515000000000014E-2</v>
      </c>
      <c r="R230" s="10">
        <f t="shared" si="168"/>
        <v>2.222E-2</v>
      </c>
    </row>
    <row r="231" spans="8:29" ht="15" thickBot="1">
      <c r="H231" s="22">
        <v>399999</v>
      </c>
      <c r="I231" s="18">
        <v>7.6920000000000002E-2</v>
      </c>
      <c r="M231" s="22">
        <v>104999</v>
      </c>
      <c r="N231" s="23">
        <v>3.5459999999999998E-2</v>
      </c>
      <c r="O231" s="29">
        <f t="shared" si="170"/>
        <v>4.2549999999999998E-2</v>
      </c>
      <c r="P231" s="19">
        <v>2700000</v>
      </c>
      <c r="Q231" s="18">
        <v>1.8480000000000017E-2</v>
      </c>
      <c r="R231" s="10">
        <f t="shared" si="168"/>
        <v>2.2179999999999998E-2</v>
      </c>
    </row>
    <row r="232" spans="8:29" ht="15" thickBot="1">
      <c r="H232" s="22">
        <v>400000</v>
      </c>
      <c r="I232" s="18">
        <v>7.6799999999999993E-2</v>
      </c>
      <c r="M232" s="22">
        <v>105000</v>
      </c>
      <c r="N232" s="23">
        <v>3.492E-2</v>
      </c>
      <c r="O232" s="29">
        <f t="shared" si="170"/>
        <v>4.19E-2</v>
      </c>
      <c r="P232" s="19">
        <v>2899999</v>
      </c>
      <c r="Q232" s="18">
        <v>1.8480000000000017E-2</v>
      </c>
      <c r="R232" s="10">
        <f t="shared" si="168"/>
        <v>2.2179999999999998E-2</v>
      </c>
    </row>
    <row r="233" spans="8:29" ht="15" thickBot="1">
      <c r="H233" s="22">
        <v>449999</v>
      </c>
      <c r="I233" s="18">
        <v>7.6799999999999993E-2</v>
      </c>
      <c r="M233" s="22">
        <v>109999</v>
      </c>
      <c r="N233" s="23">
        <v>3.492E-2</v>
      </c>
      <c r="O233" s="29">
        <f t="shared" si="170"/>
        <v>4.19E-2</v>
      </c>
      <c r="P233" s="19">
        <v>2900000</v>
      </c>
      <c r="Q233" s="18">
        <v>1.8445000000000017E-2</v>
      </c>
      <c r="R233" s="10">
        <f t="shared" si="168"/>
        <v>2.213E-2</v>
      </c>
    </row>
    <row r="234" spans="8:29" ht="15" thickBot="1">
      <c r="H234" s="22">
        <v>450000</v>
      </c>
      <c r="I234" s="18">
        <v>7.6679999999999998E-2</v>
      </c>
      <c r="M234" s="22">
        <v>110000</v>
      </c>
      <c r="N234" s="23">
        <v>3.4380000000000001E-2</v>
      </c>
      <c r="O234" s="29">
        <f t="shared" si="170"/>
        <v>4.1259999999999998E-2</v>
      </c>
      <c r="P234" s="19">
        <v>3099999</v>
      </c>
      <c r="Q234" s="18">
        <v>1.8445000000000017E-2</v>
      </c>
      <c r="R234" s="10">
        <f t="shared" si="168"/>
        <v>2.213E-2</v>
      </c>
    </row>
    <row r="235" spans="8:29" ht="15" thickBot="1">
      <c r="H235" s="22">
        <v>499999</v>
      </c>
      <c r="I235" s="18">
        <v>7.6679999999999998E-2</v>
      </c>
      <c r="M235" s="22">
        <v>114999</v>
      </c>
      <c r="N235" s="23">
        <v>3.4380000000000001E-2</v>
      </c>
      <c r="O235" s="29">
        <f t="shared" si="170"/>
        <v>4.1259999999999998E-2</v>
      </c>
      <c r="P235" s="19">
        <v>3100000</v>
      </c>
      <c r="Q235" s="18">
        <v>1.8410000000000017E-2</v>
      </c>
      <c r="R235" s="10">
        <f t="shared" si="168"/>
        <v>2.2089999999999999E-2</v>
      </c>
    </row>
    <row r="236" spans="8:29" ht="15" thickBot="1">
      <c r="H236" s="22">
        <v>500000</v>
      </c>
      <c r="I236" s="18">
        <v>7.6560000000000003E-2</v>
      </c>
      <c r="M236" s="22">
        <v>115000</v>
      </c>
      <c r="N236" s="23">
        <v>3.3840000000000002E-2</v>
      </c>
      <c r="O236" s="29">
        <f t="shared" si="170"/>
        <v>4.061E-2</v>
      </c>
      <c r="P236" s="19">
        <v>3299999</v>
      </c>
      <c r="Q236" s="18">
        <v>1.8410000000000017E-2</v>
      </c>
      <c r="R236" s="10">
        <f t="shared" si="168"/>
        <v>2.2089999999999999E-2</v>
      </c>
    </row>
    <row r="237" spans="8:29" ht="15" thickBot="1">
      <c r="H237" s="22">
        <v>549999</v>
      </c>
      <c r="I237" s="18">
        <v>7.6560000000000003E-2</v>
      </c>
      <c r="M237" s="22">
        <v>119999</v>
      </c>
      <c r="N237" s="23">
        <v>3.3840000000000002E-2</v>
      </c>
      <c r="O237" s="29">
        <f t="shared" si="170"/>
        <v>4.061E-2</v>
      </c>
      <c r="P237" s="19">
        <v>3300000</v>
      </c>
      <c r="Q237" s="18">
        <v>1.8375000000000016E-2</v>
      </c>
      <c r="R237" s="10">
        <f t="shared" si="168"/>
        <v>2.205E-2</v>
      </c>
    </row>
    <row r="238" spans="8:29" ht="15" thickBot="1">
      <c r="H238" s="22">
        <v>550000</v>
      </c>
      <c r="I238" s="18">
        <v>7.6439999999999994E-2</v>
      </c>
      <c r="M238" s="22">
        <v>120000</v>
      </c>
      <c r="N238" s="23">
        <v>3.3300000000000003E-2</v>
      </c>
      <c r="O238" s="29">
        <f t="shared" si="170"/>
        <v>3.9960000000000002E-2</v>
      </c>
      <c r="P238" s="19">
        <v>3499999</v>
      </c>
      <c r="Q238" s="18">
        <v>1.8375000000000016E-2</v>
      </c>
      <c r="R238" s="10">
        <f t="shared" si="168"/>
        <v>2.205E-2</v>
      </c>
    </row>
    <row r="239" spans="8:29" ht="15" thickBot="1">
      <c r="H239" s="22">
        <v>599999</v>
      </c>
      <c r="I239" s="18">
        <v>7.6439999999999994E-2</v>
      </c>
      <c r="M239" s="22">
        <v>124999</v>
      </c>
      <c r="N239" s="23">
        <v>3.3300000000000003E-2</v>
      </c>
      <c r="O239" s="29">
        <f t="shared" si="170"/>
        <v>3.9960000000000002E-2</v>
      </c>
      <c r="P239" s="19">
        <v>3500000</v>
      </c>
      <c r="Q239" s="18">
        <v>1.8374999999999999E-2</v>
      </c>
      <c r="R239" s="10">
        <f t="shared" si="168"/>
        <v>2.205E-2</v>
      </c>
    </row>
    <row r="240" spans="8:29" ht="15" thickBot="1">
      <c r="H240" s="22">
        <v>600000</v>
      </c>
      <c r="I240" s="18">
        <v>7.6319999999999999E-2</v>
      </c>
      <c r="M240" s="22">
        <v>125000</v>
      </c>
      <c r="N240" s="23">
        <v>3.2759999999999997E-2</v>
      </c>
      <c r="O240" s="29">
        <f t="shared" si="170"/>
        <v>3.9309999999999998E-2</v>
      </c>
    </row>
    <row r="241" spans="8:15" ht="15" thickBot="1">
      <c r="H241" s="22">
        <v>649999</v>
      </c>
      <c r="I241" s="18">
        <v>7.6319999999999999E-2</v>
      </c>
      <c r="M241" s="22">
        <v>129999</v>
      </c>
      <c r="N241" s="23">
        <v>3.2759999999999997E-2</v>
      </c>
      <c r="O241" s="29">
        <f t="shared" si="170"/>
        <v>3.9309999999999998E-2</v>
      </c>
    </row>
    <row r="242" spans="8:15" ht="15" thickBot="1">
      <c r="H242" s="22">
        <v>650000</v>
      </c>
      <c r="I242" s="18">
        <v>7.6200000000000004E-2</v>
      </c>
      <c r="M242" s="22">
        <v>130000</v>
      </c>
      <c r="N242" s="23">
        <v>3.2219999999999999E-2</v>
      </c>
      <c r="O242" s="29">
        <f t="shared" si="170"/>
        <v>3.866E-2</v>
      </c>
    </row>
    <row r="243" spans="8:15" ht="15" thickBot="1">
      <c r="H243" s="22">
        <v>699999</v>
      </c>
      <c r="I243" s="18">
        <v>7.6200000000000004E-2</v>
      </c>
      <c r="M243" s="22">
        <v>134999</v>
      </c>
      <c r="N243" s="23">
        <v>3.2219999999999999E-2</v>
      </c>
      <c r="O243" s="29">
        <f t="shared" si="170"/>
        <v>3.866E-2</v>
      </c>
    </row>
    <row r="244" spans="8:15" ht="15" thickBot="1">
      <c r="H244" s="22">
        <v>700000</v>
      </c>
      <c r="I244" s="18">
        <v>7.6079999999999995E-2</v>
      </c>
      <c r="M244" s="22">
        <v>135000</v>
      </c>
      <c r="N244" s="23">
        <v>3.168E-2</v>
      </c>
      <c r="O244" s="29">
        <f t="shared" si="170"/>
        <v>3.8019999999999998E-2</v>
      </c>
    </row>
    <row r="245" spans="8:15" ht="15" thickBot="1">
      <c r="H245" s="22">
        <v>749999</v>
      </c>
      <c r="I245" s="18">
        <v>7.6079999999999995E-2</v>
      </c>
      <c r="M245" s="22">
        <v>139999</v>
      </c>
      <c r="N245" s="23">
        <v>3.168E-2</v>
      </c>
      <c r="O245" s="29">
        <f t="shared" si="170"/>
        <v>3.8019999999999998E-2</v>
      </c>
    </row>
    <row r="246" spans="8:15" ht="15" thickBot="1">
      <c r="H246" s="22">
        <v>750000</v>
      </c>
      <c r="I246" s="18">
        <v>7.596E-2</v>
      </c>
      <c r="M246" s="22">
        <v>140000</v>
      </c>
      <c r="N246" s="23">
        <v>3.1140000000000001E-2</v>
      </c>
      <c r="O246" s="29">
        <f t="shared" si="170"/>
        <v>3.737E-2</v>
      </c>
    </row>
    <row r="247" spans="8:15" ht="15" thickBot="1">
      <c r="H247" s="22">
        <v>799999</v>
      </c>
      <c r="I247" s="18">
        <v>7.596E-2</v>
      </c>
      <c r="M247" s="22">
        <v>144999</v>
      </c>
      <c r="N247" s="23">
        <v>3.1140000000000001E-2</v>
      </c>
      <c r="O247" s="29">
        <f t="shared" si="170"/>
        <v>3.737E-2</v>
      </c>
    </row>
    <row r="248" spans="8:15" ht="15" thickBot="1">
      <c r="H248" s="22">
        <v>800000</v>
      </c>
      <c r="I248" s="18">
        <v>7.5840000000000005E-2</v>
      </c>
      <c r="M248" s="22">
        <v>145000</v>
      </c>
      <c r="N248" s="23">
        <v>3.0599999999999999E-2</v>
      </c>
      <c r="O248" s="29">
        <f t="shared" si="170"/>
        <v>3.6720000000000003E-2</v>
      </c>
    </row>
    <row r="249" spans="8:15" ht="15" thickBot="1">
      <c r="H249" s="22">
        <v>849999</v>
      </c>
      <c r="I249" s="18">
        <v>7.5840000000000005E-2</v>
      </c>
      <c r="M249" s="22">
        <v>149999</v>
      </c>
      <c r="N249" s="23">
        <v>3.0599999999999999E-2</v>
      </c>
      <c r="O249" s="29">
        <f t="shared" si="170"/>
        <v>3.6720000000000003E-2</v>
      </c>
    </row>
    <row r="250" spans="8:15" ht="15" thickBot="1">
      <c r="H250" s="22">
        <v>850000</v>
      </c>
      <c r="I250" s="18">
        <v>7.5719999999999996E-2</v>
      </c>
      <c r="M250" s="22">
        <v>150000</v>
      </c>
      <c r="N250" s="23">
        <v>3.0120000000000001E-2</v>
      </c>
      <c r="O250" s="29">
        <f t="shared" si="170"/>
        <v>3.6139999999999999E-2</v>
      </c>
    </row>
    <row r="251" spans="8:15" ht="15" thickBot="1">
      <c r="H251" s="22">
        <v>899999</v>
      </c>
      <c r="I251" s="18">
        <v>7.5719999999999996E-2</v>
      </c>
      <c r="M251" s="22">
        <v>154999</v>
      </c>
      <c r="N251" s="23">
        <v>3.0120000000000001E-2</v>
      </c>
      <c r="O251" s="29">
        <f t="shared" si="170"/>
        <v>3.6139999999999999E-2</v>
      </c>
    </row>
    <row r="252" spans="8:15" ht="15" thickBot="1">
      <c r="H252" s="22">
        <v>900000</v>
      </c>
      <c r="I252" s="18">
        <v>7.5600000000000001E-2</v>
      </c>
      <c r="M252" s="22">
        <v>155000</v>
      </c>
      <c r="N252" s="23">
        <v>2.964E-2</v>
      </c>
      <c r="O252" s="29">
        <f t="shared" si="170"/>
        <v>3.5569999999999997E-2</v>
      </c>
    </row>
    <row r="253" spans="8:15" ht="15" thickBot="1">
      <c r="H253" s="22">
        <v>949999</v>
      </c>
      <c r="I253" s="18">
        <v>7.5600000000000001E-2</v>
      </c>
      <c r="M253" s="22">
        <v>159999</v>
      </c>
      <c r="N253" s="23">
        <v>2.964E-2</v>
      </c>
      <c r="O253" s="29">
        <f t="shared" si="170"/>
        <v>3.5569999999999997E-2</v>
      </c>
    </row>
    <row r="254" spans="8:15" ht="15" thickBot="1">
      <c r="H254" s="22">
        <v>950000</v>
      </c>
      <c r="I254" s="18">
        <v>7.5480000000000005E-2</v>
      </c>
      <c r="M254" s="22">
        <v>160000</v>
      </c>
      <c r="N254" s="23">
        <v>2.9159999999999998E-2</v>
      </c>
      <c r="O254" s="29">
        <f t="shared" si="170"/>
        <v>3.499E-2</v>
      </c>
    </row>
    <row r="255" spans="8:15" ht="15" thickBot="1">
      <c r="H255" s="22">
        <v>999999</v>
      </c>
      <c r="I255" s="18">
        <v>7.5480000000000005E-2</v>
      </c>
      <c r="M255" s="22">
        <v>164999</v>
      </c>
      <c r="N255" s="23">
        <v>2.9159999999999998E-2</v>
      </c>
      <c r="O255" s="29">
        <f t="shared" si="170"/>
        <v>3.499E-2</v>
      </c>
    </row>
    <row r="256" spans="8:15" ht="15" thickBot="1">
      <c r="H256" s="22">
        <v>1000000</v>
      </c>
      <c r="I256" s="18">
        <v>7.4999999999999997E-2</v>
      </c>
      <c r="M256" s="22">
        <v>165000</v>
      </c>
      <c r="N256" s="23">
        <v>2.8680000000000001E-2</v>
      </c>
      <c r="O256" s="29">
        <f t="shared" si="170"/>
        <v>3.4419999999999999E-2</v>
      </c>
    </row>
    <row r="257" spans="8:15" ht="15" thickBot="1">
      <c r="H257" s="22">
        <v>1000000</v>
      </c>
      <c r="I257" s="18">
        <v>7.4999999999999997E-2</v>
      </c>
      <c r="M257" s="22">
        <v>169999</v>
      </c>
      <c r="N257" s="23">
        <v>2.8680000000000001E-2</v>
      </c>
      <c r="O257" s="29">
        <f t="shared" si="170"/>
        <v>3.4419999999999999E-2</v>
      </c>
    </row>
    <row r="258" spans="8:15" ht="15" thickBot="1">
      <c r="M258" s="22">
        <v>170000</v>
      </c>
      <c r="N258" s="23">
        <v>2.8199999999999999E-2</v>
      </c>
      <c r="O258" s="29">
        <f t="shared" si="170"/>
        <v>3.3840000000000002E-2</v>
      </c>
    </row>
    <row r="259" spans="8:15" ht="15" thickBot="1">
      <c r="M259" s="22">
        <v>174999</v>
      </c>
      <c r="N259" s="23">
        <v>2.8199999999999999E-2</v>
      </c>
      <c r="O259" s="29">
        <f t="shared" si="170"/>
        <v>3.3840000000000002E-2</v>
      </c>
    </row>
    <row r="260" spans="8:15" ht="15" thickBot="1">
      <c r="M260" s="22">
        <v>175000</v>
      </c>
      <c r="N260" s="23">
        <v>2.7720000000000002E-2</v>
      </c>
      <c r="O260" s="29">
        <f t="shared" si="170"/>
        <v>3.3259999999999998E-2</v>
      </c>
    </row>
    <row r="261" spans="8:15" ht="15" thickBot="1">
      <c r="M261" s="22">
        <v>179999</v>
      </c>
      <c r="N261" s="23">
        <v>2.7720000000000002E-2</v>
      </c>
      <c r="O261" s="29">
        <f t="shared" si="170"/>
        <v>3.3259999999999998E-2</v>
      </c>
    </row>
    <row r="262" spans="8:15" ht="15" thickBot="1">
      <c r="M262" s="22">
        <v>180000</v>
      </c>
      <c r="N262" s="23">
        <v>2.724E-2</v>
      </c>
      <c r="O262" s="29">
        <f t="shared" si="170"/>
        <v>3.2689999999999997E-2</v>
      </c>
    </row>
    <row r="263" spans="8:15" ht="15" thickBot="1">
      <c r="M263" s="22">
        <v>184999</v>
      </c>
      <c r="N263" s="23">
        <v>2.724E-2</v>
      </c>
      <c r="O263" s="29">
        <f t="shared" si="170"/>
        <v>3.2689999999999997E-2</v>
      </c>
    </row>
    <row r="264" spans="8:15" ht="15" thickBot="1">
      <c r="M264" s="22">
        <v>185000</v>
      </c>
      <c r="N264" s="23">
        <v>2.6759999999999999E-2</v>
      </c>
      <c r="O264" s="29">
        <f t="shared" si="170"/>
        <v>3.211E-2</v>
      </c>
    </row>
    <row r="265" spans="8:15" ht="15" thickBot="1">
      <c r="M265" s="22">
        <v>189999</v>
      </c>
      <c r="N265" s="23">
        <v>2.6759999999999999E-2</v>
      </c>
      <c r="O265" s="29">
        <f t="shared" si="170"/>
        <v>3.211E-2</v>
      </c>
    </row>
    <row r="266" spans="8:15" ht="15" thickBot="1">
      <c r="M266" s="22">
        <v>190000</v>
      </c>
      <c r="N266" s="23">
        <v>2.6280000000000001E-2</v>
      </c>
      <c r="O266" s="29">
        <f t="shared" si="170"/>
        <v>3.1539999999999999E-2</v>
      </c>
    </row>
    <row r="267" spans="8:15" ht="15" thickBot="1">
      <c r="M267" s="22">
        <v>194999</v>
      </c>
      <c r="N267" s="23">
        <v>2.6280000000000001E-2</v>
      </c>
      <c r="O267" s="29">
        <f t="shared" si="170"/>
        <v>3.1539999999999999E-2</v>
      </c>
    </row>
    <row r="268" spans="8:15" ht="15" thickBot="1">
      <c r="M268" s="22">
        <v>195000</v>
      </c>
      <c r="N268" s="23">
        <v>2.58E-2</v>
      </c>
      <c r="O268" s="29">
        <f t="shared" si="170"/>
        <v>3.0960000000000001E-2</v>
      </c>
    </row>
    <row r="269" spans="8:15" ht="15" thickBot="1">
      <c r="M269" s="22">
        <v>199999</v>
      </c>
      <c r="N269" s="23">
        <v>2.58E-2</v>
      </c>
      <c r="O269" s="29">
        <f t="shared" si="170"/>
        <v>3.0960000000000001E-2</v>
      </c>
    </row>
    <row r="270" spans="8:15" ht="15" thickBot="1">
      <c r="M270" s="22">
        <v>200000</v>
      </c>
      <c r="N270" s="23">
        <v>2.5760000000000002E-2</v>
      </c>
      <c r="O270" s="29">
        <f t="shared" si="170"/>
        <v>3.091E-2</v>
      </c>
    </row>
    <row r="271" spans="8:15" ht="15" thickBot="1">
      <c r="M271" s="22">
        <v>249999</v>
      </c>
      <c r="N271" s="23">
        <v>2.5760000000000002E-2</v>
      </c>
      <c r="O271" s="29">
        <f t="shared" si="170"/>
        <v>3.091E-2</v>
      </c>
    </row>
    <row r="272" spans="8:15" ht="15" thickBot="1">
      <c r="M272" s="22">
        <v>250000</v>
      </c>
      <c r="N272" s="23">
        <v>2.572E-2</v>
      </c>
      <c r="O272" s="29">
        <f t="shared" si="170"/>
        <v>3.0859999999999999E-2</v>
      </c>
    </row>
    <row r="273" spans="13:15" ht="15" thickBot="1">
      <c r="M273" s="22">
        <v>299999</v>
      </c>
      <c r="N273" s="23">
        <v>2.572E-2</v>
      </c>
      <c r="O273" s="29">
        <f t="shared" ref="O273:O303" si="171">ROUND(N273*1.2,5)</f>
        <v>3.0859999999999999E-2</v>
      </c>
    </row>
    <row r="274" spans="13:15" ht="15" thickBot="1">
      <c r="M274" s="22">
        <v>300000</v>
      </c>
      <c r="N274" s="23">
        <v>2.5680000000000001E-2</v>
      </c>
      <c r="O274" s="29">
        <f t="shared" si="171"/>
        <v>3.082E-2</v>
      </c>
    </row>
    <row r="275" spans="13:15" ht="15" thickBot="1">
      <c r="M275" s="22">
        <v>349999</v>
      </c>
      <c r="N275" s="23">
        <v>2.5680000000000001E-2</v>
      </c>
      <c r="O275" s="29">
        <f t="shared" si="171"/>
        <v>3.082E-2</v>
      </c>
    </row>
    <row r="276" spans="13:15" ht="15" thickBot="1">
      <c r="M276" s="22">
        <v>350000</v>
      </c>
      <c r="N276" s="23">
        <v>2.564E-2</v>
      </c>
      <c r="O276" s="29">
        <f t="shared" si="171"/>
        <v>3.0769999999999999E-2</v>
      </c>
    </row>
    <row r="277" spans="13:15" ht="15" thickBot="1">
      <c r="M277" s="22">
        <v>399999</v>
      </c>
      <c r="N277" s="23">
        <v>2.564E-2</v>
      </c>
      <c r="O277" s="29">
        <f t="shared" si="171"/>
        <v>3.0769999999999999E-2</v>
      </c>
    </row>
    <row r="278" spans="13:15" ht="15" thickBot="1">
      <c r="M278" s="22">
        <v>400000</v>
      </c>
      <c r="N278" s="23">
        <v>2.5600000000000001E-2</v>
      </c>
      <c r="O278" s="29">
        <f t="shared" si="171"/>
        <v>3.0720000000000001E-2</v>
      </c>
    </row>
    <row r="279" spans="13:15" ht="15" thickBot="1">
      <c r="M279" s="22">
        <v>449999</v>
      </c>
      <c r="N279" s="23">
        <v>2.5600000000000001E-2</v>
      </c>
      <c r="O279" s="29">
        <f t="shared" si="171"/>
        <v>3.0720000000000001E-2</v>
      </c>
    </row>
    <row r="280" spans="13:15" ht="15" thickBot="1">
      <c r="M280" s="22">
        <v>450000</v>
      </c>
      <c r="N280" s="23">
        <v>2.5559999999999999E-2</v>
      </c>
      <c r="O280" s="29">
        <f t="shared" si="171"/>
        <v>3.0669999999999999E-2</v>
      </c>
    </row>
    <row r="281" spans="13:15" ht="15" thickBot="1">
      <c r="M281" s="22">
        <v>499999</v>
      </c>
      <c r="N281" s="23">
        <v>2.5559999999999999E-2</v>
      </c>
      <c r="O281" s="29">
        <f t="shared" si="171"/>
        <v>3.0669999999999999E-2</v>
      </c>
    </row>
    <row r="282" spans="13:15" ht="15" thickBot="1">
      <c r="M282" s="22">
        <v>500000</v>
      </c>
      <c r="N282" s="23">
        <v>2.5520000000000001E-2</v>
      </c>
      <c r="O282" s="29">
        <f t="shared" si="171"/>
        <v>3.0620000000000001E-2</v>
      </c>
    </row>
    <row r="283" spans="13:15" ht="15" thickBot="1">
      <c r="M283" s="22">
        <v>549999</v>
      </c>
      <c r="N283" s="23">
        <v>2.5520000000000001E-2</v>
      </c>
      <c r="O283" s="29">
        <f t="shared" si="171"/>
        <v>3.0620000000000001E-2</v>
      </c>
    </row>
    <row r="284" spans="13:15" ht="15" thickBot="1">
      <c r="M284" s="22">
        <v>550000</v>
      </c>
      <c r="N284" s="23">
        <v>2.5479999999999999E-2</v>
      </c>
      <c r="O284" s="29">
        <f t="shared" si="171"/>
        <v>3.058E-2</v>
      </c>
    </row>
    <row r="285" spans="13:15" ht="15" thickBot="1">
      <c r="M285" s="22">
        <v>599999</v>
      </c>
      <c r="N285" s="23">
        <v>2.5479999999999999E-2</v>
      </c>
      <c r="O285" s="29">
        <f t="shared" si="171"/>
        <v>3.058E-2</v>
      </c>
    </row>
    <row r="286" spans="13:15" ht="15" thickBot="1">
      <c r="M286" s="22">
        <v>600000</v>
      </c>
      <c r="N286" s="23">
        <v>2.5440000000000001E-2</v>
      </c>
      <c r="O286" s="29">
        <f t="shared" si="171"/>
        <v>3.0530000000000002E-2</v>
      </c>
    </row>
    <row r="287" spans="13:15" ht="15" thickBot="1">
      <c r="M287" s="22">
        <v>649999</v>
      </c>
      <c r="N287" s="23">
        <v>2.5440000000000001E-2</v>
      </c>
      <c r="O287" s="29">
        <f t="shared" si="171"/>
        <v>3.0530000000000002E-2</v>
      </c>
    </row>
    <row r="288" spans="13:15" ht="15" thickBot="1">
      <c r="M288" s="22">
        <v>650000</v>
      </c>
      <c r="N288" s="23">
        <v>2.5399999999999999E-2</v>
      </c>
      <c r="O288" s="29">
        <f t="shared" si="171"/>
        <v>3.048E-2</v>
      </c>
    </row>
    <row r="289" spans="13:15" ht="15" thickBot="1">
      <c r="M289" s="22">
        <v>699999</v>
      </c>
      <c r="N289" s="23">
        <v>2.5399999999999999E-2</v>
      </c>
      <c r="O289" s="29">
        <f t="shared" si="171"/>
        <v>3.048E-2</v>
      </c>
    </row>
    <row r="290" spans="13:15" ht="15" thickBot="1">
      <c r="M290" s="22">
        <v>700000</v>
      </c>
      <c r="N290" s="23">
        <v>2.5360000000000001E-2</v>
      </c>
      <c r="O290" s="29">
        <f t="shared" si="171"/>
        <v>3.0429999999999999E-2</v>
      </c>
    </row>
    <row r="291" spans="13:15" ht="15" thickBot="1">
      <c r="M291" s="22">
        <v>749999</v>
      </c>
      <c r="N291" s="23">
        <v>2.5360000000000001E-2</v>
      </c>
      <c r="O291" s="29">
        <f t="shared" si="171"/>
        <v>3.0429999999999999E-2</v>
      </c>
    </row>
    <row r="292" spans="13:15" ht="15" thickBot="1">
      <c r="M292" s="22">
        <v>750000</v>
      </c>
      <c r="N292" s="23">
        <v>2.5319999999999999E-2</v>
      </c>
      <c r="O292" s="29">
        <f t="shared" si="171"/>
        <v>3.0380000000000001E-2</v>
      </c>
    </row>
    <row r="293" spans="13:15" ht="15" thickBot="1">
      <c r="M293" s="22">
        <v>799999</v>
      </c>
      <c r="N293" s="23">
        <v>2.5319999999999999E-2</v>
      </c>
      <c r="O293" s="29">
        <f t="shared" si="171"/>
        <v>3.0380000000000001E-2</v>
      </c>
    </row>
    <row r="294" spans="13:15" ht="15" thickBot="1">
      <c r="M294" s="22">
        <v>800000</v>
      </c>
      <c r="N294" s="23">
        <v>2.528E-2</v>
      </c>
      <c r="O294" s="29">
        <f t="shared" si="171"/>
        <v>3.0339999999999999E-2</v>
      </c>
    </row>
    <row r="295" spans="13:15" ht="15" thickBot="1">
      <c r="M295" s="22">
        <v>849999</v>
      </c>
      <c r="N295" s="23">
        <v>2.528E-2</v>
      </c>
      <c r="O295" s="29">
        <f t="shared" si="171"/>
        <v>3.0339999999999999E-2</v>
      </c>
    </row>
    <row r="296" spans="13:15" ht="15" thickBot="1">
      <c r="M296" s="22">
        <v>850000</v>
      </c>
      <c r="N296" s="23">
        <v>2.5239999999999999E-2</v>
      </c>
      <c r="O296" s="29">
        <f t="shared" si="171"/>
        <v>3.0290000000000001E-2</v>
      </c>
    </row>
    <row r="297" spans="13:15" ht="15" thickBot="1">
      <c r="M297" s="22">
        <v>899999</v>
      </c>
      <c r="N297" s="23">
        <v>2.5239999999999999E-2</v>
      </c>
      <c r="O297" s="29">
        <f t="shared" si="171"/>
        <v>3.0290000000000001E-2</v>
      </c>
    </row>
    <row r="298" spans="13:15" ht="15" thickBot="1">
      <c r="M298" s="22">
        <v>900000</v>
      </c>
      <c r="N298" s="23">
        <v>2.52E-2</v>
      </c>
      <c r="O298" s="29">
        <f t="shared" si="171"/>
        <v>3.024E-2</v>
      </c>
    </row>
    <row r="299" spans="13:15" ht="15" thickBot="1">
      <c r="M299" s="22">
        <v>949999</v>
      </c>
      <c r="N299" s="23">
        <v>2.52E-2</v>
      </c>
      <c r="O299" s="29">
        <f t="shared" si="171"/>
        <v>3.024E-2</v>
      </c>
    </row>
    <row r="300" spans="13:15" ht="15" thickBot="1">
      <c r="M300" s="22">
        <v>950000</v>
      </c>
      <c r="N300" s="23">
        <v>2.5159999999999998E-2</v>
      </c>
      <c r="O300" s="29">
        <f t="shared" si="171"/>
        <v>3.0190000000000002E-2</v>
      </c>
    </row>
    <row r="301" spans="13:15" ht="15" thickBot="1">
      <c r="M301" s="22">
        <v>999999</v>
      </c>
      <c r="N301" s="23">
        <v>2.5159999999999998E-2</v>
      </c>
      <c r="O301" s="29">
        <f t="shared" si="171"/>
        <v>3.0190000000000002E-2</v>
      </c>
    </row>
    <row r="302" spans="13:15" ht="15" thickBot="1">
      <c r="M302" s="22">
        <v>1000000</v>
      </c>
      <c r="N302" s="23">
        <v>2.5000000000000001E-2</v>
      </c>
      <c r="O302" s="29">
        <f t="shared" si="171"/>
        <v>0.03</v>
      </c>
    </row>
    <row r="303" spans="13:15" ht="15" thickBot="1">
      <c r="M303" s="22">
        <v>1000000</v>
      </c>
      <c r="N303" s="23">
        <v>2.5000000000000001E-2</v>
      </c>
      <c r="O303" s="29">
        <f t="shared" si="171"/>
        <v>0.03</v>
      </c>
    </row>
  </sheetData>
  <mergeCells count="2">
    <mergeCell ref="AB2:AH2"/>
    <mergeCell ref="AR2:AX2"/>
  </mergeCells>
  <phoneticPr fontId="55"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BB66F-E1B6-457C-86B6-F15426BE50DA}">
  <sheetPr codeName="Sheet16">
    <tabColor rgb="FF7030A0"/>
  </sheetPr>
  <dimension ref="A1:XFC45"/>
  <sheetViews>
    <sheetView showGridLines="0" topLeftCell="A3" zoomScale="80" zoomScaleNormal="80" workbookViewId="0">
      <selection activeCell="S27" sqref="S27"/>
    </sheetView>
  </sheetViews>
  <sheetFormatPr defaultColWidth="0" defaultRowHeight="14.25" zeroHeight="1"/>
  <cols>
    <col min="1" max="3" width="9" customWidth="1"/>
    <col min="4" max="4" width="15.375" bestFit="1" customWidth="1"/>
    <col min="5" max="5" width="9.125" bestFit="1" customWidth="1"/>
    <col min="6" max="6" width="14.625" bestFit="1" customWidth="1"/>
    <col min="7" max="14" width="10.125" bestFit="1" customWidth="1"/>
    <col min="15" max="15" width="9" customWidth="1"/>
    <col min="16" max="17" width="0" hidden="1" customWidth="1"/>
    <col min="18" max="18" width="9" customWidth="1"/>
    <col min="19" max="27" width="9.625" bestFit="1" customWidth="1"/>
    <col min="28" max="29" width="9" customWidth="1"/>
    <col min="30" max="16383" width="9" hidden="1"/>
    <col min="16384" max="16384" width="1.25" hidden="1"/>
  </cols>
  <sheetData>
    <row r="1" spans="2:32"/>
    <row r="2" spans="2:32" ht="15.75">
      <c r="B2" s="583" t="s">
        <v>4133</v>
      </c>
      <c r="C2" s="583"/>
      <c r="D2" s="583"/>
      <c r="E2" s="583"/>
      <c r="F2" s="959" t="s">
        <v>4281</v>
      </c>
      <c r="G2" s="959"/>
      <c r="H2" s="959"/>
      <c r="I2" s="959"/>
      <c r="J2" s="959"/>
      <c r="K2" s="959"/>
      <c r="L2" s="959"/>
      <c r="M2" s="959"/>
      <c r="N2" s="959"/>
    </row>
    <row r="3" spans="2:32" ht="15.75">
      <c r="B3" s="703"/>
      <c r="C3" s="703"/>
      <c r="D3" s="703"/>
      <c r="E3" s="703"/>
      <c r="F3" s="950"/>
      <c r="G3" s="951"/>
      <c r="H3" s="951"/>
      <c r="I3" s="951"/>
      <c r="J3" s="951"/>
      <c r="K3" s="951"/>
      <c r="L3" s="951"/>
      <c r="M3" s="951"/>
      <c r="N3" s="952"/>
    </row>
    <row r="4" spans="2:32" ht="15">
      <c r="C4" s="694" t="s">
        <v>4132</v>
      </c>
      <c r="D4" s="689">
        <v>0</v>
      </c>
      <c r="E4" s="528"/>
      <c r="F4" s="953"/>
      <c r="G4" s="954"/>
      <c r="H4" s="954"/>
      <c r="I4" s="954"/>
      <c r="J4" s="954"/>
      <c r="K4" s="954"/>
      <c r="L4" s="954"/>
      <c r="M4" s="954"/>
      <c r="N4" s="955"/>
      <c r="AD4" t="s">
        <v>4101</v>
      </c>
      <c r="AF4" t="s">
        <v>63</v>
      </c>
    </row>
    <row r="5" spans="2:32" ht="15">
      <c r="C5" s="669" t="s">
        <v>4125</v>
      </c>
      <c r="D5" s="687" t="s">
        <v>2784</v>
      </c>
      <c r="E5" s="688"/>
      <c r="F5" s="953"/>
      <c r="G5" s="954"/>
      <c r="H5" s="954"/>
      <c r="I5" s="954"/>
      <c r="J5" s="954"/>
      <c r="K5" s="954"/>
      <c r="L5" s="954"/>
      <c r="M5" s="954"/>
      <c r="N5" s="955"/>
      <c r="AF5" t="s">
        <v>64</v>
      </c>
    </row>
    <row r="6" spans="2:32" ht="15">
      <c r="C6" s="669" t="s">
        <v>4123</v>
      </c>
      <c r="D6" s="687" t="s">
        <v>4131</v>
      </c>
      <c r="E6" s="685">
        <f ca="1">IFERROR(VLOOKUP(1,INDIRECT(D6),2),0)</f>
        <v>0</v>
      </c>
      <c r="F6" s="956"/>
      <c r="G6" s="957"/>
      <c r="H6" s="957"/>
      <c r="I6" s="957"/>
      <c r="J6" s="957"/>
      <c r="K6" s="957"/>
      <c r="L6" s="957"/>
      <c r="M6" s="957"/>
      <c r="N6" s="958"/>
      <c r="AF6" t="s">
        <v>69</v>
      </c>
    </row>
    <row r="7" spans="2:32" ht="15">
      <c r="C7" s="669" t="s">
        <v>4130</v>
      </c>
      <c r="D7" s="681" t="s">
        <v>11</v>
      </c>
      <c r="E7" s="685">
        <f>IF(D7="Yes",'MGR Adjustment'!AA64,0)</f>
        <v>0</v>
      </c>
      <c r="F7" s="528"/>
      <c r="J7" s="466"/>
      <c r="K7" s="678"/>
      <c r="L7" s="528"/>
      <c r="M7" s="528"/>
      <c r="AF7" t="s">
        <v>80</v>
      </c>
    </row>
    <row r="8" spans="2:32" ht="15">
      <c r="C8" s="694" t="s">
        <v>2927</v>
      </c>
      <c r="D8" s="701" t="s">
        <v>80</v>
      </c>
      <c r="E8" s="528"/>
      <c r="F8" s="702" t="s">
        <v>4129</v>
      </c>
      <c r="G8" s="701">
        <v>5000</v>
      </c>
      <c r="J8" s="466"/>
      <c r="K8" s="678"/>
      <c r="L8" s="528"/>
      <c r="M8" s="528"/>
    </row>
    <row r="9" spans="2:32" ht="15">
      <c r="C9" s="694" t="s">
        <v>4128</v>
      </c>
      <c r="D9" s="700">
        <v>10</v>
      </c>
      <c r="E9" s="528"/>
      <c r="F9" s="528"/>
      <c r="J9" s="466"/>
      <c r="K9" s="678"/>
      <c r="L9" s="528"/>
      <c r="M9" s="528"/>
    </row>
    <row r="10" spans="2:32" ht="18">
      <c r="C10" s="466"/>
      <c r="D10" s="679"/>
      <c r="E10" s="699" t="str">
        <f>CONCATENATE("Liability Rates Single Engine Piston Land - Limit: ",$D$8)</f>
        <v>Liability Rates Single Engine Piston Land - Limit: $2,000,000 CSL</v>
      </c>
      <c r="F10" s="699"/>
      <c r="G10" s="699"/>
      <c r="H10" s="699"/>
      <c r="I10" s="699"/>
      <c r="J10" s="699"/>
      <c r="K10" s="699"/>
      <c r="L10" s="699"/>
      <c r="M10" s="699"/>
      <c r="N10" s="699"/>
      <c r="S10" s="699" t="str">
        <f>"Medical "&amp;TEXT(G8,"$#,##0")</f>
        <v>Medical $5,000</v>
      </c>
      <c r="T10" s="555"/>
      <c r="U10" s="555"/>
      <c r="V10" s="555"/>
      <c r="W10" s="555"/>
      <c r="X10" s="555"/>
      <c r="Y10" s="555"/>
    </row>
    <row r="11" spans="2:32" ht="15">
      <c r="C11" s="466"/>
      <c r="D11" s="679"/>
      <c r="E11" s="698">
        <v>1</v>
      </c>
      <c r="F11" s="698">
        <v>2</v>
      </c>
      <c r="G11" s="698">
        <v>3</v>
      </c>
      <c r="H11" s="698">
        <v>4</v>
      </c>
      <c r="I11" s="698">
        <v>5</v>
      </c>
      <c r="J11" s="698">
        <v>6</v>
      </c>
      <c r="K11" s="698">
        <v>7</v>
      </c>
      <c r="L11" s="698">
        <v>8</v>
      </c>
      <c r="M11" s="698">
        <v>9</v>
      </c>
      <c r="N11" s="698">
        <v>10</v>
      </c>
      <c r="R11" s="679"/>
      <c r="S11" s="698">
        <v>1</v>
      </c>
      <c r="T11" s="698">
        <v>2</v>
      </c>
      <c r="U11" s="698">
        <v>3</v>
      </c>
      <c r="V11" s="698">
        <v>4</v>
      </c>
      <c r="W11" s="698">
        <v>5</v>
      </c>
      <c r="X11" s="698">
        <v>6</v>
      </c>
      <c r="Y11" s="698">
        <v>7</v>
      </c>
      <c r="Z11" s="698">
        <v>8</v>
      </c>
      <c r="AA11" s="698">
        <v>9</v>
      </c>
      <c r="AB11" s="698">
        <v>10</v>
      </c>
    </row>
    <row r="12" spans="2:32" ht="15">
      <c r="C12" s="466"/>
      <c r="D12" s="694" t="s">
        <v>2897</v>
      </c>
      <c r="E12" s="697">
        <f ca="1">PRODUCT($D$4+1)*PRODUCT($E$6+1,SUM(VLOOKUP(MATCH($D$5,'MGR Adjustment'!$H$34:$H$41,0),SE_PGEARMod,5),1))*VLOOKUP(MATCH($D$8,PistonLiabLocMatch,0),PistonFWLiabRate,3+E$11)</f>
        <v>906.25</v>
      </c>
      <c r="F12" s="697">
        <f ca="1">PRODUCT($D$4+1)*PRODUCT($E$6+1,SUM(VLOOKUP(MATCH($D$5,'MGR Adjustment'!$H$34:$H$41,0),SE_PGEARMod,5),1))*VLOOKUP(MATCH($D$8,PistonLiabLocMatch,0),PistonFWLiabRate,3+F$11)</f>
        <v>1187.5</v>
      </c>
      <c r="G12" s="697">
        <f ca="1">PRODUCT($D$4+1)*PRODUCT($E$6+1,SUM(VLOOKUP(MATCH($D$5,'MGR Adjustment'!$H$34:$H$41,0),SE_PGEARMod,5),1))*VLOOKUP(MATCH($D$8,PistonLiabLocMatch,0),PistonFWLiabRate,3+G$11)</f>
        <v>1468.75</v>
      </c>
      <c r="H12" s="697">
        <f ca="1">PRODUCT($D$4+1)*PRODUCT($E$6+1,SUM(VLOOKUP(MATCH($D$5,'MGR Adjustment'!$H$34:$H$41,0),SE_PGEARMod,5),1))*VLOOKUP(MATCH($D$8,PistonLiabLocMatch,0),PistonFWLiabRate,3+H$11)</f>
        <v>1750</v>
      </c>
      <c r="I12" s="697">
        <f ca="1">PRODUCT($D$4+1)*PRODUCT($E$6+1,SUM(VLOOKUP(MATCH($D$5,'MGR Adjustment'!$H$34:$H$41,0),SE_PGEARMod,5),1))*VLOOKUP(MATCH($D$8,PistonLiabLocMatch,0),PistonFWLiabRate,3+I$11)</f>
        <v>2031.25</v>
      </c>
      <c r="J12" s="697">
        <f ca="1">PRODUCT($D$4+1)*PRODUCT($E$6+1,SUM(VLOOKUP(MATCH($D$5,'MGR Adjustment'!$H$34:$H$41,0),SE_PGEARMod,5),1))*VLOOKUP(MATCH($D$8,PistonLiabLocMatch,0),PistonFWLiabRate,3+J$11)</f>
        <v>2312.5</v>
      </c>
      <c r="K12" s="697">
        <f ca="1">PRODUCT($D$4+1)*PRODUCT($E$6+1,SUM(VLOOKUP(MATCH($D$5,'MGR Adjustment'!$H$34:$H$41,0),SE_PGEARMod,5),1))*VLOOKUP(MATCH($D$8,PistonLiabLocMatch,0),PistonFWLiabRate,3+K$11)</f>
        <v>2593.75</v>
      </c>
      <c r="L12" s="697">
        <f ca="1">PRODUCT($D$4+1)*PRODUCT($E$6+1,SUM(VLOOKUP(MATCH($D$5,'MGR Adjustment'!$H$34:$H$41,0),SE_PGEARMod,5),1))*VLOOKUP(MATCH($D$8,PistonLiabLocMatch,0),PistonFWLiabRate,3+L$11)</f>
        <v>2875</v>
      </c>
      <c r="M12" s="697">
        <f ca="1">PRODUCT($D$4+1)*PRODUCT($E$6+1,SUM(VLOOKUP(MATCH($D$5,'MGR Adjustment'!$H$34:$H$41,0),SE_PGEARMod,5),1))*VLOOKUP(MATCH($D$8,PistonLiabLocMatch,0),PistonFWLiabRate,3+M$11)</f>
        <v>3156.25</v>
      </c>
      <c r="N12" s="697">
        <f ca="1">PRODUCT($D$4+1)*PRODUCT($E$6+1,SUM(VLOOKUP(MATCH($D$5,'MGR Adjustment'!$H$34:$H$41,0),SE_PGEARMod,5),1))*VLOOKUP(MATCH($D$8,PistonLiabLocMatch,0),PistonFWLiabRate,3+N$11)</f>
        <v>3437.5</v>
      </c>
      <c r="R12" s="694" t="s">
        <v>2897</v>
      </c>
      <c r="S12" s="697">
        <f t="shared" ref="S12:AB12" si="0">S11*VLOOKUP(MATCH($G$8,MedLimits,0),MedRate,3)</f>
        <v>10</v>
      </c>
      <c r="T12" s="697">
        <f t="shared" si="0"/>
        <v>20</v>
      </c>
      <c r="U12" s="697">
        <f t="shared" si="0"/>
        <v>30</v>
      </c>
      <c r="V12" s="697">
        <f t="shared" si="0"/>
        <v>40</v>
      </c>
      <c r="W12" s="697">
        <f t="shared" si="0"/>
        <v>50</v>
      </c>
      <c r="X12" s="697">
        <f t="shared" si="0"/>
        <v>60</v>
      </c>
      <c r="Y12" s="697">
        <f t="shared" si="0"/>
        <v>70</v>
      </c>
      <c r="Z12" s="697">
        <f t="shared" si="0"/>
        <v>80</v>
      </c>
      <c r="AA12" s="697">
        <f t="shared" si="0"/>
        <v>90</v>
      </c>
      <c r="AB12" s="697">
        <f t="shared" si="0"/>
        <v>100</v>
      </c>
    </row>
    <row r="13" spans="2:32" ht="15">
      <c r="D13" s="694" t="s">
        <v>2898</v>
      </c>
      <c r="E13" s="693">
        <f t="shared" ref="E13:N13" ca="1" si="1">ROUND(E12/365,5)</f>
        <v>2.4828800000000002</v>
      </c>
      <c r="F13" s="693">
        <f t="shared" ca="1" si="1"/>
        <v>3.2534200000000002</v>
      </c>
      <c r="G13" s="693">
        <f t="shared" ca="1" si="1"/>
        <v>4.0239700000000003</v>
      </c>
      <c r="H13" s="693">
        <f t="shared" ca="1" si="1"/>
        <v>4.7945200000000003</v>
      </c>
      <c r="I13" s="693">
        <f t="shared" ca="1" si="1"/>
        <v>5.5650700000000004</v>
      </c>
      <c r="J13" s="693">
        <f t="shared" ca="1" si="1"/>
        <v>6.3356199999999996</v>
      </c>
      <c r="K13" s="693">
        <f t="shared" ca="1" si="1"/>
        <v>7.10616</v>
      </c>
      <c r="L13" s="693">
        <f t="shared" ca="1" si="1"/>
        <v>7.8767100000000001</v>
      </c>
      <c r="M13" s="693">
        <f t="shared" ca="1" si="1"/>
        <v>8.6472599999999993</v>
      </c>
      <c r="N13" s="693">
        <f t="shared" ca="1" si="1"/>
        <v>9.4178099999999993</v>
      </c>
      <c r="R13" s="694" t="s">
        <v>2898</v>
      </c>
      <c r="S13" s="693">
        <f t="shared" ref="S13:AB13" si="2">ROUND(S12/365,3)</f>
        <v>2.7E-2</v>
      </c>
      <c r="T13" s="693">
        <f t="shared" si="2"/>
        <v>5.5E-2</v>
      </c>
      <c r="U13" s="693">
        <f t="shared" si="2"/>
        <v>8.2000000000000003E-2</v>
      </c>
      <c r="V13" s="693">
        <f t="shared" si="2"/>
        <v>0.11</v>
      </c>
      <c r="W13" s="693">
        <f t="shared" si="2"/>
        <v>0.13700000000000001</v>
      </c>
      <c r="X13" s="693">
        <f t="shared" si="2"/>
        <v>0.16400000000000001</v>
      </c>
      <c r="Y13" s="693">
        <f t="shared" si="2"/>
        <v>0.192</v>
      </c>
      <c r="Z13" s="693">
        <f t="shared" si="2"/>
        <v>0.219</v>
      </c>
      <c r="AA13" s="693">
        <f t="shared" si="2"/>
        <v>0.247</v>
      </c>
      <c r="AB13" s="693">
        <f t="shared" si="2"/>
        <v>0.27400000000000002</v>
      </c>
    </row>
    <row r="14" spans="2:32">
      <c r="D14" s="679"/>
      <c r="E14" s="528"/>
      <c r="F14" s="528"/>
      <c r="J14" s="466"/>
      <c r="K14" s="678"/>
      <c r="L14" s="528"/>
      <c r="M14" s="528"/>
    </row>
    <row r="15" spans="2:32"/>
    <row r="16" spans="2:32" ht="15">
      <c r="E16" s="699" t="str">
        <f>CONCATENATE("Liability Rates Multiengine Piston Land - Limit: ",$D$8)</f>
        <v>Liability Rates Multiengine Piston Land - Limit: $2,000,000 CSL</v>
      </c>
    </row>
    <row r="17" spans="4:14" ht="15">
      <c r="D17" s="679"/>
      <c r="E17" s="698">
        <v>1</v>
      </c>
      <c r="F17" s="698">
        <v>2</v>
      </c>
      <c r="G17" s="698">
        <v>3</v>
      </c>
      <c r="H17" s="698">
        <v>4</v>
      </c>
      <c r="I17" s="698">
        <v>5</v>
      </c>
      <c r="J17" s="698">
        <v>6</v>
      </c>
      <c r="K17" s="698">
        <v>7</v>
      </c>
      <c r="L17" s="698">
        <v>8</v>
      </c>
      <c r="M17" s="698">
        <v>9</v>
      </c>
      <c r="N17" s="698">
        <v>10</v>
      </c>
    </row>
    <row r="18" spans="4:14" ht="15">
      <c r="D18" s="694" t="s">
        <v>2897</v>
      </c>
      <c r="E18" s="697">
        <f t="shared" ref="E18:N18" ca="1" si="3">PRODUCT(($D$4+1),PRODUCT($E$6+1),VLOOKUP(MATCH($D$8,PistonLiabLocMatch,0),PistonMELFWLiabRates,3+E$11))</f>
        <v>725</v>
      </c>
      <c r="F18" s="697">
        <f t="shared" ca="1" si="3"/>
        <v>950</v>
      </c>
      <c r="G18" s="697">
        <f t="shared" ca="1" si="3"/>
        <v>1175</v>
      </c>
      <c r="H18" s="697">
        <f t="shared" ca="1" si="3"/>
        <v>1400</v>
      </c>
      <c r="I18" s="697">
        <f t="shared" ca="1" si="3"/>
        <v>1625</v>
      </c>
      <c r="J18" s="697">
        <f t="shared" ca="1" si="3"/>
        <v>1850</v>
      </c>
      <c r="K18" s="697">
        <f t="shared" ca="1" si="3"/>
        <v>2075</v>
      </c>
      <c r="L18" s="697">
        <f t="shared" ca="1" si="3"/>
        <v>2300</v>
      </c>
      <c r="M18" s="697">
        <f t="shared" ca="1" si="3"/>
        <v>2525</v>
      </c>
      <c r="N18" s="697">
        <f t="shared" ca="1" si="3"/>
        <v>2750</v>
      </c>
    </row>
    <row r="19" spans="4:14" ht="15">
      <c r="D19" s="694" t="s">
        <v>2898</v>
      </c>
      <c r="E19" s="693">
        <f t="shared" ref="E19:N19" ca="1" si="4">ROUND(E18/365,5)</f>
        <v>1.9863</v>
      </c>
      <c r="F19" s="693">
        <f t="shared" ca="1" si="4"/>
        <v>2.6027399999999998</v>
      </c>
      <c r="G19" s="693">
        <f t="shared" ca="1" si="4"/>
        <v>3.2191800000000002</v>
      </c>
      <c r="H19" s="693">
        <f t="shared" ca="1" si="4"/>
        <v>3.83562</v>
      </c>
      <c r="I19" s="693">
        <f t="shared" ca="1" si="4"/>
        <v>4.4520499999999998</v>
      </c>
      <c r="J19" s="693">
        <f t="shared" ca="1" si="4"/>
        <v>5.0684899999999997</v>
      </c>
      <c r="K19" s="693">
        <f t="shared" ca="1" si="4"/>
        <v>5.6849299999999996</v>
      </c>
      <c r="L19" s="693">
        <f t="shared" ca="1" si="4"/>
        <v>6.3013700000000004</v>
      </c>
      <c r="M19" s="693">
        <f t="shared" ca="1" si="4"/>
        <v>6.9178100000000002</v>
      </c>
      <c r="N19" s="693">
        <f t="shared" ca="1" si="4"/>
        <v>7.5342500000000001</v>
      </c>
    </row>
    <row r="20" spans="4:14"/>
    <row r="21" spans="4:14"/>
    <row r="22" spans="4:14" ht="15">
      <c r="E22" s="699" t="str">
        <f>CONCATENATE("Liability Rates Single Engine Turbine - Limit: ",$D$8)</f>
        <v>Liability Rates Single Engine Turbine - Limit: $2,000,000 CSL</v>
      </c>
    </row>
    <row r="23" spans="4:14" ht="15">
      <c r="D23" s="679"/>
      <c r="E23" s="698">
        <v>1</v>
      </c>
      <c r="F23" s="698">
        <v>2</v>
      </c>
      <c r="G23" s="698">
        <v>3</v>
      </c>
      <c r="H23" s="698">
        <v>4</v>
      </c>
      <c r="I23" s="698">
        <v>5</v>
      </c>
      <c r="J23" s="698">
        <v>6</v>
      </c>
      <c r="K23" s="698">
        <v>7</v>
      </c>
      <c r="L23" s="698">
        <v>8</v>
      </c>
      <c r="M23" s="698">
        <v>9</v>
      </c>
      <c r="N23" s="698">
        <v>10</v>
      </c>
    </row>
    <row r="24" spans="4:14" ht="15">
      <c r="D24" s="694" t="s">
        <v>2897</v>
      </c>
      <c r="E24" s="697">
        <f t="shared" ref="E24:N24" ca="1" si="5">PRODUCT(($D$4+1),PRODUCT($E$6+1),VLOOKUP(MATCH($D$8,PistonLiabLocMatch,0),PistonFWLiabRate,3+E$11))</f>
        <v>725</v>
      </c>
      <c r="F24" s="697">
        <f t="shared" ca="1" si="5"/>
        <v>950</v>
      </c>
      <c r="G24" s="697">
        <f t="shared" ca="1" si="5"/>
        <v>1175</v>
      </c>
      <c r="H24" s="697">
        <f t="shared" ca="1" si="5"/>
        <v>1400</v>
      </c>
      <c r="I24" s="697">
        <f t="shared" ca="1" si="5"/>
        <v>1625</v>
      </c>
      <c r="J24" s="697">
        <f t="shared" ca="1" si="5"/>
        <v>1850</v>
      </c>
      <c r="K24" s="697">
        <f t="shared" ca="1" si="5"/>
        <v>2075</v>
      </c>
      <c r="L24" s="697">
        <f t="shared" ca="1" si="5"/>
        <v>2300</v>
      </c>
      <c r="M24" s="697">
        <f t="shared" ca="1" si="5"/>
        <v>2525</v>
      </c>
      <c r="N24" s="697">
        <f t="shared" ca="1" si="5"/>
        <v>2750</v>
      </c>
    </row>
    <row r="25" spans="4:14" ht="15">
      <c r="D25" s="694" t="s">
        <v>2898</v>
      </c>
      <c r="E25" s="693">
        <f t="shared" ref="E25:N25" ca="1" si="6">ROUND(E24/365,5)</f>
        <v>1.9863</v>
      </c>
      <c r="F25" s="693">
        <f t="shared" ca="1" si="6"/>
        <v>2.6027399999999998</v>
      </c>
      <c r="G25" s="693">
        <f t="shared" ca="1" si="6"/>
        <v>3.2191800000000002</v>
      </c>
      <c r="H25" s="693">
        <f t="shared" ca="1" si="6"/>
        <v>3.83562</v>
      </c>
      <c r="I25" s="693">
        <f t="shared" ca="1" si="6"/>
        <v>4.4520499999999998</v>
      </c>
      <c r="J25" s="693">
        <f t="shared" ca="1" si="6"/>
        <v>5.0684899999999997</v>
      </c>
      <c r="K25" s="693">
        <f t="shared" ca="1" si="6"/>
        <v>5.6849299999999996</v>
      </c>
      <c r="L25" s="693">
        <f t="shared" ca="1" si="6"/>
        <v>6.3013700000000004</v>
      </c>
      <c r="M25" s="693">
        <f t="shared" ca="1" si="6"/>
        <v>6.9178100000000002</v>
      </c>
      <c r="N25" s="693">
        <f t="shared" ca="1" si="6"/>
        <v>7.5342500000000001</v>
      </c>
    </row>
    <row r="26" spans="4:14"/>
    <row r="27" spans="4:14"/>
    <row r="28" spans="4:14" ht="15">
      <c r="E28" s="699" t="str">
        <f>CONCATENATE("Liability Rates Single MultiEngine Turbine - Limit: ",$D$8)</f>
        <v>Liability Rates Single MultiEngine Turbine - Limit: $2,000,000 CSL</v>
      </c>
    </row>
    <row r="29" spans="4:14" ht="15">
      <c r="D29" s="679"/>
      <c r="E29" s="698">
        <v>1</v>
      </c>
      <c r="F29" s="698">
        <v>2</v>
      </c>
      <c r="G29" s="698">
        <v>3</v>
      </c>
      <c r="H29" s="698">
        <v>4</v>
      </c>
      <c r="I29" s="698">
        <v>5</v>
      </c>
      <c r="J29" s="698">
        <v>6</v>
      </c>
      <c r="K29" s="698">
        <v>7</v>
      </c>
      <c r="L29" s="698">
        <v>8</v>
      </c>
      <c r="M29" s="698">
        <v>9</v>
      </c>
      <c r="N29" s="698">
        <v>10</v>
      </c>
    </row>
    <row r="30" spans="4:14" ht="15">
      <c r="D30" s="694" t="s">
        <v>2897</v>
      </c>
      <c r="E30" s="697">
        <f t="shared" ref="E30:N30" ca="1" si="7">PRODUCT(($D$4+1),PRODUCT($E$6+1),(E7+1)*VLOOKUP(MATCH($D$8,PistonLiabLocMatch,0),PistonFWLiabRate,3+E$11))</f>
        <v>725</v>
      </c>
      <c r="F30" s="697">
        <f t="shared" ca="1" si="7"/>
        <v>950</v>
      </c>
      <c r="G30" s="697">
        <f t="shared" ca="1" si="7"/>
        <v>1175</v>
      </c>
      <c r="H30" s="697">
        <f t="shared" ca="1" si="7"/>
        <v>1400</v>
      </c>
      <c r="I30" s="697">
        <f t="shared" ca="1" si="7"/>
        <v>1625</v>
      </c>
      <c r="J30" s="697">
        <f t="shared" ca="1" si="7"/>
        <v>1850</v>
      </c>
      <c r="K30" s="697">
        <f t="shared" ca="1" si="7"/>
        <v>2075</v>
      </c>
      <c r="L30" s="697">
        <f t="shared" ca="1" si="7"/>
        <v>2300</v>
      </c>
      <c r="M30" s="697">
        <f t="shared" ca="1" si="7"/>
        <v>2525</v>
      </c>
      <c r="N30" s="697">
        <f t="shared" ca="1" si="7"/>
        <v>2750</v>
      </c>
    </row>
    <row r="31" spans="4:14" ht="15">
      <c r="D31" s="694" t="s">
        <v>2898</v>
      </c>
      <c r="E31" s="693">
        <f t="shared" ref="E31:N31" ca="1" si="8">ROUND(E30/365,5)</f>
        <v>1.9863</v>
      </c>
      <c r="F31" s="693">
        <f t="shared" ca="1" si="8"/>
        <v>2.6027399999999998</v>
      </c>
      <c r="G31" s="693">
        <f t="shared" ca="1" si="8"/>
        <v>3.2191800000000002</v>
      </c>
      <c r="H31" s="693">
        <f t="shared" ca="1" si="8"/>
        <v>3.83562</v>
      </c>
      <c r="I31" s="693">
        <f t="shared" ca="1" si="8"/>
        <v>4.4520499999999998</v>
      </c>
      <c r="J31" s="693">
        <f t="shared" ca="1" si="8"/>
        <v>5.0684899999999997</v>
      </c>
      <c r="K31" s="693">
        <f t="shared" ca="1" si="8"/>
        <v>5.6849299999999996</v>
      </c>
      <c r="L31" s="693">
        <f t="shared" ca="1" si="8"/>
        <v>6.3013700000000004</v>
      </c>
      <c r="M31" s="693">
        <f t="shared" ca="1" si="8"/>
        <v>6.9178100000000002</v>
      </c>
      <c r="N31" s="693">
        <f t="shared" ca="1" si="8"/>
        <v>7.5342500000000001</v>
      </c>
    </row>
    <row r="32" spans="4:14"/>
    <row r="33" spans="4:14"/>
    <row r="34" spans="4:14" ht="15">
      <c r="E34" s="699" t="str">
        <f>CONCATENATE("Liability Rates Rotorwing Piston - Limit: ",$D$8)</f>
        <v>Liability Rates Rotorwing Piston - Limit: $2,000,000 CSL</v>
      </c>
    </row>
    <row r="35" spans="4:14" ht="15">
      <c r="D35" s="679"/>
      <c r="E35" s="698">
        <v>1</v>
      </c>
      <c r="F35" s="698">
        <v>2</v>
      </c>
      <c r="G35" s="698">
        <v>3</v>
      </c>
      <c r="H35" s="698">
        <v>4</v>
      </c>
      <c r="I35" s="698">
        <v>5</v>
      </c>
      <c r="J35" s="698">
        <v>6</v>
      </c>
      <c r="K35" s="698">
        <v>7</v>
      </c>
      <c r="L35" s="698">
        <v>8</v>
      </c>
      <c r="M35" s="698">
        <v>9</v>
      </c>
      <c r="N35" s="698"/>
    </row>
    <row r="36" spans="4:14" ht="15">
      <c r="D36" s="694" t="s">
        <v>2897</v>
      </c>
      <c r="E36" s="697">
        <f t="shared" ref="E36:M36" ca="1" si="9">PRODUCT(($D$4+1),PRODUCT($E$6+1),VLOOKUP(MATCH($D$8,PistonLiabLocMatch,0),PistonRWLiabRate,3+E$11))</f>
        <v>3482</v>
      </c>
      <c r="F36" s="697">
        <f t="shared" ca="1" si="9"/>
        <v>4395</v>
      </c>
      <c r="G36" s="697">
        <f t="shared" ca="1" si="9"/>
        <v>5250</v>
      </c>
      <c r="H36" s="697">
        <f t="shared" ca="1" si="9"/>
        <v>6047</v>
      </c>
      <c r="I36" s="697">
        <f t="shared" ca="1" si="9"/>
        <v>6617</v>
      </c>
      <c r="J36" s="697">
        <f t="shared" ca="1" si="9"/>
        <v>7129</v>
      </c>
      <c r="K36" s="697">
        <f t="shared" ca="1" si="9"/>
        <v>7641</v>
      </c>
      <c r="L36" s="697">
        <f t="shared" ca="1" si="9"/>
        <v>8154</v>
      </c>
      <c r="M36" s="696">
        <f t="shared" ca="1" si="9"/>
        <v>8665</v>
      </c>
      <c r="N36" s="695"/>
    </row>
    <row r="37" spans="4:14" ht="15">
      <c r="D37" s="694" t="s">
        <v>2898</v>
      </c>
      <c r="E37" s="693">
        <f t="shared" ref="E37:M37" ca="1" si="10">ROUND(E36/365,5)</f>
        <v>9.5397300000000005</v>
      </c>
      <c r="F37" s="693">
        <f t="shared" ca="1" si="10"/>
        <v>12.0411</v>
      </c>
      <c r="G37" s="693">
        <f t="shared" ca="1" si="10"/>
        <v>14.383559999999999</v>
      </c>
      <c r="H37" s="693">
        <f t="shared" ca="1" si="10"/>
        <v>16.567119999999999</v>
      </c>
      <c r="I37" s="693">
        <f t="shared" ca="1" si="10"/>
        <v>18.128769999999999</v>
      </c>
      <c r="J37" s="693">
        <f t="shared" ca="1" si="10"/>
        <v>19.531510000000001</v>
      </c>
      <c r="K37" s="693">
        <f t="shared" ca="1" si="10"/>
        <v>20.934249999999999</v>
      </c>
      <c r="L37" s="693">
        <f t="shared" ca="1" si="10"/>
        <v>22.339729999999999</v>
      </c>
      <c r="M37" s="692">
        <f t="shared" ca="1" si="10"/>
        <v>23.739730000000002</v>
      </c>
      <c r="N37" s="691"/>
    </row>
    <row r="38" spans="4:14"/>
    <row r="39" spans="4:14"/>
    <row r="40" spans="4:14" ht="15">
      <c r="E40" s="699" t="str">
        <f>CONCATENATE("Liability Rates Rotorwing Turbine - Limit: ",$D$8)</f>
        <v>Liability Rates Rotorwing Turbine - Limit: $2,000,000 CSL</v>
      </c>
    </row>
    <row r="41" spans="4:14" ht="15">
      <c r="D41" s="679"/>
      <c r="E41" s="698">
        <v>1</v>
      </c>
      <c r="F41" s="698">
        <v>2</v>
      </c>
      <c r="G41" s="698">
        <v>3</v>
      </c>
      <c r="H41" s="698">
        <v>4</v>
      </c>
      <c r="I41" s="698">
        <v>5</v>
      </c>
      <c r="J41" s="698">
        <v>6</v>
      </c>
      <c r="K41" s="698">
        <v>7</v>
      </c>
      <c r="L41" s="698">
        <v>8</v>
      </c>
      <c r="M41" s="698">
        <v>9</v>
      </c>
      <c r="N41" s="698"/>
    </row>
    <row r="42" spans="4:14" ht="15">
      <c r="D42" s="694" t="s">
        <v>2897</v>
      </c>
      <c r="E42" s="697">
        <f t="shared" ref="E42:M42" ca="1" si="11">PRODUCT(($D$4+1),PRODUCT($E$6+1),VLOOKUP(MATCH($D$8,PistonLiabLocMatch,0),PistonRWLiabRate,3+E$11))</f>
        <v>3482</v>
      </c>
      <c r="F42" s="697">
        <f t="shared" ca="1" si="11"/>
        <v>4395</v>
      </c>
      <c r="G42" s="697">
        <f t="shared" ca="1" si="11"/>
        <v>5250</v>
      </c>
      <c r="H42" s="697">
        <f t="shared" ca="1" si="11"/>
        <v>6047</v>
      </c>
      <c r="I42" s="697">
        <f t="shared" ca="1" si="11"/>
        <v>6617</v>
      </c>
      <c r="J42" s="697">
        <f t="shared" ca="1" si="11"/>
        <v>7129</v>
      </c>
      <c r="K42" s="697">
        <f t="shared" ca="1" si="11"/>
        <v>7641</v>
      </c>
      <c r="L42" s="697">
        <f t="shared" ca="1" si="11"/>
        <v>8154</v>
      </c>
      <c r="M42" s="696">
        <f t="shared" ca="1" si="11"/>
        <v>8665</v>
      </c>
      <c r="N42" s="695"/>
    </row>
    <row r="43" spans="4:14" ht="15">
      <c r="D43" s="694" t="s">
        <v>2898</v>
      </c>
      <c r="E43" s="693">
        <f t="shared" ref="E43:M43" ca="1" si="12">ROUND(E42/365,5)</f>
        <v>9.5397300000000005</v>
      </c>
      <c r="F43" s="693">
        <f t="shared" ca="1" si="12"/>
        <v>12.0411</v>
      </c>
      <c r="G43" s="693">
        <f t="shared" ca="1" si="12"/>
        <v>14.383559999999999</v>
      </c>
      <c r="H43" s="693">
        <f t="shared" ca="1" si="12"/>
        <v>16.567119999999999</v>
      </c>
      <c r="I43" s="693">
        <f t="shared" ca="1" si="12"/>
        <v>18.128769999999999</v>
      </c>
      <c r="J43" s="693">
        <f t="shared" ca="1" si="12"/>
        <v>19.531510000000001</v>
      </c>
      <c r="K43" s="693">
        <f t="shared" ca="1" si="12"/>
        <v>20.934249999999999</v>
      </c>
      <c r="L43" s="693">
        <f t="shared" ca="1" si="12"/>
        <v>22.339729999999999</v>
      </c>
      <c r="M43" s="692">
        <f t="shared" ca="1" si="12"/>
        <v>23.739730000000002</v>
      </c>
      <c r="N43" s="691"/>
    </row>
    <row r="44" spans="4:14"/>
    <row r="45" spans="4:14"/>
  </sheetData>
  <sheetProtection algorithmName="SHA-512" hashValue="AeHYxDn8iWvqYMq5XknOrGzeGAc82vv83IPVs9L+Lp/q1DD1e2YaHko7R4KcG/IDlhtndwkftQt+Uy4qba71fg==" saltValue="NXJqOLRLsFCX8vn5aroh/A==" spinCount="100000" sheet="1" formatCells="0" formatColumns="0" formatRows="0"/>
  <mergeCells count="2">
    <mergeCell ref="F3:N6"/>
    <mergeCell ref="F2:N2"/>
  </mergeCells>
  <conditionalFormatting sqref="E11:N12">
    <cfRule type="expression" dxfId="240" priority="6">
      <formula>E$11&gt;$D$9</formula>
    </cfRule>
  </conditionalFormatting>
  <conditionalFormatting sqref="E13:N13 S13:AB13">
    <cfRule type="expression" dxfId="239" priority="12">
      <formula>E$11&gt;$D$9</formula>
    </cfRule>
  </conditionalFormatting>
  <conditionalFormatting sqref="E17:N18">
    <cfRule type="expression" dxfId="238" priority="5">
      <formula>E$11&gt;$D$9</formula>
    </cfRule>
  </conditionalFormatting>
  <conditionalFormatting sqref="E19:N19">
    <cfRule type="expression" dxfId="237" priority="11">
      <formula>E$11&gt;$D$9</formula>
    </cfRule>
  </conditionalFormatting>
  <conditionalFormatting sqref="E23:N24">
    <cfRule type="expression" dxfId="236" priority="4">
      <formula>E$11&gt;$D$9</formula>
    </cfRule>
  </conditionalFormatting>
  <conditionalFormatting sqref="E25:N25">
    <cfRule type="expression" dxfId="235" priority="10">
      <formula>E$11&gt;$D$9</formula>
    </cfRule>
  </conditionalFormatting>
  <conditionalFormatting sqref="E29:N30">
    <cfRule type="expression" dxfId="234" priority="3">
      <formula>E$11&gt;$D$9</formula>
    </cfRule>
  </conditionalFormatting>
  <conditionalFormatting sqref="E31:N31">
    <cfRule type="expression" dxfId="233" priority="9">
      <formula>E$11&gt;$D$9</formula>
    </cfRule>
  </conditionalFormatting>
  <conditionalFormatting sqref="E35:N36">
    <cfRule type="expression" dxfId="232" priority="2">
      <formula>E$11&gt;$D$9</formula>
    </cfRule>
  </conditionalFormatting>
  <conditionalFormatting sqref="E37:N37">
    <cfRule type="expression" dxfId="231" priority="8">
      <formula>E$11&gt;$D$9</formula>
    </cfRule>
  </conditionalFormatting>
  <conditionalFormatting sqref="E41:N42">
    <cfRule type="expression" dxfId="230" priority="1">
      <formula>E$11&gt;$D$9</formula>
    </cfRule>
  </conditionalFormatting>
  <conditionalFormatting sqref="E43:N43">
    <cfRule type="expression" dxfId="229" priority="7">
      <formula>E$11&gt;$D$9</formula>
    </cfRule>
  </conditionalFormatting>
  <conditionalFormatting sqref="S11:AB12">
    <cfRule type="expression" dxfId="228" priority="13">
      <formula>S$11&gt;$D$9</formula>
    </cfRule>
  </conditionalFormatting>
  <dataValidations count="6">
    <dataValidation type="list" allowBlank="1" showInputMessage="1" showErrorMessage="1" sqref="G8" xr:uid="{1198187C-8C6B-4B5D-86C4-566AEF98B168}">
      <formula1>MedLimits</formula1>
    </dataValidation>
    <dataValidation type="list" allowBlank="1" showInputMessage="1" showErrorMessage="1" sqref="D8" xr:uid="{858FCDFA-ABB9-4A63-A2A7-A5C160F79F43}">
      <formula1>$AF$4:$AF$7</formula1>
    </dataValidation>
    <dataValidation type="list" allowBlank="1" showInputMessage="1" showErrorMessage="1" sqref="D7" xr:uid="{0D4F0313-1E5B-4863-BB3C-90DBC331870A}">
      <formula1>"No, Yes"</formula1>
    </dataValidation>
    <dataValidation type="list" allowBlank="1" showInputMessage="1" showErrorMessage="1" sqref="D5" xr:uid="{9925C1F8-555C-43A0-BCD4-4982C852D643}">
      <formula1>"FT,RT,FC,Amphib"</formula1>
    </dataValidation>
    <dataValidation type="list" allowBlank="1" showInputMessage="1" showErrorMessage="1" sqref="D6" xr:uid="{D3537EFD-CDB6-4C51-A07B-41D2FEAA36C3}">
      <formula1>Uses</formula1>
    </dataValidation>
    <dataValidation type="list" allowBlank="1" showInputMessage="1" showErrorMessage="1" sqref="D9" xr:uid="{FF4A680A-7A39-4840-8963-AD1745CD133A}">
      <formula1>"1,2,3,4,5,6,7,8,9,10"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50"/>
  </sheetPr>
  <dimension ref="A1:AR614"/>
  <sheetViews>
    <sheetView topLeftCell="A12" zoomScale="120" zoomScaleNormal="120" workbookViewId="0">
      <selection activeCell="M42" sqref="M42"/>
    </sheetView>
  </sheetViews>
  <sheetFormatPr defaultColWidth="0" defaultRowHeight="14.25" zeroHeight="1"/>
  <cols>
    <col min="1" max="1" width="7.625" customWidth="1"/>
    <col min="2" max="2" width="7.875" bestFit="1" customWidth="1"/>
    <col min="3" max="3" width="2.625" customWidth="1"/>
    <col min="4" max="4" width="9.625" bestFit="1" customWidth="1"/>
    <col min="5" max="16" width="5.625" customWidth="1"/>
    <col min="17" max="17" width="8.625" customWidth="1"/>
    <col min="18" max="18" width="4.375" customWidth="1"/>
    <col min="19" max="19" width="6.625" customWidth="1"/>
    <col min="20" max="20" width="13" customWidth="1"/>
    <col min="21" max="21" width="11.875" customWidth="1"/>
    <col min="22" max="22" width="8.125" customWidth="1"/>
    <col min="23" max="23" width="7.875" customWidth="1"/>
    <col min="24" max="24" width="15.75" customWidth="1"/>
    <col min="25" max="25" width="6.125" customWidth="1"/>
    <col min="26" max="26" width="5.125" customWidth="1"/>
    <col min="27" max="27" width="8.875" customWidth="1"/>
    <col min="28" max="28" width="5.625" customWidth="1"/>
    <col min="29" max="29" width="11.75" customWidth="1"/>
    <col min="30" max="43" width="5.625" customWidth="1"/>
    <col min="44" max="44" width="9" customWidth="1"/>
    <col min="45" max="16384" width="9" hidden="1"/>
  </cols>
  <sheetData>
    <row r="1" spans="1:43">
      <c r="A1" s="2"/>
      <c r="B1" s="2"/>
      <c r="C1" s="2"/>
      <c r="D1" s="2"/>
      <c r="E1" s="2"/>
      <c r="F1" s="2"/>
      <c r="G1" s="2"/>
      <c r="H1" s="2"/>
      <c r="I1" s="2"/>
      <c r="J1" s="2"/>
      <c r="K1" s="2"/>
      <c r="L1" s="2"/>
      <c r="M1" s="2"/>
      <c r="N1" s="2"/>
      <c r="O1" s="2"/>
      <c r="P1" s="350"/>
      <c r="Q1" s="2"/>
      <c r="R1" s="2"/>
      <c r="S1" s="2"/>
      <c r="T1" s="2"/>
      <c r="U1" s="2"/>
      <c r="V1" s="2"/>
      <c r="W1" s="2"/>
      <c r="X1" s="2"/>
      <c r="Y1" s="2"/>
      <c r="Z1" s="2"/>
      <c r="AA1" s="2"/>
      <c r="AB1" s="2"/>
      <c r="AC1" s="2"/>
      <c r="AD1" s="2"/>
      <c r="AE1" s="2"/>
      <c r="AF1" s="2"/>
      <c r="AG1" s="2"/>
      <c r="AH1" s="2"/>
      <c r="AI1" s="2"/>
      <c r="AJ1" s="2"/>
      <c r="AK1" s="2"/>
      <c r="AL1" s="2"/>
      <c r="AM1" s="2"/>
      <c r="AN1" s="2"/>
      <c r="AO1" s="2"/>
      <c r="AP1" s="2"/>
      <c r="AQ1" s="2"/>
    </row>
    <row r="2" spans="1:43" ht="15.75" thickBot="1">
      <c r="A2" s="384" t="s">
        <v>2901</v>
      </c>
      <c r="B2" s="384" t="s">
        <v>5</v>
      </c>
      <c r="C2" s="2"/>
      <c r="D2" s="384" t="s">
        <v>2902</v>
      </c>
      <c r="E2" s="911" t="s">
        <v>2903</v>
      </c>
      <c r="F2" s="911"/>
      <c r="G2" s="911"/>
      <c r="H2" s="2"/>
      <c r="I2" s="2"/>
      <c r="J2" s="2"/>
      <c r="K2" s="2"/>
      <c r="L2" s="2"/>
      <c r="M2" s="2"/>
      <c r="N2" s="2"/>
      <c r="O2" s="2"/>
      <c r="P2" s="350"/>
      <c r="Q2" s="2"/>
      <c r="R2" s="2"/>
      <c r="S2" s="2"/>
      <c r="T2" s="2"/>
      <c r="U2" s="2"/>
      <c r="V2" s="2"/>
      <c r="W2" s="2"/>
      <c r="X2" s="2"/>
      <c r="Y2" s="2"/>
      <c r="Z2" s="2"/>
      <c r="AA2" s="2"/>
      <c r="AB2" s="2"/>
      <c r="AC2" s="2"/>
      <c r="AD2" s="2"/>
      <c r="AE2" s="2"/>
      <c r="AF2" s="2"/>
      <c r="AG2" s="2"/>
      <c r="AH2" s="2"/>
      <c r="AI2" s="2"/>
      <c r="AJ2" s="395"/>
      <c r="AK2" s="395"/>
      <c r="AL2" s="395"/>
      <c r="AM2" s="395"/>
      <c r="AN2" s="395"/>
      <c r="AO2" s="395"/>
      <c r="AP2" s="395"/>
      <c r="AQ2" s="2"/>
    </row>
    <row r="3" spans="1:43" ht="15.75" thickTop="1">
      <c r="A3" s="64"/>
      <c r="B3" s="65"/>
      <c r="C3" s="57" t="str">
        <f t="shared" ref="C3:C27" si="0">IF(A3="","",CONCATENATE(D3,"-",E3,", "))</f>
        <v/>
      </c>
      <c r="D3" s="2" t="s">
        <v>2904</v>
      </c>
      <c r="E3" s="2" t="s">
        <v>2905</v>
      </c>
      <c r="F3" s="2"/>
      <c r="G3" s="2"/>
      <c r="H3" s="2"/>
      <c r="I3" s="2"/>
      <c r="J3" s="2"/>
      <c r="K3" s="2"/>
      <c r="L3" s="2"/>
      <c r="M3" s="2"/>
      <c r="N3" s="2"/>
      <c r="O3" s="2"/>
      <c r="P3" s="350"/>
      <c r="Q3" s="2"/>
      <c r="R3" s="2"/>
      <c r="S3" s="2"/>
      <c r="T3" s="2"/>
      <c r="U3" s="67" t="s">
        <v>2906</v>
      </c>
      <c r="V3" s="2"/>
      <c r="W3" s="2"/>
      <c r="X3" s="2"/>
      <c r="Y3" s="2"/>
      <c r="Z3" s="2"/>
      <c r="AA3" s="2"/>
      <c r="AB3" s="2"/>
      <c r="AC3" s="2"/>
      <c r="AD3" s="2"/>
      <c r="AE3" s="2"/>
      <c r="AF3" s="2"/>
      <c r="AG3" s="2"/>
      <c r="AH3" s="2"/>
      <c r="AI3" s="2"/>
      <c r="AJ3" s="395" t="s">
        <v>2907</v>
      </c>
      <c r="AK3" s="395"/>
      <c r="AL3" s="395"/>
      <c r="AM3" s="395"/>
      <c r="AN3" s="395"/>
      <c r="AO3" s="395"/>
      <c r="AP3" s="395"/>
      <c r="AQ3" s="2"/>
    </row>
    <row r="4" spans="1:43" ht="15">
      <c r="A4" s="55"/>
      <c r="B4" s="66"/>
      <c r="C4" s="57" t="str">
        <f t="shared" si="0"/>
        <v/>
      </c>
      <c r="D4" s="2" t="s">
        <v>2908</v>
      </c>
      <c r="E4" s="2" t="s">
        <v>2909</v>
      </c>
      <c r="F4" s="2"/>
      <c r="G4" s="2"/>
      <c r="H4" s="2"/>
      <c r="I4" s="2"/>
      <c r="J4" s="2"/>
      <c r="K4" s="2"/>
      <c r="L4" s="2"/>
      <c r="M4" s="2"/>
      <c r="N4" s="2"/>
      <c r="O4" s="2"/>
      <c r="P4" s="350"/>
      <c r="Q4" s="2"/>
      <c r="R4" s="2"/>
      <c r="S4" s="342" t="s">
        <v>2910</v>
      </c>
      <c r="T4" s="2"/>
      <c r="U4" s="338">
        <v>0.1</v>
      </c>
      <c r="V4" s="7"/>
      <c r="W4" s="386" t="s">
        <v>2911</v>
      </c>
      <c r="X4" s="55" t="s">
        <v>1840</v>
      </c>
      <c r="Y4" s="2"/>
      <c r="Z4" s="2"/>
      <c r="AA4" s="2"/>
      <c r="AB4" s="2"/>
      <c r="AC4" s="2"/>
      <c r="AD4" s="2"/>
      <c r="AE4" s="2"/>
      <c r="AF4" s="2"/>
      <c r="AG4" s="2"/>
      <c r="AH4" s="2"/>
      <c r="AI4" s="2"/>
      <c r="AJ4" s="2"/>
      <c r="AK4" s="2"/>
      <c r="AL4" s="2"/>
      <c r="AM4" s="2"/>
      <c r="AN4" s="2"/>
      <c r="AO4" s="2"/>
      <c r="AP4" s="2"/>
      <c r="AQ4" s="2"/>
    </row>
    <row r="5" spans="1:43" ht="15">
      <c r="A5" s="55"/>
      <c r="B5" s="2"/>
      <c r="C5" s="57" t="str">
        <f t="shared" si="0"/>
        <v/>
      </c>
      <c r="D5" s="2" t="s">
        <v>4150</v>
      </c>
      <c r="E5" s="2"/>
      <c r="F5" s="2"/>
      <c r="G5" s="2"/>
      <c r="H5" s="2"/>
      <c r="I5" s="2"/>
      <c r="J5" s="2"/>
      <c r="K5" s="2"/>
      <c r="L5" s="2"/>
      <c r="M5" s="2"/>
      <c r="N5" s="2"/>
      <c r="O5" s="2"/>
      <c r="P5" s="350"/>
      <c r="Q5" s="2"/>
      <c r="R5" s="2"/>
      <c r="S5" s="549" t="s">
        <v>2912</v>
      </c>
      <c r="T5" s="989" t="s">
        <v>64</v>
      </c>
      <c r="U5" s="990"/>
      <c r="V5" s="991" t="s">
        <v>2913</v>
      </c>
      <c r="W5" s="991"/>
      <c r="X5" s="343" t="s">
        <v>3540</v>
      </c>
      <c r="Y5" s="2"/>
      <c r="Z5" s="2"/>
      <c r="AA5" s="2"/>
      <c r="AB5" s="2"/>
      <c r="AC5" s="2"/>
      <c r="AD5" s="2"/>
      <c r="AE5" s="2"/>
      <c r="AF5" s="2"/>
      <c r="AG5" s="2"/>
      <c r="AH5" s="2"/>
      <c r="AI5" s="2"/>
      <c r="AJ5" s="2"/>
      <c r="AK5" s="2"/>
      <c r="AL5" s="2"/>
      <c r="AM5" s="2"/>
      <c r="AN5" s="2"/>
      <c r="AO5" s="2"/>
      <c r="AP5" s="2"/>
      <c r="AQ5" s="2"/>
    </row>
    <row r="6" spans="1:43" ht="15">
      <c r="A6" s="55" t="s">
        <v>2907</v>
      </c>
      <c r="B6" s="66"/>
      <c r="C6" s="57" t="str">
        <f t="shared" si="0"/>
        <v xml:space="preserve">AVA 00 55-Aerial Photography, </v>
      </c>
      <c r="D6" s="2" t="s">
        <v>2915</v>
      </c>
      <c r="E6" s="2" t="s">
        <v>2916</v>
      </c>
      <c r="F6" s="2"/>
      <c r="G6" s="2"/>
      <c r="H6" s="2"/>
      <c r="I6" s="2"/>
      <c r="J6" s="2"/>
      <c r="K6" s="2"/>
      <c r="L6" s="2"/>
      <c r="M6" s="2"/>
      <c r="N6" s="2"/>
      <c r="O6" s="2"/>
      <c r="P6" s="350"/>
      <c r="Q6" s="2"/>
      <c r="R6" s="2"/>
      <c r="S6" s="991" t="s">
        <v>2917</v>
      </c>
      <c r="T6" s="896"/>
      <c r="U6" s="55" t="s">
        <v>2918</v>
      </c>
      <c r="V6" s="991" t="s">
        <v>2919</v>
      </c>
      <c r="W6" s="896"/>
      <c r="X6" s="55">
        <v>6</v>
      </c>
      <c r="Y6" s="2"/>
      <c r="Z6" s="2"/>
      <c r="AA6" s="2"/>
      <c r="AB6" s="2"/>
      <c r="AC6" s="2"/>
      <c r="AD6" s="2"/>
      <c r="AE6" s="2"/>
      <c r="AF6" s="2"/>
      <c r="AG6" s="2"/>
      <c r="AH6" s="2"/>
      <c r="AI6" s="2"/>
      <c r="AJ6" s="2"/>
      <c r="AK6" s="2"/>
      <c r="AL6" s="2"/>
      <c r="AM6" s="2"/>
      <c r="AN6" s="2"/>
      <c r="AO6" s="2"/>
      <c r="AP6" s="2"/>
      <c r="AQ6" s="2"/>
    </row>
    <row r="7" spans="1:43" ht="15">
      <c r="A7" s="55" t="s">
        <v>2907</v>
      </c>
      <c r="B7" s="66"/>
      <c r="C7" s="57" t="str">
        <f t="shared" si="0"/>
        <v xml:space="preserve">AVA 00 56-Aerial Surveillance, </v>
      </c>
      <c r="D7" s="2" t="s">
        <v>2920</v>
      </c>
      <c r="E7" s="2" t="s">
        <v>2921</v>
      </c>
      <c r="F7" s="2"/>
      <c r="G7" s="2"/>
      <c r="H7" s="2"/>
      <c r="I7" s="2"/>
      <c r="J7" s="2"/>
      <c r="K7" s="2"/>
      <c r="L7" s="2"/>
      <c r="M7" s="2"/>
      <c r="N7" s="2"/>
      <c r="O7" s="2"/>
      <c r="P7" s="350"/>
      <c r="Q7" s="2"/>
      <c r="R7" s="2"/>
      <c r="S7" s="2"/>
      <c r="T7" s="2"/>
      <c r="U7" s="386" t="s">
        <v>2922</v>
      </c>
      <c r="V7" s="55">
        <v>10000</v>
      </c>
      <c r="W7" s="2"/>
      <c r="X7" s="2"/>
      <c r="Y7" s="2"/>
      <c r="Z7" s="2"/>
      <c r="AA7" s="2"/>
      <c r="AB7" s="2"/>
      <c r="AC7" s="2"/>
      <c r="AD7" s="2"/>
      <c r="AE7" s="2"/>
      <c r="AF7" s="2"/>
      <c r="AG7" s="2"/>
      <c r="AH7" s="2"/>
      <c r="AI7" s="2"/>
      <c r="AJ7" s="2"/>
      <c r="AK7" s="2"/>
      <c r="AL7" s="2"/>
      <c r="AM7" s="2"/>
      <c r="AN7" s="2"/>
      <c r="AO7" s="2"/>
      <c r="AP7" s="2"/>
      <c r="AQ7" s="2"/>
    </row>
    <row r="8" spans="1:43" ht="15">
      <c r="A8" s="55"/>
      <c r="B8" s="66"/>
      <c r="C8" s="57" t="str">
        <f t="shared" si="0"/>
        <v/>
      </c>
      <c r="D8" s="2" t="s">
        <v>2923</v>
      </c>
      <c r="E8" s="2" t="s">
        <v>2924</v>
      </c>
      <c r="F8" s="2"/>
      <c r="G8" s="2"/>
      <c r="H8" s="2"/>
      <c r="I8" s="2"/>
      <c r="J8" s="2"/>
      <c r="K8" s="2"/>
      <c r="L8" s="2"/>
      <c r="M8" s="2"/>
      <c r="N8" s="2"/>
      <c r="O8" s="2"/>
      <c r="P8" s="350"/>
      <c r="Q8" s="2"/>
      <c r="R8" s="2"/>
      <c r="S8" s="7" t="s">
        <v>2925</v>
      </c>
      <c r="T8" s="2"/>
      <c r="U8" s="2"/>
      <c r="V8" s="2"/>
      <c r="W8" s="2"/>
      <c r="X8" s="2"/>
      <c r="Y8" s="2"/>
      <c r="Z8" s="2"/>
      <c r="AA8" s="2"/>
      <c r="AB8" s="2"/>
      <c r="AC8" s="2"/>
      <c r="AD8" s="2"/>
      <c r="AE8" s="2"/>
      <c r="AF8" s="2"/>
      <c r="AG8" s="2"/>
      <c r="AH8" s="2"/>
      <c r="AI8" s="2"/>
      <c r="AJ8" s="2"/>
      <c r="AK8" s="2"/>
      <c r="AL8" s="2"/>
      <c r="AM8" s="2"/>
      <c r="AN8" s="2"/>
      <c r="AO8" s="2"/>
      <c r="AP8" s="2"/>
      <c r="AQ8" s="2"/>
    </row>
    <row r="9" spans="1:43" ht="15">
      <c r="A9" s="55"/>
      <c r="B9" s="2"/>
      <c r="C9" s="57" t="str">
        <f t="shared" si="0"/>
        <v/>
      </c>
      <c r="D9" s="2" t="s">
        <v>2926</v>
      </c>
      <c r="E9" s="2" t="s">
        <v>52</v>
      </c>
      <c r="F9" s="2"/>
      <c r="G9" s="2"/>
      <c r="H9" s="2"/>
      <c r="I9" s="2"/>
      <c r="J9" s="2"/>
      <c r="K9" s="2"/>
      <c r="L9" s="2"/>
      <c r="M9" s="2"/>
      <c r="N9" s="2"/>
      <c r="O9" s="2"/>
      <c r="P9" s="350"/>
      <c r="Q9" s="2"/>
      <c r="R9" s="2"/>
      <c r="S9" s="7" t="s">
        <v>2927</v>
      </c>
      <c r="T9" s="992">
        <v>250000</v>
      </c>
      <c r="U9" s="993"/>
      <c r="V9" s="386" t="s">
        <v>2928</v>
      </c>
      <c r="W9" s="338">
        <v>0.25</v>
      </c>
      <c r="X9" s="2"/>
      <c r="Y9" s="2"/>
      <c r="Z9" s="2"/>
      <c r="AA9" s="2"/>
      <c r="AB9" s="2"/>
      <c r="AC9" s="2"/>
      <c r="AD9" s="2"/>
      <c r="AE9" s="2"/>
      <c r="AF9" s="2"/>
      <c r="AG9" s="2"/>
      <c r="AH9" s="2"/>
      <c r="AI9" s="2"/>
      <c r="AJ9" s="2"/>
      <c r="AK9" s="2"/>
      <c r="AL9" s="2"/>
      <c r="AM9" s="2"/>
      <c r="AN9" s="2"/>
      <c r="AO9" s="2"/>
      <c r="AP9" s="2"/>
      <c r="AQ9" s="2"/>
    </row>
    <row r="10" spans="1:43">
      <c r="A10" s="55" t="s">
        <v>2907</v>
      </c>
      <c r="B10" s="66"/>
      <c r="C10" s="57" t="str">
        <f t="shared" si="0"/>
        <v xml:space="preserve">AVA 00 59-Aircraft Trailer Physical Damage Coverage, </v>
      </c>
      <c r="D10" s="2" t="s">
        <v>2929</v>
      </c>
      <c r="E10" s="2" t="s">
        <v>2930</v>
      </c>
      <c r="F10" s="2"/>
      <c r="G10" s="2"/>
      <c r="H10" s="2"/>
      <c r="I10" s="2"/>
      <c r="J10" s="2"/>
      <c r="K10" s="2"/>
      <c r="L10" s="2"/>
      <c r="M10" s="2"/>
      <c r="N10" s="2"/>
      <c r="O10" s="2"/>
      <c r="P10" s="350"/>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row>
    <row r="11" spans="1:43">
      <c r="A11" s="56" t="str">
        <f>IF(Aircraft!P35&gt;0,"X","")</f>
        <v/>
      </c>
      <c r="B11" s="2"/>
      <c r="C11" s="57" t="str">
        <f t="shared" si="0"/>
        <v/>
      </c>
      <c r="D11" s="2" t="s">
        <v>2931</v>
      </c>
      <c r="E11" s="2" t="s">
        <v>2932</v>
      </c>
      <c r="F11" s="2"/>
      <c r="G11" s="2"/>
      <c r="H11" s="2"/>
      <c r="I11" s="2"/>
      <c r="J11" s="2"/>
      <c r="K11" s="2"/>
      <c r="L11" s="2"/>
      <c r="M11" s="2"/>
      <c r="N11" s="2"/>
      <c r="O11" s="2"/>
      <c r="P11" s="350"/>
      <c r="Q11" s="2"/>
      <c r="R11" s="2"/>
      <c r="S11" s="994" t="s">
        <v>2933</v>
      </c>
      <c r="T11" s="994"/>
      <c r="U11" s="55" t="s">
        <v>1997</v>
      </c>
      <c r="V11" s="2"/>
      <c r="W11" s="2"/>
      <c r="X11" s="2"/>
      <c r="Y11" s="2"/>
      <c r="Z11" s="2"/>
      <c r="AA11" s="2"/>
      <c r="AB11" s="2"/>
      <c r="AC11" s="2"/>
      <c r="AD11" s="2"/>
      <c r="AE11" s="2"/>
      <c r="AF11" s="2"/>
      <c r="AG11" s="2"/>
      <c r="AH11" s="2"/>
      <c r="AI11" s="2"/>
      <c r="AJ11" s="2"/>
      <c r="AK11" s="2"/>
      <c r="AL11" s="2"/>
      <c r="AM11" s="2"/>
      <c r="AN11" s="2"/>
      <c r="AO11" s="2"/>
      <c r="AP11" s="2"/>
      <c r="AQ11" s="2"/>
    </row>
    <row r="12" spans="1:43">
      <c r="A12" s="55"/>
      <c r="B12" s="66"/>
      <c r="C12" s="57" t="str">
        <f t="shared" si="0"/>
        <v/>
      </c>
      <c r="D12" s="2" t="s">
        <v>2934</v>
      </c>
      <c r="E12" s="2" t="s">
        <v>2935</v>
      </c>
      <c r="F12" s="2"/>
      <c r="G12" s="2"/>
      <c r="H12" s="2"/>
      <c r="I12" s="2"/>
      <c r="J12" s="2"/>
      <c r="K12" s="2"/>
      <c r="L12" s="2"/>
      <c r="M12" s="2"/>
      <c r="N12" s="2"/>
      <c r="O12" s="2"/>
      <c r="P12" s="350"/>
      <c r="Q12" s="2"/>
      <c r="R12" s="2"/>
      <c r="S12" s="2"/>
      <c r="T12" s="995">
        <f>VLOOKUP(U11,Worksheet_Com!A50:B53,2)</f>
        <v>45</v>
      </c>
      <c r="U12" s="995"/>
      <c r="V12" s="995"/>
      <c r="W12" s="995"/>
      <c r="X12" s="995"/>
      <c r="Y12" s="995"/>
      <c r="Z12" s="995"/>
      <c r="AA12" s="995"/>
      <c r="AB12" s="995"/>
      <c r="AC12" s="995"/>
      <c r="AD12" s="2"/>
      <c r="AE12" s="2"/>
      <c r="AF12" s="2"/>
      <c r="AG12" s="2"/>
      <c r="AH12" s="2"/>
      <c r="AI12" s="2"/>
      <c r="AJ12" s="2"/>
      <c r="AK12" s="2"/>
      <c r="AL12" s="2"/>
      <c r="AM12" s="2"/>
      <c r="AN12" s="2"/>
      <c r="AO12" s="2"/>
      <c r="AP12" s="2"/>
      <c r="AQ12" s="2"/>
    </row>
    <row r="13" spans="1:43">
      <c r="A13" s="55"/>
      <c r="B13" s="66"/>
      <c r="C13" s="57" t="str">
        <f t="shared" si="0"/>
        <v/>
      </c>
      <c r="D13" s="2" t="s">
        <v>2936</v>
      </c>
      <c r="E13" s="2" t="s">
        <v>2937</v>
      </c>
      <c r="F13" s="2"/>
      <c r="G13" s="2"/>
      <c r="H13" s="2"/>
      <c r="I13" s="2"/>
      <c r="J13" s="2"/>
      <c r="K13" s="2"/>
      <c r="L13" s="2"/>
      <c r="M13" s="2"/>
      <c r="N13" s="2"/>
      <c r="O13" s="2"/>
      <c r="P13" s="350"/>
      <c r="Q13" s="2"/>
      <c r="R13" s="2"/>
      <c r="S13" s="2"/>
      <c r="T13" s="995"/>
      <c r="U13" s="995"/>
      <c r="V13" s="995"/>
      <c r="W13" s="995"/>
      <c r="X13" s="995"/>
      <c r="Y13" s="995"/>
      <c r="Z13" s="995"/>
      <c r="AA13" s="995"/>
      <c r="AB13" s="995"/>
      <c r="AC13" s="995"/>
      <c r="AD13" s="2"/>
      <c r="AE13" s="2"/>
      <c r="AF13" s="2"/>
      <c r="AG13" s="2"/>
      <c r="AH13" s="2"/>
      <c r="AI13" s="2"/>
      <c r="AJ13" s="2"/>
      <c r="AK13" s="2"/>
      <c r="AL13" s="2"/>
      <c r="AM13" s="2"/>
      <c r="AN13" s="2"/>
      <c r="AO13" s="2"/>
      <c r="AP13" s="2"/>
      <c r="AQ13" s="2"/>
    </row>
    <row r="14" spans="1:43" ht="15" thickBot="1">
      <c r="A14" s="987" t="s">
        <v>2907</v>
      </c>
      <c r="B14" s="988"/>
      <c r="C14" s="57" t="str">
        <f t="shared" si="0"/>
        <v xml:space="preserve">AVA 00 63-Broad Coverage, </v>
      </c>
      <c r="D14" s="2" t="s">
        <v>2938</v>
      </c>
      <c r="E14" s="2" t="s">
        <v>2939</v>
      </c>
      <c r="F14" s="2"/>
      <c r="G14" s="2"/>
      <c r="H14" s="2"/>
      <c r="I14" s="69">
        <f>IF(A14="X",1,"")</f>
        <v>1</v>
      </c>
      <c r="J14" s="2"/>
      <c r="K14" s="2"/>
      <c r="L14" s="2"/>
      <c r="M14" s="2"/>
      <c r="N14" s="2"/>
      <c r="O14" s="2"/>
      <c r="P14" s="350"/>
      <c r="Q14" s="2"/>
      <c r="R14" s="345"/>
      <c r="S14" s="345"/>
      <c r="T14" s="345"/>
      <c r="U14" s="345"/>
      <c r="V14" s="345"/>
      <c r="W14" s="345"/>
      <c r="X14" s="345"/>
      <c r="Y14" s="345"/>
      <c r="Z14" s="345"/>
      <c r="AA14" s="345"/>
      <c r="AB14" s="345"/>
      <c r="AC14" s="345"/>
      <c r="AD14" s="345"/>
      <c r="AE14" s="345"/>
      <c r="AF14" s="345"/>
      <c r="AG14" s="345"/>
      <c r="AH14" s="345"/>
      <c r="AI14" s="345"/>
      <c r="AJ14" s="345"/>
      <c r="AK14" s="345"/>
      <c r="AL14" s="345"/>
      <c r="AM14" s="345"/>
      <c r="AN14" s="345"/>
      <c r="AO14" s="345"/>
      <c r="AP14" s="345"/>
      <c r="AQ14" s="2"/>
    </row>
    <row r="15" spans="1:43" ht="15.75" thickTop="1">
      <c r="A15" s="55" t="s">
        <v>2907</v>
      </c>
      <c r="B15" s="66"/>
      <c r="C15" s="57" t="str">
        <f t="shared" si="0"/>
        <v xml:space="preserve">AVA 00 64-Cargo Liability, </v>
      </c>
      <c r="D15" s="2" t="s">
        <v>2940</v>
      </c>
      <c r="E15" s="2" t="s">
        <v>2941</v>
      </c>
      <c r="F15" s="2"/>
      <c r="G15" s="2"/>
      <c r="H15" s="2"/>
      <c r="I15" s="2"/>
      <c r="J15" s="2"/>
      <c r="K15" s="2"/>
      <c r="L15" s="2"/>
      <c r="M15" s="2"/>
      <c r="N15" s="2"/>
      <c r="O15" s="2"/>
      <c r="P15" s="350"/>
      <c r="Q15" s="2"/>
      <c r="R15" s="2"/>
      <c r="S15" s="342" t="s">
        <v>2942</v>
      </c>
      <c r="T15" s="2"/>
      <c r="U15" s="2" t="s">
        <v>2943</v>
      </c>
      <c r="V15" s="2"/>
      <c r="W15" s="2"/>
      <c r="X15" s="2"/>
      <c r="Y15" s="2"/>
      <c r="Z15" s="2"/>
      <c r="AA15" s="2"/>
      <c r="AB15" s="2"/>
      <c r="AC15" s="2"/>
      <c r="AD15" s="2"/>
      <c r="AE15" s="2"/>
      <c r="AF15" s="2"/>
      <c r="AG15" s="2"/>
      <c r="AH15" s="2"/>
      <c r="AI15" s="2"/>
      <c r="AJ15" s="2"/>
      <c r="AK15" s="2"/>
      <c r="AL15" s="2"/>
      <c r="AM15" s="2"/>
      <c r="AN15" s="2"/>
      <c r="AO15" s="2"/>
      <c r="AP15" s="2"/>
      <c r="AQ15" s="2"/>
    </row>
    <row r="16" spans="1:43">
      <c r="A16" s="55"/>
      <c r="B16" s="2"/>
      <c r="C16" s="57" t="str">
        <f t="shared" si="0"/>
        <v/>
      </c>
      <c r="D16" s="2" t="s">
        <v>2944</v>
      </c>
      <c r="E16" s="2" t="s">
        <v>2945</v>
      </c>
      <c r="F16" s="2"/>
      <c r="G16" s="2"/>
      <c r="H16" s="2"/>
      <c r="I16" s="2"/>
      <c r="J16" s="2"/>
      <c r="K16" s="2"/>
      <c r="L16" s="2"/>
      <c r="M16" s="2"/>
      <c r="N16" s="2"/>
      <c r="O16" s="2"/>
      <c r="P16" s="350"/>
      <c r="Q16" s="2"/>
      <c r="R16" s="314"/>
      <c r="S16" s="363" t="s">
        <v>2946</v>
      </c>
      <c r="T16" s="2"/>
      <c r="U16" s="2"/>
      <c r="V16" s="2"/>
      <c r="W16" s="2"/>
      <c r="X16" s="2"/>
      <c r="Y16" s="314"/>
      <c r="Z16" s="365" t="s">
        <v>2947</v>
      </c>
      <c r="AA16" s="2"/>
      <c r="AB16" s="2"/>
      <c r="AC16" s="2"/>
      <c r="AD16" s="314"/>
      <c r="AE16" s="365" t="s">
        <v>2947</v>
      </c>
      <c r="AF16" s="2"/>
      <c r="AG16" s="2"/>
      <c r="AH16" s="2"/>
      <c r="AI16" s="314"/>
      <c r="AJ16" s="365" t="s">
        <v>2947</v>
      </c>
      <c r="AK16" s="2"/>
      <c r="AL16" s="2"/>
      <c r="AM16" s="2"/>
      <c r="AN16" s="314"/>
      <c r="AO16" s="365" t="s">
        <v>2947</v>
      </c>
      <c r="AP16" s="2"/>
      <c r="AQ16" s="2"/>
    </row>
    <row r="17" spans="1:43">
      <c r="A17" s="56" t="str">
        <f>IF('Data-UW'!F8="Corp / Assoc. / LLC / Partnership / Trust / Estate","X","")</f>
        <v/>
      </c>
      <c r="B17" s="2"/>
      <c r="C17" s="57" t="str">
        <f t="shared" si="0"/>
        <v/>
      </c>
      <c r="D17" s="2" t="s">
        <v>2948</v>
      </c>
      <c r="E17" s="2" t="s">
        <v>2949</v>
      </c>
      <c r="F17" s="2"/>
      <c r="G17" s="2"/>
      <c r="H17" s="2"/>
      <c r="I17" s="2"/>
      <c r="J17" s="2"/>
      <c r="K17" s="2"/>
      <c r="L17" s="2"/>
      <c r="M17" s="2"/>
      <c r="N17" s="2"/>
      <c r="O17" s="2"/>
      <c r="P17" s="350"/>
      <c r="Q17" s="2"/>
      <c r="R17" s="314"/>
      <c r="S17" s="363" t="s">
        <v>2950</v>
      </c>
      <c r="T17" s="2"/>
      <c r="U17" s="395"/>
      <c r="V17" s="2"/>
      <c r="W17" s="2"/>
      <c r="X17" s="2"/>
      <c r="Y17" s="314"/>
      <c r="Z17" s="365" t="s">
        <v>2951</v>
      </c>
      <c r="AA17" s="2"/>
      <c r="AB17" s="2"/>
      <c r="AC17" s="2"/>
      <c r="AD17" s="314"/>
      <c r="AE17" s="365" t="s">
        <v>2951</v>
      </c>
      <c r="AF17" s="2"/>
      <c r="AG17" s="2"/>
      <c r="AH17" s="2"/>
      <c r="AI17" s="314"/>
      <c r="AJ17" s="365" t="s">
        <v>2951</v>
      </c>
      <c r="AK17" s="2"/>
      <c r="AL17" s="2"/>
      <c r="AM17" s="2"/>
      <c r="AN17" s="314"/>
      <c r="AO17" s="365" t="s">
        <v>2951</v>
      </c>
      <c r="AP17" s="2"/>
      <c r="AQ17" s="2"/>
    </row>
    <row r="18" spans="1:43">
      <c r="A18" s="55" t="s">
        <v>2907</v>
      </c>
      <c r="B18" s="2"/>
      <c r="C18" s="57" t="str">
        <f t="shared" si="0"/>
        <v xml:space="preserve">AVA 00 66-Emergency or Unexpected Landing, </v>
      </c>
      <c r="D18" s="2" t="s">
        <v>2952</v>
      </c>
      <c r="E18" s="2" t="s">
        <v>2953</v>
      </c>
      <c r="F18" s="2"/>
      <c r="G18" s="2"/>
      <c r="H18" s="2"/>
      <c r="I18" s="2"/>
      <c r="J18" s="2"/>
      <c r="K18" s="2"/>
      <c r="L18" s="2"/>
      <c r="M18" s="2"/>
      <c r="N18" s="69" t="str">
        <f>IF($I$14=1,"","X")</f>
        <v/>
      </c>
      <c r="O18" s="2"/>
      <c r="P18" s="350"/>
      <c r="Q18" s="2"/>
      <c r="R18" s="314"/>
      <c r="S18" s="363" t="s">
        <v>2954</v>
      </c>
      <c r="T18" s="2"/>
      <c r="U18" s="2"/>
      <c r="V18" s="2"/>
      <c r="W18" s="2"/>
      <c r="X18" s="2"/>
      <c r="Y18" s="314"/>
      <c r="Z18" s="365" t="s">
        <v>2955</v>
      </c>
      <c r="AA18" s="2"/>
      <c r="AB18" s="2"/>
      <c r="AC18" s="2"/>
      <c r="AD18" s="314"/>
      <c r="AE18" s="365" t="s">
        <v>2955</v>
      </c>
      <c r="AF18" s="2"/>
      <c r="AG18" s="2"/>
      <c r="AH18" s="2"/>
      <c r="AI18" s="314"/>
      <c r="AJ18" s="365" t="s">
        <v>2955</v>
      </c>
      <c r="AK18" s="2"/>
      <c r="AL18" s="2"/>
      <c r="AM18" s="2"/>
      <c r="AN18" s="314"/>
      <c r="AO18" s="365" t="s">
        <v>2955</v>
      </c>
      <c r="AP18" s="2"/>
      <c r="AQ18" s="2"/>
    </row>
    <row r="19" spans="1:43">
      <c r="A19" s="55"/>
      <c r="B19" s="66"/>
      <c r="C19" s="57" t="str">
        <f t="shared" si="0"/>
        <v/>
      </c>
      <c r="D19" s="2" t="s">
        <v>2956</v>
      </c>
      <c r="E19" s="2" t="s">
        <v>2957</v>
      </c>
      <c r="F19" s="2"/>
      <c r="G19" s="2"/>
      <c r="H19" s="2"/>
      <c r="I19" s="2"/>
      <c r="J19" s="2"/>
      <c r="K19" s="2"/>
      <c r="L19" s="2"/>
      <c r="M19" s="2"/>
      <c r="N19" s="2"/>
      <c r="O19" s="2"/>
      <c r="P19" s="350"/>
      <c r="Q19" s="2"/>
      <c r="R19" s="314" t="s">
        <v>2907</v>
      </c>
      <c r="S19" s="364" t="s">
        <v>2958</v>
      </c>
      <c r="T19" s="2"/>
      <c r="U19" s="2"/>
      <c r="V19" s="2"/>
      <c r="W19" s="2"/>
      <c r="X19" s="2"/>
      <c r="Y19" s="314" t="s">
        <v>2907</v>
      </c>
      <c r="Z19" s="365" t="s">
        <v>2959</v>
      </c>
      <c r="AA19" s="2"/>
      <c r="AB19" s="2"/>
      <c r="AC19" s="2"/>
      <c r="AD19" s="314" t="s">
        <v>2907</v>
      </c>
      <c r="AE19" s="365" t="s">
        <v>2959</v>
      </c>
      <c r="AF19" s="2"/>
      <c r="AG19" s="2"/>
      <c r="AH19" s="2"/>
      <c r="AI19" s="314" t="s">
        <v>2907</v>
      </c>
      <c r="AJ19" s="365" t="s">
        <v>2959</v>
      </c>
      <c r="AK19" s="2"/>
      <c r="AL19" s="2"/>
      <c r="AM19" s="2"/>
      <c r="AN19" s="314" t="s">
        <v>2907</v>
      </c>
      <c r="AO19" s="365" t="s">
        <v>2959</v>
      </c>
      <c r="AP19" s="2"/>
      <c r="AQ19" s="2"/>
    </row>
    <row r="20" spans="1:43">
      <c r="A20" s="55"/>
      <c r="B20" s="66"/>
      <c r="C20" s="57" t="str">
        <f t="shared" si="0"/>
        <v/>
      </c>
      <c r="D20" s="2" t="s">
        <v>2960</v>
      </c>
      <c r="E20" s="2" t="s">
        <v>2961</v>
      </c>
      <c r="F20" s="2"/>
      <c r="G20" s="2"/>
      <c r="H20" s="2"/>
      <c r="I20" s="2"/>
      <c r="J20" s="2"/>
      <c r="K20" s="2"/>
      <c r="L20" s="2"/>
      <c r="M20" s="2"/>
      <c r="N20" s="2"/>
      <c r="O20" s="2"/>
      <c r="P20" s="350"/>
      <c r="Q20" s="2"/>
      <c r="R20" s="314"/>
      <c r="S20" s="363" t="s">
        <v>2962</v>
      </c>
      <c r="T20" s="2"/>
      <c r="U20" s="2"/>
      <c r="V20" s="2"/>
      <c r="W20" s="2"/>
      <c r="X20" s="2"/>
      <c r="Y20" s="314"/>
      <c r="Z20" s="365" t="s">
        <v>2963</v>
      </c>
      <c r="AA20" s="2"/>
      <c r="AB20" s="2"/>
      <c r="AC20" s="2"/>
      <c r="AD20" s="314"/>
      <c r="AE20" s="365" t="s">
        <v>2963</v>
      </c>
      <c r="AF20" s="2"/>
      <c r="AG20" s="2"/>
      <c r="AH20" s="2"/>
      <c r="AI20" s="314"/>
      <c r="AJ20" s="365" t="s">
        <v>2963</v>
      </c>
      <c r="AK20" s="2"/>
      <c r="AL20" s="2"/>
      <c r="AM20" s="2"/>
      <c r="AN20" s="314"/>
      <c r="AO20" s="365" t="s">
        <v>2963</v>
      </c>
      <c r="AP20" s="2"/>
      <c r="AQ20" s="2"/>
    </row>
    <row r="21" spans="1:43">
      <c r="A21" s="55"/>
      <c r="B21" s="66"/>
      <c r="C21" s="57" t="str">
        <f t="shared" si="0"/>
        <v/>
      </c>
      <c r="D21" s="2" t="s">
        <v>2964</v>
      </c>
      <c r="E21" s="2" t="s">
        <v>2965</v>
      </c>
      <c r="F21" s="2"/>
      <c r="G21" s="2"/>
      <c r="H21" s="2"/>
      <c r="I21" s="2"/>
      <c r="J21" s="2"/>
      <c r="K21" s="2"/>
      <c r="L21" s="2"/>
      <c r="M21" s="2"/>
      <c r="N21" s="2"/>
      <c r="O21" s="2"/>
      <c r="P21" s="350"/>
      <c r="Q21" s="2"/>
      <c r="R21" s="314" t="s">
        <v>2907</v>
      </c>
      <c r="S21" s="364" t="s">
        <v>2966</v>
      </c>
      <c r="T21" s="2"/>
      <c r="U21" s="2"/>
      <c r="V21" s="2"/>
      <c r="W21" s="2"/>
      <c r="X21" s="2"/>
      <c r="Y21" s="314" t="s">
        <v>2907</v>
      </c>
      <c r="Z21" s="365" t="s">
        <v>2967</v>
      </c>
      <c r="AA21" s="2"/>
      <c r="AB21" s="2"/>
      <c r="AC21" s="2"/>
      <c r="AD21" s="314" t="s">
        <v>2907</v>
      </c>
      <c r="AE21" s="365" t="s">
        <v>2967</v>
      </c>
      <c r="AF21" s="2"/>
      <c r="AG21" s="2"/>
      <c r="AH21" s="2"/>
      <c r="AI21" s="314" t="s">
        <v>2907</v>
      </c>
      <c r="AJ21" s="365" t="s">
        <v>2967</v>
      </c>
      <c r="AK21" s="2"/>
      <c r="AL21" s="2"/>
      <c r="AM21" s="2"/>
      <c r="AN21" s="314" t="s">
        <v>2907</v>
      </c>
      <c r="AO21" s="365" t="s">
        <v>2967</v>
      </c>
      <c r="AP21" s="2"/>
      <c r="AQ21" s="2"/>
    </row>
    <row r="22" spans="1:43">
      <c r="A22" s="55"/>
      <c r="B22" s="66"/>
      <c r="C22" s="57" t="str">
        <f t="shared" si="0"/>
        <v/>
      </c>
      <c r="D22" s="2" t="s">
        <v>2968</v>
      </c>
      <c r="E22" s="2" t="s">
        <v>2969</v>
      </c>
      <c r="F22" s="2"/>
      <c r="G22" s="2"/>
      <c r="H22" s="2"/>
      <c r="I22" s="2"/>
      <c r="J22" s="2"/>
      <c r="K22" s="2"/>
      <c r="L22" s="2"/>
      <c r="M22" s="2"/>
      <c r="N22" s="2"/>
      <c r="O22" s="2"/>
      <c r="P22" s="350"/>
      <c r="Q22" s="2"/>
      <c r="R22" s="2"/>
      <c r="S22" s="364" t="s">
        <v>2970</v>
      </c>
      <c r="T22" s="2"/>
      <c r="U22" s="2"/>
      <c r="V22" s="2"/>
      <c r="W22" s="2"/>
      <c r="X22" s="2"/>
      <c r="Y22" s="2"/>
      <c r="Z22" s="2"/>
      <c r="AA22" s="2"/>
      <c r="AB22" s="2"/>
      <c r="AC22" s="2"/>
      <c r="AD22" s="2"/>
      <c r="AE22" s="2"/>
      <c r="AF22" s="2"/>
      <c r="AG22" s="2"/>
      <c r="AH22" s="2"/>
      <c r="AI22" s="2"/>
      <c r="AJ22" s="2"/>
      <c r="AK22" s="2"/>
      <c r="AL22" s="2"/>
      <c r="AM22" s="2"/>
      <c r="AN22" s="2"/>
      <c r="AO22" s="2"/>
      <c r="AP22" s="2"/>
      <c r="AQ22" s="2"/>
    </row>
    <row r="23" spans="1:43">
      <c r="A23" s="56" t="str">
        <f>IF(Aircraft!N84&gt;0,"X","")</f>
        <v>X</v>
      </c>
      <c r="B23" s="2"/>
      <c r="C23" s="57" t="str">
        <f t="shared" si="0"/>
        <v xml:space="preserve">AVA 00 71-Floats Clause, </v>
      </c>
      <c r="D23" s="2" t="s">
        <v>2971</v>
      </c>
      <c r="E23" s="2" t="s">
        <v>2972</v>
      </c>
      <c r="F23" s="2"/>
      <c r="G23" s="2"/>
      <c r="H23" s="2"/>
      <c r="I23" s="2"/>
      <c r="J23" s="2"/>
      <c r="K23" s="2"/>
      <c r="L23" s="2"/>
      <c r="M23" s="2"/>
      <c r="N23" s="2"/>
      <c r="O23" s="2"/>
      <c r="P23" s="350"/>
      <c r="Q23" s="2"/>
      <c r="R23" s="2"/>
      <c r="S23" s="364" t="s">
        <v>2973</v>
      </c>
      <c r="T23" s="2"/>
      <c r="U23" s="2"/>
      <c r="V23" s="2"/>
      <c r="W23" s="2"/>
      <c r="X23" s="2"/>
      <c r="Y23" s="2"/>
      <c r="Z23" s="2"/>
      <c r="AA23" s="2"/>
      <c r="AB23" s="2"/>
      <c r="AC23" s="2"/>
      <c r="AD23" s="2"/>
      <c r="AE23" s="2"/>
      <c r="AF23" s="2"/>
      <c r="AG23" s="2"/>
      <c r="AH23" s="2"/>
      <c r="AI23" s="2"/>
      <c r="AJ23" s="2"/>
      <c r="AK23" s="2"/>
      <c r="AL23" s="2"/>
      <c r="AM23" s="2"/>
      <c r="AN23" s="2"/>
      <c r="AO23" s="2"/>
      <c r="AP23" s="2"/>
      <c r="AQ23" s="2"/>
    </row>
    <row r="24" spans="1:43">
      <c r="A24" s="55"/>
      <c r="B24" s="2"/>
      <c r="C24" s="57" t="str">
        <f t="shared" si="0"/>
        <v/>
      </c>
      <c r="D24" s="2" t="s">
        <v>2974</v>
      </c>
      <c r="E24" s="2" t="s">
        <v>2975</v>
      </c>
      <c r="F24" s="2"/>
      <c r="G24" s="2"/>
      <c r="H24" s="2"/>
      <c r="I24" s="2"/>
      <c r="J24" s="2"/>
      <c r="K24" s="2"/>
      <c r="L24" s="2"/>
      <c r="M24" s="2"/>
      <c r="N24" s="2"/>
      <c r="O24" s="2"/>
      <c r="P24" s="350"/>
      <c r="Q24" s="2"/>
      <c r="R24" s="348"/>
      <c r="S24" s="348"/>
      <c r="T24" s="2"/>
      <c r="U24" s="395" t="s">
        <v>2976</v>
      </c>
      <c r="V24" s="2"/>
      <c r="W24" s="2"/>
      <c r="X24" s="2"/>
      <c r="Y24" s="2"/>
      <c r="Z24" s="395" t="s">
        <v>2976</v>
      </c>
      <c r="AA24" s="2"/>
      <c r="AB24" s="2"/>
      <c r="AC24" s="2"/>
      <c r="AD24" s="2"/>
      <c r="AE24" s="395" t="s">
        <v>2976</v>
      </c>
      <c r="AF24" s="2"/>
      <c r="AG24" s="2"/>
      <c r="AH24" s="2"/>
      <c r="AI24" s="2"/>
      <c r="AJ24" s="395" t="s">
        <v>2976</v>
      </c>
      <c r="AK24" s="2"/>
      <c r="AL24" s="2"/>
      <c r="AM24" s="2"/>
      <c r="AN24" s="2"/>
      <c r="AO24" s="395" t="s">
        <v>2976</v>
      </c>
      <c r="AP24" s="2"/>
      <c r="AQ24" s="2"/>
    </row>
    <row r="25" spans="1:43">
      <c r="A25" s="55"/>
      <c r="B25" s="66"/>
      <c r="C25" s="57" t="str">
        <f t="shared" si="0"/>
        <v/>
      </c>
      <c r="D25" s="2" t="s">
        <v>2977</v>
      </c>
      <c r="E25" s="2" t="s">
        <v>2978</v>
      </c>
      <c r="F25" s="2"/>
      <c r="G25" s="2"/>
      <c r="H25" s="2"/>
      <c r="I25" s="2"/>
      <c r="J25" s="2"/>
      <c r="K25" s="2"/>
      <c r="L25" s="2"/>
      <c r="M25" s="2"/>
      <c r="N25" s="2"/>
      <c r="O25" s="2"/>
      <c r="P25" s="350"/>
      <c r="Q25" s="2"/>
      <c r="R25" s="348"/>
      <c r="S25" s="349"/>
      <c r="T25" s="346" t="s">
        <v>2979</v>
      </c>
      <c r="U25" s="393" t="s">
        <v>2980</v>
      </c>
      <c r="V25" s="977" t="s">
        <v>2981</v>
      </c>
      <c r="W25" s="977"/>
      <c r="X25" s="2"/>
      <c r="Y25" s="346" t="s">
        <v>2979</v>
      </c>
      <c r="Z25" s="393" t="s">
        <v>2982</v>
      </c>
      <c r="AA25" s="977" t="s">
        <v>2981</v>
      </c>
      <c r="AB25" s="977"/>
      <c r="AC25" s="2"/>
      <c r="AD25" s="346" t="s">
        <v>2979</v>
      </c>
      <c r="AE25" s="393" t="s">
        <v>2982</v>
      </c>
      <c r="AF25" s="977" t="s">
        <v>2981</v>
      </c>
      <c r="AG25" s="977"/>
      <c r="AH25" s="2"/>
      <c r="AI25" s="346" t="s">
        <v>2979</v>
      </c>
      <c r="AJ25" s="393" t="s">
        <v>2982</v>
      </c>
      <c r="AK25" s="977" t="s">
        <v>2981</v>
      </c>
      <c r="AL25" s="977"/>
      <c r="AM25" s="2"/>
      <c r="AN25" s="346" t="s">
        <v>2979</v>
      </c>
      <c r="AO25" s="393" t="s">
        <v>2982</v>
      </c>
      <c r="AP25" s="977" t="s">
        <v>2981</v>
      </c>
      <c r="AQ25" s="977"/>
    </row>
    <row r="26" spans="1:43">
      <c r="A26" s="55"/>
      <c r="B26" s="66"/>
      <c r="C26" s="57" t="str">
        <f t="shared" si="0"/>
        <v/>
      </c>
      <c r="D26" s="2" t="s">
        <v>2983</v>
      </c>
      <c r="E26" s="2" t="s">
        <v>2984</v>
      </c>
      <c r="F26" s="2"/>
      <c r="G26" s="2"/>
      <c r="H26" s="2"/>
      <c r="I26" s="2"/>
      <c r="J26" s="2"/>
      <c r="K26" s="2"/>
      <c r="L26" s="2"/>
      <c r="M26" s="2"/>
      <c r="N26" s="2"/>
      <c r="O26" s="2"/>
      <c r="P26" s="350"/>
      <c r="Q26" s="2"/>
      <c r="R26" s="2"/>
      <c r="S26" s="349"/>
      <c r="T26" s="966"/>
      <c r="U26" s="966"/>
      <c r="V26" s="971"/>
      <c r="W26" s="972"/>
      <c r="X26" s="2"/>
      <c r="Y26" s="966"/>
      <c r="Z26" s="966"/>
      <c r="AA26" s="971"/>
      <c r="AB26" s="972"/>
      <c r="AC26" s="2"/>
      <c r="AD26" s="966"/>
      <c r="AE26" s="966"/>
      <c r="AF26" s="971"/>
      <c r="AG26" s="972"/>
      <c r="AH26" s="2"/>
      <c r="AI26" s="966"/>
      <c r="AJ26" s="966"/>
      <c r="AK26" s="971"/>
      <c r="AL26" s="972"/>
      <c r="AM26" s="2"/>
      <c r="AN26" s="966"/>
      <c r="AO26" s="966"/>
      <c r="AP26" s="971"/>
      <c r="AQ26" s="972"/>
    </row>
    <row r="27" spans="1:43">
      <c r="A27" s="55"/>
      <c r="B27" s="66"/>
      <c r="C27" s="57" t="str">
        <f t="shared" si="0"/>
        <v/>
      </c>
      <c r="D27" s="2" t="s">
        <v>2985</v>
      </c>
      <c r="E27" s="2" t="s">
        <v>2986</v>
      </c>
      <c r="F27" s="2"/>
      <c r="G27" s="2"/>
      <c r="H27" s="2"/>
      <c r="I27" s="2"/>
      <c r="J27" s="2"/>
      <c r="K27" s="2"/>
      <c r="L27" s="2"/>
      <c r="M27" s="2"/>
      <c r="N27" s="2"/>
      <c r="O27" s="2"/>
      <c r="P27" s="350"/>
      <c r="Q27" s="2"/>
      <c r="R27" s="2"/>
      <c r="S27" s="349"/>
      <c r="T27" s="967"/>
      <c r="U27" s="967"/>
      <c r="V27" s="973"/>
      <c r="W27" s="974"/>
      <c r="X27" s="2"/>
      <c r="Y27" s="967"/>
      <c r="Z27" s="967"/>
      <c r="AA27" s="973"/>
      <c r="AB27" s="974"/>
      <c r="AC27" s="2"/>
      <c r="AD27" s="967"/>
      <c r="AE27" s="967"/>
      <c r="AF27" s="973"/>
      <c r="AG27" s="974"/>
      <c r="AH27" s="2"/>
      <c r="AI27" s="967"/>
      <c r="AJ27" s="967"/>
      <c r="AK27" s="973"/>
      <c r="AL27" s="974"/>
      <c r="AM27" s="2"/>
      <c r="AN27" s="967"/>
      <c r="AO27" s="967"/>
      <c r="AP27" s="973"/>
      <c r="AQ27" s="974"/>
    </row>
    <row r="28" spans="1:43">
      <c r="A28" s="55" t="str">
        <f>IF(N28="","",N28)</f>
        <v/>
      </c>
      <c r="B28" s="2"/>
      <c r="C28" s="57" t="str">
        <f t="shared" ref="C28:C65" si="1">IF(A28="","",CONCATENATE(D28,"-",E28,", "))</f>
        <v/>
      </c>
      <c r="D28" s="2" t="s">
        <v>2987</v>
      </c>
      <c r="E28" s="2" t="s">
        <v>2988</v>
      </c>
      <c r="F28" s="2"/>
      <c r="G28" s="2"/>
      <c r="H28" s="2"/>
      <c r="I28" s="2"/>
      <c r="J28" s="2"/>
      <c r="K28" s="2"/>
      <c r="L28" s="2"/>
      <c r="M28" s="2"/>
      <c r="N28" s="69" t="str">
        <f>IF($I$14=1,"","X")</f>
        <v/>
      </c>
      <c r="O28" s="2"/>
      <c r="P28" s="350"/>
      <c r="Q28" s="2"/>
      <c r="R28" s="2"/>
      <c r="S28" s="349"/>
      <c r="T28" s="968"/>
      <c r="U28" s="968"/>
      <c r="V28" s="975"/>
      <c r="W28" s="976"/>
      <c r="X28" s="2"/>
      <c r="Y28" s="968"/>
      <c r="Z28" s="968"/>
      <c r="AA28" s="975"/>
      <c r="AB28" s="976"/>
      <c r="AC28" s="2"/>
      <c r="AD28" s="968"/>
      <c r="AE28" s="968"/>
      <c r="AF28" s="975"/>
      <c r="AG28" s="976"/>
      <c r="AH28" s="2"/>
      <c r="AI28" s="968"/>
      <c r="AJ28" s="968"/>
      <c r="AK28" s="975"/>
      <c r="AL28" s="976"/>
      <c r="AM28" s="2"/>
      <c r="AN28" s="968"/>
      <c r="AO28" s="968"/>
      <c r="AP28" s="975"/>
      <c r="AQ28" s="976"/>
    </row>
    <row r="29" spans="1:43" ht="15" thickBot="1">
      <c r="A29" s="55"/>
      <c r="B29" s="2"/>
      <c r="C29" s="57" t="str">
        <f t="shared" si="1"/>
        <v/>
      </c>
      <c r="D29" s="2" t="s">
        <v>2989</v>
      </c>
      <c r="E29" s="2" t="s">
        <v>2990</v>
      </c>
      <c r="F29" s="2"/>
      <c r="G29" s="2"/>
      <c r="H29" s="2"/>
      <c r="I29" s="2"/>
      <c r="J29" s="2"/>
      <c r="K29" s="2"/>
      <c r="L29" s="2"/>
      <c r="M29" s="2"/>
      <c r="N29" s="2"/>
      <c r="O29" s="2"/>
      <c r="P29" s="350"/>
      <c r="Q29" s="2"/>
      <c r="R29" s="345"/>
      <c r="S29" s="345"/>
      <c r="T29" s="345"/>
      <c r="U29" s="345"/>
      <c r="V29" s="345"/>
      <c r="W29" s="345"/>
      <c r="X29" s="345"/>
      <c r="Y29" s="345"/>
      <c r="Z29" s="345"/>
      <c r="AA29" s="345"/>
      <c r="AB29" s="345"/>
      <c r="AC29" s="345"/>
      <c r="AD29" s="345"/>
      <c r="AE29" s="345"/>
      <c r="AF29" s="345"/>
      <c r="AG29" s="345"/>
      <c r="AH29" s="345"/>
      <c r="AI29" s="345"/>
      <c r="AJ29" s="345"/>
      <c r="AK29" s="345"/>
      <c r="AL29" s="345"/>
      <c r="AM29" s="345"/>
      <c r="AN29" s="345"/>
      <c r="AO29" s="345"/>
      <c r="AP29" s="345"/>
      <c r="AQ29" s="2"/>
    </row>
    <row r="30" spans="1:43" ht="15.75" thickTop="1">
      <c r="A30" s="55"/>
      <c r="B30" s="2"/>
      <c r="C30" s="57" t="str">
        <f t="shared" si="1"/>
        <v/>
      </c>
      <c r="D30" s="2" t="s">
        <v>2991</v>
      </c>
      <c r="E30" s="2" t="s">
        <v>43</v>
      </c>
      <c r="F30" s="2"/>
      <c r="G30" s="2"/>
      <c r="H30" s="2"/>
      <c r="I30" s="2"/>
      <c r="J30" s="2"/>
      <c r="K30" s="2"/>
      <c r="L30" s="2"/>
      <c r="M30" s="2"/>
      <c r="N30" s="2"/>
      <c r="O30" s="2"/>
      <c r="P30" s="350"/>
      <c r="Q30" s="2"/>
      <c r="R30" s="2"/>
      <c r="S30" s="342" t="s">
        <v>2992</v>
      </c>
      <c r="T30" s="2"/>
      <c r="U30" s="2"/>
      <c r="V30" s="2"/>
      <c r="W30" s="2"/>
      <c r="X30" s="2"/>
      <c r="Y30" s="2"/>
      <c r="Z30" s="2"/>
      <c r="AA30" s="2"/>
      <c r="AB30" s="2"/>
      <c r="AC30" s="2"/>
      <c r="AD30" s="2"/>
      <c r="AE30" s="2"/>
      <c r="AF30" s="2"/>
      <c r="AG30" s="2"/>
      <c r="AH30" s="2"/>
      <c r="AI30" s="2"/>
      <c r="AJ30" s="2"/>
      <c r="AK30" s="2"/>
      <c r="AL30" s="2"/>
      <c r="AM30" s="2"/>
      <c r="AN30" s="2"/>
      <c r="AO30" s="2"/>
      <c r="AP30" s="2"/>
      <c r="AQ30" s="2"/>
    </row>
    <row r="31" spans="1:43">
      <c r="A31" s="55"/>
      <c r="B31" s="66"/>
      <c r="C31" s="57" t="str">
        <f t="shared" si="1"/>
        <v/>
      </c>
      <c r="D31" s="2" t="s">
        <v>2993</v>
      </c>
      <c r="E31" s="2" t="s">
        <v>2994</v>
      </c>
      <c r="F31" s="2"/>
      <c r="G31" s="2"/>
      <c r="H31" s="2"/>
      <c r="I31" s="2"/>
      <c r="J31" s="2"/>
      <c r="K31" s="2"/>
      <c r="L31" s="2"/>
      <c r="M31" s="2"/>
      <c r="N31" s="2"/>
      <c r="O31" s="2"/>
      <c r="P31" s="350"/>
      <c r="Q31" s="2"/>
      <c r="R31" s="2"/>
      <c r="S31" s="970" t="s">
        <v>2995</v>
      </c>
      <c r="T31" s="970"/>
      <c r="U31" s="970"/>
      <c r="V31" s="2"/>
      <c r="W31" s="2"/>
      <c r="X31" s="969" t="s">
        <v>2996</v>
      </c>
      <c r="Y31" s="969"/>
      <c r="Z31" s="2"/>
      <c r="AA31" s="2"/>
      <c r="AB31" s="2"/>
      <c r="AC31" s="2"/>
      <c r="AD31" s="2"/>
      <c r="AE31" s="2"/>
      <c r="AF31" s="2"/>
      <c r="AG31" s="2"/>
      <c r="AH31" s="2"/>
      <c r="AI31" s="2"/>
      <c r="AJ31" s="2"/>
      <c r="AK31" s="2"/>
      <c r="AL31" s="2"/>
      <c r="AM31" s="2"/>
      <c r="AN31" s="2"/>
      <c r="AO31" s="2"/>
      <c r="AP31" s="2"/>
      <c r="AQ31" s="2"/>
    </row>
    <row r="32" spans="1:43">
      <c r="A32" s="55"/>
      <c r="B32" s="2"/>
      <c r="C32" s="57" t="str">
        <f t="shared" si="1"/>
        <v/>
      </c>
      <c r="D32" s="2" t="s">
        <v>2997</v>
      </c>
      <c r="E32" s="2" t="s">
        <v>2998</v>
      </c>
      <c r="F32" s="2"/>
      <c r="G32" s="2"/>
      <c r="H32" s="2"/>
      <c r="I32" s="2"/>
      <c r="J32" s="2"/>
      <c r="K32" s="2"/>
      <c r="L32" s="2"/>
      <c r="M32" s="2"/>
      <c r="N32" s="2"/>
      <c r="O32" s="2"/>
      <c r="P32" s="350"/>
      <c r="Q32" s="2"/>
      <c r="R32" s="2"/>
      <c r="S32" s="2"/>
      <c r="T32" s="2" t="s">
        <v>2999</v>
      </c>
      <c r="U32" s="2"/>
      <c r="V32" s="2"/>
      <c r="W32" s="2"/>
      <c r="X32" s="347">
        <v>100000</v>
      </c>
      <c r="Y32" s="2" t="s">
        <v>3000</v>
      </c>
      <c r="Z32" s="2"/>
      <c r="AA32" s="2"/>
      <c r="AB32" s="2"/>
      <c r="AC32" s="2"/>
      <c r="AD32" s="2"/>
      <c r="AE32" s="2"/>
      <c r="AF32" s="2"/>
      <c r="AG32" s="2"/>
      <c r="AH32" s="2"/>
      <c r="AI32" s="2"/>
      <c r="AJ32" s="2"/>
      <c r="AK32" s="2"/>
      <c r="AL32" s="2"/>
      <c r="AM32" s="2"/>
      <c r="AN32" s="2"/>
      <c r="AO32" s="2"/>
      <c r="AP32" s="2"/>
      <c r="AQ32" s="2"/>
    </row>
    <row r="33" spans="1:43">
      <c r="A33" s="55"/>
      <c r="B33" s="66"/>
      <c r="C33" s="57" t="str">
        <f t="shared" si="1"/>
        <v/>
      </c>
      <c r="D33" s="2" t="s">
        <v>3001</v>
      </c>
      <c r="E33" s="2" t="s">
        <v>3002</v>
      </c>
      <c r="F33" s="2"/>
      <c r="G33" s="2"/>
      <c r="H33" s="2"/>
      <c r="I33" s="2"/>
      <c r="J33" s="2"/>
      <c r="K33" s="2"/>
      <c r="L33" s="2"/>
      <c r="M33" s="2"/>
      <c r="N33" s="2"/>
      <c r="O33" s="2"/>
      <c r="P33" s="350"/>
      <c r="Q33" s="2"/>
      <c r="R33" s="2"/>
      <c r="S33" s="2"/>
      <c r="T33" s="2"/>
      <c r="U33" s="2"/>
      <c r="V33" s="2"/>
      <c r="W33" s="2"/>
      <c r="X33" s="347"/>
      <c r="Y33" s="2" t="s">
        <v>3003</v>
      </c>
      <c r="Z33" s="2"/>
      <c r="AA33" s="2"/>
      <c r="AB33" s="2"/>
      <c r="AC33" s="2"/>
      <c r="AD33" s="2"/>
      <c r="AE33" s="2"/>
      <c r="AF33" s="2"/>
      <c r="AG33" s="2"/>
      <c r="AH33" s="2"/>
      <c r="AI33" s="2"/>
      <c r="AJ33" s="2"/>
      <c r="AK33" s="2"/>
      <c r="AL33" s="2"/>
      <c r="AM33" s="2"/>
      <c r="AN33" s="2"/>
      <c r="AO33" s="2"/>
      <c r="AP33" s="2"/>
      <c r="AQ33" s="2"/>
    </row>
    <row r="34" spans="1:43">
      <c r="A34" s="55"/>
      <c r="B34" s="2"/>
      <c r="C34" s="57" t="str">
        <f t="shared" si="1"/>
        <v/>
      </c>
      <c r="D34" s="2" t="s">
        <v>3004</v>
      </c>
      <c r="E34" s="2" t="s">
        <v>3005</v>
      </c>
      <c r="F34" s="2"/>
      <c r="G34" s="2"/>
      <c r="H34" s="2"/>
      <c r="I34" s="2"/>
      <c r="J34" s="2"/>
      <c r="K34" s="2"/>
      <c r="L34" s="2"/>
      <c r="M34" s="2"/>
      <c r="N34" s="2"/>
      <c r="O34" s="2"/>
      <c r="P34" s="350"/>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row>
    <row r="35" spans="1:43">
      <c r="A35" s="55"/>
      <c r="B35" s="66"/>
      <c r="C35" s="57" t="str">
        <f t="shared" si="1"/>
        <v/>
      </c>
      <c r="D35" s="2" t="s">
        <v>3006</v>
      </c>
      <c r="E35" s="2" t="s">
        <v>3007</v>
      </c>
      <c r="F35" s="2"/>
      <c r="G35" s="2"/>
      <c r="H35" s="2"/>
      <c r="I35" s="2"/>
      <c r="J35" s="2"/>
      <c r="K35" s="2"/>
      <c r="L35" s="2"/>
      <c r="M35" s="2"/>
      <c r="N35" s="2"/>
      <c r="O35" s="2"/>
      <c r="P35" s="350"/>
      <c r="Q35" s="2"/>
      <c r="R35" s="2"/>
      <c r="S35" s="2"/>
      <c r="T35" s="2" t="s">
        <v>3008</v>
      </c>
      <c r="U35" s="2"/>
      <c r="V35" s="2"/>
      <c r="W35" s="2"/>
      <c r="X35" s="347"/>
      <c r="Y35" s="2" t="s">
        <v>3003</v>
      </c>
      <c r="Z35" s="2"/>
      <c r="AA35" s="2"/>
      <c r="AB35" s="2"/>
      <c r="AC35" s="2"/>
      <c r="AD35" s="2"/>
      <c r="AE35" s="2"/>
      <c r="AF35" s="2"/>
      <c r="AG35" s="2"/>
      <c r="AH35" s="2"/>
      <c r="AI35" s="2"/>
      <c r="AJ35" s="2"/>
      <c r="AK35" s="2"/>
      <c r="AL35" s="2"/>
      <c r="AM35" s="2"/>
      <c r="AN35" s="2"/>
      <c r="AO35" s="2"/>
      <c r="AP35" s="2"/>
      <c r="AQ35" s="2"/>
    </row>
    <row r="36" spans="1:43">
      <c r="A36" s="55"/>
      <c r="B36" s="66"/>
      <c r="C36" s="57" t="str">
        <f t="shared" si="1"/>
        <v/>
      </c>
      <c r="D36" s="2" t="s">
        <v>3009</v>
      </c>
      <c r="E36" s="2" t="s">
        <v>3010</v>
      </c>
      <c r="F36" s="2"/>
      <c r="G36" s="2"/>
      <c r="H36" s="2"/>
      <c r="I36" s="2"/>
      <c r="J36" s="2"/>
      <c r="K36" s="2"/>
      <c r="L36" s="2"/>
      <c r="M36" s="2"/>
      <c r="N36" s="2"/>
      <c r="O36" s="2"/>
      <c r="P36" s="350"/>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row>
    <row r="37" spans="1:43">
      <c r="A37" s="55" t="s">
        <v>2907</v>
      </c>
      <c r="B37" s="108">
        <f ca="1">IF(A37="","",Worksheet_Com!H93)</f>
        <v>180</v>
      </c>
      <c r="C37" s="57" t="str">
        <f t="shared" si="1"/>
        <v xml:space="preserve">AVA 00 85-Non owned Aircraft - Liability, </v>
      </c>
      <c r="D37" s="2" t="s">
        <v>3011</v>
      </c>
      <c r="E37" s="2" t="s">
        <v>3012</v>
      </c>
      <c r="F37" s="2"/>
      <c r="G37" s="2"/>
      <c r="H37" s="2"/>
      <c r="I37" s="2"/>
      <c r="J37" s="2"/>
      <c r="K37" s="2"/>
      <c r="L37" s="2"/>
      <c r="M37" s="2"/>
      <c r="N37" s="2"/>
      <c r="O37" s="2"/>
      <c r="P37" s="350"/>
      <c r="Q37" s="2"/>
      <c r="R37" s="2"/>
      <c r="S37" s="2"/>
      <c r="T37" s="2" t="s">
        <v>3013</v>
      </c>
      <c r="U37" s="2"/>
      <c r="V37" s="2"/>
      <c r="W37" s="2"/>
      <c r="X37" s="347">
        <v>100000</v>
      </c>
      <c r="Y37" s="2" t="s">
        <v>3000</v>
      </c>
      <c r="Z37" s="2"/>
      <c r="AA37" s="2"/>
      <c r="AB37" s="2"/>
      <c r="AC37" s="2"/>
      <c r="AD37" s="2"/>
      <c r="AE37" s="2"/>
      <c r="AF37" s="2"/>
      <c r="AG37" s="2"/>
      <c r="AH37" s="2"/>
      <c r="AI37" s="2"/>
      <c r="AJ37" s="2"/>
      <c r="AK37" s="2"/>
      <c r="AL37" s="2"/>
      <c r="AM37" s="2"/>
      <c r="AN37" s="2"/>
      <c r="AO37" s="2"/>
      <c r="AP37" s="2"/>
      <c r="AQ37" s="2"/>
    </row>
    <row r="38" spans="1:43">
      <c r="A38" s="55"/>
      <c r="B38" s="108" t="str">
        <f>IF(A38="","",Worksheet_Com!I97)</f>
        <v/>
      </c>
      <c r="C38" s="57" t="str">
        <f t="shared" si="1"/>
        <v/>
      </c>
      <c r="D38" s="2" t="s">
        <v>3014</v>
      </c>
      <c r="E38" s="2" t="s">
        <v>3015</v>
      </c>
      <c r="F38" s="2"/>
      <c r="G38" s="2"/>
      <c r="H38" s="2"/>
      <c r="I38" s="2"/>
      <c r="J38" s="2"/>
      <c r="K38" s="2"/>
      <c r="L38" s="2"/>
      <c r="M38" s="2"/>
      <c r="N38" s="2"/>
      <c r="O38" s="2"/>
      <c r="P38" s="350"/>
      <c r="Q38" s="2"/>
      <c r="R38" s="2"/>
      <c r="S38" s="2"/>
      <c r="T38" s="2"/>
      <c r="U38" s="2"/>
      <c r="V38" s="2"/>
      <c r="W38" s="2"/>
      <c r="X38" s="347">
        <v>300000</v>
      </c>
      <c r="Y38" s="2" t="s">
        <v>3003</v>
      </c>
      <c r="Z38" s="2"/>
      <c r="AA38" s="2"/>
      <c r="AB38" s="2"/>
      <c r="AC38" s="2"/>
      <c r="AD38" s="2"/>
      <c r="AE38" s="2"/>
      <c r="AF38" s="2"/>
      <c r="AG38" s="2"/>
      <c r="AH38" s="2"/>
      <c r="AI38" s="2"/>
      <c r="AJ38" s="2"/>
      <c r="AK38" s="2"/>
      <c r="AL38" s="2"/>
      <c r="AM38" s="2"/>
      <c r="AN38" s="2"/>
      <c r="AO38" s="2"/>
      <c r="AP38" s="2"/>
      <c r="AQ38" s="2"/>
    </row>
    <row r="39" spans="1:43" ht="15" thickBot="1">
      <c r="A39" s="55"/>
      <c r="B39" s="66"/>
      <c r="C39" s="57" t="str">
        <f t="shared" si="1"/>
        <v/>
      </c>
      <c r="D39" s="2" t="s">
        <v>3016</v>
      </c>
      <c r="E39" s="2" t="s">
        <v>3017</v>
      </c>
      <c r="F39" s="2"/>
      <c r="G39" s="2"/>
      <c r="H39" s="2"/>
      <c r="I39" s="2"/>
      <c r="J39" s="2"/>
      <c r="K39" s="2"/>
      <c r="L39" s="2"/>
      <c r="M39" s="2"/>
      <c r="N39" s="2"/>
      <c r="O39" s="2"/>
      <c r="P39" s="350"/>
      <c r="Q39" s="2"/>
      <c r="R39" s="345"/>
      <c r="S39" s="345"/>
      <c r="T39" s="345"/>
      <c r="U39" s="345"/>
      <c r="V39" s="345"/>
      <c r="W39" s="345"/>
      <c r="X39" s="345"/>
      <c r="Y39" s="345"/>
      <c r="Z39" s="345"/>
      <c r="AA39" s="345"/>
      <c r="AB39" s="345"/>
      <c r="AC39" s="345"/>
      <c r="AD39" s="345"/>
      <c r="AE39" s="345"/>
      <c r="AF39" s="345"/>
      <c r="AG39" s="345"/>
      <c r="AH39" s="345"/>
      <c r="AI39" s="345"/>
      <c r="AJ39" s="345"/>
      <c r="AK39" s="345"/>
      <c r="AL39" s="345"/>
      <c r="AM39" s="345"/>
      <c r="AN39" s="345"/>
      <c r="AO39" s="345"/>
      <c r="AP39" s="345"/>
      <c r="AQ39" s="2"/>
    </row>
    <row r="40" spans="1:43" ht="15.75" thickTop="1">
      <c r="A40" s="55"/>
      <c r="B40" s="2"/>
      <c r="C40" s="57" t="str">
        <f t="shared" si="1"/>
        <v/>
      </c>
      <c r="D40" s="2" t="s">
        <v>3018</v>
      </c>
      <c r="E40" s="2" t="s">
        <v>3019</v>
      </c>
      <c r="F40" s="2"/>
      <c r="G40" s="2"/>
      <c r="H40" s="2"/>
      <c r="I40" s="2"/>
      <c r="J40" s="2"/>
      <c r="K40" s="2"/>
      <c r="L40" s="2"/>
      <c r="M40" s="2"/>
      <c r="N40" s="2"/>
      <c r="O40" s="2"/>
      <c r="P40" s="350"/>
      <c r="Q40" s="2"/>
      <c r="R40" s="2"/>
      <c r="S40" s="342" t="s">
        <v>3020</v>
      </c>
      <c r="T40" s="2"/>
      <c r="U40" s="2" t="s">
        <v>2943</v>
      </c>
      <c r="V40" s="2"/>
      <c r="W40" s="2"/>
      <c r="X40" s="351"/>
      <c r="Y40" s="352"/>
      <c r="Z40" s="2" t="s">
        <v>3021</v>
      </c>
      <c r="AA40" s="2"/>
      <c r="AB40" s="2"/>
      <c r="AC40" s="2"/>
      <c r="AD40" s="2"/>
      <c r="AE40" s="2"/>
      <c r="AF40" s="2"/>
      <c r="AG40" s="2"/>
      <c r="AH40" s="2"/>
      <c r="AI40" s="2"/>
      <c r="AJ40" s="2"/>
      <c r="AK40" s="2"/>
      <c r="AL40" s="2"/>
      <c r="AM40" s="2"/>
      <c r="AN40" s="2"/>
      <c r="AO40" s="2"/>
      <c r="AP40" s="2"/>
      <c r="AQ40" s="2"/>
    </row>
    <row r="41" spans="1:43">
      <c r="A41" s="55"/>
      <c r="B41" s="2"/>
      <c r="C41" s="57" t="str">
        <f t="shared" si="1"/>
        <v/>
      </c>
      <c r="D41" s="2" t="s">
        <v>3022</v>
      </c>
      <c r="E41" s="2" t="s">
        <v>3023</v>
      </c>
      <c r="F41" s="2"/>
      <c r="G41" s="2"/>
      <c r="H41" s="2"/>
      <c r="I41" s="2"/>
      <c r="J41" s="2"/>
      <c r="K41" s="2"/>
      <c r="L41" s="2"/>
      <c r="M41" s="2"/>
      <c r="N41" s="2"/>
      <c r="O41" s="2"/>
      <c r="P41" s="350"/>
      <c r="Q41" s="2"/>
      <c r="R41" s="314"/>
      <c r="S41" s="353" t="s">
        <v>3024</v>
      </c>
      <c r="T41" s="2"/>
      <c r="U41" s="2"/>
      <c r="V41" s="2"/>
      <c r="W41" s="2"/>
      <c r="X41" s="5"/>
      <c r="Y41" s="4"/>
      <c r="Z41" s="2"/>
      <c r="AA41" s="2"/>
      <c r="AB41" s="2"/>
      <c r="AC41" s="2"/>
      <c r="AD41" s="2"/>
      <c r="AE41" s="2"/>
      <c r="AF41" s="2"/>
      <c r="AG41" s="2"/>
      <c r="AH41" s="2"/>
      <c r="AI41" s="2"/>
      <c r="AJ41" s="2"/>
      <c r="AK41" s="2"/>
      <c r="AL41" s="2"/>
      <c r="AM41" s="2"/>
      <c r="AN41" s="2"/>
      <c r="AO41" s="2"/>
      <c r="AP41" s="2"/>
      <c r="AQ41" s="2"/>
    </row>
    <row r="42" spans="1:43">
      <c r="A42" s="55" t="s">
        <v>2907</v>
      </c>
      <c r="B42" s="66"/>
      <c r="C42" s="57" t="str">
        <f t="shared" si="1"/>
        <v xml:space="preserve">AVA 00 90-Passenger Voluntary Settlement, </v>
      </c>
      <c r="D42" s="2" t="s">
        <v>3025</v>
      </c>
      <c r="E42" s="2" t="s">
        <v>3026</v>
      </c>
      <c r="F42" s="2"/>
      <c r="G42" s="2"/>
      <c r="H42" s="2"/>
      <c r="I42" s="2"/>
      <c r="J42" s="2"/>
      <c r="K42" s="2"/>
      <c r="L42" s="2"/>
      <c r="M42" s="2"/>
      <c r="N42" s="2"/>
      <c r="O42" s="2"/>
      <c r="P42" s="350"/>
      <c r="Q42" s="2"/>
      <c r="R42" s="314"/>
      <c r="S42" s="353" t="s">
        <v>3027</v>
      </c>
      <c r="T42" s="2"/>
      <c r="U42" s="395"/>
      <c r="V42" s="2"/>
      <c r="W42" s="2"/>
      <c r="X42" s="5"/>
      <c r="Y42" s="2"/>
      <c r="Z42" s="314"/>
      <c r="AA42" s="353" t="s">
        <v>3028</v>
      </c>
      <c r="AB42" s="2"/>
      <c r="AC42" s="2"/>
      <c r="AD42" s="2"/>
      <c r="AE42" s="2"/>
      <c r="AF42" s="2"/>
      <c r="AG42" s="2"/>
      <c r="AH42" s="2"/>
      <c r="AI42" s="2"/>
      <c r="AJ42" s="2"/>
      <c r="AK42" s="2"/>
      <c r="AL42" s="2"/>
      <c r="AM42" s="2"/>
      <c r="AN42" s="2"/>
      <c r="AO42" s="2"/>
      <c r="AP42" s="2"/>
      <c r="AQ42" s="2"/>
    </row>
    <row r="43" spans="1:43">
      <c r="A43" s="55"/>
      <c r="B43" s="66"/>
      <c r="C43" s="57" t="str">
        <f t="shared" si="1"/>
        <v/>
      </c>
      <c r="D43" s="2" t="s">
        <v>3029</v>
      </c>
      <c r="E43" s="2" t="s">
        <v>3030</v>
      </c>
      <c r="F43" s="2"/>
      <c r="G43" s="2"/>
      <c r="H43" s="2"/>
      <c r="I43" s="2"/>
      <c r="J43" s="2"/>
      <c r="K43" s="2"/>
      <c r="L43" s="2"/>
      <c r="M43" s="2"/>
      <c r="N43" s="2"/>
      <c r="O43" s="2"/>
      <c r="P43" s="350"/>
      <c r="Q43" s="2"/>
      <c r="R43" s="314"/>
      <c r="S43" s="353" t="s">
        <v>3031</v>
      </c>
      <c r="T43" s="2"/>
      <c r="U43" s="2"/>
      <c r="V43" s="2"/>
      <c r="W43" s="2"/>
      <c r="X43" s="5"/>
      <c r="Y43" s="2"/>
      <c r="Z43" s="2"/>
      <c r="AA43" s="353" t="s">
        <v>3032</v>
      </c>
      <c r="AB43" s="2"/>
      <c r="AC43" s="2"/>
      <c r="AD43" s="2"/>
      <c r="AE43" s="2"/>
      <c r="AF43" s="2"/>
      <c r="AG43" s="2"/>
      <c r="AH43" s="2"/>
      <c r="AI43" s="2"/>
      <c r="AJ43" s="2"/>
      <c r="AK43" s="2"/>
      <c r="AL43" s="2"/>
      <c r="AM43" s="2"/>
      <c r="AN43" s="2"/>
      <c r="AO43" s="2"/>
      <c r="AP43" s="2"/>
      <c r="AQ43" s="2"/>
    </row>
    <row r="44" spans="1:43">
      <c r="A44" s="55"/>
      <c r="B44" s="2"/>
      <c r="C44" s="57" t="str">
        <f t="shared" si="1"/>
        <v/>
      </c>
      <c r="D44" s="2" t="s">
        <v>3033</v>
      </c>
      <c r="E44" s="2" t="s">
        <v>3034</v>
      </c>
      <c r="F44" s="2"/>
      <c r="G44" s="2"/>
      <c r="H44" s="2"/>
      <c r="I44" s="2"/>
      <c r="J44" s="2"/>
      <c r="K44" s="2"/>
      <c r="L44" s="2"/>
      <c r="M44" s="2"/>
      <c r="N44" s="2"/>
      <c r="O44" s="2"/>
      <c r="P44" s="350"/>
      <c r="Q44" s="2"/>
      <c r="R44" s="314"/>
      <c r="S44" s="353" t="s">
        <v>3035</v>
      </c>
      <c r="T44" s="2"/>
      <c r="U44" s="2"/>
      <c r="V44" s="2"/>
      <c r="W44" s="2"/>
      <c r="X44" s="5"/>
      <c r="Y44" s="2"/>
      <c r="Z44" s="2"/>
      <c r="AA44" s="2"/>
      <c r="AB44" s="2"/>
      <c r="AC44" s="2"/>
      <c r="AD44" s="2"/>
      <c r="AE44" s="2"/>
      <c r="AF44" s="2"/>
      <c r="AG44" s="2"/>
      <c r="AH44" s="2"/>
      <c r="AI44" s="2"/>
      <c r="AJ44" s="2"/>
      <c r="AK44" s="2"/>
      <c r="AL44" s="2"/>
      <c r="AM44" s="2"/>
      <c r="AN44" s="2"/>
      <c r="AO44" s="2"/>
      <c r="AP44" s="2"/>
      <c r="AQ44" s="2"/>
    </row>
    <row r="45" spans="1:43">
      <c r="A45" s="55" t="s">
        <v>3036</v>
      </c>
      <c r="B45" s="66"/>
      <c r="C45" s="57" t="str">
        <f t="shared" si="1"/>
        <v xml:space="preserve">AVA 00 93-Pilot Clause, </v>
      </c>
      <c r="D45" s="2" t="s">
        <v>3037</v>
      </c>
      <c r="E45" s="2" t="s">
        <v>3038</v>
      </c>
      <c r="F45" s="2"/>
      <c r="G45" s="2"/>
      <c r="H45" s="2"/>
      <c r="I45" s="2"/>
      <c r="J45" s="2"/>
      <c r="K45" s="2"/>
      <c r="L45" s="2"/>
      <c r="M45" s="2"/>
      <c r="N45" s="2"/>
      <c r="O45" s="2"/>
      <c r="P45" s="350"/>
      <c r="Q45" s="2"/>
      <c r="R45" s="314"/>
      <c r="S45" s="353" t="s">
        <v>3039</v>
      </c>
      <c r="T45" s="2"/>
      <c r="U45" s="2"/>
      <c r="V45" s="2"/>
      <c r="W45" s="2"/>
      <c r="X45" s="5"/>
      <c r="Y45" s="4"/>
      <c r="Z45" s="138"/>
      <c r="AA45" s="2"/>
      <c r="AB45" s="2"/>
      <c r="AC45" s="2"/>
      <c r="AD45" s="2"/>
      <c r="AE45" s="2"/>
      <c r="AF45" s="2"/>
      <c r="AG45" s="2"/>
      <c r="AH45" s="2"/>
      <c r="AI45" s="2"/>
      <c r="AJ45" s="2"/>
      <c r="AK45" s="2"/>
      <c r="AL45" s="2"/>
      <c r="AM45" s="2"/>
      <c r="AN45" s="2"/>
      <c r="AO45" s="2"/>
      <c r="AP45" s="2"/>
      <c r="AQ45" s="2"/>
    </row>
    <row r="46" spans="1:43">
      <c r="A46" s="55"/>
      <c r="B46" s="66"/>
      <c r="C46" s="57" t="str">
        <f t="shared" si="1"/>
        <v/>
      </c>
      <c r="D46" s="2" t="s">
        <v>3040</v>
      </c>
      <c r="E46" s="2" t="s">
        <v>3041</v>
      </c>
      <c r="F46" s="2"/>
      <c r="G46" s="2"/>
      <c r="H46" s="2"/>
      <c r="I46" s="2"/>
      <c r="J46" s="2"/>
      <c r="K46" s="2"/>
      <c r="L46" s="2"/>
      <c r="M46" s="2"/>
      <c r="N46" s="2"/>
      <c r="O46" s="2"/>
      <c r="P46" s="350"/>
      <c r="Q46" s="2"/>
      <c r="R46" s="314"/>
      <c r="S46" s="353" t="s">
        <v>3042</v>
      </c>
      <c r="T46" s="2"/>
      <c r="U46" s="2"/>
      <c r="V46" s="2"/>
      <c r="W46" s="2"/>
      <c r="X46" s="5"/>
      <c r="Y46" s="4"/>
      <c r="Z46" s="314"/>
      <c r="AA46" s="353" t="s">
        <v>3043</v>
      </c>
      <c r="AB46" s="2"/>
      <c r="AC46" s="2"/>
      <c r="AD46" s="2"/>
      <c r="AE46" s="2"/>
      <c r="AF46" s="2"/>
      <c r="AG46" s="2"/>
      <c r="AH46" s="2"/>
      <c r="AI46" s="2"/>
      <c r="AJ46" s="2"/>
      <c r="AK46" s="2"/>
      <c r="AL46" s="2"/>
      <c r="AM46" s="2"/>
      <c r="AN46" s="2"/>
      <c r="AO46" s="2"/>
      <c r="AP46" s="2"/>
      <c r="AQ46" s="2"/>
    </row>
    <row r="47" spans="1:43">
      <c r="A47" s="55"/>
      <c r="B47" s="66"/>
      <c r="C47" s="57" t="str">
        <f t="shared" si="1"/>
        <v/>
      </c>
      <c r="D47" s="2" t="s">
        <v>3044</v>
      </c>
      <c r="E47" s="2" t="s">
        <v>3045</v>
      </c>
      <c r="F47" s="2"/>
      <c r="G47" s="2"/>
      <c r="H47" s="2"/>
      <c r="I47" s="2"/>
      <c r="J47" s="2"/>
      <c r="K47" s="2"/>
      <c r="L47" s="2"/>
      <c r="M47" s="2"/>
      <c r="N47" s="2"/>
      <c r="O47" s="2"/>
      <c r="P47" s="350"/>
      <c r="Q47" s="2"/>
      <c r="R47" s="314"/>
      <c r="S47" s="353" t="s">
        <v>3046</v>
      </c>
      <c r="T47" s="2"/>
      <c r="U47" s="964"/>
      <c r="V47" s="964"/>
      <c r="W47" s="964"/>
      <c r="X47" s="5"/>
      <c r="Y47" s="4"/>
      <c r="Z47" s="2"/>
      <c r="AA47" s="2"/>
      <c r="AB47" s="2"/>
      <c r="AC47" s="2"/>
      <c r="AD47" s="2"/>
      <c r="AE47" s="2"/>
      <c r="AF47" s="2"/>
      <c r="AG47" s="2"/>
      <c r="AH47" s="2"/>
      <c r="AI47" s="2"/>
      <c r="AJ47" s="2"/>
      <c r="AK47" s="2"/>
      <c r="AL47" s="2"/>
      <c r="AM47" s="2"/>
      <c r="AN47" s="2"/>
      <c r="AO47" s="2"/>
      <c r="AP47" s="2"/>
      <c r="AQ47" s="2"/>
    </row>
    <row r="48" spans="1:43">
      <c r="A48" s="55"/>
      <c r="B48" s="66"/>
      <c r="C48" s="57" t="str">
        <f t="shared" si="1"/>
        <v/>
      </c>
      <c r="D48" s="2" t="s">
        <v>3047</v>
      </c>
      <c r="E48" s="2" t="s">
        <v>3048</v>
      </c>
      <c r="F48" s="2"/>
      <c r="G48" s="2"/>
      <c r="H48" s="2"/>
      <c r="I48" s="2"/>
      <c r="J48" s="2"/>
      <c r="K48" s="2"/>
      <c r="L48" s="2"/>
      <c r="M48" s="2"/>
      <c r="N48" s="2"/>
      <c r="O48" s="2"/>
      <c r="P48" s="350"/>
      <c r="Q48" s="2"/>
      <c r="R48" s="2"/>
      <c r="S48" s="2"/>
      <c r="T48" s="2"/>
      <c r="U48" s="2"/>
      <c r="V48" s="2"/>
      <c r="W48" s="2"/>
      <c r="X48" s="5"/>
      <c r="Y48" s="4"/>
      <c r="Z48" s="2"/>
      <c r="AA48" s="2"/>
      <c r="AB48" s="2"/>
      <c r="AC48" s="2"/>
      <c r="AD48" s="2"/>
      <c r="AE48" s="2"/>
      <c r="AF48" s="2"/>
      <c r="AG48" s="2"/>
      <c r="AH48" s="2"/>
      <c r="AI48" s="2"/>
      <c r="AJ48" s="2"/>
      <c r="AK48" s="2"/>
      <c r="AL48" s="2"/>
      <c r="AM48" s="2"/>
      <c r="AN48" s="2"/>
      <c r="AO48" s="2"/>
      <c r="AP48" s="2"/>
      <c r="AQ48" s="2"/>
    </row>
    <row r="49" spans="1:43">
      <c r="A49" s="55"/>
      <c r="B49" s="66"/>
      <c r="C49" s="57" t="str">
        <f t="shared" si="1"/>
        <v/>
      </c>
      <c r="D49" s="2" t="s">
        <v>3049</v>
      </c>
      <c r="E49" s="2" t="s">
        <v>3050</v>
      </c>
      <c r="F49" s="2"/>
      <c r="G49" s="2"/>
      <c r="H49" s="2"/>
      <c r="I49" s="2"/>
      <c r="J49" s="2"/>
      <c r="K49" s="2"/>
      <c r="L49" s="2"/>
      <c r="M49" s="2"/>
      <c r="N49" s="2"/>
      <c r="O49" s="2"/>
      <c r="P49" s="350"/>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row>
    <row r="50" spans="1:43" ht="15">
      <c r="A50" s="55" t="s">
        <v>3036</v>
      </c>
      <c r="B50" s="2"/>
      <c r="C50" s="57" t="str">
        <f t="shared" si="1"/>
        <v xml:space="preserve">AVA 00 98-Purpose of Use, </v>
      </c>
      <c r="D50" s="2" t="s">
        <v>3051</v>
      </c>
      <c r="E50" s="2" t="s">
        <v>3052</v>
      </c>
      <c r="F50" s="2"/>
      <c r="G50" s="2"/>
      <c r="H50" s="2"/>
      <c r="I50" s="2"/>
      <c r="J50" s="2"/>
      <c r="K50" s="2"/>
      <c r="L50" s="2"/>
      <c r="M50" s="2"/>
      <c r="N50" s="2"/>
      <c r="O50" s="2"/>
      <c r="P50" s="350"/>
      <c r="Q50" s="2"/>
      <c r="R50" s="2"/>
      <c r="S50" s="2"/>
      <c r="T50" s="2"/>
      <c r="U50" s="2"/>
      <c r="V50" s="7"/>
      <c r="W50" s="7" t="s">
        <v>3053</v>
      </c>
      <c r="X50" s="965"/>
      <c r="Y50" s="965"/>
      <c r="Z50" s="2"/>
      <c r="AA50" s="2"/>
      <c r="AB50" s="2"/>
      <c r="AC50" s="2"/>
      <c r="AD50" s="2"/>
      <c r="AE50" s="2"/>
      <c r="AF50" s="2"/>
      <c r="AG50" s="2"/>
      <c r="AH50" s="2"/>
      <c r="AI50" s="2"/>
      <c r="AJ50" s="2"/>
      <c r="AK50" s="2"/>
      <c r="AL50" s="2"/>
      <c r="AM50" s="2"/>
      <c r="AN50" s="2"/>
      <c r="AO50" s="2"/>
      <c r="AP50" s="2"/>
      <c r="AQ50" s="2"/>
    </row>
    <row r="51" spans="1:43" ht="15" thickBot="1">
      <c r="A51" s="55"/>
      <c r="B51" s="707"/>
      <c r="C51" s="57" t="str">
        <f t="shared" si="1"/>
        <v/>
      </c>
      <c r="D51" s="2" t="str">
        <f>IF('Data-UW'!I13="WV","AVA 01 41WV",IF('Data-UW'!I13="WA","AVA 01 41WA",IF('Data-UW'!I13="KS","AVA 01 41KS",IF('Data-UW'!I13="GA","AVA 01 41GA",IF('Data-UW'!I13="CA","AVA 01 41CA","AVA 01 41")))))</f>
        <v>AVA 01 41</v>
      </c>
      <c r="E51" s="2" t="s">
        <v>3054</v>
      </c>
      <c r="F51" s="2"/>
      <c r="G51" s="2"/>
      <c r="H51" s="2"/>
      <c r="I51" s="2"/>
      <c r="J51" s="2"/>
      <c r="K51" s="2"/>
      <c r="L51" s="2"/>
      <c r="M51" s="2"/>
      <c r="N51" s="2"/>
      <c r="O51" s="2"/>
      <c r="P51" s="350"/>
      <c r="Q51" s="2"/>
      <c r="R51" s="345"/>
      <c r="S51" s="345"/>
      <c r="T51" s="345"/>
      <c r="U51" s="345"/>
      <c r="V51" s="345"/>
      <c r="W51" s="345"/>
      <c r="X51" s="345"/>
      <c r="Y51" s="345"/>
      <c r="Z51" s="345"/>
      <c r="AA51" s="345"/>
      <c r="AB51" s="345"/>
      <c r="AC51" s="345"/>
      <c r="AD51" s="345"/>
      <c r="AE51" s="345"/>
      <c r="AF51" s="345"/>
      <c r="AG51" s="345"/>
      <c r="AH51" s="345"/>
      <c r="AI51" s="345"/>
      <c r="AJ51" s="345"/>
      <c r="AK51" s="345"/>
      <c r="AL51" s="345"/>
      <c r="AM51" s="345"/>
      <c r="AN51" s="345"/>
      <c r="AO51" s="345"/>
      <c r="AP51" s="345"/>
      <c r="AQ51" s="2"/>
    </row>
    <row r="52" spans="1:43" ht="15.75" thickTop="1">
      <c r="A52" s="55"/>
      <c r="B52" s="66"/>
      <c r="C52" s="57" t="str">
        <f t="shared" si="1"/>
        <v/>
      </c>
      <c r="D52" s="2" t="s">
        <v>3055</v>
      </c>
      <c r="E52" s="2" t="s">
        <v>3056</v>
      </c>
      <c r="F52" s="2"/>
      <c r="G52" s="2"/>
      <c r="H52" s="2"/>
      <c r="I52" s="2"/>
      <c r="J52" s="2"/>
      <c r="K52" s="2"/>
      <c r="L52" s="2"/>
      <c r="M52" s="2"/>
      <c r="N52" s="2"/>
      <c r="O52" s="2"/>
      <c r="P52" s="350"/>
      <c r="Q52" s="2"/>
      <c r="R52" s="2"/>
      <c r="S52" s="342" t="s">
        <v>3057</v>
      </c>
      <c r="T52" s="2"/>
      <c r="U52" s="2" t="s">
        <v>3058</v>
      </c>
      <c r="V52" s="2"/>
      <c r="W52" s="2"/>
      <c r="X52" s="2"/>
      <c r="Y52" s="2"/>
      <c r="Z52" s="2"/>
      <c r="AA52" s="2"/>
      <c r="AB52" s="2"/>
      <c r="AC52" s="2"/>
      <c r="AD52" s="2"/>
      <c r="AE52" s="2"/>
      <c r="AF52" s="2"/>
      <c r="AG52" s="2"/>
      <c r="AH52" s="2"/>
      <c r="AI52" s="2"/>
      <c r="AJ52" s="2"/>
      <c r="AK52" s="2"/>
      <c r="AL52" s="2"/>
      <c r="AM52" s="2"/>
      <c r="AN52" s="2"/>
      <c r="AO52" s="2"/>
      <c r="AP52" s="2"/>
      <c r="AQ52" s="2"/>
    </row>
    <row r="53" spans="1:43">
      <c r="A53" s="55"/>
      <c r="B53" s="66"/>
      <c r="C53" s="57" t="str">
        <f t="shared" si="1"/>
        <v/>
      </c>
      <c r="D53" s="2" t="s">
        <v>3059</v>
      </c>
      <c r="E53" s="2" t="s">
        <v>3060</v>
      </c>
      <c r="F53" s="2"/>
      <c r="G53" s="2"/>
      <c r="H53" s="2"/>
      <c r="I53" s="2"/>
      <c r="J53" s="2"/>
      <c r="K53" s="2"/>
      <c r="L53" s="2"/>
      <c r="M53" s="2"/>
      <c r="N53" s="2"/>
      <c r="O53" s="2"/>
      <c r="P53" s="350"/>
      <c r="Q53" s="2"/>
      <c r="R53" s="314"/>
      <c r="S53" s="353" t="s">
        <v>3061</v>
      </c>
      <c r="T53" s="2"/>
      <c r="U53" s="2"/>
      <c r="V53" s="2"/>
      <c r="W53" s="2"/>
      <c r="X53" s="2"/>
      <c r="Y53" s="2"/>
      <c r="Z53" s="2"/>
      <c r="AA53" s="2"/>
      <c r="AB53" s="2"/>
      <c r="AC53" s="2"/>
      <c r="AD53" s="2"/>
      <c r="AE53" s="2"/>
      <c r="AF53" s="2"/>
      <c r="AG53" s="2"/>
      <c r="AH53" s="2"/>
      <c r="AI53" s="2"/>
      <c r="AJ53" s="2"/>
      <c r="AK53" s="2"/>
      <c r="AL53" s="2"/>
      <c r="AM53" s="2"/>
      <c r="AN53" s="2"/>
      <c r="AO53" s="2"/>
      <c r="AP53" s="2"/>
      <c r="AQ53" s="2"/>
    </row>
    <row r="54" spans="1:43">
      <c r="A54" s="56" t="str">
        <f>IFERROR(IF(Aircraft!AO36=TRUE,"X",""),"")</f>
        <v/>
      </c>
      <c r="B54" s="66"/>
      <c r="C54" s="57" t="str">
        <f t="shared" si="1"/>
        <v/>
      </c>
      <c r="D54" s="2" t="s">
        <v>3062</v>
      </c>
      <c r="E54" s="2" t="s">
        <v>3063</v>
      </c>
      <c r="F54" s="2"/>
      <c r="G54" s="2"/>
      <c r="H54" s="2"/>
      <c r="I54" s="2"/>
      <c r="J54" s="2"/>
      <c r="K54" s="2"/>
      <c r="L54" s="2"/>
      <c r="M54" s="2"/>
      <c r="N54" s="2"/>
      <c r="O54" s="2"/>
      <c r="P54" s="350"/>
      <c r="Q54" s="2"/>
      <c r="R54" s="314"/>
      <c r="S54" s="353" t="s">
        <v>3064</v>
      </c>
      <c r="T54" s="2"/>
      <c r="U54" s="2"/>
      <c r="V54" s="2"/>
      <c r="W54" s="2"/>
      <c r="X54" s="2"/>
      <c r="Y54" s="2"/>
      <c r="Z54" s="2"/>
      <c r="AA54" s="2"/>
      <c r="AB54" s="2"/>
      <c r="AC54" s="2"/>
      <c r="AD54" s="2"/>
      <c r="AE54" s="2"/>
      <c r="AF54" s="2"/>
      <c r="AG54" s="2"/>
      <c r="AH54" s="2"/>
      <c r="AI54" s="2"/>
      <c r="AJ54" s="2"/>
      <c r="AK54" s="2"/>
      <c r="AL54" s="2"/>
      <c r="AM54" s="2"/>
      <c r="AN54" s="2"/>
      <c r="AO54" s="2"/>
      <c r="AP54" s="2"/>
      <c r="AQ54" s="2"/>
    </row>
    <row r="55" spans="1:43">
      <c r="A55" s="55" t="s">
        <v>2907</v>
      </c>
      <c r="B55" s="66"/>
      <c r="C55" s="57" t="str">
        <f t="shared" si="1"/>
        <v xml:space="preserve">AVA 01 02-Runway or Aircraft Foaming - Supplemental Payments, </v>
      </c>
      <c r="D55" s="2" t="s">
        <v>3065</v>
      </c>
      <c r="E55" s="2" t="s">
        <v>3066</v>
      </c>
      <c r="F55" s="2"/>
      <c r="G55" s="2"/>
      <c r="H55" s="2"/>
      <c r="I55" s="2"/>
      <c r="J55" s="2"/>
      <c r="K55" s="2"/>
      <c r="L55" s="2"/>
      <c r="M55" s="2"/>
      <c r="N55" s="69" t="str">
        <f>IF($I$14=1,"","X")</f>
        <v/>
      </c>
      <c r="O55" s="2"/>
      <c r="P55" s="350"/>
      <c r="Q55" s="2"/>
      <c r="R55" s="2"/>
      <c r="S55" s="353" t="s">
        <v>3067</v>
      </c>
      <c r="T55" s="2"/>
      <c r="U55" s="2"/>
      <c r="V55" s="2"/>
      <c r="W55" s="2"/>
      <c r="X55" s="2"/>
      <c r="Y55" s="2"/>
      <c r="Z55" s="2"/>
      <c r="AA55" s="2"/>
      <c r="AB55" s="2"/>
      <c r="AC55" s="2"/>
      <c r="AD55" s="2"/>
      <c r="AE55" s="2"/>
      <c r="AF55" s="2"/>
      <c r="AG55" s="2"/>
      <c r="AH55" s="2"/>
      <c r="AI55" s="2"/>
      <c r="AJ55" s="2"/>
      <c r="AK55" s="2"/>
      <c r="AL55" s="2"/>
      <c r="AM55" s="2"/>
      <c r="AN55" s="2"/>
      <c r="AO55" s="2"/>
      <c r="AP55" s="2"/>
      <c r="AQ55" s="2"/>
    </row>
    <row r="56" spans="1:43">
      <c r="A56" s="55" t="s">
        <v>2907</v>
      </c>
      <c r="B56" s="66"/>
      <c r="C56" s="57" t="str">
        <f t="shared" si="1"/>
        <v xml:space="preserve">AVA 01 03-Search &amp; Rescue Wreck Removal Expense Liability Ins. Supplemental Payments, </v>
      </c>
      <c r="D56" s="2" t="s">
        <v>3068</v>
      </c>
      <c r="E56" s="2" t="s">
        <v>3069</v>
      </c>
      <c r="F56" s="2"/>
      <c r="G56" s="2"/>
      <c r="H56" s="2"/>
      <c r="I56" s="2"/>
      <c r="J56" s="2"/>
      <c r="K56" s="2"/>
      <c r="L56" s="2"/>
      <c r="M56" s="2"/>
      <c r="N56" s="69" t="str">
        <f>IF($I$14=1,"","X")</f>
        <v/>
      </c>
      <c r="O56" s="2"/>
      <c r="P56" s="350"/>
      <c r="Q56" s="2"/>
      <c r="R56" s="314"/>
      <c r="S56" s="353" t="s">
        <v>3070</v>
      </c>
      <c r="T56" s="2"/>
      <c r="U56" s="2"/>
      <c r="V56" s="2"/>
      <c r="W56" s="2"/>
      <c r="X56" s="392"/>
      <c r="Y56" s="353" t="s">
        <v>3071</v>
      </c>
      <c r="Z56" s="2"/>
      <c r="AA56" s="2"/>
      <c r="AB56" s="2"/>
      <c r="AC56" s="2"/>
      <c r="AD56" s="2"/>
      <c r="AE56" s="2"/>
      <c r="AF56" s="2"/>
      <c r="AG56" s="2"/>
      <c r="AH56" s="2"/>
      <c r="AI56" s="2"/>
      <c r="AJ56" s="2"/>
      <c r="AK56" s="2"/>
      <c r="AL56" s="2"/>
      <c r="AM56" s="2"/>
      <c r="AN56" s="2"/>
      <c r="AO56" s="2"/>
      <c r="AP56" s="2"/>
      <c r="AQ56" s="2"/>
    </row>
    <row r="57" spans="1:43">
      <c r="A57" s="55"/>
      <c r="B57" s="66"/>
      <c r="C57" s="57" t="str">
        <f t="shared" si="1"/>
        <v/>
      </c>
      <c r="D57" s="2" t="s">
        <v>3072</v>
      </c>
      <c r="E57" s="2" t="s">
        <v>3073</v>
      </c>
      <c r="F57" s="2"/>
      <c r="G57" s="2"/>
      <c r="H57" s="2"/>
      <c r="I57" s="2"/>
      <c r="J57" s="2"/>
      <c r="K57" s="2"/>
      <c r="L57" s="2"/>
      <c r="M57" s="2"/>
      <c r="N57" s="69"/>
      <c r="O57" s="2"/>
      <c r="P57" s="350"/>
      <c r="Q57" s="2"/>
      <c r="R57" s="354" t="s">
        <v>3074</v>
      </c>
      <c r="S57" s="960"/>
      <c r="T57" s="961"/>
      <c r="U57" s="353" t="s">
        <v>3075</v>
      </c>
      <c r="V57" s="2"/>
      <c r="W57" s="2"/>
      <c r="X57" s="2"/>
      <c r="Y57" s="2"/>
      <c r="Z57" s="2"/>
      <c r="AA57" s="2"/>
      <c r="AB57" s="2"/>
      <c r="AC57" s="2"/>
      <c r="AD57" s="2"/>
      <c r="AE57" s="2"/>
      <c r="AF57" s="2"/>
      <c r="AG57" s="2"/>
      <c r="AH57" s="2"/>
      <c r="AI57" s="2"/>
      <c r="AJ57" s="2"/>
      <c r="AK57" s="2"/>
      <c r="AL57" s="2"/>
      <c r="AM57" s="2"/>
      <c r="AN57" s="2"/>
      <c r="AO57" s="2"/>
      <c r="AP57" s="2"/>
      <c r="AQ57" s="2"/>
    </row>
    <row r="58" spans="1:43" ht="15" thickBot="1">
      <c r="A58" s="55"/>
      <c r="B58" s="66"/>
      <c r="C58" s="57" t="str">
        <f t="shared" si="1"/>
        <v/>
      </c>
      <c r="D58" s="2" t="s">
        <v>3076</v>
      </c>
      <c r="E58" s="2" t="s">
        <v>3077</v>
      </c>
      <c r="F58" s="2"/>
      <c r="G58" s="2"/>
      <c r="H58" s="2"/>
      <c r="I58" s="2"/>
      <c r="J58" s="2"/>
      <c r="K58" s="2"/>
      <c r="L58" s="2"/>
      <c r="M58" s="2"/>
      <c r="N58" s="69"/>
      <c r="O58" s="2"/>
      <c r="P58" s="350"/>
      <c r="Q58" s="2"/>
      <c r="R58" s="345"/>
      <c r="S58" s="345"/>
      <c r="T58" s="345"/>
      <c r="U58" s="345"/>
      <c r="V58" s="345"/>
      <c r="W58" s="345"/>
      <c r="X58" s="345"/>
      <c r="Y58" s="345"/>
      <c r="Z58" s="345"/>
      <c r="AA58" s="345"/>
      <c r="AB58" s="345"/>
      <c r="AC58" s="345"/>
      <c r="AD58" s="345"/>
      <c r="AE58" s="345"/>
      <c r="AF58" s="345"/>
      <c r="AG58" s="345"/>
      <c r="AH58" s="345"/>
      <c r="AI58" s="345"/>
      <c r="AJ58" s="345"/>
      <c r="AK58" s="345"/>
      <c r="AL58" s="345"/>
      <c r="AM58" s="345"/>
      <c r="AN58" s="345"/>
      <c r="AO58" s="345"/>
      <c r="AP58" s="345"/>
      <c r="AQ58" s="2"/>
    </row>
    <row r="59" spans="1:43" ht="15.75" thickTop="1">
      <c r="A59" s="55" t="s">
        <v>2907</v>
      </c>
      <c r="B59" s="66"/>
      <c r="C59" s="57" t="str">
        <f t="shared" si="1"/>
        <v xml:space="preserve">AVA 01 06-Student and Renter Pilot Liability, </v>
      </c>
      <c r="D59" s="2" t="s">
        <v>3078</v>
      </c>
      <c r="E59" s="2" t="s">
        <v>3079</v>
      </c>
      <c r="F59" s="2"/>
      <c r="G59" s="2"/>
      <c r="H59" s="2"/>
      <c r="I59" s="2"/>
      <c r="J59" s="2"/>
      <c r="K59" s="2"/>
      <c r="L59" s="2"/>
      <c r="M59" s="2"/>
      <c r="N59" s="69" t="str">
        <f>IF($I$14=1,"","X")</f>
        <v/>
      </c>
      <c r="O59" s="2"/>
      <c r="P59" s="350"/>
      <c r="Q59" s="2"/>
      <c r="R59" s="2"/>
      <c r="S59" s="342" t="s">
        <v>3080</v>
      </c>
      <c r="T59" s="2"/>
      <c r="U59" s="2"/>
      <c r="V59" s="2"/>
      <c r="W59" s="355"/>
      <c r="X59" s="2"/>
      <c r="Y59" s="2"/>
      <c r="Z59" s="2"/>
      <c r="AA59" s="2"/>
      <c r="AB59" s="2"/>
      <c r="AC59" s="2"/>
      <c r="AD59" s="2"/>
      <c r="AE59" s="2"/>
      <c r="AF59" s="2"/>
      <c r="AG59" s="2"/>
      <c r="AH59" s="2"/>
      <c r="AI59" s="2"/>
      <c r="AJ59" s="2"/>
      <c r="AK59" s="2"/>
      <c r="AL59" s="2"/>
      <c r="AM59" s="2"/>
      <c r="AN59" s="2"/>
      <c r="AO59" s="2"/>
      <c r="AP59" s="2"/>
      <c r="AQ59" s="2"/>
    </row>
    <row r="60" spans="1:43">
      <c r="A60" s="55"/>
      <c r="B60" s="66"/>
      <c r="C60" s="57" t="str">
        <f t="shared" si="1"/>
        <v/>
      </c>
      <c r="D60" s="2" t="s">
        <v>3081</v>
      </c>
      <c r="E60" s="2" t="s">
        <v>3082</v>
      </c>
      <c r="F60" s="2"/>
      <c r="G60" s="2"/>
      <c r="H60" s="2"/>
      <c r="I60" s="2"/>
      <c r="J60" s="2"/>
      <c r="K60" s="2"/>
      <c r="L60" s="2"/>
      <c r="M60" s="2"/>
      <c r="N60" s="2"/>
      <c r="O60" s="2"/>
      <c r="P60" s="350"/>
      <c r="Q60" s="2"/>
      <c r="R60" s="2"/>
      <c r="S60" s="2" t="s">
        <v>3083</v>
      </c>
      <c r="T60" s="2"/>
      <c r="U60" s="2"/>
      <c r="V60" s="2"/>
      <c r="W60" s="5"/>
      <c r="X60" s="2" t="s">
        <v>3084</v>
      </c>
      <c r="Y60" s="2"/>
      <c r="Z60" s="2"/>
      <c r="AA60" s="2"/>
      <c r="AB60" s="2"/>
      <c r="AC60" s="2"/>
      <c r="AD60" s="2"/>
      <c r="AE60" s="2"/>
      <c r="AF60" s="2"/>
      <c r="AG60" s="2"/>
      <c r="AH60" s="2"/>
      <c r="AI60" s="2"/>
      <c r="AJ60" s="2"/>
      <c r="AK60" s="2"/>
      <c r="AL60" s="2"/>
      <c r="AM60" s="2"/>
      <c r="AN60" s="2"/>
      <c r="AO60" s="2"/>
      <c r="AP60" s="2"/>
      <c r="AQ60" s="2"/>
    </row>
    <row r="61" spans="1:43">
      <c r="A61" s="55"/>
      <c r="B61" s="66"/>
      <c r="C61" s="57" t="str">
        <f t="shared" si="1"/>
        <v/>
      </c>
      <c r="D61" s="2" t="s">
        <v>3085</v>
      </c>
      <c r="E61" s="2" t="s">
        <v>3086</v>
      </c>
      <c r="F61" s="2"/>
      <c r="G61" s="2"/>
      <c r="H61" s="2"/>
      <c r="I61" s="2"/>
      <c r="J61" s="2"/>
      <c r="K61" s="2"/>
      <c r="L61" s="2"/>
      <c r="M61" s="2"/>
      <c r="N61" s="2"/>
      <c r="O61" s="2"/>
      <c r="P61" s="350"/>
      <c r="Q61" s="2"/>
      <c r="R61" s="2"/>
      <c r="S61" s="354" t="s">
        <v>3087</v>
      </c>
      <c r="T61" s="392"/>
      <c r="U61" s="353" t="s">
        <v>3088</v>
      </c>
      <c r="V61" s="2"/>
      <c r="W61" s="5"/>
      <c r="X61" s="353" t="s">
        <v>3089</v>
      </c>
      <c r="Y61" s="2"/>
      <c r="Z61" s="960"/>
      <c r="AA61" s="961"/>
      <c r="AB61" s="353" t="s">
        <v>3090</v>
      </c>
      <c r="AC61" s="353"/>
      <c r="AD61" s="2"/>
      <c r="AE61" s="2"/>
      <c r="AF61" s="2"/>
      <c r="AG61" s="2"/>
      <c r="AH61" s="2"/>
      <c r="AI61" s="2"/>
      <c r="AJ61" s="2"/>
      <c r="AK61" s="2"/>
      <c r="AL61" s="2"/>
      <c r="AM61" s="2"/>
      <c r="AN61" s="2"/>
      <c r="AO61" s="2"/>
      <c r="AP61" s="2"/>
      <c r="AQ61" s="2"/>
    </row>
    <row r="62" spans="1:43">
      <c r="A62" s="55" t="s">
        <v>2907</v>
      </c>
      <c r="B62" s="66"/>
      <c r="C62" s="57" t="str">
        <f t="shared" si="1"/>
        <v xml:space="preserve">AVA 01 09-Unmanned Aerial Vehicle Endorsement, </v>
      </c>
      <c r="D62" s="2" t="s">
        <v>3091</v>
      </c>
      <c r="E62" s="2" t="s">
        <v>3092</v>
      </c>
      <c r="F62" s="2"/>
      <c r="G62" s="2"/>
      <c r="H62" s="2"/>
      <c r="I62" s="2"/>
      <c r="J62" s="2"/>
      <c r="K62" s="2"/>
      <c r="L62" s="2"/>
      <c r="M62" s="2"/>
      <c r="N62" s="2"/>
      <c r="O62" s="2"/>
      <c r="P62" s="350"/>
      <c r="Q62" s="2"/>
      <c r="R62" s="2"/>
      <c r="S62" s="354" t="s">
        <v>3093</v>
      </c>
      <c r="T62" s="392"/>
      <c r="U62" s="353" t="s">
        <v>3094</v>
      </c>
      <c r="V62" s="2"/>
      <c r="W62" s="5"/>
      <c r="X62" s="2"/>
      <c r="Y62" s="2"/>
      <c r="Z62" s="2"/>
      <c r="AA62" s="2"/>
      <c r="AB62" s="2"/>
      <c r="AC62" s="2"/>
      <c r="AD62" s="2"/>
      <c r="AE62" s="2"/>
      <c r="AF62" s="2"/>
      <c r="AG62" s="2"/>
      <c r="AH62" s="2"/>
      <c r="AI62" s="2"/>
      <c r="AJ62" s="2"/>
      <c r="AK62" s="2"/>
      <c r="AL62" s="2"/>
      <c r="AM62" s="2"/>
      <c r="AN62" s="2"/>
      <c r="AO62" s="2"/>
      <c r="AP62" s="2"/>
      <c r="AQ62" s="2"/>
    </row>
    <row r="63" spans="1:43" ht="15" thickBot="1">
      <c r="A63" s="55"/>
      <c r="B63" s="66"/>
      <c r="C63" s="57" t="str">
        <f t="shared" si="1"/>
        <v/>
      </c>
      <c r="D63" s="2" t="s">
        <v>3095</v>
      </c>
      <c r="E63" s="2" t="s">
        <v>3096</v>
      </c>
      <c r="F63" s="2"/>
      <c r="G63" s="2"/>
      <c r="H63" s="2"/>
      <c r="I63" s="2"/>
      <c r="J63" s="2"/>
      <c r="K63" s="2"/>
      <c r="L63" s="2"/>
      <c r="M63" s="2"/>
      <c r="N63" s="2"/>
      <c r="O63" s="2"/>
      <c r="P63" s="350"/>
      <c r="Q63" s="2"/>
      <c r="R63" s="345"/>
      <c r="S63" s="345"/>
      <c r="T63" s="345"/>
      <c r="U63" s="345"/>
      <c r="V63" s="345"/>
      <c r="W63" s="345"/>
      <c r="X63" s="345"/>
      <c r="Y63" s="345"/>
      <c r="Z63" s="345"/>
      <c r="AA63" s="345"/>
      <c r="AB63" s="345"/>
      <c r="AC63" s="345"/>
      <c r="AD63" s="345"/>
      <c r="AE63" s="345"/>
      <c r="AF63" s="345"/>
      <c r="AG63" s="345"/>
      <c r="AH63" s="345"/>
      <c r="AI63" s="345"/>
      <c r="AJ63" s="345"/>
      <c r="AK63" s="345"/>
      <c r="AL63" s="345"/>
      <c r="AM63" s="345"/>
      <c r="AN63" s="345"/>
      <c r="AO63" s="345"/>
      <c r="AP63" s="345"/>
      <c r="AQ63" s="2"/>
    </row>
    <row r="64" spans="1:43" ht="15.75" thickTop="1">
      <c r="A64" s="55" t="s">
        <v>2907</v>
      </c>
      <c r="B64" s="2"/>
      <c r="C64" s="57" t="str">
        <f t="shared" si="1"/>
        <v xml:space="preserve">AVA 01 11-Work in Progress, </v>
      </c>
      <c r="D64" s="2" t="s">
        <v>3097</v>
      </c>
      <c r="E64" s="2" t="s">
        <v>3098</v>
      </c>
      <c r="F64" s="2"/>
      <c r="G64" s="2"/>
      <c r="H64" s="2"/>
      <c r="I64" s="2"/>
      <c r="J64" s="2"/>
      <c r="K64" s="2"/>
      <c r="L64" s="2"/>
      <c r="M64" s="2"/>
      <c r="N64" s="2"/>
      <c r="O64" s="2"/>
      <c r="P64" s="350"/>
      <c r="Q64" s="2"/>
      <c r="R64" s="2"/>
      <c r="S64" s="342" t="s">
        <v>3099</v>
      </c>
      <c r="T64" s="2"/>
      <c r="U64" s="2"/>
      <c r="V64" s="2"/>
      <c r="W64" s="355"/>
      <c r="X64" s="2"/>
      <c r="Y64" s="2"/>
      <c r="Z64" s="2"/>
      <c r="AA64" s="2"/>
      <c r="AB64" s="2"/>
      <c r="AC64" s="2"/>
      <c r="AD64" s="2"/>
      <c r="AE64" s="2"/>
      <c r="AF64" s="2"/>
      <c r="AG64" s="2"/>
      <c r="AH64" s="2"/>
      <c r="AI64" s="2"/>
      <c r="AJ64" s="2"/>
      <c r="AK64" s="2"/>
      <c r="AL64" s="2"/>
      <c r="AM64" s="2"/>
      <c r="AN64" s="2"/>
      <c r="AO64" s="2"/>
      <c r="AP64" s="2"/>
      <c r="AQ64" s="2"/>
    </row>
    <row r="65" spans="1:43">
      <c r="A65" s="56" t="s">
        <v>3036</v>
      </c>
      <c r="B65" s="42">
        <f ca="1">SUM(B1:B6,B8,B10:B13,B15:B21,B23:B25,B31,B33,B35:B39,B42:B43,B45:B49,B52:B63)</f>
        <v>180</v>
      </c>
      <c r="C65" s="57" t="str">
        <f t="shared" si="1"/>
        <v xml:space="preserve">AV 00 09-Extended Coverage-Certified Acts of Terrorism Coverage, </v>
      </c>
      <c r="D65" s="2" t="s">
        <v>3100</v>
      </c>
      <c r="E65" s="2" t="s">
        <v>3101</v>
      </c>
      <c r="F65" s="2"/>
      <c r="G65" s="2"/>
      <c r="H65" s="2"/>
      <c r="I65" s="2"/>
      <c r="J65" s="2"/>
      <c r="K65" s="2"/>
      <c r="L65" s="2"/>
      <c r="M65" s="2"/>
      <c r="N65" s="2"/>
      <c r="O65" s="2"/>
      <c r="P65" s="350"/>
      <c r="Q65" s="2"/>
      <c r="R65" s="2"/>
      <c r="S65" s="2" t="s">
        <v>3083</v>
      </c>
      <c r="T65" s="2"/>
      <c r="U65" s="2"/>
      <c r="V65" s="5"/>
      <c r="W65" s="2"/>
      <c r="X65" s="2" t="s">
        <v>3084</v>
      </c>
      <c r="Y65" s="2"/>
      <c r="Z65" s="2"/>
      <c r="AA65" s="2"/>
      <c r="AB65" s="2"/>
      <c r="AC65" s="2"/>
      <c r="AD65" s="2"/>
      <c r="AE65" s="2"/>
      <c r="AF65" s="2"/>
      <c r="AG65" s="2"/>
      <c r="AH65" s="2"/>
      <c r="AI65" s="2"/>
      <c r="AJ65" s="2"/>
      <c r="AK65" s="2"/>
      <c r="AL65" s="2"/>
      <c r="AM65" s="2"/>
      <c r="AN65" s="2"/>
      <c r="AO65" s="2"/>
      <c r="AP65" s="2"/>
      <c r="AQ65" s="2"/>
    </row>
    <row r="66" spans="1:43">
      <c r="A66" s="2"/>
      <c r="B66" s="2"/>
      <c r="C66" s="57"/>
      <c r="D66" s="2"/>
      <c r="E66" s="2"/>
      <c r="F66" s="2"/>
      <c r="G66" s="2"/>
      <c r="H66" s="2"/>
      <c r="I66" s="2"/>
      <c r="J66" s="2"/>
      <c r="K66" s="2"/>
      <c r="L66" s="2"/>
      <c r="M66" s="2"/>
      <c r="N66" s="2"/>
      <c r="O66" s="2"/>
      <c r="P66" s="350"/>
      <c r="Q66" s="2"/>
      <c r="R66" s="2"/>
      <c r="S66" s="354" t="s">
        <v>3074</v>
      </c>
      <c r="T66" s="392" t="s">
        <v>4541</v>
      </c>
      <c r="U66" s="353" t="s">
        <v>3094</v>
      </c>
      <c r="V66" s="5"/>
      <c r="W66" s="2"/>
      <c r="X66" s="353" t="s">
        <v>3102</v>
      </c>
      <c r="Y66" s="2"/>
      <c r="Z66" s="2"/>
      <c r="AA66" s="964" t="s">
        <v>4542</v>
      </c>
      <c r="AB66" s="964"/>
      <c r="AC66" s="353" t="s">
        <v>3103</v>
      </c>
      <c r="AD66" s="2"/>
      <c r="AE66" s="2"/>
      <c r="AF66" s="2"/>
      <c r="AG66" s="2"/>
      <c r="AH66" s="2"/>
      <c r="AI66" s="2"/>
      <c r="AJ66" s="2"/>
      <c r="AK66" s="2"/>
      <c r="AL66" s="2"/>
      <c r="AM66" s="2"/>
      <c r="AN66" s="2"/>
      <c r="AO66" s="2"/>
      <c r="AP66" s="2"/>
      <c r="AQ66" s="2"/>
    </row>
    <row r="67" spans="1:43">
      <c r="A67" s="2"/>
      <c r="B67" s="42"/>
      <c r="C67" s="57"/>
      <c r="D67" s="2"/>
      <c r="E67" s="2"/>
      <c r="F67" s="2"/>
      <c r="G67" s="2"/>
      <c r="H67" s="2"/>
      <c r="I67" s="2"/>
      <c r="J67" s="2"/>
      <c r="K67" s="2"/>
      <c r="L67" s="2"/>
      <c r="M67" s="2"/>
      <c r="N67" s="2"/>
      <c r="O67" s="2"/>
      <c r="P67" s="350"/>
      <c r="Q67" s="2"/>
      <c r="R67" s="2"/>
      <c r="S67" s="3"/>
      <c r="T67" s="3"/>
      <c r="U67" s="353"/>
      <c r="V67" s="5"/>
      <c r="W67" s="366" t="s">
        <v>3074</v>
      </c>
      <c r="X67" s="389" t="s">
        <v>4543</v>
      </c>
      <c r="Y67" s="353" t="s">
        <v>3094</v>
      </c>
      <c r="Z67" s="2"/>
      <c r="AA67" s="353"/>
      <c r="AB67" s="2"/>
      <c r="AC67" s="2"/>
      <c r="AD67" s="2"/>
      <c r="AE67" s="2"/>
      <c r="AF67" s="2"/>
      <c r="AG67" s="2"/>
      <c r="AH67" s="2"/>
      <c r="AI67" s="2"/>
      <c r="AJ67" s="2"/>
      <c r="AK67" s="2"/>
      <c r="AL67" s="2"/>
      <c r="AM67" s="2"/>
      <c r="AN67" s="2"/>
      <c r="AO67" s="2"/>
      <c r="AP67" s="2"/>
      <c r="AQ67" s="2"/>
    </row>
    <row r="68" spans="1:43" ht="15" thickBot="1">
      <c r="A68" s="42"/>
      <c r="B68" s="42"/>
      <c r="C68" s="57"/>
      <c r="D68" s="2"/>
      <c r="E68" s="2"/>
      <c r="F68" s="2"/>
      <c r="G68" s="2"/>
      <c r="H68" s="2"/>
      <c r="I68" s="2"/>
      <c r="J68" s="2"/>
      <c r="K68" s="2"/>
      <c r="L68" s="2"/>
      <c r="M68" s="2"/>
      <c r="N68" s="2"/>
      <c r="O68" s="2"/>
      <c r="P68" s="350"/>
      <c r="Q68" s="2"/>
      <c r="R68" s="345"/>
      <c r="S68" s="356"/>
      <c r="T68" s="356"/>
      <c r="U68" s="357"/>
      <c r="V68" s="345"/>
      <c r="W68" s="345"/>
      <c r="X68" s="345"/>
      <c r="Y68" s="345"/>
      <c r="Z68" s="345"/>
      <c r="AA68" s="345"/>
      <c r="AB68" s="345"/>
      <c r="AC68" s="345"/>
      <c r="AD68" s="345"/>
      <c r="AE68" s="345"/>
      <c r="AF68" s="345"/>
      <c r="AG68" s="345"/>
      <c r="AH68" s="345"/>
      <c r="AI68" s="345"/>
      <c r="AJ68" s="345"/>
      <c r="AK68" s="345"/>
      <c r="AL68" s="345"/>
      <c r="AM68" s="345"/>
      <c r="AN68" s="345"/>
      <c r="AO68" s="345"/>
      <c r="AP68" s="345"/>
      <c r="AQ68" s="2"/>
    </row>
    <row r="69" spans="1:43" ht="15.75" thickTop="1">
      <c r="A69" s="42"/>
      <c r="B69" s="42"/>
      <c r="C69" s="57"/>
      <c r="D69" s="2"/>
      <c r="E69" s="2"/>
      <c r="F69" s="2"/>
      <c r="G69" s="2"/>
      <c r="H69" s="2"/>
      <c r="I69" s="2"/>
      <c r="J69" s="2"/>
      <c r="K69" s="2"/>
      <c r="L69" s="2"/>
      <c r="M69" s="2"/>
      <c r="N69" s="2"/>
      <c r="O69" s="2"/>
      <c r="P69" s="350"/>
      <c r="Q69" s="2"/>
      <c r="R69" s="2"/>
      <c r="S69" s="342" t="s">
        <v>3104</v>
      </c>
      <c r="T69" s="3"/>
      <c r="U69" s="3" t="s">
        <v>3105</v>
      </c>
      <c r="V69" s="391"/>
      <c r="W69" s="2"/>
      <c r="X69" s="2"/>
      <c r="Y69" s="2"/>
      <c r="Z69" s="2"/>
      <c r="AA69" s="2"/>
      <c r="AB69" s="2"/>
      <c r="AC69" s="2"/>
      <c r="AD69" s="2"/>
      <c r="AE69" s="2"/>
      <c r="AF69" s="2"/>
      <c r="AG69" s="2"/>
      <c r="AH69" s="2"/>
      <c r="AI69" s="2"/>
      <c r="AJ69" s="2"/>
      <c r="AK69" s="2"/>
      <c r="AL69" s="2"/>
      <c r="AM69" s="2"/>
      <c r="AN69" s="2"/>
      <c r="AO69" s="2"/>
      <c r="AP69" s="2"/>
      <c r="AQ69" s="2"/>
    </row>
    <row r="70" spans="1:43">
      <c r="A70" s="42"/>
      <c r="B70" s="42"/>
      <c r="C70" s="57"/>
      <c r="D70" s="2"/>
      <c r="E70" s="2"/>
      <c r="F70" s="2"/>
      <c r="G70" s="2"/>
      <c r="H70" s="2"/>
      <c r="I70" s="2"/>
      <c r="J70" s="2"/>
      <c r="K70" s="2"/>
      <c r="L70" s="2"/>
      <c r="M70" s="2"/>
      <c r="N70" s="2"/>
      <c r="O70" s="2"/>
      <c r="P70" s="350"/>
      <c r="Q70" s="2"/>
      <c r="R70" s="2"/>
      <c r="S70" s="358" t="s">
        <v>3106</v>
      </c>
      <c r="T70" s="3"/>
      <c r="U70" s="353"/>
      <c r="V70" s="2"/>
      <c r="W70" s="2"/>
      <c r="X70" s="2"/>
      <c r="Y70" s="2"/>
      <c r="Z70" s="2"/>
      <c r="AA70" s="359"/>
      <c r="AB70" s="360" t="s">
        <v>2951</v>
      </c>
      <c r="AC70" s="353" t="s">
        <v>3107</v>
      </c>
      <c r="AD70" s="353"/>
      <c r="AE70" s="2"/>
      <c r="AF70" s="2"/>
      <c r="AG70" s="2"/>
      <c r="AH70" s="2"/>
      <c r="AI70" s="2"/>
      <c r="AJ70" s="2"/>
      <c r="AK70" s="2"/>
      <c r="AL70" s="2"/>
      <c r="AM70" s="2"/>
      <c r="AN70" s="2"/>
      <c r="AO70" s="2"/>
      <c r="AP70" s="2"/>
      <c r="AQ70" s="2"/>
    </row>
    <row r="71" spans="1:43">
      <c r="A71" s="42"/>
      <c r="B71" s="42"/>
      <c r="C71" s="57"/>
      <c r="D71" s="2"/>
      <c r="E71" s="2"/>
      <c r="F71" s="2"/>
      <c r="G71" s="2"/>
      <c r="H71" s="2"/>
      <c r="I71" s="2"/>
      <c r="J71" s="2"/>
      <c r="K71" s="2"/>
      <c r="L71" s="2"/>
      <c r="M71" s="2"/>
      <c r="N71" s="2"/>
      <c r="O71" s="2"/>
      <c r="P71" s="350"/>
      <c r="Q71" s="2"/>
      <c r="R71" s="2"/>
      <c r="S71" s="354" t="s">
        <v>3108</v>
      </c>
      <c r="T71" s="392"/>
      <c r="U71" s="353" t="s">
        <v>3109</v>
      </c>
      <c r="V71" s="2"/>
      <c r="W71" s="2"/>
      <c r="X71" s="2"/>
      <c r="Y71" s="2"/>
      <c r="Z71" s="2"/>
      <c r="AA71" s="5"/>
      <c r="AB71" s="2"/>
      <c r="AC71" s="353" t="s">
        <v>3110</v>
      </c>
      <c r="AD71" s="2"/>
      <c r="AE71" s="2"/>
      <c r="AF71" s="2"/>
      <c r="AG71" s="2"/>
      <c r="AH71" s="2"/>
      <c r="AI71" s="2"/>
      <c r="AJ71" s="2"/>
      <c r="AK71" s="2"/>
      <c r="AL71" s="2"/>
      <c r="AM71" s="2"/>
      <c r="AN71" s="2"/>
      <c r="AO71" s="2"/>
      <c r="AP71" s="2"/>
      <c r="AQ71" s="2"/>
    </row>
    <row r="72" spans="1:43">
      <c r="A72" s="42"/>
      <c r="B72" s="42"/>
      <c r="C72" s="57"/>
      <c r="D72" s="2"/>
      <c r="E72" s="2"/>
      <c r="F72" s="2"/>
      <c r="G72" s="2"/>
      <c r="H72" s="2"/>
      <c r="I72" s="2"/>
      <c r="J72" s="2"/>
      <c r="K72" s="2"/>
      <c r="L72" s="2"/>
      <c r="M72" s="2"/>
      <c r="N72" s="2"/>
      <c r="O72" s="2"/>
      <c r="P72" s="350"/>
      <c r="Q72" s="2"/>
      <c r="R72" s="2"/>
      <c r="S72" s="354"/>
      <c r="T72" s="353" t="s">
        <v>3111</v>
      </c>
      <c r="U72" s="353"/>
      <c r="V72" s="2"/>
      <c r="W72" s="2"/>
      <c r="X72" s="2"/>
      <c r="Y72" s="2"/>
      <c r="Z72" s="2"/>
      <c r="AA72" s="5"/>
      <c r="AB72" s="2"/>
      <c r="AC72" s="2"/>
      <c r="AD72" s="2"/>
      <c r="AE72" s="2"/>
      <c r="AF72" s="2"/>
      <c r="AG72" s="2"/>
      <c r="AH72" s="2"/>
      <c r="AI72" s="2"/>
      <c r="AJ72" s="2"/>
      <c r="AK72" s="2"/>
      <c r="AL72" s="2"/>
      <c r="AM72" s="2"/>
      <c r="AN72" s="2"/>
      <c r="AO72" s="2"/>
      <c r="AP72" s="2"/>
      <c r="AQ72" s="2"/>
    </row>
    <row r="73" spans="1:43">
      <c r="A73" s="42"/>
      <c r="B73" s="42"/>
      <c r="C73" s="57"/>
      <c r="D73" s="2"/>
      <c r="E73" s="2"/>
      <c r="F73" s="2"/>
      <c r="G73" s="2"/>
      <c r="H73" s="2"/>
      <c r="I73" s="2"/>
      <c r="J73" s="2"/>
      <c r="K73" s="2"/>
      <c r="L73" s="2"/>
      <c r="M73" s="2"/>
      <c r="N73" s="2"/>
      <c r="O73" s="2"/>
      <c r="P73" s="350"/>
      <c r="Q73" s="2"/>
      <c r="R73" s="2"/>
      <c r="S73" s="354" t="s">
        <v>3112</v>
      </c>
      <c r="T73" s="392"/>
      <c r="U73" s="353" t="s">
        <v>3113</v>
      </c>
      <c r="V73" s="353"/>
      <c r="W73" s="2"/>
      <c r="X73" s="2"/>
      <c r="Y73" s="2"/>
      <c r="Z73" s="2"/>
      <c r="AA73" s="5"/>
      <c r="AB73" s="354" t="s">
        <v>3074</v>
      </c>
      <c r="AC73" s="392"/>
      <c r="AD73" s="353" t="s">
        <v>3114</v>
      </c>
      <c r="AE73" s="2"/>
      <c r="AF73" s="2"/>
      <c r="AG73" s="2"/>
      <c r="AH73" s="2"/>
      <c r="AI73" s="2"/>
      <c r="AJ73" s="2"/>
      <c r="AK73" s="2"/>
      <c r="AL73" s="2"/>
      <c r="AM73" s="2"/>
      <c r="AN73" s="2"/>
      <c r="AO73" s="2"/>
      <c r="AP73" s="2"/>
      <c r="AQ73" s="2"/>
    </row>
    <row r="74" spans="1:43">
      <c r="A74" s="42"/>
      <c r="B74" s="42"/>
      <c r="C74" s="57"/>
      <c r="D74" s="2"/>
      <c r="E74" s="2"/>
      <c r="F74" s="2"/>
      <c r="G74" s="2"/>
      <c r="H74" s="2"/>
      <c r="I74" s="2"/>
      <c r="J74" s="2"/>
      <c r="K74" s="2"/>
      <c r="L74" s="2"/>
      <c r="M74" s="2"/>
      <c r="N74" s="2"/>
      <c r="O74" s="2"/>
      <c r="P74" s="350"/>
      <c r="Q74" s="2"/>
      <c r="R74" s="2"/>
      <c r="S74" s="3"/>
      <c r="T74" s="361" t="s">
        <v>3115</v>
      </c>
      <c r="U74" s="353"/>
      <c r="V74" s="353"/>
      <c r="W74" s="2"/>
      <c r="X74" s="2"/>
      <c r="Y74" s="2"/>
      <c r="Z74" s="2"/>
      <c r="AA74" s="5"/>
      <c r="AB74" s="360"/>
      <c r="AC74" s="2"/>
      <c r="AD74" s="353"/>
      <c r="AE74" s="2"/>
      <c r="AF74" s="2"/>
      <c r="AG74" s="2"/>
      <c r="AH74" s="2"/>
      <c r="AI74" s="2"/>
      <c r="AJ74" s="2"/>
      <c r="AK74" s="2"/>
      <c r="AL74" s="2"/>
      <c r="AM74" s="2"/>
      <c r="AN74" s="2"/>
      <c r="AO74" s="2"/>
      <c r="AP74" s="2"/>
      <c r="AQ74" s="2"/>
    </row>
    <row r="75" spans="1:43">
      <c r="A75" s="42"/>
      <c r="B75" s="42"/>
      <c r="C75" s="57"/>
      <c r="D75" s="2"/>
      <c r="E75" s="2"/>
      <c r="F75" s="2"/>
      <c r="G75" s="2"/>
      <c r="H75" s="2"/>
      <c r="I75" s="2"/>
      <c r="J75" s="2"/>
      <c r="K75" s="2"/>
      <c r="L75" s="2"/>
      <c r="M75" s="2"/>
      <c r="N75" s="2"/>
      <c r="O75" s="2"/>
      <c r="P75" s="350"/>
      <c r="Q75" s="2"/>
      <c r="R75" s="2"/>
      <c r="S75" s="3"/>
      <c r="T75" s="354" t="s">
        <v>3074</v>
      </c>
      <c r="U75" s="392"/>
      <c r="V75" s="353" t="s">
        <v>3116</v>
      </c>
      <c r="W75" s="2"/>
      <c r="X75" s="2"/>
      <c r="Y75" s="2"/>
      <c r="Z75" s="2"/>
      <c r="AA75" s="5"/>
      <c r="AB75" s="2"/>
      <c r="AC75" s="2"/>
      <c r="AD75" s="2"/>
      <c r="AE75" s="2"/>
      <c r="AF75" s="2"/>
      <c r="AG75" s="2"/>
      <c r="AH75" s="2"/>
      <c r="AI75" s="2"/>
      <c r="AJ75" s="2"/>
      <c r="AK75" s="2"/>
      <c r="AL75" s="2"/>
      <c r="AM75" s="2"/>
      <c r="AN75" s="2"/>
      <c r="AO75" s="2"/>
      <c r="AP75" s="2"/>
      <c r="AQ75" s="2"/>
    </row>
    <row r="76" spans="1:43">
      <c r="A76" s="42"/>
      <c r="B76" s="42"/>
      <c r="C76" s="57"/>
      <c r="D76" s="2"/>
      <c r="E76" s="2"/>
      <c r="F76" s="2"/>
      <c r="G76" s="2"/>
      <c r="H76" s="2"/>
      <c r="I76" s="2"/>
      <c r="J76" s="2"/>
      <c r="K76" s="2"/>
      <c r="L76" s="2"/>
      <c r="M76" s="2"/>
      <c r="N76" s="2"/>
      <c r="O76" s="2"/>
      <c r="P76" s="350"/>
      <c r="Q76" s="2"/>
      <c r="R76" s="2"/>
      <c r="S76" s="3"/>
      <c r="T76" s="354" t="s">
        <v>3074</v>
      </c>
      <c r="U76" s="392"/>
      <c r="V76" s="353" t="s">
        <v>3117</v>
      </c>
      <c r="W76" s="2"/>
      <c r="X76" s="2"/>
      <c r="Y76" s="2"/>
      <c r="Z76" s="2"/>
      <c r="AA76" s="5"/>
      <c r="AB76" s="2"/>
      <c r="AC76" s="2"/>
      <c r="AD76" s="2"/>
      <c r="AE76" s="2"/>
      <c r="AF76" s="2"/>
      <c r="AG76" s="2"/>
      <c r="AH76" s="2"/>
      <c r="AI76" s="2"/>
      <c r="AJ76" s="2"/>
      <c r="AK76" s="2"/>
      <c r="AL76" s="2"/>
      <c r="AM76" s="2"/>
      <c r="AN76" s="2"/>
      <c r="AO76" s="2"/>
      <c r="AP76" s="2"/>
      <c r="AQ76" s="2"/>
    </row>
    <row r="77" spans="1:43" ht="15" thickBot="1">
      <c r="A77" s="42"/>
      <c r="B77" s="42"/>
      <c r="C77" s="57"/>
      <c r="D77" s="2"/>
      <c r="E77" s="2"/>
      <c r="F77" s="2"/>
      <c r="G77" s="2"/>
      <c r="H77" s="2"/>
      <c r="I77" s="2"/>
      <c r="J77" s="2"/>
      <c r="K77" s="2"/>
      <c r="L77" s="2"/>
      <c r="M77" s="2"/>
      <c r="N77" s="2"/>
      <c r="O77" s="2"/>
      <c r="P77" s="350"/>
      <c r="Q77" s="2"/>
      <c r="R77" s="345"/>
      <c r="S77" s="356"/>
      <c r="T77" s="356"/>
      <c r="U77" s="357"/>
      <c r="V77" s="345"/>
      <c r="W77" s="345"/>
      <c r="X77" s="345"/>
      <c r="Y77" s="345"/>
      <c r="Z77" s="345"/>
      <c r="AA77" s="345"/>
      <c r="AB77" s="345"/>
      <c r="AC77" s="345"/>
      <c r="AD77" s="345"/>
      <c r="AE77" s="345"/>
      <c r="AF77" s="345"/>
      <c r="AG77" s="345"/>
      <c r="AH77" s="345"/>
      <c r="AI77" s="345"/>
      <c r="AJ77" s="345"/>
      <c r="AK77" s="345"/>
      <c r="AL77" s="345"/>
      <c r="AM77" s="345"/>
      <c r="AN77" s="345"/>
      <c r="AO77" s="345"/>
      <c r="AP77" s="345"/>
      <c r="AQ77" s="2"/>
    </row>
    <row r="78" spans="1:43" ht="15.75" thickTop="1">
      <c r="A78" s="42"/>
      <c r="B78" s="42"/>
      <c r="C78" s="57"/>
      <c r="D78" s="2"/>
      <c r="E78" s="2"/>
      <c r="F78" s="2"/>
      <c r="G78" s="2"/>
      <c r="H78" s="2"/>
      <c r="I78" s="2"/>
      <c r="J78" s="2"/>
      <c r="K78" s="2"/>
      <c r="L78" s="2"/>
      <c r="M78" s="2"/>
      <c r="N78" s="2"/>
      <c r="O78" s="2"/>
      <c r="P78" s="350"/>
      <c r="Q78" s="2"/>
      <c r="R78" s="2"/>
      <c r="S78" s="342" t="s">
        <v>3118</v>
      </c>
      <c r="T78" s="3"/>
      <c r="U78" s="3" t="s">
        <v>3119</v>
      </c>
      <c r="V78" s="978"/>
      <c r="W78" s="978"/>
      <c r="X78" s="978"/>
      <c r="Y78" s="2"/>
      <c r="Z78" s="2"/>
      <c r="AA78" s="2"/>
      <c r="AB78" s="2"/>
      <c r="AC78" s="2"/>
      <c r="AD78" s="2"/>
      <c r="AE78" s="2"/>
      <c r="AF78" s="2"/>
      <c r="AG78" s="2"/>
      <c r="AH78" s="2"/>
      <c r="AI78" s="2"/>
      <c r="AJ78" s="2"/>
      <c r="AK78" s="2"/>
      <c r="AL78" s="2"/>
      <c r="AM78" s="2"/>
      <c r="AN78" s="2"/>
      <c r="AO78" s="2"/>
      <c r="AP78" s="2"/>
      <c r="AQ78" s="2"/>
    </row>
    <row r="79" spans="1:43" ht="15" thickBot="1">
      <c r="A79" s="42"/>
      <c r="B79" s="42"/>
      <c r="C79" s="57"/>
      <c r="D79" s="2"/>
      <c r="E79" s="2"/>
      <c r="F79" s="2"/>
      <c r="G79" s="2"/>
      <c r="H79" s="2"/>
      <c r="I79" s="2"/>
      <c r="J79" s="2"/>
      <c r="K79" s="2"/>
      <c r="L79" s="2"/>
      <c r="M79" s="2"/>
      <c r="N79" s="2"/>
      <c r="O79" s="2"/>
      <c r="P79" s="350"/>
      <c r="Q79" s="2"/>
      <c r="R79" s="345"/>
      <c r="S79" s="356"/>
      <c r="T79" s="356"/>
      <c r="U79" s="357"/>
      <c r="V79" s="345"/>
      <c r="W79" s="345"/>
      <c r="X79" s="345"/>
      <c r="Y79" s="345"/>
      <c r="Z79" s="345"/>
      <c r="AA79" s="345"/>
      <c r="AB79" s="345"/>
      <c r="AC79" s="345"/>
      <c r="AD79" s="345"/>
      <c r="AE79" s="345"/>
      <c r="AF79" s="345"/>
      <c r="AG79" s="345"/>
      <c r="AH79" s="345"/>
      <c r="AI79" s="345"/>
      <c r="AJ79" s="345"/>
      <c r="AK79" s="345"/>
      <c r="AL79" s="345"/>
      <c r="AM79" s="345"/>
      <c r="AN79" s="345"/>
      <c r="AO79" s="345"/>
      <c r="AP79" s="345"/>
      <c r="AQ79" s="2"/>
    </row>
    <row r="80" spans="1:43" ht="15.75" thickTop="1">
      <c r="A80" s="42"/>
      <c r="B80" s="42"/>
      <c r="C80" s="57"/>
      <c r="D80" s="2"/>
      <c r="E80" s="2"/>
      <c r="F80" s="2"/>
      <c r="G80" s="2"/>
      <c r="H80" s="2"/>
      <c r="I80" s="2"/>
      <c r="J80" s="2"/>
      <c r="K80" s="2"/>
      <c r="L80" s="2"/>
      <c r="M80" s="2"/>
      <c r="N80" s="2"/>
      <c r="O80" s="2"/>
      <c r="P80" s="350"/>
      <c r="Q80" s="2"/>
      <c r="R80" s="2"/>
      <c r="S80" s="342" t="s">
        <v>3120</v>
      </c>
      <c r="T80" s="3"/>
      <c r="U80" s="353"/>
      <c r="V80" s="362" t="s">
        <v>3121</v>
      </c>
      <c r="W80" s="362"/>
      <c r="X80" s="362"/>
      <c r="Y80" s="362"/>
      <c r="Z80" s="979"/>
      <c r="AA80" s="980"/>
      <c r="AB80" s="362" t="s">
        <v>3122</v>
      </c>
      <c r="AC80" s="362"/>
      <c r="AD80" s="362"/>
      <c r="AE80" s="362"/>
      <c r="AF80" s="362"/>
      <c r="AG80" s="2"/>
      <c r="AH80" s="2"/>
      <c r="AI80" s="2"/>
      <c r="AJ80" s="2"/>
      <c r="AK80" s="2"/>
      <c r="AL80" s="2"/>
      <c r="AM80" s="2"/>
      <c r="AN80" s="2"/>
      <c r="AO80" s="2"/>
      <c r="AP80" s="2"/>
      <c r="AQ80" s="2"/>
    </row>
    <row r="81" spans="1:43">
      <c r="A81" s="42"/>
      <c r="B81" s="42"/>
      <c r="C81" s="57"/>
      <c r="D81" s="2"/>
      <c r="E81" s="2"/>
      <c r="F81" s="2"/>
      <c r="G81" s="2"/>
      <c r="H81" s="2"/>
      <c r="I81" s="2"/>
      <c r="J81" s="2"/>
      <c r="K81" s="2"/>
      <c r="L81" s="2"/>
      <c r="M81" s="2"/>
      <c r="N81" s="2"/>
      <c r="O81" s="2"/>
      <c r="P81" s="350"/>
      <c r="Q81" s="2"/>
      <c r="R81" s="2"/>
      <c r="S81" s="3"/>
      <c r="T81" s="3"/>
      <c r="U81" s="353"/>
      <c r="V81" s="362" t="s">
        <v>3123</v>
      </c>
      <c r="W81" s="362"/>
      <c r="X81" s="362"/>
      <c r="Y81" s="362"/>
      <c r="Z81" s="362"/>
      <c r="AA81" s="362"/>
      <c r="AB81" s="362"/>
      <c r="AC81" s="362"/>
      <c r="AD81" s="362"/>
      <c r="AE81" s="362"/>
      <c r="AF81" s="362"/>
      <c r="AG81" s="2"/>
      <c r="AH81" s="2"/>
      <c r="AI81" s="2"/>
      <c r="AJ81" s="2"/>
      <c r="AK81" s="2"/>
      <c r="AL81" s="2"/>
      <c r="AM81" s="2"/>
      <c r="AN81" s="2"/>
      <c r="AO81" s="2"/>
      <c r="AP81" s="2"/>
      <c r="AQ81" s="2"/>
    </row>
    <row r="82" spans="1:43" ht="15" thickBot="1">
      <c r="A82" s="42"/>
      <c r="B82" s="42"/>
      <c r="C82" s="57"/>
      <c r="D82" s="2"/>
      <c r="E82" s="2"/>
      <c r="F82" s="2"/>
      <c r="G82" s="2"/>
      <c r="H82" s="2"/>
      <c r="I82" s="2"/>
      <c r="J82" s="2"/>
      <c r="K82" s="2"/>
      <c r="L82" s="2"/>
      <c r="M82" s="2"/>
      <c r="N82" s="2"/>
      <c r="O82" s="2"/>
      <c r="P82" s="350"/>
      <c r="Q82" s="2"/>
      <c r="R82" s="345"/>
      <c r="S82" s="356"/>
      <c r="T82" s="356"/>
      <c r="U82" s="357"/>
      <c r="V82" s="345"/>
      <c r="W82" s="345"/>
      <c r="X82" s="345"/>
      <c r="Y82" s="345"/>
      <c r="Z82" s="345"/>
      <c r="AA82" s="345"/>
      <c r="AB82" s="345"/>
      <c r="AC82" s="345"/>
      <c r="AD82" s="345"/>
      <c r="AE82" s="345"/>
      <c r="AF82" s="345"/>
      <c r="AG82" s="345"/>
      <c r="AH82" s="345"/>
      <c r="AI82" s="345"/>
      <c r="AJ82" s="345"/>
      <c r="AK82" s="345"/>
      <c r="AL82" s="345"/>
      <c r="AM82" s="345"/>
      <c r="AN82" s="345"/>
      <c r="AO82" s="345"/>
      <c r="AP82" s="345"/>
      <c r="AQ82" s="2"/>
    </row>
    <row r="83" spans="1:43" ht="15.75" thickTop="1">
      <c r="A83" s="42"/>
      <c r="B83" s="42"/>
      <c r="C83" s="57"/>
      <c r="D83" s="2"/>
      <c r="E83" s="2"/>
      <c r="F83" s="2"/>
      <c r="G83" s="2"/>
      <c r="H83" s="2"/>
      <c r="I83" s="2"/>
      <c r="J83" s="2"/>
      <c r="K83" s="2"/>
      <c r="L83" s="2"/>
      <c r="M83" s="2"/>
      <c r="N83" s="2"/>
      <c r="O83" s="2"/>
      <c r="P83" s="350"/>
      <c r="Q83" s="2"/>
      <c r="R83" s="2"/>
      <c r="S83" s="342" t="s">
        <v>3124</v>
      </c>
      <c r="T83" s="3"/>
      <c r="U83" s="981" t="s">
        <v>2976</v>
      </c>
      <c r="V83" s="981"/>
      <c r="W83" s="981"/>
      <c r="X83" s="981"/>
      <c r="Y83" s="2"/>
      <c r="Z83" s="2"/>
      <c r="AA83" s="2"/>
      <c r="AB83" s="2"/>
      <c r="AC83" s="2"/>
      <c r="AD83" s="2"/>
      <c r="AE83" s="2"/>
      <c r="AF83" s="2"/>
      <c r="AG83" s="2"/>
      <c r="AH83" s="2"/>
      <c r="AI83" s="2"/>
      <c r="AJ83" s="2"/>
      <c r="AK83" s="2"/>
      <c r="AL83" s="2"/>
      <c r="AM83" s="2"/>
      <c r="AN83" s="2"/>
      <c r="AO83" s="2"/>
      <c r="AP83" s="2"/>
      <c r="AQ83" s="2"/>
    </row>
    <row r="84" spans="1:43">
      <c r="A84" s="42"/>
      <c r="B84" s="42"/>
      <c r="C84" s="57"/>
      <c r="D84" s="2"/>
      <c r="E84" s="2"/>
      <c r="F84" s="2"/>
      <c r="G84" s="2"/>
      <c r="H84" s="2"/>
      <c r="I84" s="2"/>
      <c r="J84" s="2"/>
      <c r="K84" s="2"/>
      <c r="L84" s="2"/>
      <c r="M84" s="2"/>
      <c r="N84" s="2"/>
      <c r="O84" s="2"/>
      <c r="P84" s="350"/>
      <c r="Q84" s="2"/>
      <c r="R84" s="2"/>
      <c r="S84" s="3"/>
      <c r="T84" s="3"/>
      <c r="U84" s="985" t="s">
        <v>3125</v>
      </c>
      <c r="V84" s="986"/>
      <c r="W84" s="963" t="s">
        <v>3126</v>
      </c>
      <c r="X84" s="963"/>
      <c r="Y84" s="2"/>
      <c r="Z84" s="2"/>
      <c r="AA84" s="2"/>
      <c r="AB84" s="2"/>
      <c r="AC84" s="2"/>
      <c r="AD84" s="2"/>
      <c r="AE84" s="2"/>
      <c r="AF84" s="2"/>
      <c r="AG84" s="2"/>
      <c r="AH84" s="2"/>
      <c r="AI84" s="2"/>
      <c r="AJ84" s="2"/>
      <c r="AK84" s="2"/>
      <c r="AL84" s="2"/>
      <c r="AM84" s="2"/>
      <c r="AN84" s="2"/>
      <c r="AO84" s="2"/>
      <c r="AP84" s="2"/>
      <c r="AQ84" s="2"/>
    </row>
    <row r="85" spans="1:43">
      <c r="A85" s="42"/>
      <c r="B85" s="42"/>
      <c r="C85" s="57"/>
      <c r="D85" s="2"/>
      <c r="E85" s="2"/>
      <c r="F85" s="2"/>
      <c r="G85" s="2"/>
      <c r="H85" s="2"/>
      <c r="I85" s="2"/>
      <c r="J85" s="2"/>
      <c r="K85" s="2"/>
      <c r="L85" s="2"/>
      <c r="M85" s="2"/>
      <c r="N85" s="2"/>
      <c r="O85" s="2"/>
      <c r="P85" s="350"/>
      <c r="Q85" s="2"/>
      <c r="R85" s="2"/>
      <c r="S85" s="3"/>
      <c r="T85" s="3"/>
      <c r="U85" s="965"/>
      <c r="V85" s="965"/>
      <c r="W85" s="965"/>
      <c r="X85" s="965"/>
      <c r="Y85" s="2"/>
      <c r="Z85" s="2"/>
      <c r="AA85" s="2"/>
      <c r="AB85" s="2"/>
      <c r="AC85" s="2"/>
      <c r="AD85" s="2"/>
      <c r="AE85" s="2"/>
      <c r="AF85" s="2"/>
      <c r="AG85" s="2"/>
      <c r="AH85" s="2"/>
      <c r="AI85" s="2"/>
      <c r="AJ85" s="2"/>
      <c r="AK85" s="2"/>
      <c r="AL85" s="2"/>
      <c r="AM85" s="2"/>
      <c r="AN85" s="2"/>
      <c r="AO85" s="2"/>
      <c r="AP85" s="2"/>
      <c r="AQ85" s="2"/>
    </row>
    <row r="86" spans="1:43" ht="15" thickBot="1">
      <c r="A86" s="42"/>
      <c r="B86" s="42"/>
      <c r="C86" s="57"/>
      <c r="D86" s="2"/>
      <c r="E86" s="2"/>
      <c r="F86" s="2"/>
      <c r="G86" s="2"/>
      <c r="H86" s="2"/>
      <c r="I86" s="2"/>
      <c r="J86" s="2"/>
      <c r="K86" s="2"/>
      <c r="L86" s="2"/>
      <c r="M86" s="2"/>
      <c r="N86" s="2"/>
      <c r="O86" s="2"/>
      <c r="P86" s="350"/>
      <c r="Q86" s="2"/>
      <c r="R86" s="345"/>
      <c r="S86" s="356"/>
      <c r="T86" s="356"/>
      <c r="U86" s="357"/>
      <c r="V86" s="345"/>
      <c r="W86" s="345"/>
      <c r="X86" s="345"/>
      <c r="Y86" s="345"/>
      <c r="Z86" s="345"/>
      <c r="AA86" s="345"/>
      <c r="AB86" s="345"/>
      <c r="AC86" s="345"/>
      <c r="AD86" s="345"/>
      <c r="AE86" s="345"/>
      <c r="AF86" s="345"/>
      <c r="AG86" s="345"/>
      <c r="AH86" s="345"/>
      <c r="AI86" s="345"/>
      <c r="AJ86" s="345"/>
      <c r="AK86" s="345"/>
      <c r="AL86" s="345"/>
      <c r="AM86" s="345"/>
      <c r="AN86" s="345"/>
      <c r="AO86" s="345"/>
      <c r="AP86" s="345"/>
      <c r="AQ86" s="2"/>
    </row>
    <row r="87" spans="1:43" ht="15.75" thickTop="1">
      <c r="A87" s="42"/>
      <c r="B87" s="42"/>
      <c r="C87" s="57"/>
      <c r="D87" s="2"/>
      <c r="E87" s="2"/>
      <c r="F87" s="2"/>
      <c r="G87" s="2"/>
      <c r="H87" s="2"/>
      <c r="I87" s="2"/>
      <c r="J87" s="2"/>
      <c r="K87" s="2"/>
      <c r="L87" s="2"/>
      <c r="M87" s="2"/>
      <c r="N87" s="2"/>
      <c r="O87" s="2"/>
      <c r="P87" s="350"/>
      <c r="Q87" s="2"/>
      <c r="R87" s="2"/>
      <c r="S87" s="342" t="s">
        <v>3127</v>
      </c>
      <c r="T87" s="3"/>
      <c r="U87" s="353"/>
      <c r="V87" s="2"/>
      <c r="W87" s="2"/>
      <c r="X87" s="2"/>
      <c r="Y87" s="2"/>
      <c r="Z87" s="2"/>
      <c r="AA87" s="2"/>
      <c r="AB87" s="2"/>
      <c r="AC87" s="2"/>
      <c r="AD87" s="2"/>
      <c r="AE87" s="2"/>
      <c r="AF87" s="2"/>
      <c r="AG87" s="2"/>
      <c r="AH87" s="2"/>
      <c r="AI87" s="2"/>
      <c r="AJ87" s="2"/>
      <c r="AK87" s="2"/>
      <c r="AL87" s="2"/>
      <c r="AM87" s="2"/>
      <c r="AN87" s="2"/>
      <c r="AO87" s="2"/>
      <c r="AP87" s="2"/>
      <c r="AQ87" s="2"/>
    </row>
    <row r="88" spans="1:43">
      <c r="A88" s="42"/>
      <c r="B88" s="42"/>
      <c r="C88" s="57"/>
      <c r="D88" s="2"/>
      <c r="E88" s="2"/>
      <c r="F88" s="2"/>
      <c r="G88" s="2"/>
      <c r="H88" s="2"/>
      <c r="I88" s="2"/>
      <c r="J88" s="2"/>
      <c r="K88" s="2"/>
      <c r="L88" s="2"/>
      <c r="M88" s="2"/>
      <c r="N88" s="2"/>
      <c r="O88" s="2"/>
      <c r="P88" s="350"/>
      <c r="Q88" s="2"/>
      <c r="R88" s="2"/>
      <c r="S88" s="353" t="s">
        <v>3128</v>
      </c>
      <c r="T88" s="2"/>
      <c r="U88" s="2"/>
      <c r="V88" s="2"/>
      <c r="W88" s="2"/>
      <c r="X88" s="2"/>
      <c r="Y88" s="5"/>
      <c r="Z88" s="2"/>
      <c r="AA88" s="2"/>
      <c r="AB88" s="5"/>
      <c r="AC88" s="2"/>
      <c r="AD88" s="2"/>
      <c r="AE88" s="2"/>
      <c r="AF88" s="2"/>
      <c r="AG88" s="2"/>
      <c r="AH88" s="2"/>
      <c r="AI88" s="2"/>
      <c r="AJ88" s="2"/>
      <c r="AK88" s="2"/>
      <c r="AL88" s="2"/>
      <c r="AM88" s="2"/>
      <c r="AN88" s="2"/>
      <c r="AO88" s="2"/>
      <c r="AP88" s="2"/>
      <c r="AQ88" s="2"/>
    </row>
    <row r="89" spans="1:43">
      <c r="A89" s="42"/>
      <c r="B89" s="42"/>
      <c r="C89" s="57"/>
      <c r="D89" s="2"/>
      <c r="E89" s="2"/>
      <c r="F89" s="2"/>
      <c r="G89" s="2"/>
      <c r="H89" s="2"/>
      <c r="I89" s="2"/>
      <c r="J89" s="2"/>
      <c r="K89" s="2"/>
      <c r="L89" s="2"/>
      <c r="M89" s="2"/>
      <c r="N89" s="2"/>
      <c r="O89" s="2"/>
      <c r="P89" s="350"/>
      <c r="Q89" s="2"/>
      <c r="R89" s="2"/>
      <c r="S89" s="982"/>
      <c r="T89" s="971"/>
      <c r="U89" s="971"/>
      <c r="V89" s="971"/>
      <c r="W89" s="971"/>
      <c r="X89" s="971"/>
      <c r="Y89" s="971"/>
      <c r="Z89" s="971"/>
      <c r="AA89" s="972"/>
      <c r="AB89" s="5"/>
      <c r="AC89" s="2" t="s">
        <v>3129</v>
      </c>
      <c r="AD89" s="2"/>
      <c r="AE89" s="2"/>
      <c r="AF89" s="2"/>
      <c r="AG89" s="2"/>
      <c r="AH89" s="2"/>
      <c r="AI89" s="2"/>
      <c r="AJ89" s="2"/>
      <c r="AK89" s="2"/>
      <c r="AL89" s="2"/>
      <c r="AM89" s="2"/>
      <c r="AN89" s="2"/>
      <c r="AO89" s="2"/>
      <c r="AP89" s="2"/>
      <c r="AQ89" s="2"/>
    </row>
    <row r="90" spans="1:43">
      <c r="A90" s="42"/>
      <c r="B90" s="42"/>
      <c r="C90" s="57"/>
      <c r="D90" s="2"/>
      <c r="E90" s="2"/>
      <c r="F90" s="2"/>
      <c r="G90" s="2"/>
      <c r="H90" s="2"/>
      <c r="I90" s="2"/>
      <c r="J90" s="2"/>
      <c r="K90" s="2"/>
      <c r="L90" s="2"/>
      <c r="M90" s="2"/>
      <c r="N90" s="2"/>
      <c r="O90" s="2"/>
      <c r="P90" s="350"/>
      <c r="Q90" s="2"/>
      <c r="R90" s="2"/>
      <c r="S90" s="983"/>
      <c r="T90" s="973"/>
      <c r="U90" s="973"/>
      <c r="V90" s="973"/>
      <c r="W90" s="973"/>
      <c r="X90" s="973"/>
      <c r="Y90" s="973"/>
      <c r="Z90" s="973"/>
      <c r="AA90" s="974"/>
      <c r="AB90" s="5"/>
      <c r="AC90" s="2"/>
      <c r="AD90" s="2"/>
      <c r="AE90" s="2"/>
      <c r="AF90" s="2"/>
      <c r="AG90" s="2"/>
      <c r="AH90" s="2"/>
      <c r="AI90" s="2"/>
      <c r="AJ90" s="2"/>
      <c r="AK90" s="2"/>
      <c r="AL90" s="2"/>
      <c r="AM90" s="2"/>
      <c r="AN90" s="2"/>
      <c r="AO90" s="2"/>
      <c r="AP90" s="2"/>
      <c r="AQ90" s="2"/>
    </row>
    <row r="91" spans="1:43">
      <c r="A91" s="42"/>
      <c r="B91" s="42"/>
      <c r="C91" s="57"/>
      <c r="D91" s="2"/>
      <c r="E91" s="2"/>
      <c r="F91" s="2"/>
      <c r="G91" s="2"/>
      <c r="H91" s="2"/>
      <c r="I91" s="2"/>
      <c r="J91" s="2"/>
      <c r="K91" s="2"/>
      <c r="L91" s="2"/>
      <c r="M91" s="2"/>
      <c r="N91" s="2"/>
      <c r="O91" s="2"/>
      <c r="P91" s="350"/>
      <c r="Q91" s="2"/>
      <c r="R91" s="2"/>
      <c r="S91" s="983"/>
      <c r="T91" s="973"/>
      <c r="U91" s="973"/>
      <c r="V91" s="973"/>
      <c r="W91" s="973"/>
      <c r="X91" s="973"/>
      <c r="Y91" s="973"/>
      <c r="Z91" s="973"/>
      <c r="AA91" s="974"/>
      <c r="AB91" s="5"/>
      <c r="AC91" s="353" t="s">
        <v>3130</v>
      </c>
      <c r="AD91" s="2"/>
      <c r="AE91" s="960"/>
      <c r="AF91" s="961"/>
      <c r="AG91" s="2"/>
      <c r="AH91" s="353" t="s">
        <v>3131</v>
      </c>
      <c r="AI91" s="2"/>
      <c r="AJ91" s="962" t="s">
        <v>3132</v>
      </c>
      <c r="AK91" s="962"/>
      <c r="AL91" s="962"/>
      <c r="AM91" s="962"/>
      <c r="AN91" s="962"/>
      <c r="AO91" s="2"/>
      <c r="AP91" s="2"/>
      <c r="AQ91" s="2"/>
    </row>
    <row r="92" spans="1:43">
      <c r="A92" s="42"/>
      <c r="B92" s="42"/>
      <c r="C92" s="57"/>
      <c r="D92" s="2"/>
      <c r="E92" s="2"/>
      <c r="F92" s="2"/>
      <c r="G92" s="2"/>
      <c r="H92" s="2"/>
      <c r="I92" s="2"/>
      <c r="J92" s="2"/>
      <c r="K92" s="2"/>
      <c r="L92" s="2"/>
      <c r="M92" s="2"/>
      <c r="N92" s="2"/>
      <c r="O92" s="2"/>
      <c r="P92" s="350"/>
      <c r="Q92" s="2"/>
      <c r="R92" s="2"/>
      <c r="S92" s="984"/>
      <c r="T92" s="975"/>
      <c r="U92" s="975"/>
      <c r="V92" s="975"/>
      <c r="W92" s="975"/>
      <c r="X92" s="975"/>
      <c r="Y92" s="975"/>
      <c r="Z92" s="975"/>
      <c r="AA92" s="976"/>
      <c r="AB92" s="5"/>
      <c r="AC92" s="2"/>
      <c r="AD92" s="2"/>
      <c r="AE92" s="2"/>
      <c r="AF92" s="2"/>
      <c r="AG92" s="2"/>
      <c r="AH92" s="2"/>
      <c r="AI92" s="2"/>
      <c r="AJ92" s="2"/>
      <c r="AK92" s="2"/>
      <c r="AL92" s="2"/>
      <c r="AM92" s="2"/>
      <c r="AN92" s="2"/>
      <c r="AO92" s="2"/>
      <c r="AP92" s="2"/>
      <c r="AQ92" s="2"/>
    </row>
    <row r="93" spans="1:43" ht="15" thickBot="1">
      <c r="A93" s="42"/>
      <c r="B93" s="42"/>
      <c r="C93" s="57"/>
      <c r="D93" s="2"/>
      <c r="E93" s="2"/>
      <c r="F93" s="2"/>
      <c r="G93" s="2"/>
      <c r="H93" s="2"/>
      <c r="I93" s="2"/>
      <c r="J93" s="2"/>
      <c r="K93" s="2"/>
      <c r="L93" s="2"/>
      <c r="M93" s="2"/>
      <c r="N93" s="2"/>
      <c r="O93" s="2"/>
      <c r="P93" s="350"/>
      <c r="Q93" s="2"/>
      <c r="R93" s="345"/>
      <c r="S93" s="367" t="s">
        <v>3133</v>
      </c>
      <c r="T93" s="356"/>
      <c r="U93" s="357"/>
      <c r="V93" s="345"/>
      <c r="W93" s="345"/>
      <c r="X93" s="345"/>
      <c r="Y93" s="345"/>
      <c r="Z93" s="345"/>
      <c r="AA93" s="345"/>
      <c r="AB93" s="345"/>
      <c r="AC93" s="345"/>
      <c r="AD93" s="345"/>
      <c r="AE93" s="345"/>
      <c r="AF93" s="345"/>
      <c r="AG93" s="345"/>
      <c r="AH93" s="345"/>
      <c r="AI93" s="345"/>
      <c r="AJ93" s="345"/>
      <c r="AK93" s="345"/>
      <c r="AL93" s="345"/>
      <c r="AM93" s="345"/>
      <c r="AN93" s="345"/>
      <c r="AO93" s="345"/>
      <c r="AP93" s="345"/>
      <c r="AQ93" s="2"/>
    </row>
    <row r="94" spans="1:43" ht="15.75" thickTop="1">
      <c r="A94" s="42"/>
      <c r="B94" s="42"/>
      <c r="C94" s="57"/>
      <c r="D94" s="2"/>
      <c r="E94" s="2"/>
      <c r="F94" s="2"/>
      <c r="G94" s="2"/>
      <c r="H94" s="2"/>
      <c r="I94" s="2"/>
      <c r="J94" s="2"/>
      <c r="K94" s="2"/>
      <c r="L94" s="2"/>
      <c r="M94" s="2"/>
      <c r="N94" s="2"/>
      <c r="O94" s="2"/>
      <c r="P94" s="350"/>
      <c r="Q94" s="2"/>
      <c r="R94" s="2"/>
      <c r="S94" s="342" t="s">
        <v>3134</v>
      </c>
      <c r="T94" s="3"/>
      <c r="U94" s="3" t="s">
        <v>3119</v>
      </c>
      <c r="V94" s="978"/>
      <c r="W94" s="978"/>
      <c r="X94" s="978"/>
      <c r="Y94" s="2"/>
      <c r="Z94" s="2" t="s">
        <v>3135</v>
      </c>
      <c r="AA94" s="2"/>
      <c r="AB94" s="960"/>
      <c r="AC94" s="961"/>
      <c r="AD94" s="2"/>
      <c r="AE94" s="2"/>
      <c r="AF94" s="2"/>
      <c r="AG94" s="2"/>
      <c r="AH94" s="2"/>
      <c r="AI94" s="2"/>
      <c r="AJ94" s="2"/>
      <c r="AK94" s="2"/>
      <c r="AL94" s="2"/>
      <c r="AM94" s="2"/>
      <c r="AN94" s="2"/>
      <c r="AO94" s="2"/>
      <c r="AP94" s="2"/>
      <c r="AQ94" s="2"/>
    </row>
    <row r="95" spans="1:43">
      <c r="A95" s="42"/>
      <c r="B95" s="42"/>
      <c r="C95" s="57"/>
      <c r="D95" s="2"/>
      <c r="E95" s="2"/>
      <c r="F95" s="2"/>
      <c r="G95" s="2"/>
      <c r="H95" s="2"/>
      <c r="I95" s="2"/>
      <c r="J95" s="2"/>
      <c r="K95" s="2"/>
      <c r="L95" s="2"/>
      <c r="M95" s="2"/>
      <c r="N95" s="2"/>
      <c r="O95" s="2"/>
      <c r="P95" s="350"/>
      <c r="Q95" s="2"/>
      <c r="R95" s="2"/>
      <c r="S95" s="3"/>
      <c r="T95" s="3"/>
      <c r="U95" s="353"/>
      <c r="V95" s="2"/>
      <c r="W95" s="2"/>
      <c r="X95" s="2"/>
      <c r="Y95" s="2"/>
      <c r="Z95" s="2"/>
      <c r="AA95" s="2"/>
      <c r="AB95" s="2"/>
      <c r="AC95" s="2"/>
      <c r="AD95" s="2"/>
      <c r="AE95" s="2"/>
      <c r="AF95" s="2"/>
      <c r="AG95" s="2"/>
      <c r="AH95" s="2"/>
      <c r="AI95" s="2"/>
      <c r="AJ95" s="2"/>
      <c r="AK95" s="2"/>
      <c r="AL95" s="2"/>
      <c r="AM95" s="2"/>
      <c r="AN95" s="2"/>
      <c r="AO95" s="2"/>
      <c r="AP95" s="2"/>
      <c r="AQ95" s="2"/>
    </row>
    <row r="96" spans="1:43">
      <c r="A96" s="42"/>
      <c r="B96" s="42"/>
      <c r="C96" s="57"/>
      <c r="D96" s="2"/>
      <c r="E96" s="2"/>
      <c r="F96" s="2"/>
      <c r="G96" s="2"/>
      <c r="H96" s="2"/>
      <c r="I96" s="2"/>
      <c r="J96" s="2"/>
      <c r="K96" s="2"/>
      <c r="L96" s="2"/>
      <c r="M96" s="2"/>
      <c r="N96" s="2"/>
      <c r="O96" s="2"/>
      <c r="P96" s="350"/>
      <c r="Q96" s="2"/>
      <c r="R96" s="2"/>
      <c r="S96" s="358"/>
      <c r="T96" s="358"/>
      <c r="U96" s="358"/>
      <c r="V96" s="358"/>
      <c r="W96" s="372" t="s">
        <v>2976</v>
      </c>
      <c r="X96" s="2"/>
      <c r="Y96" s="2"/>
      <c r="Z96" s="2"/>
      <c r="AA96" s="2"/>
      <c r="AB96" s="2"/>
      <c r="AC96" s="2"/>
      <c r="AD96" s="2"/>
      <c r="AE96" s="2"/>
      <c r="AF96" s="2"/>
      <c r="AG96" s="2"/>
      <c r="AH96" s="2"/>
      <c r="AI96" s="2"/>
      <c r="AJ96" s="2"/>
      <c r="AK96" s="2"/>
      <c r="AL96" s="2"/>
      <c r="AM96" s="2"/>
      <c r="AN96" s="2"/>
      <c r="AO96" s="2"/>
      <c r="AP96" s="2"/>
      <c r="AQ96" s="2"/>
    </row>
    <row r="97" spans="1:43">
      <c r="A97" s="42"/>
      <c r="B97" s="42"/>
      <c r="C97" s="57"/>
      <c r="D97" s="2"/>
      <c r="E97" s="2"/>
      <c r="F97" s="2"/>
      <c r="G97" s="2"/>
      <c r="H97" s="2"/>
      <c r="I97" s="2"/>
      <c r="J97" s="2"/>
      <c r="K97" s="2"/>
      <c r="L97" s="2"/>
      <c r="M97" s="2"/>
      <c r="N97" s="2"/>
      <c r="O97" s="2"/>
      <c r="P97" s="350"/>
      <c r="Q97" s="2"/>
      <c r="R97" s="2"/>
      <c r="S97" s="3"/>
      <c r="T97" s="371" t="s">
        <v>3136</v>
      </c>
      <c r="U97" s="960"/>
      <c r="V97" s="996"/>
      <c r="W97" s="996"/>
      <c r="X97" s="996"/>
      <c r="Y97" s="996"/>
      <c r="Z97" s="996"/>
      <c r="AA97" s="996"/>
      <c r="AB97" s="961"/>
      <c r="AC97" s="2"/>
      <c r="AD97" s="2"/>
      <c r="AE97" s="2"/>
      <c r="AF97" s="2"/>
      <c r="AG97" s="2"/>
      <c r="AH97" s="2"/>
      <c r="AI97" s="2"/>
      <c r="AJ97" s="2"/>
      <c r="AK97" s="2"/>
      <c r="AL97" s="2"/>
      <c r="AM97" s="2"/>
      <c r="AN97" s="2"/>
      <c r="AO97" s="2"/>
      <c r="AP97" s="2"/>
      <c r="AQ97" s="2"/>
    </row>
    <row r="98" spans="1:43">
      <c r="A98" s="42"/>
      <c r="B98" s="42"/>
      <c r="C98" s="57"/>
      <c r="D98" s="2"/>
      <c r="E98" s="2"/>
      <c r="F98" s="2"/>
      <c r="G98" s="2"/>
      <c r="H98" s="2"/>
      <c r="I98" s="2"/>
      <c r="J98" s="2"/>
      <c r="K98" s="2"/>
      <c r="L98" s="2"/>
      <c r="M98" s="2"/>
      <c r="N98" s="2"/>
      <c r="O98" s="2"/>
      <c r="P98" s="350"/>
      <c r="Q98" s="2"/>
      <c r="R98" s="3"/>
      <c r="S98" s="3"/>
      <c r="T98" s="369" t="s">
        <v>3137</v>
      </c>
      <c r="U98" s="370"/>
      <c r="V98" s="369"/>
      <c r="W98" s="998" t="s">
        <v>3138</v>
      </c>
      <c r="X98" s="997"/>
      <c r="Y98" s="369"/>
      <c r="Z98" s="997" t="s">
        <v>3139</v>
      </c>
      <c r="AA98" s="997"/>
      <c r="AB98" s="997"/>
      <c r="AC98" s="2"/>
      <c r="AD98" s="2"/>
      <c r="AE98" s="2"/>
      <c r="AF98" s="2"/>
      <c r="AG98" s="2"/>
      <c r="AH98" s="2"/>
      <c r="AI98" s="2"/>
      <c r="AJ98" s="2"/>
      <c r="AK98" s="2"/>
      <c r="AL98" s="2"/>
      <c r="AM98" s="2"/>
      <c r="AN98" s="2"/>
      <c r="AO98" s="2"/>
      <c r="AP98" s="2"/>
      <c r="AQ98" s="2"/>
    </row>
    <row r="99" spans="1:43">
      <c r="A99" s="42"/>
      <c r="B99" s="42"/>
      <c r="C99" s="57"/>
      <c r="D99" s="2"/>
      <c r="E99" s="2"/>
      <c r="F99" s="2"/>
      <c r="G99" s="2"/>
      <c r="H99" s="2"/>
      <c r="I99" s="2"/>
      <c r="J99" s="2"/>
      <c r="K99" s="2"/>
      <c r="L99" s="2"/>
      <c r="M99" s="2"/>
      <c r="N99" s="2"/>
      <c r="O99" s="2"/>
      <c r="P99" s="350"/>
      <c r="Q99" s="2"/>
      <c r="R99" s="3"/>
      <c r="S99" s="3"/>
      <c r="T99" s="960"/>
      <c r="U99" s="961"/>
      <c r="V99" s="368" t="s">
        <v>3074</v>
      </c>
      <c r="W99" s="960"/>
      <c r="X99" s="961"/>
      <c r="Y99" s="368" t="s">
        <v>3074</v>
      </c>
      <c r="Z99" s="965"/>
      <c r="AA99" s="965"/>
      <c r="AB99" s="965"/>
      <c r="AC99" s="2"/>
      <c r="AD99" s="2"/>
      <c r="AE99" s="2"/>
      <c r="AF99" s="2"/>
      <c r="AG99" s="2"/>
      <c r="AH99" s="2"/>
      <c r="AI99" s="2"/>
      <c r="AJ99" s="2"/>
      <c r="AK99" s="2"/>
      <c r="AL99" s="2"/>
      <c r="AM99" s="2"/>
      <c r="AN99" s="2"/>
      <c r="AO99" s="2"/>
      <c r="AP99" s="2"/>
      <c r="AQ99" s="2"/>
    </row>
    <row r="100" spans="1:43">
      <c r="A100" s="42"/>
      <c r="B100" s="42"/>
      <c r="C100" s="57"/>
      <c r="D100" s="2"/>
      <c r="E100" s="2"/>
      <c r="F100" s="2"/>
      <c r="G100" s="2"/>
      <c r="H100" s="2"/>
      <c r="I100" s="2"/>
      <c r="J100" s="2"/>
      <c r="K100" s="2"/>
      <c r="L100" s="2"/>
      <c r="M100" s="2"/>
      <c r="N100" s="2"/>
      <c r="O100" s="2"/>
      <c r="P100" s="350"/>
      <c r="Q100" s="2"/>
      <c r="R100" s="3"/>
      <c r="S100" s="3"/>
      <c r="T100" s="960"/>
      <c r="U100" s="961"/>
      <c r="V100" s="368" t="s">
        <v>3074</v>
      </c>
      <c r="W100" s="960"/>
      <c r="X100" s="961"/>
      <c r="Y100" s="368" t="s">
        <v>3074</v>
      </c>
      <c r="Z100" s="965"/>
      <c r="AA100" s="965"/>
      <c r="AB100" s="965"/>
      <c r="AC100" s="2"/>
      <c r="AD100" s="2"/>
      <c r="AE100" s="2"/>
      <c r="AF100" s="2"/>
      <c r="AG100" s="2"/>
      <c r="AH100" s="2"/>
      <c r="AI100" s="2"/>
      <c r="AJ100" s="2"/>
      <c r="AK100" s="2"/>
      <c r="AL100" s="2"/>
      <c r="AM100" s="2"/>
      <c r="AN100" s="2"/>
      <c r="AO100" s="2"/>
      <c r="AP100" s="2"/>
      <c r="AQ100" s="2"/>
    </row>
    <row r="101" spans="1:43">
      <c r="A101" s="42"/>
      <c r="B101" s="42"/>
      <c r="C101" s="57"/>
      <c r="D101" s="2"/>
      <c r="E101" s="2"/>
      <c r="F101" s="2"/>
      <c r="G101" s="2"/>
      <c r="H101" s="2"/>
      <c r="I101" s="2"/>
      <c r="J101" s="2"/>
      <c r="K101" s="2"/>
      <c r="L101" s="2"/>
      <c r="M101" s="2"/>
      <c r="N101" s="2"/>
      <c r="O101" s="2"/>
      <c r="P101" s="350"/>
      <c r="Q101" s="2"/>
      <c r="R101" s="3"/>
      <c r="S101" s="3"/>
      <c r="T101" s="1007"/>
      <c r="U101" s="1008"/>
      <c r="V101" s="373" t="s">
        <v>3074</v>
      </c>
      <c r="W101" s="1007"/>
      <c r="X101" s="1008"/>
      <c r="Y101" s="373" t="s">
        <v>3074</v>
      </c>
      <c r="Z101" s="1005"/>
      <c r="AA101" s="1005"/>
      <c r="AB101" s="1005"/>
      <c r="AC101" s="2"/>
      <c r="AD101" s="2"/>
      <c r="AE101" s="2"/>
      <c r="AF101" s="2"/>
      <c r="AG101" s="2"/>
      <c r="AH101" s="2"/>
      <c r="AI101" s="2"/>
      <c r="AJ101" s="2"/>
      <c r="AK101" s="2"/>
      <c r="AL101" s="2"/>
      <c r="AM101" s="2"/>
      <c r="AN101" s="2"/>
      <c r="AO101" s="2"/>
      <c r="AP101" s="2"/>
      <c r="AQ101" s="2"/>
    </row>
    <row r="102" spans="1:43" ht="15" thickBot="1">
      <c r="A102" s="42"/>
      <c r="B102" s="42"/>
      <c r="C102" s="57"/>
      <c r="D102" s="2"/>
      <c r="E102" s="2"/>
      <c r="F102" s="2"/>
      <c r="G102" s="2"/>
      <c r="H102" s="2"/>
      <c r="I102" s="2"/>
      <c r="J102" s="2"/>
      <c r="K102" s="2"/>
      <c r="L102" s="2"/>
      <c r="M102" s="2"/>
      <c r="N102" s="2"/>
      <c r="O102" s="2"/>
      <c r="P102" s="350"/>
      <c r="Q102" s="2"/>
      <c r="R102" s="345"/>
      <c r="S102" s="356"/>
      <c r="T102" s="1002" t="s">
        <v>3140</v>
      </c>
      <c r="U102" s="1002"/>
      <c r="V102" s="1002"/>
      <c r="W102" s="1002"/>
      <c r="X102" s="1002"/>
      <c r="Y102" s="1002"/>
      <c r="Z102" s="1002"/>
      <c r="AA102" s="1002"/>
      <c r="AB102" s="1002"/>
      <c r="AC102" s="345"/>
      <c r="AD102" s="345"/>
      <c r="AE102" s="345"/>
      <c r="AF102" s="345"/>
      <c r="AG102" s="345"/>
      <c r="AH102" s="345"/>
      <c r="AI102" s="345"/>
      <c r="AJ102" s="345"/>
      <c r="AK102" s="345"/>
      <c r="AL102" s="345"/>
      <c r="AM102" s="345"/>
      <c r="AN102" s="345"/>
      <c r="AO102" s="345"/>
      <c r="AP102" s="345"/>
      <c r="AQ102" s="2"/>
    </row>
    <row r="103" spans="1:43" ht="15.75" thickTop="1">
      <c r="A103" s="42"/>
      <c r="B103" s="42"/>
      <c r="C103" s="57"/>
      <c r="D103" s="2"/>
      <c r="E103" s="2"/>
      <c r="F103" s="2"/>
      <c r="G103" s="2"/>
      <c r="H103" s="2"/>
      <c r="I103" s="2"/>
      <c r="J103" s="2"/>
      <c r="K103" s="2"/>
      <c r="L103" s="2"/>
      <c r="M103" s="2"/>
      <c r="N103" s="2"/>
      <c r="O103" s="2"/>
      <c r="P103" s="350"/>
      <c r="Q103" s="2"/>
      <c r="R103" s="2"/>
      <c r="S103" s="342" t="s">
        <v>3141</v>
      </c>
      <c r="T103" s="3"/>
      <c r="U103" s="353"/>
      <c r="V103" s="362" t="s">
        <v>3142</v>
      </c>
      <c r="W103" s="2"/>
      <c r="X103" s="2"/>
      <c r="Y103" s="2"/>
      <c r="Z103" s="2"/>
      <c r="AA103" s="2"/>
      <c r="AB103" s="2"/>
      <c r="AC103" s="2"/>
      <c r="AD103" s="2"/>
      <c r="AE103" s="2"/>
      <c r="AF103" s="2"/>
      <c r="AG103" s="2"/>
      <c r="AH103" s="2"/>
      <c r="AI103" s="2"/>
      <c r="AJ103" s="2"/>
      <c r="AK103" s="2"/>
      <c r="AL103" s="2"/>
      <c r="AM103" s="2"/>
      <c r="AN103" s="2"/>
      <c r="AO103" s="2"/>
      <c r="AP103" s="2"/>
      <c r="AQ103" s="2"/>
    </row>
    <row r="104" spans="1:43">
      <c r="A104" s="42"/>
      <c r="B104" s="42"/>
      <c r="C104" s="57"/>
      <c r="D104" s="2"/>
      <c r="E104" s="2"/>
      <c r="F104" s="2"/>
      <c r="G104" s="2"/>
      <c r="H104" s="2"/>
      <c r="I104" s="2"/>
      <c r="J104" s="2"/>
      <c r="K104" s="2"/>
      <c r="L104" s="2"/>
      <c r="M104" s="2"/>
      <c r="N104" s="2"/>
      <c r="O104" s="2"/>
      <c r="P104" s="350"/>
      <c r="Q104" s="2"/>
      <c r="R104" s="2"/>
      <c r="S104" s="3"/>
      <c r="T104" s="3"/>
      <c r="U104" s="353"/>
      <c r="V104" s="362" t="s">
        <v>3143</v>
      </c>
      <c r="W104" s="2"/>
      <c r="X104" s="2"/>
      <c r="Y104" s="2"/>
      <c r="Z104" s="2"/>
      <c r="AA104" s="2"/>
      <c r="AB104" s="2"/>
      <c r="AC104" s="2"/>
      <c r="AD104" s="2"/>
      <c r="AE104" s="2"/>
      <c r="AF104" s="2"/>
      <c r="AG104" s="2"/>
      <c r="AH104" s="2"/>
      <c r="AI104" s="2"/>
      <c r="AJ104" s="2"/>
      <c r="AK104" s="2"/>
      <c r="AL104" s="2"/>
      <c r="AM104" s="2"/>
      <c r="AN104" s="2"/>
      <c r="AO104" s="2"/>
      <c r="AP104" s="2"/>
      <c r="AQ104" s="2"/>
    </row>
    <row r="105" spans="1:43">
      <c r="A105" s="42"/>
      <c r="B105" s="42"/>
      <c r="C105" s="57"/>
      <c r="D105" s="2"/>
      <c r="E105" s="2"/>
      <c r="F105" s="2"/>
      <c r="G105" s="2"/>
      <c r="H105" s="2"/>
      <c r="I105" s="2"/>
      <c r="J105" s="2"/>
      <c r="K105" s="2"/>
      <c r="L105" s="2"/>
      <c r="M105" s="2"/>
      <c r="N105" s="2"/>
      <c r="O105" s="2"/>
      <c r="P105" s="350"/>
      <c r="Q105" s="354" t="s">
        <v>3144</v>
      </c>
      <c r="R105" s="314"/>
      <c r="S105" s="361" t="s">
        <v>3145</v>
      </c>
      <c r="T105" s="361"/>
      <c r="U105" s="353"/>
      <c r="V105" s="2"/>
      <c r="W105" s="2"/>
      <c r="X105" s="2"/>
      <c r="Y105" s="354" t="s">
        <v>3146</v>
      </c>
      <c r="Z105" s="314"/>
      <c r="AA105" s="353" t="s">
        <v>3147</v>
      </c>
      <c r="AB105" s="2"/>
      <c r="AC105" s="2"/>
      <c r="AD105" s="2"/>
      <c r="AE105" s="2"/>
      <c r="AF105" s="2"/>
      <c r="AG105" s="2"/>
      <c r="AH105" s="2"/>
      <c r="AI105" s="2"/>
      <c r="AJ105" s="2"/>
      <c r="AK105" s="2"/>
      <c r="AL105" s="2"/>
      <c r="AM105" s="2"/>
      <c r="AN105" s="2"/>
      <c r="AO105" s="2"/>
      <c r="AP105" s="2"/>
      <c r="AQ105" s="2"/>
    </row>
    <row r="106" spans="1:43">
      <c r="A106" s="42"/>
      <c r="B106" s="42"/>
      <c r="C106" s="57"/>
      <c r="D106" s="2"/>
      <c r="E106" s="2"/>
      <c r="F106" s="2"/>
      <c r="G106" s="2"/>
      <c r="H106" s="2"/>
      <c r="I106" s="2"/>
      <c r="J106" s="2"/>
      <c r="K106" s="2"/>
      <c r="L106" s="2"/>
      <c r="M106" s="2"/>
      <c r="N106" s="2"/>
      <c r="O106" s="2"/>
      <c r="P106" s="350"/>
      <c r="Q106" s="354" t="s">
        <v>3148</v>
      </c>
      <c r="R106" s="314"/>
      <c r="S106" s="361" t="s">
        <v>3149</v>
      </c>
      <c r="T106" s="361"/>
      <c r="U106" s="353"/>
      <c r="V106" s="2"/>
      <c r="W106" s="2"/>
      <c r="X106" s="2"/>
      <c r="Y106" s="354" t="s">
        <v>3150</v>
      </c>
      <c r="Z106" s="314"/>
      <c r="AA106" s="353" t="s">
        <v>3151</v>
      </c>
      <c r="AB106" s="2"/>
      <c r="AC106" s="2"/>
      <c r="AD106" s="2"/>
      <c r="AE106" s="2"/>
      <c r="AF106" s="2"/>
      <c r="AG106" s="2"/>
      <c r="AH106" s="2"/>
      <c r="AI106" s="2"/>
      <c r="AJ106" s="2"/>
      <c r="AK106" s="2"/>
      <c r="AL106" s="2"/>
      <c r="AM106" s="2"/>
      <c r="AN106" s="2"/>
      <c r="AO106" s="2"/>
      <c r="AP106" s="2"/>
      <c r="AQ106" s="2"/>
    </row>
    <row r="107" spans="1:43">
      <c r="A107" s="42"/>
      <c r="B107" s="42"/>
      <c r="C107" s="57"/>
      <c r="D107" s="2"/>
      <c r="E107" s="2"/>
      <c r="F107" s="2"/>
      <c r="G107" s="2"/>
      <c r="H107" s="2"/>
      <c r="I107" s="2"/>
      <c r="J107" s="2"/>
      <c r="K107" s="2"/>
      <c r="L107" s="2"/>
      <c r="M107" s="2"/>
      <c r="N107" s="2"/>
      <c r="O107" s="2"/>
      <c r="P107" s="350"/>
      <c r="Q107" s="354" t="s">
        <v>3152</v>
      </c>
      <c r="R107" s="314"/>
      <c r="S107" s="361" t="s">
        <v>3153</v>
      </c>
      <c r="T107" s="361"/>
      <c r="U107" s="353"/>
      <c r="V107" s="2"/>
      <c r="W107" s="2"/>
      <c r="X107" s="2"/>
      <c r="Y107" s="354" t="s">
        <v>3154</v>
      </c>
      <c r="Z107" s="314"/>
      <c r="AA107" s="353" t="s">
        <v>3155</v>
      </c>
      <c r="AB107" s="2"/>
      <c r="AC107" s="2"/>
      <c r="AD107" s="2"/>
      <c r="AE107" s="2"/>
      <c r="AF107" s="2"/>
      <c r="AG107" s="2"/>
      <c r="AH107" s="2"/>
      <c r="AI107" s="2"/>
      <c r="AJ107" s="2"/>
      <c r="AK107" s="2"/>
      <c r="AL107" s="2"/>
      <c r="AM107" s="2"/>
      <c r="AN107" s="2"/>
      <c r="AO107" s="2"/>
      <c r="AP107" s="2"/>
      <c r="AQ107" s="2"/>
    </row>
    <row r="108" spans="1:43">
      <c r="A108" s="42"/>
      <c r="B108" s="42"/>
      <c r="C108" s="57"/>
      <c r="D108" s="2"/>
      <c r="E108" s="2"/>
      <c r="F108" s="2"/>
      <c r="G108" s="2"/>
      <c r="H108" s="2"/>
      <c r="I108" s="2"/>
      <c r="J108" s="2"/>
      <c r="K108" s="2"/>
      <c r="L108" s="2"/>
      <c r="M108" s="2"/>
      <c r="N108" s="2"/>
      <c r="O108" s="2"/>
      <c r="P108" s="350"/>
      <c r="Q108" s="354" t="s">
        <v>3156</v>
      </c>
      <c r="R108" s="314"/>
      <c r="S108" s="361" t="s">
        <v>3157</v>
      </c>
      <c r="T108" s="361"/>
      <c r="U108" s="353"/>
      <c r="V108" s="2"/>
      <c r="W108" s="2"/>
      <c r="X108" s="2"/>
      <c r="Y108" s="354" t="s">
        <v>3158</v>
      </c>
      <c r="Z108" s="314"/>
      <c r="AA108" s="353" t="s">
        <v>3159</v>
      </c>
      <c r="AB108" s="2"/>
      <c r="AC108" s="2"/>
      <c r="AD108" s="2"/>
      <c r="AE108" s="2"/>
      <c r="AF108" s="2"/>
      <c r="AG108" s="2"/>
      <c r="AH108" s="2"/>
      <c r="AI108" s="2"/>
      <c r="AJ108" s="2"/>
      <c r="AK108" s="2"/>
      <c r="AL108" s="2"/>
      <c r="AM108" s="2"/>
      <c r="AN108" s="2"/>
      <c r="AO108" s="2"/>
      <c r="AP108" s="2"/>
      <c r="AQ108" s="2"/>
    </row>
    <row r="109" spans="1:43">
      <c r="A109" s="42"/>
      <c r="B109" s="42"/>
      <c r="C109" s="57"/>
      <c r="D109" s="2"/>
      <c r="E109" s="2"/>
      <c r="F109" s="2"/>
      <c r="G109" s="2"/>
      <c r="H109" s="2"/>
      <c r="I109" s="2"/>
      <c r="J109" s="2"/>
      <c r="K109" s="2"/>
      <c r="L109" s="2"/>
      <c r="M109" s="2"/>
      <c r="N109" s="2"/>
      <c r="O109" s="2"/>
      <c r="P109" s="350"/>
      <c r="Q109" s="354" t="s">
        <v>3160</v>
      </c>
      <c r="R109" s="314"/>
      <c r="S109" s="361" t="s">
        <v>3161</v>
      </c>
      <c r="T109" s="361"/>
      <c r="U109" s="353"/>
      <c r="V109" s="2"/>
      <c r="W109" s="2"/>
      <c r="X109" s="2"/>
      <c r="Y109" s="354" t="s">
        <v>3162</v>
      </c>
      <c r="Z109" s="314"/>
      <c r="AA109" s="353" t="s">
        <v>3163</v>
      </c>
      <c r="AB109" s="2"/>
      <c r="AC109" s="2"/>
      <c r="AD109" s="2"/>
      <c r="AE109" s="2"/>
      <c r="AF109" s="2"/>
      <c r="AG109" s="2"/>
      <c r="AH109" s="2"/>
      <c r="AI109" s="2"/>
      <c r="AJ109" s="2"/>
      <c r="AK109" s="2"/>
      <c r="AL109" s="2"/>
      <c r="AM109" s="2"/>
      <c r="AN109" s="2"/>
      <c r="AO109" s="2"/>
      <c r="AP109" s="2"/>
      <c r="AQ109" s="2"/>
    </row>
    <row r="110" spans="1:43">
      <c r="A110" s="42"/>
      <c r="B110" s="42"/>
      <c r="C110" s="57"/>
      <c r="D110" s="2"/>
      <c r="E110" s="2"/>
      <c r="F110" s="2"/>
      <c r="G110" s="2"/>
      <c r="H110" s="2"/>
      <c r="I110" s="2"/>
      <c r="J110" s="2"/>
      <c r="K110" s="2"/>
      <c r="L110" s="2"/>
      <c r="M110" s="2"/>
      <c r="N110" s="2"/>
      <c r="O110" s="2"/>
      <c r="P110" s="350"/>
      <c r="Q110" s="354" t="s">
        <v>3164</v>
      </c>
      <c r="R110" s="314"/>
      <c r="S110" s="361" t="s">
        <v>3165</v>
      </c>
      <c r="T110" s="361"/>
      <c r="U110" s="353"/>
      <c r="V110" s="2"/>
      <c r="W110" s="2"/>
      <c r="X110" s="2"/>
      <c r="Y110" s="354" t="s">
        <v>3166</v>
      </c>
      <c r="Z110" s="314"/>
      <c r="AA110" s="353" t="s">
        <v>3167</v>
      </c>
      <c r="AB110" s="2"/>
      <c r="AC110" s="2"/>
      <c r="AD110" s="2"/>
      <c r="AE110" s="2"/>
      <c r="AF110" s="2"/>
      <c r="AG110" s="2"/>
      <c r="AH110" s="2"/>
      <c r="AI110" s="2"/>
      <c r="AJ110" s="2"/>
      <c r="AK110" s="2"/>
      <c r="AL110" s="2"/>
      <c r="AM110" s="2"/>
      <c r="AN110" s="2"/>
      <c r="AO110" s="2"/>
      <c r="AP110" s="2"/>
      <c r="AQ110" s="2"/>
    </row>
    <row r="111" spans="1:43" ht="15" thickBot="1">
      <c r="A111" s="42"/>
      <c r="B111" s="42"/>
      <c r="C111" s="57"/>
      <c r="D111" s="2"/>
      <c r="E111" s="2"/>
      <c r="F111" s="2"/>
      <c r="G111" s="2"/>
      <c r="H111" s="2"/>
      <c r="I111" s="2"/>
      <c r="J111" s="2"/>
      <c r="K111" s="2"/>
      <c r="L111" s="2"/>
      <c r="M111" s="2"/>
      <c r="N111" s="2"/>
      <c r="O111" s="2"/>
      <c r="P111" s="350"/>
      <c r="Q111" s="2"/>
      <c r="R111" s="345"/>
      <c r="S111" s="356"/>
      <c r="T111" s="356"/>
      <c r="U111" s="357"/>
      <c r="V111" s="345"/>
      <c r="W111" s="345"/>
      <c r="X111" s="345"/>
      <c r="Y111" s="345"/>
      <c r="Z111" s="345"/>
      <c r="AA111" s="357" t="s">
        <v>3168</v>
      </c>
      <c r="AB111" s="345"/>
      <c r="AC111" s="345"/>
      <c r="AD111" s="345"/>
      <c r="AE111" s="345"/>
      <c r="AF111" s="345"/>
      <c r="AG111" s="345"/>
      <c r="AH111" s="345"/>
      <c r="AI111" s="345"/>
      <c r="AJ111" s="345"/>
      <c r="AK111" s="345"/>
      <c r="AL111" s="345"/>
      <c r="AM111" s="345"/>
      <c r="AN111" s="345"/>
      <c r="AO111" s="345"/>
      <c r="AP111" s="345"/>
      <c r="AQ111" s="2"/>
    </row>
    <row r="112" spans="1:43" ht="15.75" thickTop="1">
      <c r="A112" s="42"/>
      <c r="B112" s="42"/>
      <c r="C112" s="57"/>
      <c r="D112" s="2"/>
      <c r="E112" s="2"/>
      <c r="F112" s="2"/>
      <c r="G112" s="2"/>
      <c r="H112" s="2"/>
      <c r="I112" s="2"/>
      <c r="J112" s="2"/>
      <c r="K112" s="2"/>
      <c r="L112" s="2"/>
      <c r="M112" s="2"/>
      <c r="N112" s="2"/>
      <c r="O112" s="2"/>
      <c r="P112" s="350"/>
      <c r="Q112" s="2"/>
      <c r="R112" s="2"/>
      <c r="S112" s="342" t="s">
        <v>3169</v>
      </c>
      <c r="T112" s="3"/>
      <c r="U112" s="353"/>
      <c r="V112" s="2"/>
      <c r="W112" s="2"/>
      <c r="X112" s="2"/>
      <c r="Y112" s="2"/>
      <c r="Z112" s="2"/>
      <c r="AA112" s="2"/>
      <c r="AB112" s="2"/>
      <c r="AC112" s="2"/>
      <c r="AD112" s="2"/>
      <c r="AE112" s="2"/>
      <c r="AF112" s="2"/>
      <c r="AG112" s="2"/>
      <c r="AH112" s="2"/>
      <c r="AI112" s="2"/>
      <c r="AJ112" s="2"/>
      <c r="AK112" s="2"/>
      <c r="AL112" s="2"/>
      <c r="AM112" s="2"/>
      <c r="AN112" s="2"/>
      <c r="AO112" s="2"/>
      <c r="AP112" s="2"/>
      <c r="AQ112" s="2"/>
    </row>
    <row r="113" spans="1:43" ht="15" thickBot="1">
      <c r="A113" s="42"/>
      <c r="B113" s="42"/>
      <c r="C113" s="57"/>
      <c r="D113" s="2"/>
      <c r="E113" s="2"/>
      <c r="F113" s="2"/>
      <c r="G113" s="2"/>
      <c r="H113" s="2"/>
      <c r="I113" s="2"/>
      <c r="J113" s="2"/>
      <c r="K113" s="2"/>
      <c r="L113" s="2"/>
      <c r="M113" s="2"/>
      <c r="N113" s="2"/>
      <c r="O113" s="2"/>
      <c r="P113" s="350"/>
      <c r="Q113" s="2"/>
      <c r="R113" s="345"/>
      <c r="S113" s="376" t="s">
        <v>3170</v>
      </c>
      <c r="T113" s="356"/>
      <c r="U113" s="357"/>
      <c r="V113" s="345"/>
      <c r="W113" s="1003"/>
      <c r="X113" s="1004"/>
      <c r="Y113" s="375" t="s">
        <v>3171</v>
      </c>
      <c r="Z113" s="345"/>
      <c r="AA113" s="345"/>
      <c r="AB113" s="345"/>
      <c r="AC113" s="345"/>
      <c r="AD113" s="345"/>
      <c r="AE113" s="345"/>
      <c r="AF113" s="345"/>
      <c r="AG113" s="345"/>
      <c r="AH113" s="345"/>
      <c r="AI113" s="345"/>
      <c r="AJ113" s="345"/>
      <c r="AK113" s="345"/>
      <c r="AL113" s="345"/>
      <c r="AM113" s="345"/>
      <c r="AN113" s="345"/>
      <c r="AO113" s="345"/>
      <c r="AP113" s="345"/>
      <c r="AQ113" s="2"/>
    </row>
    <row r="114" spans="1:43" ht="15.75" thickTop="1">
      <c r="A114" s="42"/>
      <c r="B114" s="42"/>
      <c r="C114" s="57"/>
      <c r="D114" s="2"/>
      <c r="E114" s="2"/>
      <c r="F114" s="2"/>
      <c r="G114" s="2"/>
      <c r="H114" s="2"/>
      <c r="I114" s="2"/>
      <c r="J114" s="2"/>
      <c r="K114" s="2"/>
      <c r="L114" s="2"/>
      <c r="M114" s="2"/>
      <c r="N114" s="2"/>
      <c r="O114" s="2"/>
      <c r="P114" s="350"/>
      <c r="Q114" s="2"/>
      <c r="R114" s="2"/>
      <c r="S114" s="342" t="s">
        <v>3172</v>
      </c>
      <c r="T114" s="3"/>
      <c r="U114" s="353"/>
      <c r="V114" s="2"/>
      <c r="W114" s="2"/>
      <c r="X114" s="2"/>
      <c r="Y114" s="2"/>
      <c r="Z114" s="2"/>
      <c r="AA114" s="2"/>
      <c r="AB114" s="2"/>
      <c r="AC114" s="2"/>
      <c r="AD114" s="2"/>
      <c r="AE114" s="2"/>
      <c r="AF114" s="2"/>
      <c r="AG114" s="2"/>
      <c r="AH114" s="2"/>
      <c r="AI114" s="2"/>
      <c r="AJ114" s="2"/>
      <c r="AK114" s="2"/>
      <c r="AL114" s="2"/>
      <c r="AM114" s="2"/>
      <c r="AN114" s="2"/>
      <c r="AO114" s="2"/>
      <c r="AP114" s="2"/>
      <c r="AQ114" s="2"/>
    </row>
    <row r="115" spans="1:43" ht="15" thickBot="1">
      <c r="A115" s="42"/>
      <c r="B115" s="42"/>
      <c r="C115" s="57"/>
      <c r="D115" s="2"/>
      <c r="E115" s="2"/>
      <c r="F115" s="2"/>
      <c r="G115" s="2"/>
      <c r="H115" s="2"/>
      <c r="I115" s="2"/>
      <c r="J115" s="2"/>
      <c r="K115" s="2"/>
      <c r="L115" s="2"/>
      <c r="M115" s="2"/>
      <c r="N115" s="2"/>
      <c r="O115" s="2"/>
      <c r="P115" s="350"/>
      <c r="Q115" s="2"/>
      <c r="R115" s="345"/>
      <c r="S115" s="376" t="s">
        <v>3173</v>
      </c>
      <c r="T115" s="356"/>
      <c r="U115" s="357"/>
      <c r="V115" s="345"/>
      <c r="W115" s="345"/>
      <c r="X115" s="380"/>
      <c r="Y115" s="1005"/>
      <c r="Z115" s="1005"/>
      <c r="AA115" s="1006"/>
      <c r="AB115" s="378" t="s">
        <v>3174</v>
      </c>
      <c r="AC115" s="375"/>
      <c r="AD115" s="345"/>
      <c r="AE115" s="345"/>
      <c r="AF115" s="345"/>
      <c r="AG115" s="345"/>
      <c r="AH115" s="345"/>
      <c r="AI115" s="345"/>
      <c r="AJ115" s="345"/>
      <c r="AK115" s="345"/>
      <c r="AL115" s="345"/>
      <c r="AM115" s="345"/>
      <c r="AN115" s="345"/>
      <c r="AO115" s="345"/>
      <c r="AP115" s="345"/>
      <c r="AQ115" s="2"/>
    </row>
    <row r="116" spans="1:43" ht="15.75" thickTop="1">
      <c r="A116" s="42"/>
      <c r="B116" s="42"/>
      <c r="C116" s="57"/>
      <c r="D116" s="2"/>
      <c r="E116" s="2"/>
      <c r="F116" s="2"/>
      <c r="G116" s="2"/>
      <c r="H116" s="2"/>
      <c r="I116" s="2"/>
      <c r="J116" s="2"/>
      <c r="K116" s="2"/>
      <c r="L116" s="2"/>
      <c r="M116" s="2"/>
      <c r="N116" s="2"/>
      <c r="O116" s="2"/>
      <c r="P116" s="350"/>
      <c r="Q116" s="2"/>
      <c r="R116" s="2"/>
      <c r="S116" s="342"/>
      <c r="T116" s="3"/>
      <c r="U116" s="353"/>
      <c r="V116" s="374"/>
      <c r="W116" s="2"/>
      <c r="X116" s="383"/>
      <c r="Y116" s="355"/>
      <c r="Z116" s="377"/>
      <c r="AA116" s="2"/>
      <c r="AB116" s="383"/>
      <c r="AC116" s="383"/>
      <c r="AD116" s="383"/>
      <c r="AE116" s="383"/>
      <c r="AF116" s="2"/>
      <c r="AG116" s="2"/>
      <c r="AH116" s="2"/>
      <c r="AI116" s="2"/>
      <c r="AJ116" s="2"/>
      <c r="AK116" s="2"/>
      <c r="AL116" s="2"/>
      <c r="AM116" s="2"/>
      <c r="AN116" s="2"/>
      <c r="AO116" s="2"/>
      <c r="AP116" s="2"/>
      <c r="AQ116" s="2"/>
    </row>
    <row r="117" spans="1:43" ht="15.75" thickBot="1">
      <c r="A117" s="42"/>
      <c r="B117" s="42"/>
      <c r="C117" s="57"/>
      <c r="D117" s="2"/>
      <c r="E117" s="2"/>
      <c r="F117" s="2"/>
      <c r="G117" s="2"/>
      <c r="H117" s="2"/>
      <c r="I117" s="2"/>
      <c r="J117" s="2"/>
      <c r="K117" s="2"/>
      <c r="L117" s="2"/>
      <c r="M117" s="2"/>
      <c r="N117" s="2"/>
      <c r="O117" s="2"/>
      <c r="P117" s="350"/>
      <c r="Q117" s="2"/>
      <c r="R117" s="345"/>
      <c r="S117" s="379" t="s">
        <v>3175</v>
      </c>
      <c r="T117" s="356"/>
      <c r="U117" s="357"/>
      <c r="V117" s="376" t="s">
        <v>3176</v>
      </c>
      <c r="W117" s="345"/>
      <c r="X117" s="381"/>
      <c r="Y117" s="382"/>
      <c r="Z117" s="375" t="s">
        <v>3177</v>
      </c>
      <c r="AA117" s="380"/>
      <c r="AB117" s="999"/>
      <c r="AC117" s="1000"/>
      <c r="AD117" s="1000"/>
      <c r="AE117" s="1001"/>
      <c r="AF117" s="345"/>
      <c r="AG117" s="345"/>
      <c r="AH117" s="345"/>
      <c r="AI117" s="345"/>
      <c r="AJ117" s="345"/>
      <c r="AK117" s="345"/>
      <c r="AL117" s="345"/>
      <c r="AM117" s="345"/>
      <c r="AN117" s="345"/>
      <c r="AO117" s="345"/>
      <c r="AP117" s="345"/>
      <c r="AQ117" s="2"/>
    </row>
    <row r="118" spans="1:43" ht="15" thickTop="1">
      <c r="A118" s="42"/>
      <c r="B118" s="42"/>
      <c r="C118" s="57"/>
      <c r="D118" s="2"/>
      <c r="E118" s="2"/>
      <c r="F118" s="2"/>
      <c r="G118" s="2"/>
      <c r="H118" s="2"/>
      <c r="I118" s="2"/>
      <c r="J118" s="2"/>
      <c r="K118" s="2"/>
      <c r="L118" s="2"/>
      <c r="M118" s="2"/>
      <c r="N118" s="2"/>
      <c r="O118" s="2"/>
      <c r="P118" s="350"/>
      <c r="Q118" s="2"/>
      <c r="R118" s="2"/>
      <c r="S118" s="3"/>
      <c r="T118" s="3"/>
      <c r="U118" s="353"/>
      <c r="V118" s="2"/>
      <c r="W118" s="2"/>
      <c r="X118" s="2"/>
      <c r="Y118" s="2"/>
      <c r="Z118" s="2"/>
      <c r="AA118" s="2"/>
      <c r="AB118" s="2"/>
      <c r="AC118" s="2"/>
      <c r="AD118" s="2"/>
      <c r="AE118" s="2"/>
      <c r="AF118" s="2"/>
      <c r="AG118" s="2"/>
      <c r="AH118" s="2"/>
      <c r="AI118" s="2"/>
      <c r="AJ118" s="2"/>
      <c r="AK118" s="2"/>
      <c r="AL118" s="2"/>
      <c r="AM118" s="2"/>
      <c r="AN118" s="2"/>
      <c r="AO118" s="2"/>
      <c r="AP118" s="2"/>
      <c r="AQ118" s="2"/>
    </row>
    <row r="119" spans="1:43">
      <c r="A119" s="42"/>
      <c r="B119" s="42"/>
      <c r="C119" s="57"/>
      <c r="D119" s="2"/>
      <c r="E119" s="2"/>
      <c r="F119" s="2"/>
      <c r="G119" s="2"/>
      <c r="H119" s="2"/>
      <c r="I119" s="2"/>
      <c r="J119" s="2"/>
      <c r="K119" s="2"/>
      <c r="L119" s="2"/>
      <c r="M119" s="2"/>
      <c r="N119" s="2"/>
      <c r="O119" s="2"/>
      <c r="P119" s="350"/>
      <c r="Q119" s="2"/>
      <c r="R119" s="2"/>
      <c r="S119" s="3"/>
      <c r="T119" s="3"/>
      <c r="U119" s="353"/>
      <c r="V119" s="2"/>
      <c r="W119" s="2"/>
      <c r="X119" s="2"/>
      <c r="Y119" s="2"/>
      <c r="Z119" s="2"/>
      <c r="AA119" s="2"/>
      <c r="AB119" s="2"/>
      <c r="AC119" s="2"/>
      <c r="AD119" s="2"/>
      <c r="AE119" s="2"/>
      <c r="AF119" s="2"/>
      <c r="AG119" s="2"/>
      <c r="AH119" s="2"/>
      <c r="AI119" s="2"/>
      <c r="AJ119" s="2"/>
      <c r="AK119" s="2"/>
      <c r="AL119" s="2"/>
      <c r="AM119" s="2"/>
      <c r="AN119" s="2"/>
      <c r="AO119" s="2"/>
      <c r="AP119" s="2"/>
      <c r="AQ119" s="2"/>
    </row>
    <row r="120" spans="1:43">
      <c r="A120" s="42"/>
      <c r="B120" s="42"/>
      <c r="C120" s="57"/>
      <c r="D120" s="2"/>
      <c r="E120" s="2"/>
      <c r="F120" s="2"/>
      <c r="G120" s="2"/>
      <c r="H120" s="2"/>
      <c r="I120" s="2"/>
      <c r="J120" s="2"/>
      <c r="K120" s="2"/>
      <c r="L120" s="2"/>
      <c r="M120" s="2"/>
      <c r="N120" s="2"/>
      <c r="O120" s="2"/>
      <c r="P120" s="350"/>
      <c r="Q120" s="2"/>
      <c r="R120" s="2"/>
      <c r="S120" s="3"/>
      <c r="T120" s="3"/>
      <c r="U120" s="353"/>
      <c r="V120" s="2"/>
      <c r="W120" s="2"/>
      <c r="X120" s="2"/>
      <c r="Y120" s="2"/>
      <c r="Z120" s="2"/>
      <c r="AA120" s="2"/>
      <c r="AB120" s="2"/>
      <c r="AC120" s="2"/>
      <c r="AD120" s="2"/>
      <c r="AE120" s="2"/>
      <c r="AF120" s="2"/>
      <c r="AG120" s="2"/>
      <c r="AH120" s="2"/>
      <c r="AI120" s="2"/>
      <c r="AJ120" s="2"/>
      <c r="AK120" s="2"/>
      <c r="AL120" s="2"/>
      <c r="AM120" s="2"/>
      <c r="AN120" s="2"/>
      <c r="AO120" s="2"/>
      <c r="AP120" s="2"/>
      <c r="AQ120" s="2"/>
    </row>
    <row r="121" spans="1:43">
      <c r="A121" s="42"/>
      <c r="B121" s="42"/>
      <c r="C121" s="57"/>
      <c r="D121" s="2"/>
      <c r="E121" s="2"/>
      <c r="F121" s="2"/>
      <c r="G121" s="2"/>
      <c r="H121" s="2"/>
      <c r="I121" s="2"/>
      <c r="J121" s="2"/>
      <c r="K121" s="2"/>
      <c r="L121" s="2"/>
      <c r="M121" s="2"/>
      <c r="N121" s="2"/>
      <c r="O121" s="2"/>
      <c r="P121" s="350"/>
      <c r="Q121" s="558"/>
      <c r="R121" s="558"/>
      <c r="S121" s="558"/>
      <c r="T121" s="558"/>
      <c r="U121" s="558"/>
      <c r="V121" s="558"/>
      <c r="W121" s="558"/>
      <c r="X121" s="558"/>
      <c r="Y121" s="558"/>
      <c r="Z121" s="558"/>
      <c r="AA121" s="558"/>
      <c r="AB121" s="558"/>
      <c r="AC121" s="558"/>
      <c r="AD121" s="558"/>
      <c r="AE121" s="558"/>
      <c r="AF121" s="2"/>
      <c r="AG121" s="2"/>
      <c r="AH121" s="2"/>
      <c r="AI121" s="2"/>
      <c r="AJ121" s="2"/>
      <c r="AK121" s="2"/>
      <c r="AL121" s="2"/>
      <c r="AM121" s="2"/>
      <c r="AN121" s="2"/>
      <c r="AO121" s="2"/>
      <c r="AP121" s="2"/>
      <c r="AQ121" s="2"/>
    </row>
    <row r="122" spans="1:43">
      <c r="A122" s="42"/>
      <c r="B122" s="42"/>
      <c r="C122" s="57"/>
      <c r="D122" s="2"/>
      <c r="E122" s="2"/>
      <c r="F122" s="2"/>
      <c r="G122" s="2"/>
      <c r="H122" s="2"/>
      <c r="I122" s="2"/>
      <c r="J122" s="2"/>
      <c r="K122" s="2"/>
      <c r="L122" s="2"/>
      <c r="M122" s="2"/>
      <c r="N122" s="2"/>
      <c r="O122" s="2"/>
      <c r="P122" s="350"/>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1:43">
      <c r="A123" s="604"/>
      <c r="B123" s="2"/>
      <c r="C123" s="558" t="str">
        <f>CONCATENATE("AVA 00 01 - Aviation Coverage Form"," AVA - Forms Schedule, ",C3,C4,C5,C6,C7,C8,C9,C10,C11,C12,C13,C14,C15,C16,C17,C18,C19,C20,C21,C22,C23,C24,C25,C26,C27,C28,C29,C30,C31,C32,C33,C34,C35,C36,C37,C38,C39,C40,C41,C42,C43,C44,C45,C46,C47,C48,C49,C50,C51,C52,C53,C54,C56,C55,C57,C58,C59,C60,C61,C62,C63,C64,C65,"and any specific state amendatory endorsements or notices.")</f>
        <v>AVA 00 01 - Aviation Coverage Form AVA - Forms Schedule, AVA 00 55-Aerial Photography, AVA 00 56-Aerial Surveillance, AVA 00 59-Aircraft Trailer Physical Damage Coverage, AVA 00 63-Broad Coverage, AVA 00 64-Cargo Liability, AVA 00 66-Emergency or Unexpected Landing, AVA 00 71-Floats Clause, AVA 00 85-Non owned Aircraft - Liability, AVA 00 90-Passenger Voluntary Settlement, AVA 00 93-Pilot Clause, AVA 00 98-Purpose of Use, AVA 01 03-Search &amp; Rescue Wreck Removal Expense Liability Ins. Supplemental Payments, AVA 01 02-Runway or Aircraft Foaming - Supplemental Payments, AVA 01 06-Student and Renter Pilot Liability, AVA 01 09-Unmanned Aerial Vehicle Endorsement, AVA 01 11-Work in Progress, AV 00 09-Extended Coverage-Certified Acts of Terrorism Coverage, and any specific state amendatory endorsements or notices.</v>
      </c>
      <c r="D123" s="558"/>
      <c r="E123" s="558"/>
      <c r="F123" s="558"/>
      <c r="G123" s="558"/>
      <c r="H123" s="558"/>
      <c r="I123" s="558"/>
      <c r="J123" s="558"/>
      <c r="K123" s="558"/>
      <c r="L123" s="558"/>
      <c r="M123" s="558"/>
      <c r="N123" s="558"/>
      <c r="O123" s="558"/>
      <c r="P123" s="558"/>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1:43" hidden="1">
      <c r="A124" s="2"/>
      <c r="B124" s="2"/>
      <c r="C124" s="2"/>
      <c r="D124" s="2"/>
      <c r="E124" s="2"/>
      <c r="F124" s="2"/>
      <c r="G124" s="2"/>
      <c r="H124" s="2"/>
      <c r="I124" s="2"/>
      <c r="J124" s="2"/>
      <c r="K124" s="2"/>
      <c r="L124" s="2"/>
      <c r="M124" s="2"/>
      <c r="N124" s="2"/>
      <c r="O124" s="2"/>
      <c r="P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1:43" hidden="1">
      <c r="A125" s="2"/>
      <c r="B125" s="2"/>
      <c r="C125" s="2"/>
      <c r="D125" s="2"/>
      <c r="E125" s="2"/>
      <c r="F125" s="2"/>
      <c r="G125" s="2"/>
      <c r="H125" s="2"/>
      <c r="I125" s="2"/>
      <c r="J125" s="2"/>
      <c r="K125" s="2"/>
      <c r="L125" s="2"/>
      <c r="M125" s="2"/>
      <c r="N125" s="2"/>
      <c r="O125" s="2"/>
      <c r="P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1:43" hidden="1">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1:43" hidden="1">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1:43" hidden="1">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19:43" hidden="1">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19:43" hidden="1">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19:43" hidden="1">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19:43" hidden="1">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19:43" hidden="1">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19:43" hidden="1">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19:43" hidden="1">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19:43" hidden="1">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19:43" hidden="1">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19:43" hidden="1">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19:43" hidden="1">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19:43" hidden="1">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19:43" hidden="1">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19:43" hidden="1">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19:43" hidden="1">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19:43" hidden="1">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19:43" hidden="1">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19:43" hidden="1">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19:43" hidden="1">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19:43" hidden="1">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19:43" hidden="1">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19:43" hidden="1">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19:43" hidden="1">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19:43" hidden="1">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19:43" hidden="1">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19:43" hidden="1">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19:43" hidden="1">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19:43" hidden="1">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19:43" hidden="1">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19:43" hidden="1">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19:43" hidden="1">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19:43" hidden="1">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19:43" hidden="1">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19:43" hidden="1">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19:43" hidden="1">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19:43" hidden="1">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19:43" hidden="1">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19:43" hidden="1">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19:43" hidden="1">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19:43" hidden="1">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19:43" hidden="1">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19:43" hidden="1">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19:43" hidden="1">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19:43" hidden="1">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19:43" hidden="1">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19:43" hidden="1">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19:43" hidden="1">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19:43" hidden="1">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19:43" hidden="1">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19:43" hidden="1">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19:43" hidden="1">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19:43" hidden="1">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19:43" hidden="1">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19:43" hidden="1">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19:43" hidden="1">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19:43" hidden="1">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19:43" hidden="1">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19:43" hidden="1">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19:43" hidden="1">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19:43" hidden="1">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19:43" hidden="1">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19:43" hidden="1">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19:43" hidden="1">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19:43" hidden="1">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19:43" hidden="1">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19:43" hidden="1">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19:43" hidden="1">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19:43" hidden="1">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19:43" hidden="1">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19:43" hidden="1">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19:43" hidden="1">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19:43" hidden="1">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19:43" hidden="1">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19:43" hidden="1">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19:43" hidden="1">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19:43" hidden="1">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19:43" hidden="1">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19:43" hidden="1">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19:43" hidden="1">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19:43" hidden="1">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19:43" hidden="1">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19:43" hidden="1">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19:43" hidden="1">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19:43" hidden="1">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19:43" hidden="1">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19:43" hidden="1">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19:43" hidden="1">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19:43" hidden="1">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19:43" hidden="1">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19:43" hidden="1">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19:43" hidden="1">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19:43" hidden="1">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19:43" hidden="1">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19:43" hidden="1">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19:43" hidden="1">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19:43" hidden="1">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19:43" hidden="1">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19:43" hidden="1">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19:43" hidden="1">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19:43" hidden="1">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19:43" hidden="1">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19:43" hidden="1">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19:43" hidden="1">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19:43" hidden="1">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19:43" hidden="1">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19:43" hidden="1">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19:43" hidden="1">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19:43" hidden="1">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19:43" hidden="1">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19:43" hidden="1">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19:43" hidden="1">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19:43" hidden="1">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19:43" hidden="1">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19:43" hidden="1">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19:43" hidden="1">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19:43" hidden="1">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19:43" hidden="1">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19:43" hidden="1">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19:43" hidden="1">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19:43" hidden="1">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19:43" hidden="1">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19:43" hidden="1">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19:43" hidden="1">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19:43" hidden="1">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19:43" hidden="1">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19:43" hidden="1">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19:43" hidden="1">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19:43" hidden="1">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9:43" hidden="1">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9:43" hidden="1">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9:43" hidden="1">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9:43" hidden="1">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9:43" hidden="1">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9:43" hidden="1">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9:43" hidden="1">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9:43" hidden="1">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9:43" hidden="1">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9:43" hidden="1">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9:43" hidden="1">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9:43" hidden="1">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9:43" hidden="1">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9:43" hidden="1">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9:43" hidden="1">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9:43" hidden="1">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9:43" hidden="1">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9:43" hidden="1">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9:43" hidden="1">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9:43" hidden="1">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9:43" hidden="1">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9:43" hidden="1">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9:43" hidden="1">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9:43" hidden="1">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9:43" hidden="1">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9:43" hidden="1">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9:43" hidden="1">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9:43" hidden="1">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9:43" hidden="1">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9:43" hidden="1">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9:43" hidden="1">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9:43" hidden="1">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9:43" hidden="1">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9:43" hidden="1">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9:43" hidden="1">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9:43" hidden="1">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9:43" hidden="1">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9:43" hidden="1">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9:43" hidden="1">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9:43" hidden="1">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9:43" hidden="1">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9:43" hidden="1">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9:43" hidden="1">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9:43" hidden="1">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9:43" hidden="1">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9:43" hidden="1">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9:43" hidden="1">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9:43" hidden="1">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9:43" hidden="1">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9:43" hidden="1">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9:43" hidden="1">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9:43" hidden="1">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9:43" hidden="1">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9:43" hidden="1">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9:43" hidden="1">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9:43" hidden="1">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9:43" hidden="1">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9:43" hidden="1">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9:43" hidden="1">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9:43" hidden="1">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9:43" hidden="1">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9:43" hidden="1">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9:43" hidden="1">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9:43" hidden="1">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9:43" hidden="1">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9:43" hidden="1">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9:43" hidden="1">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9:43" hidden="1">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9:43" hidden="1">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9:43" hidden="1">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9:43" hidden="1">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9:43" hidden="1">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9:43" hidden="1">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9:43" hidden="1">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9:43" hidden="1">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9:43" hidden="1">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9:43" hidden="1">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9:43" hidden="1">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9:43" hidden="1">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9:43" hidden="1">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9:43" hidden="1">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9:43" hidden="1">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9:43" hidden="1">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9:43" hidden="1">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9:43" hidden="1">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9:43" hidden="1">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9:43" hidden="1">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9:43" hidden="1">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9:43" hidden="1">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9:43" hidden="1">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9:43" hidden="1">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9:43" hidden="1">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9:43" hidden="1">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9:43" hidden="1">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9:43" hidden="1">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9:43" hidden="1">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9:43" hidden="1">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9:43" hidden="1">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9:43" hidden="1">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9:43" hidden="1">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9:43" hidden="1">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9:43" hidden="1">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9:43" hidden="1">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9:43" hidden="1">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9:43" hidden="1">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9:43" hidden="1">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9:43" hidden="1">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9:43" hidden="1">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9:43" hidden="1">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9:43" hidden="1">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9:43" hidden="1">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9:43" hidden="1">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9:43" hidden="1">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9:43" hidden="1">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9:43" hidden="1">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9:43" hidden="1">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9:43" hidden="1">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9:43" hidden="1">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9:43" hidden="1">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9:43" hidden="1">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9:43" hidden="1">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9:43" hidden="1">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9:43" hidden="1">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9:43" hidden="1">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9:43" hidden="1">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9:43" hidden="1">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9:43" hidden="1">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9:43" hidden="1">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9:43" hidden="1">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9:43" hidden="1">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9:43" hidden="1">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9:43" hidden="1">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9:43" hidden="1">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9:43" hidden="1">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9:43" hidden="1">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9:43" hidden="1">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9:43" hidden="1">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9:43" hidden="1">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9:43" hidden="1">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9:43" hidden="1">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9:43" hidden="1">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9:43" hidden="1">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9:43" hidden="1">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9:43" hidden="1">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9:43" hidden="1">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9:43" hidden="1">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9:43" hidden="1">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9:43" hidden="1">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9:43" hidden="1">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9:43" hidden="1">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9:43" hidden="1">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9:43" hidden="1">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9:43" hidden="1">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9:43" hidden="1">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9:43" hidden="1">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9:43" hidden="1">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9:43" hidden="1">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9:43" hidden="1">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9:43" hidden="1">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9:43" hidden="1">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9:43" hidden="1">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9:43" hidden="1">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9:43" hidden="1">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9:43" hidden="1">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9:43" hidden="1">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9:43" hidden="1">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9:43" hidden="1">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9:43" hidden="1">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9:43" hidden="1">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9:43" hidden="1">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9:43" hidden="1">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9:43" hidden="1">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9:43" hidden="1">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9:43" hidden="1">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9:43" hidden="1">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9:43" hidden="1">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9:43" hidden="1">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9:43" hidden="1">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9:43" hidden="1">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9:43" hidden="1">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9:43" hidden="1">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9:43" hidden="1">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9:43" hidden="1">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9:43" hidden="1">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9:43" hidden="1">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9:43" hidden="1">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9:43" hidden="1">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9:43" hidden="1">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9:43" hidden="1">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9:43" hidden="1">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9:43" hidden="1">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9:43" hidden="1">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9:43" hidden="1">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9:43" hidden="1">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9:43" hidden="1">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9:43" hidden="1">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9:43" hidden="1">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9:43" hidden="1">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9:43" hidden="1">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9:43" hidden="1">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9:43" hidden="1">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9:43" hidden="1">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9:43" hidden="1">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9:43" hidden="1">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9:43" hidden="1">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9:43" hidden="1">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9:43" hidden="1">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9:43" hidden="1">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9:43" hidden="1">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9:43" hidden="1">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9:43" hidden="1">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9:43" hidden="1">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9:43" hidden="1">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9:43" hidden="1">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9:43" hidden="1">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9:43" hidden="1">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9:43" hidden="1">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9:43" hidden="1">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9:43" hidden="1">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9:43" hidden="1">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9:43" hidden="1">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9:43" hidden="1">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9:43" hidden="1">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9:43" hidden="1">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9:43" hidden="1">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9:43" hidden="1">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9:43" hidden="1">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9:43" hidden="1">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9:43" hidden="1">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9:43" hidden="1">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9:43" hidden="1">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9:43" hidden="1">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9:43" hidden="1">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9:43" hidden="1">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9:43" hidden="1">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9:43" hidden="1">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9:43" hidden="1">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9:43" hidden="1">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9:43" hidden="1">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9:43" hidden="1">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9:43" hidden="1">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9:43" hidden="1">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9:43" hidden="1">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9:43" hidden="1">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9:43" hidden="1">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9:43" hidden="1">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9:43" hidden="1">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9:43" hidden="1">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9:43" hidden="1">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9:43" hidden="1">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9:43" hidden="1">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9:43" hidden="1">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9:43" hidden="1">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9:43" hidden="1">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9:43" hidden="1">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9:43" hidden="1">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9:43" hidden="1">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9:43" hidden="1">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9:43" hidden="1">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9:43" hidden="1">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9:43" hidden="1">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9:43" hidden="1">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9:43" hidden="1">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9:43" hidden="1">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9:43" hidden="1">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9:43" hidden="1">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9:43" hidden="1">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9:43" hidden="1">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9:43" hidden="1">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9:43" hidden="1">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9:43" hidden="1">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9:43" hidden="1">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9:43" hidden="1">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9:43" hidden="1">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9:43" hidden="1">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9:43" hidden="1">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9:43" hidden="1">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9:43" hidden="1">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9:43" hidden="1">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9:43" hidden="1">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9:43" hidden="1">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9:43" hidden="1">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9:43" hidden="1">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9:43" hidden="1">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9:43" hidden="1">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9:43" hidden="1">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9:43" hidden="1">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9:43" hidden="1">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9:43" hidden="1">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9:43" hidden="1">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9:43" hidden="1">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9:43" hidden="1">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9:43" hidden="1">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9:43" hidden="1">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9:43" hidden="1">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9:43" hidden="1">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9:43" hidden="1">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9:43" hidden="1">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9:43" hidden="1">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9:43" hidden="1">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9:43" hidden="1">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9:43" hidden="1">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9:43" hidden="1">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9:43" hidden="1">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9:43" hidden="1">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9:43" hidden="1">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9:43" hidden="1">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9:43" hidden="1">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9:43" hidden="1">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9:43" hidden="1">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9:43" hidden="1">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9:43" hidden="1">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9:43" hidden="1">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9:43" hidden="1">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9:43" hidden="1">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9:43" hidden="1">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9:43" hidden="1">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9:43" hidden="1">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9:43" hidden="1">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9:43" hidden="1">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9:43" hidden="1">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9:43" hidden="1">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9:43" hidden="1">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9:43" hidden="1">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9:43" hidden="1">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9:43" hidden="1">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9:43" hidden="1">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9:43" hidden="1">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9:43" hidden="1">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9:43" hidden="1">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9:43" hidden="1">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9:43" hidden="1">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9:43" hidden="1">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9:43" hidden="1">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9:43" hidden="1">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9:43" hidden="1">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9:43" hidden="1">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9:43" hidden="1">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9:43" hidden="1">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9:43" hidden="1">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9:43" hidden="1">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9:43" hidden="1">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9:43" hidden="1">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9:43" hidden="1">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9:43" hidden="1">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9:43" hidden="1">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9:43" hidden="1">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9:43" hidden="1">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9:43" hidden="1">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9:43" hidden="1">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9:43" hidden="1">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9:43" hidden="1">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9:43" hidden="1">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9:43" hidden="1">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9:43" hidden="1">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9:43" hidden="1">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9:43" hidden="1">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9:43" hidden="1">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sheetData>
  <sheetProtection algorithmName="SHA-512" hashValue="ZEB01tLDg1aD0qvwKLUPTaYEL+flDjzUZhg21BDzakUwoi1/1pwntgmVfhlS5/WtuYHWDCIvAos09TnbIIX7Rw==" saltValue="pUxEKajFz0kq4N13xVxXnQ==" spinCount="100000" sheet="1" objects="1" scenarios="1"/>
  <protectedRanges>
    <protectedRange sqref="X32:X33 X35 X37:X38" name="Range1"/>
  </protectedRanges>
  <mergeCells count="64">
    <mergeCell ref="AB117:AE117"/>
    <mergeCell ref="T102:AB102"/>
    <mergeCell ref="W113:X113"/>
    <mergeCell ref="Y115:AA115"/>
    <mergeCell ref="Z101:AB101"/>
    <mergeCell ref="T101:U101"/>
    <mergeCell ref="W101:X101"/>
    <mergeCell ref="U97:AB97"/>
    <mergeCell ref="Z98:AB98"/>
    <mergeCell ref="Z99:AB99"/>
    <mergeCell ref="Z100:AB100"/>
    <mergeCell ref="T99:U99"/>
    <mergeCell ref="T100:U100"/>
    <mergeCell ref="W99:X99"/>
    <mergeCell ref="W100:X100"/>
    <mergeCell ref="W98:X98"/>
    <mergeCell ref="E2:G2"/>
    <mergeCell ref="A14:B14"/>
    <mergeCell ref="T5:U5"/>
    <mergeCell ref="V6:W6"/>
    <mergeCell ref="S6:T6"/>
    <mergeCell ref="V5:W5"/>
    <mergeCell ref="T9:U9"/>
    <mergeCell ref="S11:T11"/>
    <mergeCell ref="T12:AC13"/>
    <mergeCell ref="AB94:AC94"/>
    <mergeCell ref="S57:T57"/>
    <mergeCell ref="Z61:AA61"/>
    <mergeCell ref="AA66:AB66"/>
    <mergeCell ref="V78:X78"/>
    <mergeCell ref="Z80:AA80"/>
    <mergeCell ref="U83:X83"/>
    <mergeCell ref="U85:V85"/>
    <mergeCell ref="W85:X85"/>
    <mergeCell ref="S89:AA92"/>
    <mergeCell ref="V94:X94"/>
    <mergeCell ref="U84:V84"/>
    <mergeCell ref="AP25:AQ25"/>
    <mergeCell ref="AA25:AB25"/>
    <mergeCell ref="AF25:AG25"/>
    <mergeCell ref="AK25:AL25"/>
    <mergeCell ref="V25:W25"/>
    <mergeCell ref="AO26:AO28"/>
    <mergeCell ref="AP26:AQ28"/>
    <mergeCell ref="AF26:AG28"/>
    <mergeCell ref="AI26:AI28"/>
    <mergeCell ref="AJ26:AJ28"/>
    <mergeCell ref="AK26:AL28"/>
    <mergeCell ref="AN26:AN28"/>
    <mergeCell ref="AD26:AD28"/>
    <mergeCell ref="AE26:AE28"/>
    <mergeCell ref="X31:Y31"/>
    <mergeCell ref="S31:U31"/>
    <mergeCell ref="Z26:Z28"/>
    <mergeCell ref="T26:T28"/>
    <mergeCell ref="U26:U28"/>
    <mergeCell ref="V26:W28"/>
    <mergeCell ref="Y26:Y28"/>
    <mergeCell ref="AA26:AB28"/>
    <mergeCell ref="AE91:AF91"/>
    <mergeCell ref="AJ91:AN91"/>
    <mergeCell ref="W84:X84"/>
    <mergeCell ref="U47:W47"/>
    <mergeCell ref="X50:Y50"/>
  </mergeCells>
  <conditionalFormatting sqref="A3:A65">
    <cfRule type="expression" dxfId="227" priority="317">
      <formula>A3="X"</formula>
    </cfRule>
  </conditionalFormatting>
  <conditionalFormatting sqref="B51">
    <cfRule type="expression" dxfId="226" priority="1">
      <formula>$A$51&lt;&gt;"X"</formula>
    </cfRule>
  </conditionalFormatting>
  <conditionalFormatting sqref="S57">
    <cfRule type="expression" dxfId="225" priority="275">
      <formula>S57="X"</formula>
    </cfRule>
  </conditionalFormatting>
  <conditionalFormatting sqref="T5">
    <cfRule type="expression" dxfId="224" priority="314">
      <formula>T5="X"</formula>
    </cfRule>
  </conditionalFormatting>
  <conditionalFormatting sqref="T9">
    <cfRule type="expression" dxfId="223" priority="310">
      <formula>T9="X"</formula>
    </cfRule>
  </conditionalFormatting>
  <conditionalFormatting sqref="T61:T62">
    <cfRule type="expression" dxfId="222" priority="271">
      <formula>T61="X"</formula>
    </cfRule>
  </conditionalFormatting>
  <conditionalFormatting sqref="T66">
    <cfRule type="expression" dxfId="221" priority="267">
      <formula>T66="X"</formula>
    </cfRule>
  </conditionalFormatting>
  <conditionalFormatting sqref="T71">
    <cfRule type="expression" dxfId="220" priority="259">
      <formula>T71="X"</formula>
    </cfRule>
  </conditionalFormatting>
  <conditionalFormatting sqref="T73">
    <cfRule type="expression" dxfId="219" priority="253">
      <formula>T73="X"</formula>
    </cfRule>
  </conditionalFormatting>
  <conditionalFormatting sqref="T99:T101">
    <cfRule type="expression" dxfId="218" priority="161">
      <formula>T99="X"</formula>
    </cfRule>
  </conditionalFormatting>
  <conditionalFormatting sqref="T26:V26">
    <cfRule type="expression" dxfId="217" priority="283">
      <formula>T26="X"</formula>
    </cfRule>
  </conditionalFormatting>
  <conditionalFormatting sqref="U4">
    <cfRule type="expression" dxfId="216" priority="315">
      <formula>U4="X"</formula>
    </cfRule>
  </conditionalFormatting>
  <conditionalFormatting sqref="U6">
    <cfRule type="expression" dxfId="215" priority="311">
      <formula>U6="X"</formula>
    </cfRule>
  </conditionalFormatting>
  <conditionalFormatting sqref="U11">
    <cfRule type="expression" dxfId="214" priority="305">
      <formula>U11="X"</formula>
    </cfRule>
  </conditionalFormatting>
  <conditionalFormatting sqref="U47">
    <cfRule type="expression" dxfId="213" priority="281">
      <formula>U47="X"</formula>
    </cfRule>
  </conditionalFormatting>
  <conditionalFormatting sqref="U75:U76">
    <cfRule type="expression" dxfId="212" priority="255">
      <formula>U75="X"</formula>
    </cfRule>
  </conditionalFormatting>
  <conditionalFormatting sqref="U85">
    <cfRule type="expression" dxfId="211" priority="225">
      <formula>U85="X"</formula>
    </cfRule>
  </conditionalFormatting>
  <conditionalFormatting sqref="U97">
    <cfRule type="expression" dxfId="210" priority="95">
      <formula>U97="X"</formula>
    </cfRule>
  </conditionalFormatting>
  <conditionalFormatting sqref="V7">
    <cfRule type="expression" dxfId="209" priority="306">
      <formula>V7="X"</formula>
    </cfRule>
  </conditionalFormatting>
  <conditionalFormatting sqref="V69">
    <cfRule type="expression" dxfId="208" priority="261">
      <formula>V69="X"</formula>
    </cfRule>
  </conditionalFormatting>
  <conditionalFormatting sqref="V78">
    <cfRule type="expression" dxfId="207" priority="249">
      <formula>V78="X"</formula>
    </cfRule>
  </conditionalFormatting>
  <conditionalFormatting sqref="V88 S88:S89">
    <cfRule type="expression" dxfId="206" priority="221">
      <formula>S88="X"</formula>
    </cfRule>
  </conditionalFormatting>
  <conditionalFormatting sqref="V94">
    <cfRule type="expression" dxfId="205" priority="215">
      <formula>V94="X"</formula>
    </cfRule>
  </conditionalFormatting>
  <conditionalFormatting sqref="W9">
    <cfRule type="expression" dxfId="204" priority="309">
      <formula>W9="X"</formula>
    </cfRule>
  </conditionalFormatting>
  <conditionalFormatting sqref="W85">
    <cfRule type="expression" dxfId="203" priority="223">
      <formula>W85="X"</formula>
    </cfRule>
  </conditionalFormatting>
  <conditionalFormatting sqref="W99:W101">
    <cfRule type="expression" dxfId="202" priority="137">
      <formula>W99="X"</formula>
    </cfRule>
  </conditionalFormatting>
  <conditionalFormatting sqref="W113">
    <cfRule type="expression" dxfId="201" priority="87">
      <formula>W113="X"</formula>
    </cfRule>
  </conditionalFormatting>
  <conditionalFormatting sqref="X4:X6">
    <cfRule type="expression" dxfId="200" priority="308">
      <formula>X4="X"</formula>
    </cfRule>
  </conditionalFormatting>
  <conditionalFormatting sqref="X50">
    <cfRule type="expression" dxfId="199" priority="279">
      <formula>X50="X"</formula>
    </cfRule>
  </conditionalFormatting>
  <conditionalFormatting sqref="X56">
    <cfRule type="expression" dxfId="198" priority="277">
      <formula>X56="X"</formula>
    </cfRule>
  </conditionalFormatting>
  <conditionalFormatting sqref="X67">
    <cfRule type="expression" dxfId="197" priority="263">
      <formula>X67="X"</formula>
    </cfRule>
  </conditionalFormatting>
  <conditionalFormatting sqref="X117">
    <cfRule type="expression" dxfId="196" priority="31">
      <formula>X117="X"</formula>
    </cfRule>
  </conditionalFormatting>
  <conditionalFormatting sqref="Y115">
    <cfRule type="expression" dxfId="195" priority="63">
      <formula>Y115="X"</formula>
    </cfRule>
  </conditionalFormatting>
  <conditionalFormatting sqref="Y26:AA26">
    <cfRule type="expression" dxfId="194" priority="18">
      <formula>Y26="X"</formula>
    </cfRule>
  </conditionalFormatting>
  <conditionalFormatting sqref="Z61">
    <cfRule type="expression" dxfId="193" priority="269">
      <formula>Z61="X"</formula>
    </cfRule>
  </conditionalFormatting>
  <conditionalFormatting sqref="Z80">
    <cfRule type="expression" dxfId="192" priority="247">
      <formula>Z80="X"</formula>
    </cfRule>
  </conditionalFormatting>
  <conditionalFormatting sqref="Z99:Z101">
    <cfRule type="expression" dxfId="191" priority="97">
      <formula>Z99="X"</formula>
    </cfRule>
  </conditionalFormatting>
  <conditionalFormatting sqref="AA66">
    <cfRule type="expression" dxfId="190" priority="265">
      <formula>AA66="X"</formula>
    </cfRule>
  </conditionalFormatting>
  <conditionalFormatting sqref="AB94">
    <cfRule type="expression" dxfId="189" priority="213">
      <formula>AB94="X"</formula>
    </cfRule>
  </conditionalFormatting>
  <conditionalFormatting sqref="AB117">
    <cfRule type="expression" dxfId="188" priority="23">
      <formula>AB117="X"</formula>
    </cfRule>
  </conditionalFormatting>
  <conditionalFormatting sqref="AC73">
    <cfRule type="expression" dxfId="187" priority="251">
      <formula>AC73="X"</formula>
    </cfRule>
  </conditionalFormatting>
  <conditionalFormatting sqref="AD26:AF26">
    <cfRule type="expression" dxfId="186" priority="13">
      <formula>AD26="X"</formula>
    </cfRule>
  </conditionalFormatting>
  <conditionalFormatting sqref="AE91">
    <cfRule type="expression" dxfId="185" priority="219">
      <formula>AE91="X"</formula>
    </cfRule>
  </conditionalFormatting>
  <conditionalFormatting sqref="AI26:AK26">
    <cfRule type="expression" dxfId="184" priority="8">
      <formula>AI26="X"</formula>
    </cfRule>
  </conditionalFormatting>
  <conditionalFormatting sqref="AJ91">
    <cfRule type="expression" dxfId="183" priority="217">
      <formula>AJ91="X"</formula>
    </cfRule>
  </conditionalFormatting>
  <conditionalFormatting sqref="AN26:AP26">
    <cfRule type="expression" dxfId="182" priority="3">
      <formula>AN26="X"</formula>
    </cfRule>
  </conditionalFormatting>
  <dataValidations count="11">
    <dataValidation type="list" allowBlank="1" showInputMessage="1" showErrorMessage="1" sqref="A46:A53 A12:A13 A24:A44 A55:A65 A15:A22 A3:A10" xr:uid="{00000000-0002-0000-0700-000000000000}">
      <formula1>$AJ$2:$AJ$3</formula1>
    </dataValidation>
    <dataValidation type="list" allowBlank="1" showInputMessage="1" showErrorMessage="1" sqref="T5:U5" xr:uid="{00000000-0002-0000-0700-000001000000}">
      <formula1>LiabLimitsOptions</formula1>
    </dataValidation>
    <dataValidation type="list" allowBlank="1" showInputMessage="1" showErrorMessage="1" sqref="X5" xr:uid="{00000000-0002-0000-0700-000002000000}">
      <formula1>"Piston, Turbine"</formula1>
    </dataValidation>
    <dataValidation type="list" allowBlank="1" showInputMessage="1" showErrorMessage="1" sqref="X6" xr:uid="{00000000-0002-0000-0700-000003000000}">
      <formula1>"2,3,4,5,6,7,8,9,10"</formula1>
    </dataValidation>
    <dataValidation type="list" allowBlank="1" showInputMessage="1" showErrorMessage="1" sqref="U6" xr:uid="{00000000-0002-0000-0700-000004000000}">
      <formula1>"Single, Multi, Rotorwing"</formula1>
    </dataValidation>
    <dataValidation type="list" allowBlank="1" showInputMessage="1" showErrorMessage="1" sqref="W9" xr:uid="{00000000-0002-0000-0700-000005000000}">
      <formula1>".01,.02,.03,.04,.05,.1,.15,.20,.25"</formula1>
    </dataValidation>
    <dataValidation type="list" allowBlank="1" showInputMessage="1" showErrorMessage="1" sqref="X4" xr:uid="{00000000-0002-0000-0700-000006000000}">
      <formula1>Uses</formula1>
    </dataValidation>
    <dataValidation type="list" allowBlank="1" showInputMessage="1" showErrorMessage="1" sqref="U11" xr:uid="{00000000-0002-0000-0700-000007000000}">
      <formula1>"(a),(b),(c),(d)"</formula1>
    </dataValidation>
    <dataValidation type="list" allowBlank="1" showInputMessage="1" sqref="X37 X32 X35" xr:uid="{00000000-0002-0000-0700-000008000000}">
      <formula1>"100000"</formula1>
    </dataValidation>
    <dataValidation type="list" allowBlank="1" showInputMessage="1" sqref="X38 X33" xr:uid="{00000000-0002-0000-0700-000009000000}">
      <formula1>"100000,300000"</formula1>
    </dataValidation>
    <dataValidation type="list" allowBlank="1" showInputMessage="1" showErrorMessage="1" sqref="R16:R21 R41:R47 Z42 Z46 R53:R54 R56 Y16:Y21 AD16:AD21 AI16:AI21 AN16:AN21 R105:R110 Z105:Z110 A14:B14" xr:uid="{00000000-0002-0000-0700-00000A000000}">
      <formula1>"X"</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62F79-807A-4616-A20B-1806913E8D8A}">
  <sheetPr codeName="Sheet17">
    <tabColor theme="2" tint="-0.89999084444715716"/>
  </sheetPr>
  <dimension ref="A1:AG76"/>
  <sheetViews>
    <sheetView zoomScaleNormal="100" workbookViewId="0">
      <selection activeCell="D20" sqref="D20:M20"/>
    </sheetView>
  </sheetViews>
  <sheetFormatPr defaultColWidth="0" defaultRowHeight="14.25" zeroHeight="1"/>
  <cols>
    <col min="1" max="1" width="7.75" customWidth="1"/>
    <col min="2" max="2" width="0.75" customWidth="1"/>
    <col min="3" max="4" width="9" customWidth="1"/>
    <col min="5" max="5" width="5.375" customWidth="1"/>
    <col min="6" max="6" width="9" customWidth="1"/>
    <col min="7" max="7" width="29.375" customWidth="1"/>
    <col min="8" max="8" width="5.5" customWidth="1"/>
    <col min="9" max="9" width="2" customWidth="1"/>
    <col min="10" max="10" width="4.25" hidden="1" customWidth="1"/>
    <col min="11" max="11" width="9" customWidth="1"/>
    <col min="12" max="12" width="10.75" customWidth="1"/>
    <col min="13" max="13" width="6.75" customWidth="1"/>
    <col min="14" max="14" width="9" customWidth="1"/>
    <col min="15" max="15" width="6.375" customWidth="1"/>
    <col min="16" max="16" width="3" customWidth="1"/>
    <col min="17" max="17" width="9" customWidth="1"/>
    <col min="18" max="18" width="1.875" customWidth="1"/>
    <col min="19" max="23" width="9" customWidth="1"/>
    <col min="24" max="30" width="9" hidden="1" customWidth="1"/>
    <col min="31" max="31" width="12.125" hidden="1" customWidth="1"/>
    <col min="32" max="32" width="9" hidden="1" customWidth="1"/>
    <col min="33" max="33" width="18.25" hidden="1" customWidth="1"/>
    <col min="34" max="16384" width="9" hidden="1"/>
  </cols>
  <sheetData>
    <row r="1" spans="1:33" ht="14.25" customHeight="1">
      <c r="A1" s="1047" t="s">
        <v>4284</v>
      </c>
      <c r="B1" s="1047"/>
      <c r="C1" s="1047"/>
      <c r="D1" s="1047"/>
      <c r="E1" s="1047"/>
      <c r="F1" s="1047"/>
      <c r="G1" s="1047"/>
      <c r="H1" s="1047"/>
      <c r="I1" s="1047"/>
      <c r="J1" s="1047"/>
      <c r="K1" s="1047"/>
      <c r="L1" s="1047"/>
      <c r="M1" s="1047"/>
      <c r="N1" s="1047"/>
      <c r="O1" s="1047"/>
      <c r="P1" s="1047"/>
      <c r="Q1" s="1047"/>
      <c r="R1" s="1047"/>
      <c r="S1" s="1047"/>
      <c r="T1" s="777"/>
      <c r="U1" s="777"/>
      <c r="V1" s="777"/>
      <c r="W1" s="777"/>
      <c r="X1" s="777"/>
      <c r="Y1" s="777"/>
      <c r="Z1" s="777"/>
      <c r="AA1" s="777"/>
      <c r="AB1" s="777"/>
    </row>
    <row r="2" spans="1:33" ht="14.25" customHeight="1">
      <c r="A2" s="1047"/>
      <c r="B2" s="1047"/>
      <c r="C2" s="1047"/>
      <c r="D2" s="1047"/>
      <c r="E2" s="1047"/>
      <c r="F2" s="1047"/>
      <c r="G2" s="1047"/>
      <c r="H2" s="1047"/>
      <c r="I2" s="1047"/>
      <c r="J2" s="1047"/>
      <c r="K2" s="1047"/>
      <c r="L2" s="1047"/>
      <c r="M2" s="1047"/>
      <c r="N2" s="1047"/>
      <c r="O2" s="1047"/>
      <c r="P2" s="1047"/>
      <c r="Q2" s="1047"/>
      <c r="R2" s="1047"/>
      <c r="S2" s="1047"/>
      <c r="T2" s="777"/>
      <c r="U2" s="777"/>
      <c r="V2" s="777"/>
      <c r="W2" s="777"/>
      <c r="X2" s="777"/>
      <c r="Y2" s="777"/>
      <c r="Z2" s="777"/>
      <c r="AA2" s="777"/>
      <c r="AB2" s="777"/>
      <c r="AD2" s="466"/>
      <c r="AF2" s="466"/>
    </row>
    <row r="3" spans="1:33" ht="14.25" customHeight="1">
      <c r="A3" s="1047"/>
      <c r="B3" s="1047"/>
      <c r="C3" s="1047"/>
      <c r="D3" s="1047"/>
      <c r="E3" s="1047"/>
      <c r="F3" s="1047"/>
      <c r="G3" s="1047"/>
      <c r="H3" s="1047"/>
      <c r="I3" s="1047"/>
      <c r="J3" s="1047"/>
      <c r="K3" s="1047"/>
      <c r="L3" s="1047"/>
      <c r="M3" s="1047"/>
      <c r="N3" s="1047"/>
      <c r="O3" s="1047"/>
      <c r="P3" s="1047"/>
      <c r="Q3" s="1047"/>
      <c r="R3" s="1047"/>
      <c r="S3" s="1047"/>
      <c r="T3" s="777"/>
      <c r="U3" s="777"/>
      <c r="V3" s="777"/>
      <c r="W3" s="777"/>
      <c r="X3" s="777"/>
      <c r="Y3" s="777"/>
      <c r="Z3" s="777"/>
      <c r="AA3" s="777"/>
      <c r="AB3" s="777"/>
      <c r="AD3" s="466"/>
      <c r="AF3" s="466"/>
    </row>
    <row r="4" spans="1:33">
      <c r="A4" s="1047"/>
      <c r="B4" s="1047"/>
      <c r="C4" s="1047"/>
      <c r="D4" s="1047"/>
      <c r="E4" s="1047"/>
      <c r="F4" s="1047"/>
      <c r="G4" s="1047"/>
      <c r="H4" s="1047"/>
      <c r="I4" s="1047"/>
      <c r="J4" s="1047"/>
      <c r="K4" s="1047"/>
      <c r="L4" s="1047"/>
      <c r="M4" s="1047"/>
      <c r="N4" s="1047"/>
      <c r="O4" s="1047"/>
      <c r="P4" s="1047"/>
      <c r="Q4" s="1047"/>
      <c r="R4" s="1047"/>
      <c r="S4" s="1047"/>
      <c r="T4" s="2"/>
      <c r="U4" s="2"/>
      <c r="V4" s="2"/>
      <c r="W4" s="2"/>
      <c r="X4" s="2"/>
      <c r="Y4" s="2"/>
      <c r="Z4" s="2"/>
      <c r="AA4" s="2"/>
      <c r="AB4" s="2"/>
      <c r="AD4" s="466"/>
      <c r="AE4" s="466">
        <v>25000</v>
      </c>
      <c r="AF4" s="466"/>
      <c r="AG4" s="466">
        <v>100000</v>
      </c>
    </row>
    <row r="5" spans="1:33" ht="15.75">
      <c r="A5" s="7" t="s">
        <v>4285</v>
      </c>
      <c r="B5" s="766"/>
      <c r="C5" s="766"/>
      <c r="D5" s="766"/>
      <c r="E5" s="2"/>
      <c r="F5" s="2"/>
      <c r="G5" s="2"/>
      <c r="H5" s="2"/>
      <c r="I5" s="2"/>
      <c r="J5" s="2"/>
      <c r="K5" s="2"/>
      <c r="L5" s="2"/>
      <c r="M5" s="2"/>
      <c r="N5" s="893" t="s">
        <v>3483</v>
      </c>
      <c r="O5" s="893"/>
      <c r="P5" s="893"/>
      <c r="Q5" s="910" t="s">
        <v>4286</v>
      </c>
      <c r="R5" s="910"/>
      <c r="S5" s="7" t="s">
        <v>5</v>
      </c>
      <c r="T5" s="2"/>
      <c r="U5" s="2"/>
      <c r="V5" s="2"/>
      <c r="W5" s="2"/>
      <c r="X5" s="2"/>
      <c r="Y5" s="2"/>
      <c r="Z5" s="2"/>
      <c r="AA5" s="2"/>
      <c r="AB5" s="2"/>
      <c r="AD5" s="466"/>
      <c r="AE5" s="466">
        <v>50000</v>
      </c>
      <c r="AF5" s="466"/>
      <c r="AG5" s="466">
        <v>250000</v>
      </c>
    </row>
    <row r="6" spans="1:33" ht="15">
      <c r="A6" s="362"/>
      <c r="B6" s="1052" t="s">
        <v>4004</v>
      </c>
      <c r="C6" s="1052"/>
      <c r="D6" s="1052"/>
      <c r="E6" s="1052"/>
      <c r="F6" s="773"/>
      <c r="G6" s="773"/>
      <c r="H6" s="773"/>
      <c r="I6" s="773"/>
      <c r="J6" s="773"/>
      <c r="K6" s="773"/>
      <c r="L6" s="773"/>
      <c r="M6" s="858" t="s">
        <v>4540</v>
      </c>
      <c r="N6" s="1053">
        <f>MAX(LiabilityValues)</f>
        <v>500000</v>
      </c>
      <c r="O6" s="1054"/>
      <c r="P6" s="1055"/>
      <c r="Q6" s="362"/>
      <c r="R6" s="362"/>
      <c r="S6" s="362"/>
      <c r="T6" s="362"/>
      <c r="U6" s="362"/>
      <c r="V6" s="362"/>
      <c r="W6" s="2"/>
      <c r="X6" s="2"/>
      <c r="Y6" s="2"/>
      <c r="Z6" s="2"/>
      <c r="AA6" s="2"/>
      <c r="AB6" s="2"/>
      <c r="AD6" s="466"/>
      <c r="AE6" s="466">
        <v>100000</v>
      </c>
      <c r="AF6" s="466"/>
      <c r="AG6" s="466">
        <v>300000</v>
      </c>
    </row>
    <row r="7" spans="1:33">
      <c r="A7" s="362" t="s">
        <v>4287</v>
      </c>
      <c r="B7" s="362"/>
      <c r="C7" s="767" t="s">
        <v>9</v>
      </c>
      <c r="D7" s="1009" t="s">
        <v>4288</v>
      </c>
      <c r="E7" s="1010"/>
      <c r="F7" s="1010"/>
      <c r="G7" s="1010"/>
      <c r="H7" s="1010"/>
      <c r="I7" s="1010"/>
      <c r="J7" s="1010"/>
      <c r="K7" s="1010"/>
      <c r="L7" s="1011"/>
      <c r="M7" s="778">
        <v>0.2</v>
      </c>
      <c r="N7" s="1031">
        <f>MIN(LiabilityValues)</f>
        <v>500000</v>
      </c>
      <c r="O7" s="1032"/>
      <c r="P7" s="1033"/>
      <c r="Q7" s="1015" t="s">
        <v>4289</v>
      </c>
      <c r="R7" s="1016"/>
      <c r="S7" s="860">
        <v>4000</v>
      </c>
      <c r="T7" s="362"/>
      <c r="U7" s="774">
        <f ca="1">IF(C7="no",0,IF(M7&gt;0,ROUND(PRODUCT(M7,LiabtotalPrem),0),S7))</f>
        <v>1194</v>
      </c>
      <c r="V7" s="362"/>
      <c r="W7" s="2"/>
      <c r="X7" s="2"/>
      <c r="Y7" s="2"/>
      <c r="Z7" s="2"/>
      <c r="AA7" s="2"/>
      <c r="AB7" s="2"/>
      <c r="AD7" s="466"/>
      <c r="AE7" s="466">
        <v>250000</v>
      </c>
      <c r="AF7" s="466"/>
      <c r="AG7" s="466">
        <v>500000</v>
      </c>
    </row>
    <row r="8" spans="1:33">
      <c r="A8" s="362"/>
      <c r="B8" s="362"/>
      <c r="C8" s="362"/>
      <c r="D8" s="362"/>
      <c r="E8" s="362"/>
      <c r="F8" s="362"/>
      <c r="G8" s="362"/>
      <c r="H8" s="1056" t="s">
        <v>4290</v>
      </c>
      <c r="I8" s="1056"/>
      <c r="J8" s="1056"/>
      <c r="K8" s="1056"/>
      <c r="L8" s="1056"/>
      <c r="M8" s="1057"/>
      <c r="N8" s="1025">
        <v>30</v>
      </c>
      <c r="O8" s="1026"/>
      <c r="P8" s="1027"/>
      <c r="Q8" s="362"/>
      <c r="R8" s="362"/>
      <c r="S8" s="362"/>
      <c r="T8" s="362"/>
      <c r="U8" s="362"/>
      <c r="V8" s="362"/>
      <c r="W8" s="2"/>
      <c r="X8" s="2"/>
      <c r="Y8" s="2"/>
      <c r="Z8" s="2"/>
      <c r="AA8" s="2"/>
      <c r="AB8" s="2"/>
      <c r="AD8" s="466"/>
      <c r="AE8" s="466">
        <v>500000</v>
      </c>
      <c r="AF8" s="466"/>
      <c r="AG8" s="466">
        <v>1000000</v>
      </c>
    </row>
    <row r="9" spans="1:33">
      <c r="A9" s="362" t="s">
        <v>4291</v>
      </c>
      <c r="B9" s="362"/>
      <c r="C9" s="767" t="s">
        <v>9</v>
      </c>
      <c r="D9" s="1009" t="s">
        <v>4292</v>
      </c>
      <c r="E9" s="1010"/>
      <c r="F9" s="1010"/>
      <c r="G9" s="1010"/>
      <c r="H9" s="1010"/>
      <c r="I9" s="1010"/>
      <c r="J9" s="1010"/>
      <c r="K9" s="1010"/>
      <c r="L9" s="1010"/>
      <c r="M9" s="778">
        <v>0</v>
      </c>
      <c r="N9" s="1031">
        <f>MIN(20000000,MAX(Hullvalues))</f>
        <v>100000</v>
      </c>
      <c r="O9" s="1032"/>
      <c r="P9" s="1033"/>
      <c r="Q9" s="1015" t="s">
        <v>4289</v>
      </c>
      <c r="R9" s="1016"/>
      <c r="S9" s="860"/>
      <c r="T9" s="362"/>
      <c r="U9" s="774">
        <f>IF(C9="no",0,IF(M9&gt;0,ROUND(PRODUCT(M9,LiabtotalPrem),0),S9))</f>
        <v>0</v>
      </c>
      <c r="V9" s="362"/>
      <c r="W9" s="2"/>
      <c r="X9" s="2"/>
      <c r="Y9" s="2"/>
      <c r="Z9" s="2"/>
      <c r="AA9" s="2"/>
      <c r="AB9" s="2"/>
      <c r="AD9" s="466"/>
      <c r="AE9" s="466">
        <v>1000000</v>
      </c>
    </row>
    <row r="10" spans="1:33">
      <c r="A10" s="362"/>
      <c r="B10" s="362"/>
      <c r="C10" s="362"/>
      <c r="D10" s="362"/>
      <c r="E10" s="362"/>
      <c r="F10" s="362"/>
      <c r="G10" s="362"/>
      <c r="H10" s="362"/>
      <c r="I10" s="362"/>
      <c r="J10" s="362"/>
      <c r="K10" s="362"/>
      <c r="L10" s="362"/>
      <c r="M10" s="771" t="s">
        <v>4293</v>
      </c>
      <c r="N10" s="1025">
        <v>30</v>
      </c>
      <c r="O10" s="1026"/>
      <c r="P10" s="1027"/>
      <c r="Q10" s="362"/>
      <c r="R10" s="362"/>
      <c r="S10" s="362"/>
      <c r="T10" s="362"/>
      <c r="U10" s="362"/>
      <c r="V10" s="362"/>
      <c r="W10" s="2"/>
      <c r="X10" s="2"/>
      <c r="Y10" s="2"/>
      <c r="Z10" s="2"/>
      <c r="AA10" s="2"/>
      <c r="AB10" s="2"/>
      <c r="AD10" s="466"/>
      <c r="AE10" s="467"/>
      <c r="AG10" s="466">
        <v>500</v>
      </c>
    </row>
    <row r="11" spans="1:33">
      <c r="A11" s="362"/>
      <c r="B11" s="362"/>
      <c r="C11" s="362"/>
      <c r="D11" s="362"/>
      <c r="E11" s="362"/>
      <c r="F11" s="362"/>
      <c r="G11" s="362"/>
      <c r="H11" s="362"/>
      <c r="I11" s="362"/>
      <c r="J11" s="362"/>
      <c r="K11" s="362"/>
      <c r="L11" s="362"/>
      <c r="M11" s="771" t="s">
        <v>4294</v>
      </c>
      <c r="N11" s="1025">
        <v>20</v>
      </c>
      <c r="O11" s="1026"/>
      <c r="P11" s="1027"/>
      <c r="Q11" s="362"/>
      <c r="R11" s="362"/>
      <c r="S11" s="362"/>
      <c r="T11" s="362"/>
      <c r="U11" s="362"/>
      <c r="V11" s="362"/>
      <c r="W11" s="2"/>
      <c r="X11" s="2"/>
      <c r="Y11" s="2"/>
      <c r="Z11" s="2"/>
      <c r="AA11" s="2"/>
      <c r="AB11" s="2"/>
      <c r="AD11" s="467"/>
      <c r="AE11" s="466">
        <v>10000</v>
      </c>
      <c r="AG11" s="466">
        <v>1000</v>
      </c>
    </row>
    <row r="12" spans="1:33">
      <c r="A12" s="362" t="s">
        <v>4295</v>
      </c>
      <c r="B12" s="362"/>
      <c r="C12" s="767" t="s">
        <v>11</v>
      </c>
      <c r="D12" s="1009" t="s">
        <v>4296</v>
      </c>
      <c r="E12" s="1010"/>
      <c r="F12" s="1010"/>
      <c r="G12" s="1010"/>
      <c r="H12" s="1010"/>
      <c r="I12" s="1010"/>
      <c r="J12" s="1010"/>
      <c r="K12" s="1010"/>
      <c r="L12" s="1011"/>
      <c r="M12" s="778">
        <v>0</v>
      </c>
      <c r="N12" s="1012"/>
      <c r="O12" s="1013"/>
      <c r="P12" s="1014"/>
      <c r="Q12" s="1015" t="s">
        <v>4289</v>
      </c>
      <c r="R12" s="1016"/>
      <c r="S12" s="860"/>
      <c r="T12" s="362"/>
      <c r="U12" s="774">
        <f>IF(C12="no",0,IF(M12&gt;0,ROUND(PRODUCT(M12,LiabtotalPrem),0),S12))</f>
        <v>0</v>
      </c>
      <c r="V12" s="362"/>
      <c r="W12" s="2"/>
      <c r="X12" s="2"/>
      <c r="Y12" s="2"/>
      <c r="Z12" s="2"/>
      <c r="AA12" s="2"/>
      <c r="AB12" s="2"/>
      <c r="AE12" s="466">
        <v>25000</v>
      </c>
      <c r="AG12" s="466">
        <v>1250</v>
      </c>
    </row>
    <row r="13" spans="1:33">
      <c r="A13" s="362" t="s">
        <v>4297</v>
      </c>
      <c r="B13" s="362"/>
      <c r="C13" s="767" t="s">
        <v>9</v>
      </c>
      <c r="D13" s="1009" t="s">
        <v>4298</v>
      </c>
      <c r="E13" s="1010"/>
      <c r="F13" s="1010"/>
      <c r="G13" s="1010"/>
      <c r="H13" s="1010"/>
      <c r="I13" s="1010"/>
      <c r="J13" s="1010"/>
      <c r="K13" s="1010"/>
      <c r="L13" s="1010"/>
      <c r="M13" s="1011"/>
      <c r="N13" s="1012">
        <v>100000</v>
      </c>
      <c r="O13" s="1013"/>
      <c r="P13" s="1014"/>
      <c r="Q13" s="1015" t="s">
        <v>4289</v>
      </c>
      <c r="R13" s="1016"/>
      <c r="S13" s="860"/>
      <c r="T13" s="362"/>
      <c r="U13" s="774">
        <f>IF(C13="no",0,S13+'Plat Premium Summary'!$N$39)</f>
        <v>0</v>
      </c>
      <c r="V13" s="362"/>
      <c r="W13" s="2"/>
      <c r="X13" s="2"/>
      <c r="Y13" s="2"/>
      <c r="Z13" s="2"/>
      <c r="AA13" s="2"/>
      <c r="AB13" s="2"/>
      <c r="AE13" s="466">
        <v>50000</v>
      </c>
      <c r="AG13" s="466">
        <v>2500</v>
      </c>
    </row>
    <row r="14" spans="1:33">
      <c r="A14" s="362"/>
      <c r="B14" s="362"/>
      <c r="C14" s="362"/>
      <c r="D14" s="362"/>
      <c r="E14" s="362"/>
      <c r="F14" s="362"/>
      <c r="G14" s="362"/>
      <c r="H14" s="362"/>
      <c r="I14" s="362"/>
      <c r="J14" s="362"/>
      <c r="K14" s="362" t="s">
        <v>4299</v>
      </c>
      <c r="L14" s="1048" t="s">
        <v>4300</v>
      </c>
      <c r="M14" s="1049"/>
      <c r="N14" s="362"/>
      <c r="O14" s="362"/>
      <c r="P14" s="362"/>
      <c r="Q14" s="362"/>
      <c r="R14" s="362"/>
      <c r="S14" s="362"/>
      <c r="T14" s="362"/>
      <c r="U14" s="362"/>
      <c r="V14" s="362"/>
      <c r="W14" s="2"/>
      <c r="X14" s="2"/>
      <c r="Y14" s="2"/>
      <c r="Z14" s="2"/>
      <c r="AA14" s="2"/>
      <c r="AB14" s="2"/>
      <c r="AE14" s="466">
        <v>100000</v>
      </c>
    </row>
    <row r="15" spans="1:33">
      <c r="A15" s="362"/>
      <c r="B15" s="362"/>
      <c r="C15" s="362"/>
      <c r="D15" s="362"/>
      <c r="E15" s="362"/>
      <c r="F15" s="362"/>
      <c r="G15" s="362"/>
      <c r="H15" s="362"/>
      <c r="I15" s="362"/>
      <c r="J15" s="362"/>
      <c r="K15" s="771" t="s">
        <v>4301</v>
      </c>
      <c r="L15" s="1048">
        <v>52</v>
      </c>
      <c r="M15" s="1049"/>
      <c r="N15" s="362"/>
      <c r="O15" s="362"/>
      <c r="P15" s="362"/>
      <c r="Q15" s="362"/>
      <c r="R15" s="362"/>
      <c r="S15" s="362"/>
      <c r="T15" s="362"/>
      <c r="U15" s="362"/>
      <c r="V15" s="362"/>
      <c r="W15" s="2"/>
      <c r="X15" s="2"/>
      <c r="Y15" s="2"/>
      <c r="Z15" s="2"/>
      <c r="AA15" s="2"/>
      <c r="AB15" s="2"/>
      <c r="AE15" s="466">
        <v>150000</v>
      </c>
    </row>
    <row r="16" spans="1:33">
      <c r="A16" s="362"/>
      <c r="B16" s="362"/>
      <c r="C16" s="362"/>
      <c r="D16" s="362"/>
      <c r="E16" s="362"/>
      <c r="F16" s="362"/>
      <c r="G16" s="362"/>
      <c r="H16" s="362"/>
      <c r="I16" s="362"/>
      <c r="J16" s="362"/>
      <c r="K16" s="771" t="s">
        <v>4302</v>
      </c>
      <c r="L16" s="1050">
        <v>1000</v>
      </c>
      <c r="M16" s="1051"/>
      <c r="N16" s="362"/>
      <c r="O16" s="362"/>
      <c r="P16" s="362"/>
      <c r="Q16" s="362"/>
      <c r="R16" s="362"/>
      <c r="S16" s="362"/>
      <c r="T16" s="362"/>
      <c r="U16" s="362"/>
      <c r="V16" s="362"/>
      <c r="W16" s="2"/>
      <c r="X16" s="2"/>
      <c r="Y16" s="2"/>
      <c r="Z16" s="2"/>
      <c r="AA16" s="2"/>
      <c r="AB16" s="2"/>
      <c r="AE16" s="466">
        <v>200000</v>
      </c>
    </row>
    <row r="17" spans="1:33">
      <c r="A17" s="362" t="s">
        <v>4303</v>
      </c>
      <c r="B17" s="362"/>
      <c r="C17" s="767" t="s">
        <v>9</v>
      </c>
      <c r="D17" s="1009" t="s">
        <v>4304</v>
      </c>
      <c r="E17" s="1010"/>
      <c r="F17" s="1010"/>
      <c r="G17" s="1010"/>
      <c r="H17" s="1010"/>
      <c r="I17" s="1010"/>
      <c r="J17" s="1010"/>
      <c r="K17" s="1010"/>
      <c r="L17" s="1010"/>
      <c r="M17" s="1011"/>
      <c r="N17" s="1031">
        <f>MIN(LiabilityValues)</f>
        <v>500000</v>
      </c>
      <c r="O17" s="1032"/>
      <c r="P17" s="1033"/>
      <c r="Q17" s="1015" t="s">
        <v>4289</v>
      </c>
      <c r="R17" s="1016"/>
      <c r="S17" s="859"/>
      <c r="T17" s="362"/>
      <c r="U17" s="774">
        <f t="shared" ref="U17:U21" si="0">IF(C17="no",0,S17)</f>
        <v>0</v>
      </c>
      <c r="V17" s="362"/>
      <c r="W17" s="2"/>
      <c r="X17" s="2"/>
      <c r="Y17" s="2"/>
      <c r="Z17" s="2"/>
      <c r="AA17" s="2"/>
      <c r="AB17" s="2"/>
      <c r="AE17" s="466">
        <v>250000</v>
      </c>
    </row>
    <row r="18" spans="1:33">
      <c r="A18" s="362" t="s">
        <v>4305</v>
      </c>
      <c r="B18" s="362"/>
      <c r="C18" s="767" t="s">
        <v>9</v>
      </c>
      <c r="D18" s="1009" t="s">
        <v>4306</v>
      </c>
      <c r="E18" s="1010"/>
      <c r="F18" s="1010"/>
      <c r="G18" s="1010"/>
      <c r="H18" s="1010"/>
      <c r="I18" s="1010"/>
      <c r="J18" s="1010"/>
      <c r="K18" s="1010"/>
      <c r="L18" s="1010"/>
      <c r="M18" s="1011"/>
      <c r="N18" s="1012">
        <v>50000</v>
      </c>
      <c r="O18" s="1013"/>
      <c r="P18" s="1014"/>
      <c r="Q18" s="1015" t="s">
        <v>4289</v>
      </c>
      <c r="R18" s="1016"/>
      <c r="S18" s="860"/>
      <c r="T18" s="362"/>
      <c r="U18" s="774">
        <f t="shared" si="0"/>
        <v>0</v>
      </c>
      <c r="V18" s="362"/>
      <c r="W18" s="2"/>
      <c r="X18" s="2"/>
      <c r="Y18" s="2"/>
      <c r="Z18" s="2"/>
      <c r="AA18" s="2"/>
      <c r="AB18" s="2"/>
    </row>
    <row r="19" spans="1:33">
      <c r="A19" s="362" t="s">
        <v>4307</v>
      </c>
      <c r="B19" s="362"/>
      <c r="C19" s="767" t="s">
        <v>11</v>
      </c>
      <c r="D19" s="1009" t="s">
        <v>4308</v>
      </c>
      <c r="E19" s="1010"/>
      <c r="F19" s="1010"/>
      <c r="G19" s="1010"/>
      <c r="H19" s="1010"/>
      <c r="I19" s="1010"/>
      <c r="J19" s="1010"/>
      <c r="K19" s="1010"/>
      <c r="L19" s="1010"/>
      <c r="M19" s="1011"/>
      <c r="N19" s="1012">
        <v>50000</v>
      </c>
      <c r="O19" s="1013"/>
      <c r="P19" s="1014"/>
      <c r="Q19" s="1015" t="s">
        <v>4289</v>
      </c>
      <c r="R19" s="1016"/>
      <c r="S19" s="860"/>
      <c r="T19" s="362"/>
      <c r="U19" s="774">
        <f t="shared" si="0"/>
        <v>0</v>
      </c>
      <c r="V19" s="362"/>
      <c r="W19" s="2"/>
      <c r="X19" s="2"/>
      <c r="Y19" s="2"/>
      <c r="Z19" s="2"/>
      <c r="AA19" s="2"/>
      <c r="AB19" s="2"/>
      <c r="AE19" t="s">
        <v>4309</v>
      </c>
      <c r="AG19" t="s">
        <v>4310</v>
      </c>
    </row>
    <row r="20" spans="1:33">
      <c r="A20" s="362" t="s">
        <v>4311</v>
      </c>
      <c r="B20" s="362"/>
      <c r="C20" s="767" t="s">
        <v>9</v>
      </c>
      <c r="D20" s="1009" t="s">
        <v>4312</v>
      </c>
      <c r="E20" s="1010"/>
      <c r="F20" s="1010"/>
      <c r="G20" s="1010"/>
      <c r="H20" s="1010"/>
      <c r="I20" s="1010"/>
      <c r="J20" s="1010"/>
      <c r="K20" s="1010"/>
      <c r="L20" s="1010"/>
      <c r="M20" s="1011"/>
      <c r="N20" s="1022">
        <v>1000000</v>
      </c>
      <c r="O20" s="1023"/>
      <c r="P20" s="1024"/>
      <c r="Q20" s="1015" t="s">
        <v>4289</v>
      </c>
      <c r="R20" s="1016"/>
      <c r="S20" s="860"/>
      <c r="T20" s="362"/>
      <c r="U20" s="774">
        <f t="shared" si="0"/>
        <v>0</v>
      </c>
      <c r="V20" s="362"/>
      <c r="W20" s="2"/>
      <c r="X20" s="2"/>
      <c r="Y20" s="2"/>
      <c r="Z20" s="2"/>
      <c r="AA20" s="2"/>
      <c r="AB20" s="2"/>
      <c r="AE20" s="466">
        <v>50000</v>
      </c>
      <c r="AG20" s="466">
        <v>10000</v>
      </c>
    </row>
    <row r="21" spans="1:33">
      <c r="A21" s="362" t="s">
        <v>4313</v>
      </c>
      <c r="B21" s="362"/>
      <c r="C21" s="767" t="s">
        <v>9</v>
      </c>
      <c r="D21" s="1009" t="s">
        <v>4346</v>
      </c>
      <c r="E21" s="1010"/>
      <c r="F21" s="1010"/>
      <c r="G21" s="1010"/>
      <c r="H21" s="1010"/>
      <c r="I21" s="1010"/>
      <c r="J21" s="1010"/>
      <c r="K21" s="1010"/>
      <c r="L21" s="1010"/>
      <c r="M21" s="1011"/>
      <c r="N21" s="1012">
        <v>250000</v>
      </c>
      <c r="O21" s="1013"/>
      <c r="P21" s="1014"/>
      <c r="Q21" s="1015" t="s">
        <v>4289</v>
      </c>
      <c r="R21" s="1016"/>
      <c r="S21" s="860"/>
      <c r="T21" s="362"/>
      <c r="U21" s="774">
        <f t="shared" si="0"/>
        <v>0</v>
      </c>
      <c r="V21" s="362"/>
      <c r="W21" s="2"/>
      <c r="X21" s="2"/>
      <c r="Y21" s="2"/>
      <c r="Z21" s="2"/>
      <c r="AA21" s="2"/>
      <c r="AB21" s="2"/>
      <c r="AE21" s="466">
        <v>100000</v>
      </c>
      <c r="AG21" s="466">
        <v>15000</v>
      </c>
    </row>
    <row r="22" spans="1:33">
      <c r="A22" s="362"/>
      <c r="B22" s="362"/>
      <c r="C22" s="362"/>
      <c r="D22" s="362"/>
      <c r="E22" s="362"/>
      <c r="F22" s="362"/>
      <c r="G22" s="362"/>
      <c r="H22" s="362"/>
      <c r="I22" s="362"/>
      <c r="J22" s="362"/>
      <c r="K22" s="362"/>
      <c r="L22" s="362"/>
      <c r="M22" s="771" t="s">
        <v>3502</v>
      </c>
      <c r="N22" s="1012">
        <v>20000000</v>
      </c>
      <c r="O22" s="1013"/>
      <c r="P22" s="1014"/>
      <c r="Q22" s="362"/>
      <c r="R22" s="362"/>
      <c r="S22" s="362"/>
      <c r="T22" s="362"/>
      <c r="U22" s="362"/>
      <c r="V22" s="362"/>
      <c r="W22" s="2"/>
      <c r="X22" s="2"/>
      <c r="Y22" s="2"/>
      <c r="Z22" s="2"/>
      <c r="AA22" s="2"/>
      <c r="AB22" s="2"/>
      <c r="AE22" s="466">
        <v>250000</v>
      </c>
      <c r="AG22" s="466">
        <v>25000</v>
      </c>
    </row>
    <row r="23" spans="1:33">
      <c r="A23" s="362"/>
      <c r="B23" s="362"/>
      <c r="C23" s="362"/>
      <c r="D23" s="362"/>
      <c r="E23" s="362"/>
      <c r="F23" s="362"/>
      <c r="G23" s="362"/>
      <c r="H23" s="362"/>
      <c r="I23" s="362"/>
      <c r="J23" s="362"/>
      <c r="K23" s="362"/>
      <c r="L23" s="362"/>
      <c r="M23" s="771" t="s">
        <v>4314</v>
      </c>
      <c r="N23" s="1039" t="s">
        <v>4315</v>
      </c>
      <c r="O23" s="1039"/>
      <c r="P23" s="1040"/>
      <c r="Q23" s="1029">
        <v>5000</v>
      </c>
      <c r="R23" s="1030"/>
      <c r="S23" s="362"/>
      <c r="T23" s="362"/>
      <c r="U23" s="362"/>
      <c r="V23" s="362"/>
      <c r="W23" s="2"/>
      <c r="X23" s="2"/>
      <c r="Y23" s="2"/>
      <c r="Z23" s="2"/>
      <c r="AA23" s="2"/>
      <c r="AB23" s="2"/>
      <c r="AE23" s="466">
        <v>500000</v>
      </c>
      <c r="AG23" s="466">
        <v>40000</v>
      </c>
    </row>
    <row r="24" spans="1:33">
      <c r="A24" s="362"/>
      <c r="B24" s="362"/>
      <c r="C24" s="362"/>
      <c r="D24" s="362"/>
      <c r="E24" s="362"/>
      <c r="F24" s="362"/>
      <c r="G24" s="362"/>
      <c r="H24" s="362"/>
      <c r="I24" s="362"/>
      <c r="J24" s="362"/>
      <c r="K24" s="362"/>
      <c r="L24" s="362"/>
      <c r="M24" s="771" t="s">
        <v>4316</v>
      </c>
      <c r="N24" s="1046" t="s">
        <v>4317</v>
      </c>
      <c r="O24" s="1046"/>
      <c r="P24" s="1038"/>
      <c r="Q24" s="1029">
        <v>10000</v>
      </c>
      <c r="R24" s="1030"/>
      <c r="S24" s="362"/>
      <c r="T24" s="362"/>
      <c r="U24" s="362"/>
      <c r="V24" s="362"/>
      <c r="W24" s="2"/>
      <c r="X24" s="2"/>
      <c r="Y24" s="2"/>
      <c r="Z24" s="2"/>
      <c r="AA24" s="2"/>
      <c r="AB24" s="2"/>
      <c r="AE24" s="466">
        <v>1000000</v>
      </c>
      <c r="AG24" s="466">
        <v>50000</v>
      </c>
    </row>
    <row r="25" spans="1:33">
      <c r="A25" s="362" t="s">
        <v>4318</v>
      </c>
      <c r="B25" s="362"/>
      <c r="C25" s="767" t="s">
        <v>11</v>
      </c>
      <c r="D25" s="1009" t="s">
        <v>4345</v>
      </c>
      <c r="E25" s="1010"/>
      <c r="F25" s="1010"/>
      <c r="G25" s="1010"/>
      <c r="H25" s="1010"/>
      <c r="I25" s="1010"/>
      <c r="J25" s="1010"/>
      <c r="K25" s="1010"/>
      <c r="L25" s="1010"/>
      <c r="M25" s="1011"/>
      <c r="N25" s="1012">
        <v>15000</v>
      </c>
      <c r="O25" s="1013"/>
      <c r="P25" s="1014"/>
      <c r="Q25" s="1043" t="s">
        <v>4289</v>
      </c>
      <c r="R25" s="1040"/>
      <c r="S25" s="860"/>
      <c r="T25" s="362"/>
      <c r="U25" s="774">
        <f>IF(C25="no",0,S25)</f>
        <v>0</v>
      </c>
      <c r="V25" s="362"/>
      <c r="W25" s="2"/>
      <c r="X25" s="2"/>
      <c r="Y25" s="2"/>
      <c r="Z25" s="2"/>
      <c r="AA25" s="2"/>
      <c r="AB25" s="2"/>
      <c r="AE25" s="466">
        <v>2500000</v>
      </c>
      <c r="AG25" s="466">
        <v>60000</v>
      </c>
    </row>
    <row r="26" spans="1:33">
      <c r="A26" s="362"/>
      <c r="B26" s="362"/>
      <c r="C26" s="362"/>
      <c r="D26" s="362"/>
      <c r="E26" s="362"/>
      <c r="F26" s="362"/>
      <c r="G26" s="362"/>
      <c r="H26" s="362"/>
      <c r="I26" s="362"/>
      <c r="J26" s="362"/>
      <c r="K26" s="362"/>
      <c r="L26" s="362"/>
      <c r="M26" s="771" t="s">
        <v>4319</v>
      </c>
      <c r="N26" s="1012">
        <v>10000</v>
      </c>
      <c r="O26" s="1013"/>
      <c r="P26" s="1014"/>
      <c r="Q26" s="362"/>
      <c r="R26" s="362"/>
      <c r="S26" s="362"/>
      <c r="T26" s="362"/>
      <c r="U26" s="362"/>
      <c r="V26" s="362"/>
      <c r="W26" s="2"/>
      <c r="X26" s="2"/>
      <c r="Y26" s="2"/>
      <c r="Z26" s="2"/>
      <c r="AA26" s="2"/>
      <c r="AB26" s="2"/>
      <c r="AE26" s="466">
        <v>5000000</v>
      </c>
      <c r="AG26" s="466">
        <v>75000</v>
      </c>
    </row>
    <row r="27" spans="1:33">
      <c r="A27" s="362"/>
      <c r="B27" s="362"/>
      <c r="C27" s="362"/>
      <c r="D27" s="362"/>
      <c r="E27" s="362"/>
      <c r="F27" s="362"/>
      <c r="G27" s="362"/>
      <c r="H27" s="362"/>
      <c r="I27" s="362"/>
      <c r="J27" s="362"/>
      <c r="K27" s="362"/>
      <c r="L27" s="362"/>
      <c r="M27" s="771" t="s">
        <v>4314</v>
      </c>
      <c r="N27" s="1039" t="s">
        <v>4315</v>
      </c>
      <c r="O27" s="1039"/>
      <c r="P27" s="1040"/>
      <c r="Q27" s="1029">
        <v>1500</v>
      </c>
      <c r="R27" s="1030"/>
      <c r="S27" s="362"/>
      <c r="T27" s="362"/>
      <c r="U27" s="362"/>
      <c r="V27" s="362"/>
      <c r="W27" s="2"/>
      <c r="X27" s="2"/>
      <c r="Y27" s="2"/>
      <c r="Z27" s="2"/>
      <c r="AA27" s="2"/>
      <c r="AB27" s="2"/>
      <c r="AE27" s="466">
        <v>10000000</v>
      </c>
      <c r="AG27" s="466">
        <v>85000</v>
      </c>
    </row>
    <row r="28" spans="1:33">
      <c r="A28" s="362" t="s">
        <v>4320</v>
      </c>
      <c r="B28" s="362"/>
      <c r="C28" s="767" t="s">
        <v>9</v>
      </c>
      <c r="D28" s="1009" t="s">
        <v>4321</v>
      </c>
      <c r="E28" s="1010"/>
      <c r="F28" s="1010"/>
      <c r="G28" s="1010"/>
      <c r="H28" s="1010"/>
      <c r="I28" s="1010"/>
      <c r="J28" s="1010"/>
      <c r="K28" s="1010"/>
      <c r="L28" s="1010"/>
      <c r="M28" s="1011"/>
      <c r="N28" s="1031">
        <f>MIN(LiabilityValues)</f>
        <v>500000</v>
      </c>
      <c r="O28" s="1032"/>
      <c r="P28" s="1033"/>
      <c r="Q28" s="1044" t="s">
        <v>4289</v>
      </c>
      <c r="R28" s="1045"/>
      <c r="S28" s="859"/>
      <c r="T28" s="362"/>
      <c r="U28" s="774">
        <f t="shared" ref="U28:U35" si="1">IF(C28="no",0,S28)</f>
        <v>0</v>
      </c>
      <c r="V28" s="362"/>
      <c r="W28" s="2"/>
      <c r="X28" s="2"/>
      <c r="Y28" s="2"/>
      <c r="Z28" s="2"/>
      <c r="AA28" s="2"/>
      <c r="AB28" s="2"/>
      <c r="AE28" s="466">
        <v>15000000</v>
      </c>
      <c r="AG28" s="466">
        <v>100000</v>
      </c>
    </row>
    <row r="29" spans="1:33">
      <c r="A29" s="362" t="s">
        <v>4322</v>
      </c>
      <c r="B29" s="362"/>
      <c r="C29" s="767" t="s">
        <v>9</v>
      </c>
      <c r="D29" s="1009" t="s">
        <v>4323</v>
      </c>
      <c r="E29" s="1010"/>
      <c r="F29" s="1010"/>
      <c r="G29" s="1010"/>
      <c r="H29" s="1010"/>
      <c r="I29" s="1010"/>
      <c r="J29" s="1010"/>
      <c r="K29" s="1010"/>
      <c r="L29" s="1010"/>
      <c r="M29" s="1011"/>
      <c r="N29" s="1012">
        <v>250000</v>
      </c>
      <c r="O29" s="1013"/>
      <c r="P29" s="1014"/>
      <c r="Q29" s="1041">
        <f>IF(C29="No","",IF(C29="","",IF(N29&lt;=50000,1000,2500)))</f>
        <v>2500</v>
      </c>
      <c r="R29" s="1042"/>
      <c r="S29" s="860"/>
      <c r="T29" s="362"/>
      <c r="U29" s="774">
        <f t="shared" si="1"/>
        <v>0</v>
      </c>
      <c r="V29" s="362"/>
      <c r="W29" s="2"/>
      <c r="X29" s="2"/>
      <c r="Y29" s="2"/>
      <c r="Z29" s="2"/>
      <c r="AA29" s="2"/>
      <c r="AB29" s="2"/>
      <c r="AE29" s="466">
        <v>20000000</v>
      </c>
    </row>
    <row r="30" spans="1:33">
      <c r="A30" s="362" t="s">
        <v>4324</v>
      </c>
      <c r="B30" s="362"/>
      <c r="C30" s="767" t="s">
        <v>9</v>
      </c>
      <c r="D30" s="1009" t="s">
        <v>4325</v>
      </c>
      <c r="E30" s="1010"/>
      <c r="F30" s="1010"/>
      <c r="G30" s="1010"/>
      <c r="H30" s="1010"/>
      <c r="I30" s="1010"/>
      <c r="J30" s="1010"/>
      <c r="K30" s="1010"/>
      <c r="L30" s="1010"/>
      <c r="M30" s="1011"/>
      <c r="N30" s="1012">
        <v>5000</v>
      </c>
      <c r="O30" s="1013"/>
      <c r="P30" s="1014"/>
      <c r="Q30" s="1043" t="s">
        <v>4289</v>
      </c>
      <c r="R30" s="1040"/>
      <c r="S30" s="860"/>
      <c r="T30" s="362"/>
      <c r="U30" s="774">
        <f t="shared" si="1"/>
        <v>0</v>
      </c>
      <c r="V30" s="362"/>
      <c r="W30" s="2"/>
      <c r="X30" s="2"/>
      <c r="Y30" s="2"/>
      <c r="Z30" s="2"/>
      <c r="AA30" s="2"/>
      <c r="AB30" s="2"/>
    </row>
    <row r="31" spans="1:33">
      <c r="A31" s="362" t="s">
        <v>4328</v>
      </c>
      <c r="B31" s="362"/>
      <c r="C31" s="767" t="s">
        <v>9</v>
      </c>
      <c r="D31" s="1009" t="s">
        <v>4329</v>
      </c>
      <c r="E31" s="1010"/>
      <c r="F31" s="1010"/>
      <c r="G31" s="1010"/>
      <c r="H31" s="1010"/>
      <c r="I31" s="1010"/>
      <c r="J31" s="1010"/>
      <c r="K31" s="1010"/>
      <c r="L31" s="1010"/>
      <c r="M31" s="1011"/>
      <c r="N31" s="1031">
        <f>MIN(LiabilityValues)</f>
        <v>500000</v>
      </c>
      <c r="O31" s="1032"/>
      <c r="P31" s="1033"/>
      <c r="Q31" s="1015" t="s">
        <v>4289</v>
      </c>
      <c r="R31" s="1016"/>
      <c r="S31" s="860"/>
      <c r="T31" s="362"/>
      <c r="U31" s="774">
        <f t="shared" si="1"/>
        <v>0</v>
      </c>
      <c r="V31" s="362"/>
      <c r="W31" s="2"/>
      <c r="X31" s="2"/>
      <c r="Y31" s="2"/>
      <c r="Z31" s="2"/>
      <c r="AA31" s="2"/>
      <c r="AB31" s="2"/>
      <c r="AE31" t="s">
        <v>4326</v>
      </c>
      <c r="AG31" t="s">
        <v>4327</v>
      </c>
    </row>
    <row r="32" spans="1:33">
      <c r="A32" s="362" t="s">
        <v>4330</v>
      </c>
      <c r="B32" s="362"/>
      <c r="C32" s="767" t="s">
        <v>11</v>
      </c>
      <c r="D32" s="1009" t="s">
        <v>4331</v>
      </c>
      <c r="E32" s="1010"/>
      <c r="F32" s="1010"/>
      <c r="G32" s="1010"/>
      <c r="H32" s="1010"/>
      <c r="I32" s="1010"/>
      <c r="J32" s="1010"/>
      <c r="K32" s="1010"/>
      <c r="L32" s="1010"/>
      <c r="M32" s="1011"/>
      <c r="N32" s="1031">
        <f>MIN(LiabilityValues)</f>
        <v>500000</v>
      </c>
      <c r="O32" s="1032"/>
      <c r="P32" s="1033"/>
      <c r="Q32" s="1015" t="s">
        <v>4289</v>
      </c>
      <c r="R32" s="1016"/>
      <c r="S32" s="860"/>
      <c r="T32" s="362"/>
      <c r="U32" s="774">
        <f t="shared" si="1"/>
        <v>0</v>
      </c>
      <c r="V32" s="362"/>
      <c r="W32" s="2"/>
      <c r="X32" s="2"/>
      <c r="Y32" s="2"/>
      <c r="Z32" s="2"/>
      <c r="AA32" s="2"/>
      <c r="AB32" s="2"/>
      <c r="AE32" s="466">
        <v>25000</v>
      </c>
      <c r="AG32" s="769">
        <v>5000</v>
      </c>
    </row>
    <row r="33" spans="1:33">
      <c r="A33" s="362" t="s">
        <v>4332</v>
      </c>
      <c r="B33" s="362"/>
      <c r="C33" s="767" t="s">
        <v>9</v>
      </c>
      <c r="D33" s="1009" t="s">
        <v>4333</v>
      </c>
      <c r="E33" s="1010"/>
      <c r="F33" s="1010"/>
      <c r="G33" s="1010"/>
      <c r="H33" s="1010"/>
      <c r="I33" s="1010"/>
      <c r="J33" s="1010"/>
      <c r="K33" s="1010"/>
      <c r="L33" s="1010"/>
      <c r="M33" s="1011"/>
      <c r="N33" s="1031">
        <f>MIN(LiabilityValues)</f>
        <v>500000</v>
      </c>
      <c r="O33" s="1032"/>
      <c r="P33" s="1033"/>
      <c r="Q33" s="1015" t="s">
        <v>4289</v>
      </c>
      <c r="R33" s="1016"/>
      <c r="S33" s="860"/>
      <c r="T33" s="362"/>
      <c r="U33" s="774">
        <f t="shared" si="1"/>
        <v>0</v>
      </c>
      <c r="V33" s="362"/>
      <c r="W33" s="2"/>
      <c r="X33" s="2"/>
      <c r="Y33" s="2"/>
      <c r="Z33" s="2"/>
      <c r="AA33" s="2"/>
      <c r="AB33" s="2"/>
      <c r="AE33" s="466">
        <v>50000</v>
      </c>
      <c r="AG33" s="769">
        <v>10000</v>
      </c>
    </row>
    <row r="34" spans="1:33">
      <c r="A34" s="362" t="s">
        <v>4334</v>
      </c>
      <c r="B34" s="362"/>
      <c r="C34" s="767" t="s">
        <v>9</v>
      </c>
      <c r="D34" s="1009" t="s">
        <v>4335</v>
      </c>
      <c r="E34" s="1010"/>
      <c r="F34" s="1010"/>
      <c r="G34" s="1010"/>
      <c r="H34" s="1010"/>
      <c r="I34" s="1010"/>
      <c r="J34" s="1010"/>
      <c r="K34" s="1010"/>
      <c r="L34" s="1010"/>
      <c r="M34" s="1011"/>
      <c r="N34" s="1031">
        <f>MIN(LiabilityValues)</f>
        <v>500000</v>
      </c>
      <c r="O34" s="1032"/>
      <c r="P34" s="1033"/>
      <c r="Q34" s="1015" t="s">
        <v>4289</v>
      </c>
      <c r="R34" s="1016"/>
      <c r="S34" s="860"/>
      <c r="T34" s="362"/>
      <c r="U34" s="774">
        <f t="shared" si="1"/>
        <v>0</v>
      </c>
      <c r="V34" s="362"/>
      <c r="W34" s="2"/>
      <c r="X34" s="2"/>
      <c r="Y34" s="2"/>
      <c r="Z34" s="2"/>
      <c r="AA34" s="2"/>
      <c r="AB34" s="2"/>
      <c r="AE34" s="466">
        <v>100000</v>
      </c>
      <c r="AG34" s="769">
        <v>25000</v>
      </c>
    </row>
    <row r="35" spans="1:33">
      <c r="A35" s="362" t="s">
        <v>4336</v>
      </c>
      <c r="B35" s="362"/>
      <c r="C35" s="767" t="s">
        <v>9</v>
      </c>
      <c r="D35" s="1009" t="s">
        <v>4337</v>
      </c>
      <c r="E35" s="1010"/>
      <c r="F35" s="1010"/>
      <c r="G35" s="1010"/>
      <c r="H35" s="1010"/>
      <c r="I35" s="1010"/>
      <c r="J35" s="1010"/>
      <c r="K35" s="1010"/>
      <c r="L35" s="1010"/>
      <c r="M35" s="1011"/>
      <c r="N35" s="1031">
        <f>MIN(25000000,MAX(LiabilityValues))</f>
        <v>500000</v>
      </c>
      <c r="O35" s="1032"/>
      <c r="P35" s="1033"/>
      <c r="Q35" s="1015" t="s">
        <v>4289</v>
      </c>
      <c r="R35" s="1016"/>
      <c r="S35" s="860"/>
      <c r="T35" s="362"/>
      <c r="U35" s="774">
        <f t="shared" si="1"/>
        <v>0</v>
      </c>
      <c r="V35" s="362"/>
      <c r="W35" s="2"/>
      <c r="X35" s="2"/>
      <c r="Y35" s="2"/>
      <c r="Z35" s="2"/>
      <c r="AA35" s="2"/>
      <c r="AB35" s="2"/>
      <c r="AE35" s="466">
        <v>250000</v>
      </c>
      <c r="AG35" s="769">
        <v>50000</v>
      </c>
    </row>
    <row r="36" spans="1:33">
      <c r="A36" s="362"/>
      <c r="B36" s="362"/>
      <c r="C36" s="362"/>
      <c r="D36" s="362"/>
      <c r="E36" s="362"/>
      <c r="F36" s="362"/>
      <c r="G36" s="362"/>
      <c r="H36" s="362"/>
      <c r="I36" s="362"/>
      <c r="J36" s="362"/>
      <c r="K36" s="362"/>
      <c r="L36" s="362"/>
      <c r="M36" s="771" t="s">
        <v>4339</v>
      </c>
      <c r="N36" s="1034" t="s">
        <v>11</v>
      </c>
      <c r="O36" s="1035"/>
      <c r="P36" s="1036"/>
      <c r="Q36" s="362"/>
      <c r="R36" s="362"/>
      <c r="S36" s="362"/>
      <c r="T36" s="362"/>
      <c r="U36" s="362"/>
      <c r="V36" s="362"/>
      <c r="W36" s="2"/>
      <c r="X36" s="2"/>
      <c r="Y36" s="2"/>
      <c r="Z36" s="2"/>
      <c r="AA36" s="2"/>
      <c r="AB36" s="2"/>
      <c r="AE36" s="466">
        <v>500000</v>
      </c>
      <c r="AG36" t="s">
        <v>4338</v>
      </c>
    </row>
    <row r="37" spans="1:33" ht="15">
      <c r="A37" s="7" t="s">
        <v>4227</v>
      </c>
      <c r="B37" s="2"/>
      <c r="C37" s="2"/>
      <c r="D37" s="2"/>
      <c r="E37" s="2"/>
      <c r="F37" s="2"/>
      <c r="G37" s="2"/>
      <c r="H37" s="2"/>
      <c r="I37" s="2"/>
      <c r="J37" s="2"/>
      <c r="K37" s="2"/>
      <c r="L37" s="2"/>
      <c r="M37" s="2"/>
      <c r="N37" s="2"/>
      <c r="O37" s="2"/>
      <c r="P37" s="2"/>
      <c r="Q37" s="2"/>
      <c r="R37" s="2"/>
      <c r="S37" s="2"/>
      <c r="T37" s="2"/>
      <c r="U37" s="2"/>
      <c r="V37" s="2"/>
      <c r="W37" s="2"/>
      <c r="X37" s="2"/>
      <c r="Y37" s="2"/>
      <c r="Z37" s="2"/>
      <c r="AA37" s="2"/>
      <c r="AB37" s="2"/>
      <c r="AE37" s="466">
        <v>1000000</v>
      </c>
      <c r="AG37" s="769">
        <v>0</v>
      </c>
    </row>
    <row r="38" spans="1:33">
      <c r="A38" s="362" t="s">
        <v>4340</v>
      </c>
      <c r="B38" s="2"/>
      <c r="C38" s="767" t="s">
        <v>11</v>
      </c>
      <c r="D38" s="1009" t="s">
        <v>4347</v>
      </c>
      <c r="E38" s="1010"/>
      <c r="F38" s="1010"/>
      <c r="G38" s="1010"/>
      <c r="H38" s="1010"/>
      <c r="I38" s="1010"/>
      <c r="J38" s="1010"/>
      <c r="K38" s="1010"/>
      <c r="L38" s="1010"/>
      <c r="M38" s="1011"/>
      <c r="N38" s="1012">
        <v>15000</v>
      </c>
      <c r="O38" s="1013"/>
      <c r="P38" s="1014"/>
      <c r="Q38" s="1037" t="s">
        <v>4289</v>
      </c>
      <c r="R38" s="1038"/>
      <c r="S38" s="768"/>
      <c r="T38" s="2"/>
      <c r="U38" s="774">
        <f>IF(C38="no",0,S38)</f>
        <v>0</v>
      </c>
      <c r="V38" s="2"/>
      <c r="W38" s="2"/>
      <c r="X38" s="2"/>
      <c r="Y38" s="2"/>
      <c r="Z38" s="2"/>
      <c r="AA38" s="2"/>
      <c r="AB38" s="2"/>
      <c r="AE38" s="466">
        <v>2000000</v>
      </c>
      <c r="AG38" s="769">
        <v>250</v>
      </c>
    </row>
    <row r="39" spans="1:33">
      <c r="A39" s="362"/>
      <c r="B39" s="2"/>
      <c r="C39" s="2"/>
      <c r="D39" s="2"/>
      <c r="E39" s="2"/>
      <c r="F39" s="2"/>
      <c r="G39" s="2"/>
      <c r="H39" s="2"/>
      <c r="I39" s="2"/>
      <c r="J39" s="2"/>
      <c r="K39" s="362"/>
      <c r="L39" s="362"/>
      <c r="M39" s="771" t="s">
        <v>4314</v>
      </c>
      <c r="N39" s="1039" t="s">
        <v>4315</v>
      </c>
      <c r="O39" s="1039"/>
      <c r="P39" s="1040"/>
      <c r="Q39" s="1029">
        <v>1500</v>
      </c>
      <c r="R39" s="1030"/>
      <c r="S39" s="362"/>
      <c r="T39" s="2"/>
      <c r="U39" s="2"/>
      <c r="V39" s="2"/>
      <c r="W39" s="2"/>
      <c r="X39" s="2"/>
      <c r="Y39" s="2"/>
      <c r="Z39" s="2"/>
      <c r="AA39" s="2"/>
      <c r="AB39" s="2"/>
      <c r="AG39" s="769">
        <v>500</v>
      </c>
    </row>
    <row r="40" spans="1:33">
      <c r="A40" s="362"/>
      <c r="B40" s="2"/>
      <c r="C40" s="2"/>
      <c r="D40" s="2"/>
      <c r="E40" s="2"/>
      <c r="F40" s="2"/>
      <c r="G40" s="2"/>
      <c r="H40" s="2"/>
      <c r="I40" s="2"/>
      <c r="J40" s="2"/>
      <c r="K40" s="362"/>
      <c r="L40" s="362"/>
      <c r="M40" s="771" t="s">
        <v>4316</v>
      </c>
      <c r="N40" s="1028" t="s">
        <v>4317</v>
      </c>
      <c r="O40" s="1028"/>
      <c r="P40" s="1016"/>
      <c r="Q40" s="1029">
        <v>5000</v>
      </c>
      <c r="R40" s="1030"/>
      <c r="S40" s="362"/>
      <c r="T40" s="2"/>
      <c r="U40" s="2"/>
      <c r="V40" s="2"/>
      <c r="W40" s="2"/>
      <c r="X40" s="2"/>
      <c r="Y40" s="2"/>
      <c r="Z40" s="2"/>
      <c r="AA40" s="2"/>
      <c r="AB40" s="2"/>
    </row>
    <row r="41" spans="1:33">
      <c r="A41" s="362"/>
      <c r="B41" s="2"/>
      <c r="C41" s="2"/>
      <c r="D41" s="2"/>
      <c r="E41" s="2"/>
      <c r="F41" s="2"/>
      <c r="G41" s="2"/>
      <c r="H41" s="2"/>
      <c r="I41" s="2"/>
      <c r="J41" s="2"/>
      <c r="K41" s="2"/>
      <c r="L41" s="2"/>
      <c r="M41" s="2"/>
      <c r="N41" s="2"/>
      <c r="O41" s="2"/>
      <c r="P41" s="2"/>
      <c r="Q41" s="2"/>
      <c r="R41" s="2"/>
      <c r="S41" s="2"/>
      <c r="T41" s="2"/>
      <c r="U41" s="2"/>
      <c r="V41" s="2"/>
      <c r="W41" s="2"/>
      <c r="X41" s="2"/>
      <c r="Y41" s="2"/>
      <c r="Z41" s="2"/>
      <c r="AA41" s="2"/>
      <c r="AB41" s="2"/>
    </row>
    <row r="42" spans="1:33">
      <c r="A42" s="362" t="s">
        <v>4341</v>
      </c>
      <c r="B42" s="2"/>
      <c r="C42" s="767" t="s">
        <v>9</v>
      </c>
      <c r="D42" s="1009" t="s">
        <v>4348</v>
      </c>
      <c r="E42" s="1010"/>
      <c r="F42" s="1010"/>
      <c r="G42" s="1010"/>
      <c r="H42" s="1010"/>
      <c r="I42" s="1010"/>
      <c r="J42" s="1010"/>
      <c r="K42" s="1010"/>
      <c r="L42" s="1010"/>
      <c r="M42" s="1011"/>
      <c r="N42" s="1031">
        <f>MIN(50000000,MAX(Hullvalues)*1.1)</f>
        <v>110000.00000000001</v>
      </c>
      <c r="O42" s="1032"/>
      <c r="P42" s="1033"/>
      <c r="Q42" s="1015" t="s">
        <v>4289</v>
      </c>
      <c r="R42" s="1016"/>
      <c r="S42" s="860"/>
      <c r="T42" s="2"/>
      <c r="U42" s="774">
        <f>IF(C42="no",0,S42)</f>
        <v>0</v>
      </c>
      <c r="V42" s="2"/>
      <c r="W42" s="2"/>
      <c r="X42" s="2"/>
      <c r="Y42" s="2"/>
      <c r="Z42" s="2"/>
      <c r="AA42" s="2"/>
      <c r="AB42" s="2"/>
      <c r="AE42" t="s">
        <v>4350</v>
      </c>
      <c r="AG42" t="s">
        <v>4368</v>
      </c>
    </row>
    <row r="43" spans="1:33">
      <c r="A43" s="362"/>
      <c r="B43" s="2"/>
      <c r="C43" s="2"/>
      <c r="D43" s="2"/>
      <c r="E43" s="2"/>
      <c r="F43" s="2"/>
      <c r="G43" s="2"/>
      <c r="H43" s="2"/>
      <c r="I43" s="2"/>
      <c r="J43" s="2"/>
      <c r="K43" s="2"/>
      <c r="L43" s="2"/>
      <c r="M43" s="3" t="s">
        <v>4349</v>
      </c>
      <c r="N43" s="1012">
        <v>250000</v>
      </c>
      <c r="O43" s="1013"/>
      <c r="P43" s="1014"/>
      <c r="Q43" s="2"/>
      <c r="R43" s="2"/>
      <c r="S43" s="2"/>
      <c r="T43" s="2"/>
      <c r="U43" s="2"/>
      <c r="V43" s="2"/>
      <c r="W43" s="2"/>
      <c r="X43" s="2"/>
      <c r="Y43" s="2"/>
      <c r="Z43" s="2"/>
      <c r="AA43" s="2"/>
      <c r="AB43" s="2"/>
      <c r="AE43">
        <v>5000</v>
      </c>
      <c r="AG43" s="769">
        <v>25000</v>
      </c>
    </row>
    <row r="44" spans="1:33">
      <c r="A44" s="362" t="s">
        <v>4342</v>
      </c>
      <c r="B44" s="2"/>
      <c r="C44" s="767" t="s">
        <v>9</v>
      </c>
      <c r="D44" s="1009" t="s">
        <v>4352</v>
      </c>
      <c r="E44" s="1010"/>
      <c r="F44" s="1010"/>
      <c r="G44" s="1010"/>
      <c r="H44" s="1010"/>
      <c r="I44" s="1010"/>
      <c r="J44" s="1010"/>
      <c r="K44" s="1010"/>
      <c r="L44" s="1010"/>
      <c r="M44" s="1011"/>
      <c r="N44" s="1012">
        <v>5000</v>
      </c>
      <c r="O44" s="1013"/>
      <c r="P44" s="1014"/>
      <c r="Q44" s="1029">
        <v>500</v>
      </c>
      <c r="R44" s="1030"/>
      <c r="S44" s="860"/>
      <c r="T44" s="2"/>
      <c r="U44" s="774">
        <f>IF(C44="no",0,S44)</f>
        <v>0</v>
      </c>
      <c r="V44" s="2"/>
      <c r="W44" s="2"/>
      <c r="X44" s="2"/>
      <c r="Y44" s="2"/>
      <c r="Z44" s="2"/>
      <c r="AA44" s="2"/>
      <c r="AB44" s="2"/>
      <c r="AE44" s="769">
        <v>10000</v>
      </c>
      <c r="AF44" s="769"/>
      <c r="AG44" s="769">
        <v>50000</v>
      </c>
    </row>
    <row r="45" spans="1:33">
      <c r="A45" s="2"/>
      <c r="B45" s="2"/>
      <c r="C45" s="2"/>
      <c r="D45" s="2"/>
      <c r="E45" s="2"/>
      <c r="F45" s="2"/>
      <c r="G45" s="2"/>
      <c r="H45" s="2"/>
      <c r="I45" s="2"/>
      <c r="J45" s="2"/>
      <c r="K45" s="2"/>
      <c r="L45" s="2"/>
      <c r="M45" s="3" t="s">
        <v>4353</v>
      </c>
      <c r="N45" s="1012">
        <v>5000</v>
      </c>
      <c r="O45" s="1013"/>
      <c r="P45" s="1014"/>
      <c r="Q45" s="2"/>
      <c r="R45" s="2"/>
      <c r="S45" s="2"/>
      <c r="T45" s="2"/>
      <c r="U45" s="2"/>
      <c r="V45" s="2"/>
      <c r="W45" s="2"/>
      <c r="X45" s="2"/>
      <c r="Y45" s="2"/>
      <c r="Z45" s="2"/>
      <c r="AA45" s="2"/>
      <c r="AB45" s="2"/>
      <c r="AE45" s="769">
        <v>15000</v>
      </c>
      <c r="AF45" s="769"/>
      <c r="AG45" s="769">
        <v>100000</v>
      </c>
    </row>
    <row r="46" spans="1:33" ht="15">
      <c r="A46" s="7" t="s">
        <v>4244</v>
      </c>
      <c r="B46" s="2"/>
      <c r="C46" s="2"/>
      <c r="D46" s="2"/>
      <c r="E46" s="2"/>
      <c r="F46" s="2"/>
      <c r="G46" s="2"/>
      <c r="H46" s="2"/>
      <c r="I46" s="2"/>
      <c r="J46" s="2"/>
      <c r="K46" s="2"/>
      <c r="L46" s="2"/>
      <c r="M46" s="2"/>
      <c r="N46" s="2"/>
      <c r="O46" s="2"/>
      <c r="P46" s="2"/>
      <c r="Q46" s="2"/>
      <c r="R46" s="2"/>
      <c r="S46" s="2"/>
      <c r="T46" s="2"/>
      <c r="U46" s="2"/>
      <c r="V46" s="2"/>
      <c r="W46" s="2"/>
      <c r="X46" s="2"/>
      <c r="Y46" s="2"/>
      <c r="Z46" s="2"/>
      <c r="AA46" s="2"/>
      <c r="AB46" s="2"/>
      <c r="AE46" s="769">
        <v>20000</v>
      </c>
      <c r="AF46" s="769"/>
      <c r="AG46" s="769">
        <v>250000</v>
      </c>
    </row>
    <row r="47" spans="1:33">
      <c r="A47" s="362" t="s">
        <v>4343</v>
      </c>
      <c r="B47" s="2"/>
      <c r="C47" s="767" t="s">
        <v>9</v>
      </c>
      <c r="D47" s="1009" t="s">
        <v>4362</v>
      </c>
      <c r="E47" s="1010"/>
      <c r="F47" s="1010"/>
      <c r="G47" s="1010"/>
      <c r="H47" s="1010"/>
      <c r="I47" s="1010"/>
      <c r="J47" s="1010"/>
      <c r="K47" s="1010"/>
      <c r="L47" s="1010"/>
      <c r="M47" s="1011"/>
      <c r="N47" s="1012">
        <v>50000</v>
      </c>
      <c r="O47" s="1013"/>
      <c r="P47" s="1014"/>
      <c r="Q47" s="1015" t="s">
        <v>4289</v>
      </c>
      <c r="R47" s="1016"/>
      <c r="S47" s="860"/>
      <c r="T47" s="2"/>
      <c r="U47" s="774">
        <f>IF(C47="no",0,S47)</f>
        <v>0</v>
      </c>
      <c r="V47" s="2"/>
      <c r="W47" s="2"/>
      <c r="X47" s="2"/>
      <c r="Y47" s="2"/>
      <c r="Z47" s="2"/>
      <c r="AA47" s="2"/>
      <c r="AB47" s="2"/>
      <c r="AE47" s="769">
        <v>25000</v>
      </c>
      <c r="AF47" s="769"/>
      <c r="AG47" s="769">
        <v>500000</v>
      </c>
    </row>
    <row r="48" spans="1:33">
      <c r="A48" s="2"/>
      <c r="B48" s="2"/>
      <c r="C48" s="362"/>
      <c r="D48" s="362"/>
      <c r="E48" s="362"/>
      <c r="F48" s="362"/>
      <c r="G48" s="362"/>
      <c r="H48" s="362"/>
      <c r="I48" s="362"/>
      <c r="J48" s="362"/>
      <c r="K48" s="362"/>
      <c r="L48" s="362"/>
      <c r="M48" s="771" t="s">
        <v>4354</v>
      </c>
      <c r="N48" s="1025">
        <v>5</v>
      </c>
      <c r="O48" s="1026"/>
      <c r="P48" s="1027"/>
      <c r="Q48" s="2"/>
      <c r="R48" s="2"/>
      <c r="S48" s="2"/>
      <c r="T48" s="2"/>
      <c r="U48" s="2"/>
      <c r="V48" s="2"/>
      <c r="W48" s="2"/>
      <c r="X48" s="2"/>
      <c r="Y48" s="2"/>
      <c r="Z48" s="2"/>
      <c r="AA48" s="2"/>
      <c r="AB48" s="2"/>
      <c r="AE48" s="769" t="s">
        <v>4351</v>
      </c>
      <c r="AF48" s="769"/>
      <c r="AG48" s="769">
        <v>1000000</v>
      </c>
    </row>
    <row r="49" spans="1:33">
      <c r="A49" s="2"/>
      <c r="B49" s="2"/>
      <c r="C49" s="362"/>
      <c r="D49" s="362"/>
      <c r="E49" s="362"/>
      <c r="F49" s="362"/>
      <c r="G49" s="362"/>
      <c r="H49" s="362"/>
      <c r="I49" s="362"/>
      <c r="J49" s="362"/>
      <c r="K49" s="362"/>
      <c r="L49" s="362"/>
      <c r="M49" s="771" t="s">
        <v>4355</v>
      </c>
      <c r="N49" s="1025">
        <v>30</v>
      </c>
      <c r="O49" s="1026"/>
      <c r="P49" s="1027"/>
      <c r="Q49" s="2"/>
      <c r="R49" s="2"/>
      <c r="S49" s="2"/>
      <c r="T49" s="2"/>
      <c r="U49" s="2"/>
      <c r="V49" s="2"/>
      <c r="W49" s="2"/>
      <c r="X49" s="2"/>
      <c r="Y49" s="2"/>
      <c r="Z49" s="2"/>
      <c r="AA49" s="2"/>
      <c r="AB49" s="2"/>
      <c r="AE49" s="769">
        <v>500</v>
      </c>
      <c r="AF49" s="769"/>
      <c r="AG49" s="769">
        <v>2000000</v>
      </c>
    </row>
    <row r="50" spans="1:33">
      <c r="A50" s="362" t="s">
        <v>4344</v>
      </c>
      <c r="B50" s="2"/>
      <c r="C50" s="767" t="s">
        <v>9</v>
      </c>
      <c r="D50" s="1009" t="s">
        <v>4361</v>
      </c>
      <c r="E50" s="1010"/>
      <c r="F50" s="1010"/>
      <c r="G50" s="1010"/>
      <c r="H50" s="1010"/>
      <c r="I50" s="1010"/>
      <c r="J50" s="1010"/>
      <c r="K50" s="1010"/>
      <c r="L50" s="1010"/>
      <c r="M50" s="1011"/>
      <c r="N50" s="1012">
        <v>300000</v>
      </c>
      <c r="O50" s="1013"/>
      <c r="P50" s="1014"/>
      <c r="Q50" s="1015" t="s">
        <v>4289</v>
      </c>
      <c r="R50" s="1016"/>
      <c r="S50" s="860"/>
      <c r="T50" s="2"/>
      <c r="U50" s="774">
        <f>IF(C50="no",0,S50)</f>
        <v>0</v>
      </c>
      <c r="V50" s="2"/>
      <c r="W50" s="2"/>
      <c r="X50" s="2"/>
      <c r="Y50" s="2"/>
      <c r="Z50" s="2"/>
      <c r="AA50" s="2"/>
      <c r="AB50" s="2"/>
      <c r="AE50" s="769">
        <v>1000</v>
      </c>
      <c r="AF50" s="769"/>
      <c r="AG50" s="769"/>
    </row>
    <row r="51" spans="1:33">
      <c r="A51" s="2"/>
      <c r="B51" s="2"/>
      <c r="C51" s="362"/>
      <c r="D51" s="362"/>
      <c r="E51" s="362"/>
      <c r="F51" s="362"/>
      <c r="G51" s="362"/>
      <c r="H51" s="362"/>
      <c r="I51" s="362"/>
      <c r="J51" s="362"/>
      <c r="K51" s="362"/>
      <c r="L51" s="362"/>
      <c r="M51" s="771" t="s">
        <v>4356</v>
      </c>
      <c r="N51" s="1025">
        <v>5000</v>
      </c>
      <c r="O51" s="1026"/>
      <c r="P51" s="1027"/>
      <c r="Q51" s="2"/>
      <c r="R51" s="2"/>
      <c r="S51" s="2"/>
      <c r="T51" s="2"/>
      <c r="U51" s="2"/>
      <c r="V51" s="2"/>
      <c r="W51" s="2"/>
      <c r="X51" s="2"/>
      <c r="Y51" s="2"/>
      <c r="Z51" s="2"/>
      <c r="AA51" s="2"/>
      <c r="AB51" s="2"/>
      <c r="AE51" s="769">
        <v>2500</v>
      </c>
      <c r="AF51" s="769"/>
      <c r="AG51" s="769"/>
    </row>
    <row r="52" spans="1:33">
      <c r="A52" s="2"/>
      <c r="B52" s="2"/>
      <c r="C52" s="362"/>
      <c r="D52" s="362"/>
      <c r="E52" s="362"/>
      <c r="F52" s="362"/>
      <c r="G52" s="362"/>
      <c r="H52" s="362"/>
      <c r="I52" s="362"/>
      <c r="J52" s="362"/>
      <c r="K52" s="362"/>
      <c r="L52" s="362"/>
      <c r="M52" s="771" t="s">
        <v>4358</v>
      </c>
      <c r="N52" s="1025">
        <v>0</v>
      </c>
      <c r="O52" s="1026"/>
      <c r="P52" s="1027"/>
      <c r="Q52" s="2"/>
      <c r="R52" s="2"/>
      <c r="S52" s="2"/>
      <c r="T52" s="2"/>
      <c r="U52" s="2"/>
      <c r="V52" s="2"/>
      <c r="W52" s="2"/>
      <c r="X52" s="2"/>
      <c r="Y52" s="2"/>
      <c r="Z52" s="2"/>
      <c r="AA52" s="2"/>
      <c r="AB52" s="2"/>
    </row>
    <row r="53" spans="1:33">
      <c r="A53" s="2"/>
      <c r="B53" s="2"/>
      <c r="C53" s="2"/>
      <c r="D53" s="2"/>
      <c r="E53" s="2"/>
      <c r="F53" s="2"/>
      <c r="G53" s="2"/>
      <c r="H53" s="2"/>
      <c r="I53" s="2"/>
      <c r="J53" s="2"/>
      <c r="K53" s="2"/>
      <c r="L53" s="2"/>
      <c r="M53" s="771" t="s">
        <v>4357</v>
      </c>
      <c r="N53" s="1025">
        <v>3</v>
      </c>
      <c r="O53" s="1026"/>
      <c r="P53" s="1027"/>
      <c r="Q53" s="2"/>
      <c r="R53" s="2"/>
      <c r="S53" s="2"/>
      <c r="T53" s="2"/>
      <c r="U53" s="2"/>
      <c r="V53" s="2"/>
      <c r="W53" s="2"/>
      <c r="X53" s="2"/>
      <c r="Y53" s="2"/>
      <c r="Z53" s="2"/>
      <c r="AA53" s="2"/>
      <c r="AB53" s="2"/>
      <c r="AE53" t="s">
        <v>44</v>
      </c>
    </row>
    <row r="54" spans="1:33">
      <c r="A54" s="362" t="s">
        <v>4359</v>
      </c>
      <c r="B54" s="2"/>
      <c r="C54" s="767" t="s">
        <v>9</v>
      </c>
      <c r="D54" s="1009" t="s">
        <v>4360</v>
      </c>
      <c r="E54" s="1010"/>
      <c r="F54" s="1010"/>
      <c r="G54" s="1010"/>
      <c r="H54" s="1010"/>
      <c r="I54" s="1010"/>
      <c r="J54" s="1010"/>
      <c r="K54" s="1010"/>
      <c r="L54" s="1010"/>
      <c r="M54" s="1011"/>
      <c r="N54" s="1012">
        <v>250000</v>
      </c>
      <c r="O54" s="1013"/>
      <c r="P54" s="1014"/>
      <c r="Q54" s="1015" t="s">
        <v>4289</v>
      </c>
      <c r="R54" s="1016"/>
      <c r="S54" s="860"/>
      <c r="T54" s="2"/>
      <c r="U54" s="774">
        <f t="shared" ref="U54:U57" si="2">IF(C54="no",0,S54)</f>
        <v>0</v>
      </c>
      <c r="V54" s="2"/>
      <c r="W54" s="2"/>
      <c r="X54" s="2"/>
      <c r="Y54" s="2"/>
      <c r="Z54" s="2"/>
      <c r="AA54" s="2"/>
      <c r="AB54" s="2"/>
      <c r="AE54" s="769">
        <v>1000</v>
      </c>
    </row>
    <row r="55" spans="1:33">
      <c r="A55" s="362" t="s">
        <v>4363</v>
      </c>
      <c r="B55" s="2"/>
      <c r="C55" s="767" t="s">
        <v>9</v>
      </c>
      <c r="D55" s="1009" t="s">
        <v>4366</v>
      </c>
      <c r="E55" s="1010"/>
      <c r="F55" s="1010"/>
      <c r="G55" s="1010"/>
      <c r="H55" s="1010"/>
      <c r="I55" s="1010"/>
      <c r="J55" s="1010"/>
      <c r="K55" s="1010"/>
      <c r="L55" s="1010"/>
      <c r="M55" s="1011"/>
      <c r="N55" s="1012">
        <v>250000</v>
      </c>
      <c r="O55" s="1013"/>
      <c r="P55" s="1014"/>
      <c r="Q55" s="1015" t="s">
        <v>4289</v>
      </c>
      <c r="R55" s="1016"/>
      <c r="S55" s="860"/>
      <c r="T55" s="2"/>
      <c r="U55" s="774">
        <f t="shared" si="2"/>
        <v>0</v>
      </c>
      <c r="V55" s="2"/>
      <c r="W55" s="2"/>
      <c r="X55" s="2"/>
      <c r="Y55" s="2"/>
      <c r="Z55" s="2"/>
      <c r="AA55" s="2"/>
      <c r="AB55" s="2"/>
      <c r="AE55" s="769">
        <v>3000</v>
      </c>
    </row>
    <row r="56" spans="1:33">
      <c r="A56" s="362" t="s">
        <v>4364</v>
      </c>
      <c r="B56" s="2"/>
      <c r="C56" s="767" t="s">
        <v>9</v>
      </c>
      <c r="D56" s="1009" t="s">
        <v>4367</v>
      </c>
      <c r="E56" s="1010"/>
      <c r="F56" s="1010"/>
      <c r="G56" s="1010"/>
      <c r="H56" s="1010"/>
      <c r="I56" s="1010"/>
      <c r="J56" s="1010"/>
      <c r="K56" s="1010"/>
      <c r="L56" s="1010"/>
      <c r="M56" s="1011"/>
      <c r="N56" s="1012">
        <v>10000</v>
      </c>
      <c r="O56" s="1013"/>
      <c r="P56" s="1014"/>
      <c r="Q56" s="1015" t="s">
        <v>4289</v>
      </c>
      <c r="R56" s="1016"/>
      <c r="S56" s="860"/>
      <c r="T56" s="2"/>
      <c r="U56" s="774">
        <f t="shared" si="2"/>
        <v>0</v>
      </c>
      <c r="V56" s="2"/>
      <c r="W56" s="2"/>
      <c r="X56" s="2"/>
      <c r="Y56" s="2"/>
      <c r="Z56" s="2"/>
      <c r="AA56" s="2"/>
      <c r="AB56" s="2"/>
      <c r="AE56" s="769">
        <v>5000</v>
      </c>
    </row>
    <row r="57" spans="1:33">
      <c r="A57" s="362" t="s">
        <v>4365</v>
      </c>
      <c r="B57" s="2"/>
      <c r="C57" s="767" t="s">
        <v>9</v>
      </c>
      <c r="D57" s="1009" t="s">
        <v>4375</v>
      </c>
      <c r="E57" s="1010"/>
      <c r="F57" s="1010"/>
      <c r="G57" s="1010"/>
      <c r="H57" s="1010"/>
      <c r="I57" s="1010"/>
      <c r="J57" s="1010"/>
      <c r="K57" s="1010"/>
      <c r="L57" s="1010"/>
      <c r="M57" s="1011"/>
      <c r="N57" s="1022">
        <f>MAX(Hullvalues)</f>
        <v>100000</v>
      </c>
      <c r="O57" s="1023"/>
      <c r="P57" s="1024"/>
      <c r="Q57" s="1015" t="s">
        <v>4289</v>
      </c>
      <c r="R57" s="1016"/>
      <c r="S57" s="860"/>
      <c r="T57" s="2"/>
      <c r="U57" s="774">
        <f t="shared" si="2"/>
        <v>0</v>
      </c>
      <c r="V57" s="2"/>
      <c r="W57" s="2"/>
      <c r="X57" s="2"/>
      <c r="Y57" s="2"/>
      <c r="Z57" s="2"/>
      <c r="AA57" s="2"/>
      <c r="AB57" s="2"/>
      <c r="AE57" s="769">
        <v>7500</v>
      </c>
    </row>
    <row r="58" spans="1:33">
      <c r="A58" s="2"/>
      <c r="B58" s="2"/>
      <c r="C58" s="2"/>
      <c r="D58" s="2"/>
      <c r="E58" s="2"/>
      <c r="F58" s="2"/>
      <c r="G58" s="2"/>
      <c r="H58" s="2"/>
      <c r="I58" s="2"/>
      <c r="J58" s="2"/>
      <c r="K58" s="2"/>
      <c r="L58" s="2"/>
      <c r="M58" s="2"/>
      <c r="N58" s="2"/>
      <c r="O58" s="2"/>
      <c r="P58" s="2"/>
      <c r="Q58" s="2"/>
      <c r="R58" s="3" t="s">
        <v>4413</v>
      </c>
      <c r="S58" s="2">
        <f>SUM(S38,S42,S44,S47,S50,S54,S55,S56,S57)</f>
        <v>0</v>
      </c>
      <c r="T58" s="2"/>
      <c r="U58" s="2">
        <f>ROUND(((SUM(U38,U42,U44,U47,U50,U54,U55,U56,U57)*0.85)/Worksheet_Com!E4),0)</f>
        <v>0</v>
      </c>
      <c r="V58" s="2"/>
      <c r="W58" s="2"/>
      <c r="X58" s="2"/>
      <c r="Y58" s="2"/>
      <c r="Z58" s="2"/>
      <c r="AA58" s="2"/>
      <c r="AB58" s="2"/>
      <c r="AE58" s="769">
        <v>10000</v>
      </c>
    </row>
    <row r="59" spans="1:33" ht="15">
      <c r="A59" s="7" t="s">
        <v>4263</v>
      </c>
      <c r="B59" s="2"/>
      <c r="C59" s="2"/>
      <c r="D59" s="2"/>
      <c r="E59" s="2"/>
      <c r="F59" s="2"/>
      <c r="G59" s="2"/>
      <c r="H59" s="2"/>
      <c r="I59" s="2"/>
      <c r="J59" s="2"/>
      <c r="K59" s="2"/>
      <c r="L59" s="2"/>
      <c r="M59" s="2"/>
      <c r="N59" s="2"/>
      <c r="O59" s="2"/>
      <c r="P59" s="2"/>
      <c r="Q59" s="2"/>
      <c r="R59" s="2"/>
      <c r="S59" s="2"/>
      <c r="T59" s="2"/>
      <c r="U59" s="2"/>
      <c r="V59" s="2"/>
      <c r="W59" s="2"/>
      <c r="X59" s="2"/>
      <c r="Y59" s="2"/>
      <c r="Z59" s="2"/>
      <c r="AA59" s="2"/>
      <c r="AB59" s="2"/>
      <c r="AE59" s="769">
        <v>25000</v>
      </c>
    </row>
    <row r="60" spans="1:33">
      <c r="A60" s="362" t="s">
        <v>4370</v>
      </c>
      <c r="B60" s="2"/>
      <c r="C60" s="767" t="s">
        <v>9</v>
      </c>
      <c r="D60" s="1009" t="s">
        <v>4369</v>
      </c>
      <c r="E60" s="1010"/>
      <c r="F60" s="1010"/>
      <c r="G60" s="1010"/>
      <c r="H60" s="1010"/>
      <c r="I60" s="1010"/>
      <c r="J60" s="1010"/>
      <c r="K60" s="1010"/>
      <c r="L60" s="1010"/>
      <c r="M60" s="1011"/>
      <c r="N60" s="1017">
        <f>Aircraft!Y84</f>
        <v>5000</v>
      </c>
      <c r="O60" s="1018"/>
      <c r="P60" s="1019"/>
      <c r="Q60" s="1015" t="s">
        <v>4289</v>
      </c>
      <c r="R60" s="1016"/>
      <c r="S60" s="791">
        <f>SUM(Worksheet_Com!Q6:Q85)</f>
        <v>102</v>
      </c>
      <c r="T60" s="2"/>
      <c r="U60" s="774">
        <f>IF(C60="no",0,S60)</f>
        <v>102</v>
      </c>
      <c r="V60" s="2"/>
      <c r="W60" s="2"/>
      <c r="X60" s="2"/>
      <c r="Y60" s="2"/>
      <c r="Z60" s="2"/>
      <c r="AA60" s="2"/>
      <c r="AB60" s="2"/>
      <c r="AE60" s="769">
        <v>50000</v>
      </c>
    </row>
    <row r="61" spans="1:33">
      <c r="A61" s="2"/>
      <c r="B61" s="2"/>
      <c r="C61" s="2"/>
      <c r="D61" s="2"/>
      <c r="E61" s="2"/>
      <c r="F61" s="2"/>
      <c r="G61" s="2"/>
      <c r="H61" s="2"/>
      <c r="I61" s="2"/>
      <c r="J61" s="2"/>
      <c r="K61" s="2" t="s">
        <v>4299</v>
      </c>
      <c r="L61" s="1020" t="s">
        <v>4300</v>
      </c>
      <c r="M61" s="1021"/>
      <c r="N61" s="2"/>
      <c r="O61" s="2"/>
      <c r="P61" s="2"/>
      <c r="Q61" s="2"/>
      <c r="R61" s="2"/>
      <c r="S61" s="2"/>
      <c r="T61" s="2"/>
      <c r="U61" s="2"/>
      <c r="V61" s="2"/>
      <c r="W61" s="2"/>
      <c r="X61" s="2"/>
      <c r="Y61" s="2"/>
      <c r="Z61" s="2"/>
      <c r="AA61" s="2"/>
      <c r="AB61" s="2"/>
      <c r="AE61" s="769">
        <v>100000</v>
      </c>
    </row>
    <row r="62" spans="1:33">
      <c r="A62" s="2" t="s">
        <v>4374</v>
      </c>
      <c r="B62" s="2"/>
      <c r="C62" s="767" t="s">
        <v>9</v>
      </c>
      <c r="D62" s="1009" t="s">
        <v>4376</v>
      </c>
      <c r="E62" s="1010"/>
      <c r="F62" s="1010"/>
      <c r="G62" s="1010"/>
      <c r="H62" s="1010"/>
      <c r="I62" s="1010"/>
      <c r="J62" s="1010"/>
      <c r="K62" s="1010"/>
      <c r="L62" s="1010"/>
      <c r="M62" s="1011"/>
      <c r="N62" s="1012">
        <v>10000</v>
      </c>
      <c r="O62" s="1013"/>
      <c r="P62" s="1014"/>
      <c r="Q62" s="1015" t="s">
        <v>4289</v>
      </c>
      <c r="R62" s="1016"/>
      <c r="S62" s="860"/>
      <c r="T62" s="2"/>
      <c r="U62" s="774">
        <f>IF(C62="no",0,S62)</f>
        <v>0</v>
      </c>
      <c r="V62" s="2"/>
      <c r="W62" s="2"/>
      <c r="X62" s="2"/>
      <c r="Y62" s="2"/>
      <c r="Z62" s="2"/>
      <c r="AA62" s="2"/>
      <c r="AB62" s="2"/>
    </row>
    <row r="63" spans="1:33">
      <c r="A63" s="2"/>
      <c r="B63" s="2"/>
      <c r="C63" s="2"/>
      <c r="D63" s="2"/>
      <c r="E63" s="2"/>
      <c r="F63" s="2"/>
      <c r="G63" s="2"/>
      <c r="H63" s="2"/>
      <c r="I63" s="2"/>
      <c r="J63" s="2"/>
      <c r="K63" s="2"/>
      <c r="L63" s="2"/>
      <c r="M63" s="3" t="s">
        <v>4377</v>
      </c>
      <c r="N63" s="1012">
        <v>5000</v>
      </c>
      <c r="O63" s="1013"/>
      <c r="P63" s="1014"/>
      <c r="Q63" s="2"/>
      <c r="R63" s="2"/>
      <c r="S63" s="2"/>
      <c r="T63" s="2"/>
      <c r="U63" s="2"/>
      <c r="V63" s="2"/>
      <c r="W63" s="2"/>
      <c r="X63" s="2"/>
      <c r="Y63" s="2"/>
      <c r="Z63" s="2"/>
      <c r="AA63" s="2"/>
      <c r="AB63" s="2"/>
    </row>
    <row r="64" spans="1:33">
      <c r="A64" s="2"/>
      <c r="B64" s="2"/>
      <c r="C64" s="2"/>
      <c r="D64" s="2"/>
      <c r="E64" s="2"/>
      <c r="F64" s="2"/>
      <c r="G64" s="2"/>
      <c r="H64" s="2"/>
      <c r="I64" s="2"/>
      <c r="J64" s="2"/>
      <c r="K64" s="2"/>
      <c r="L64" s="2"/>
      <c r="M64" s="2"/>
      <c r="N64" s="2"/>
      <c r="O64" s="2"/>
      <c r="P64" s="2"/>
      <c r="Q64" s="2"/>
      <c r="R64" s="3" t="s">
        <v>4414</v>
      </c>
      <c r="S64" s="2">
        <f>SUM(S62,S7,S9,S12,S13,S17,S18,S19,S20,S21,S25,S28,S29,S30,S31,S32,S33,S34,S35)</f>
        <v>4000</v>
      </c>
      <c r="T64" s="2"/>
      <c r="U64" s="2">
        <f ca="1">ROUND(((SUM(U62,U7,U9,U12,U13,U17,U18,U19,U20,U21,U25,U28,U29,U30,U31,U32,U33,U34,U35)*0.85)/Worksheet_Com!E4),0)</f>
        <v>1194</v>
      </c>
      <c r="V64" s="2"/>
      <c r="W64" s="2"/>
      <c r="X64" s="2"/>
      <c r="Y64" s="2"/>
      <c r="Z64" s="2"/>
      <c r="AA64" s="2"/>
      <c r="AB64" s="2"/>
    </row>
    <row r="65" spans="1:28">
      <c r="A65" s="2"/>
      <c r="B65" s="2"/>
      <c r="C65" s="2"/>
      <c r="D65" s="2"/>
      <c r="E65" s="2"/>
      <c r="F65" s="2"/>
      <c r="G65" s="2"/>
      <c r="H65" s="2"/>
      <c r="I65" s="2"/>
      <c r="J65" s="2"/>
      <c r="K65" s="2"/>
      <c r="L65" s="2"/>
      <c r="M65" s="2"/>
      <c r="N65" s="2"/>
      <c r="O65" s="2"/>
      <c r="P65" s="2"/>
      <c r="Q65" s="2"/>
      <c r="R65" s="2"/>
      <c r="S65" s="2"/>
      <c r="T65" s="2"/>
      <c r="U65" s="772">
        <f ca="1">ROUND(((SUM(U7:U62)*0.85)/Worksheet_Com!E4),0)</f>
        <v>1296</v>
      </c>
      <c r="V65" s="2"/>
      <c r="W65" s="2"/>
      <c r="X65" s="2"/>
      <c r="Y65" s="2"/>
      <c r="Z65" s="2"/>
      <c r="AA65" s="2"/>
      <c r="AB65" s="2"/>
    </row>
    <row r="66" spans="1:28" ht="14.25" customHeight="1">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row>
    <row r="67" spans="1:28" ht="14.25" hidden="1" customHeight="1">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row>
    <row r="68" spans="1:28" ht="14.25" hidden="1" customHeight="1">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row>
    <row r="69" spans="1:28" ht="14.25" hidden="1" customHeight="1">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row>
    <row r="70" spans="1:28" ht="14.25" hidden="1" customHeight="1">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row>
    <row r="71" spans="1:28" ht="14.25" hidden="1" customHeight="1">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row>
    <row r="72" spans="1:28" ht="14.25" hidden="1" customHeight="1">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row>
    <row r="73" spans="1:28" ht="14.25" hidden="1" customHeight="1">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row>
    <row r="74" spans="1:28" ht="14.25" hidden="1" customHeight="1">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row>
    <row r="75" spans="1:28" ht="14.25" hidden="1" customHeight="1">
      <c r="A75" s="2"/>
      <c r="B75" s="2"/>
      <c r="C75" s="2"/>
      <c r="D75" s="2"/>
      <c r="E75" s="2"/>
      <c r="F75" s="2"/>
      <c r="G75" s="2"/>
      <c r="H75" s="2"/>
      <c r="I75" s="2"/>
      <c r="J75" s="2"/>
      <c r="K75" s="2"/>
      <c r="L75" s="2"/>
      <c r="M75" s="2"/>
      <c r="N75" s="2"/>
      <c r="O75" s="2"/>
      <c r="P75" s="2"/>
      <c r="Q75" s="2"/>
      <c r="R75" s="2"/>
      <c r="S75" s="2"/>
    </row>
    <row r="76" spans="1:28" ht="14.25" hidden="1" customHeight="1"/>
  </sheetData>
  <mergeCells count="121">
    <mergeCell ref="N63:P63"/>
    <mergeCell ref="N10:P10"/>
    <mergeCell ref="N5:P5"/>
    <mergeCell ref="Q5:R5"/>
    <mergeCell ref="B6:E6"/>
    <mergeCell ref="N6:P6"/>
    <mergeCell ref="N7:P7"/>
    <mergeCell ref="Q7:R7"/>
    <mergeCell ref="H8:M8"/>
    <mergeCell ref="N8:P8"/>
    <mergeCell ref="N9:P9"/>
    <mergeCell ref="Q9:R9"/>
    <mergeCell ref="D18:M18"/>
    <mergeCell ref="N18:P18"/>
    <mergeCell ref="Q18:R18"/>
    <mergeCell ref="D19:M19"/>
    <mergeCell ref="N19:P19"/>
    <mergeCell ref="Q19:R19"/>
    <mergeCell ref="D20:M20"/>
    <mergeCell ref="N20:P20"/>
    <mergeCell ref="Q20:R20"/>
    <mergeCell ref="D21:M21"/>
    <mergeCell ref="N21:P21"/>
    <mergeCell ref="Q21:R21"/>
    <mergeCell ref="A1:S4"/>
    <mergeCell ref="Q17:R17"/>
    <mergeCell ref="N11:P11"/>
    <mergeCell ref="N12:P12"/>
    <mergeCell ref="Q12:R12"/>
    <mergeCell ref="D13:M13"/>
    <mergeCell ref="N13:P13"/>
    <mergeCell ref="Q13:R13"/>
    <mergeCell ref="L14:M14"/>
    <mergeCell ref="L15:M15"/>
    <mergeCell ref="L16:M16"/>
    <mergeCell ref="D17:M17"/>
    <mergeCell ref="N17:P17"/>
    <mergeCell ref="D9:L9"/>
    <mergeCell ref="D7:L7"/>
    <mergeCell ref="D12:L12"/>
    <mergeCell ref="D28:M28"/>
    <mergeCell ref="N28:P28"/>
    <mergeCell ref="Q28:R28"/>
    <mergeCell ref="N22:P22"/>
    <mergeCell ref="N23:P23"/>
    <mergeCell ref="Q23:R23"/>
    <mergeCell ref="N24:P24"/>
    <mergeCell ref="Q24:R24"/>
    <mergeCell ref="D25:M25"/>
    <mergeCell ref="N25:P25"/>
    <mergeCell ref="Q25:R25"/>
    <mergeCell ref="N26:P26"/>
    <mergeCell ref="N27:P27"/>
    <mergeCell ref="Q27:R27"/>
    <mergeCell ref="D29:M29"/>
    <mergeCell ref="N29:P29"/>
    <mergeCell ref="Q29:R29"/>
    <mergeCell ref="D30:M30"/>
    <mergeCell ref="N30:P30"/>
    <mergeCell ref="Q30:R30"/>
    <mergeCell ref="D31:M31"/>
    <mergeCell ref="N31:P31"/>
    <mergeCell ref="Q31:R31"/>
    <mergeCell ref="D32:M32"/>
    <mergeCell ref="N32:P32"/>
    <mergeCell ref="Q32:R32"/>
    <mergeCell ref="D33:M33"/>
    <mergeCell ref="N33:P33"/>
    <mergeCell ref="Q33:R33"/>
    <mergeCell ref="D34:M34"/>
    <mergeCell ref="N34:P34"/>
    <mergeCell ref="Q34:R34"/>
    <mergeCell ref="D35:M35"/>
    <mergeCell ref="N35:P35"/>
    <mergeCell ref="Q35:R35"/>
    <mergeCell ref="N36:P36"/>
    <mergeCell ref="D38:M38"/>
    <mergeCell ref="N38:P38"/>
    <mergeCell ref="Q38:R38"/>
    <mergeCell ref="N39:P39"/>
    <mergeCell ref="Q39:R39"/>
    <mergeCell ref="N40:P40"/>
    <mergeCell ref="Q40:R40"/>
    <mergeCell ref="D42:M42"/>
    <mergeCell ref="N42:P42"/>
    <mergeCell ref="Q42:R42"/>
    <mergeCell ref="N43:P43"/>
    <mergeCell ref="D44:M44"/>
    <mergeCell ref="N44:P44"/>
    <mergeCell ref="Q44:R44"/>
    <mergeCell ref="N45:P45"/>
    <mergeCell ref="N53:P53"/>
    <mergeCell ref="D54:M54"/>
    <mergeCell ref="N54:P54"/>
    <mergeCell ref="Q54:R54"/>
    <mergeCell ref="D55:M55"/>
    <mergeCell ref="N55:P55"/>
    <mergeCell ref="Q55:R55"/>
    <mergeCell ref="D50:M50"/>
    <mergeCell ref="N50:P50"/>
    <mergeCell ref="Q50:R50"/>
    <mergeCell ref="N51:P51"/>
    <mergeCell ref="N52:P52"/>
    <mergeCell ref="D47:M47"/>
    <mergeCell ref="N47:P47"/>
    <mergeCell ref="N48:P48"/>
    <mergeCell ref="N49:P49"/>
    <mergeCell ref="Q47:R47"/>
    <mergeCell ref="D62:M62"/>
    <mergeCell ref="N62:P62"/>
    <mergeCell ref="Q62:R62"/>
    <mergeCell ref="D56:M56"/>
    <mergeCell ref="N56:P56"/>
    <mergeCell ref="Q56:R56"/>
    <mergeCell ref="D60:M60"/>
    <mergeCell ref="N60:P60"/>
    <mergeCell ref="Q60:R60"/>
    <mergeCell ref="L61:M61"/>
    <mergeCell ref="D57:M57"/>
    <mergeCell ref="N57:P57"/>
    <mergeCell ref="Q57:R57"/>
  </mergeCells>
  <conditionalFormatting sqref="C7">
    <cfRule type="expression" dxfId="181" priority="29">
      <formula>C7="No"</formula>
    </cfRule>
  </conditionalFormatting>
  <conditionalFormatting sqref="C9">
    <cfRule type="expression" dxfId="180" priority="28">
      <formula>C9="No"</formula>
    </cfRule>
  </conditionalFormatting>
  <conditionalFormatting sqref="C12:C13">
    <cfRule type="expression" dxfId="179" priority="27">
      <formula>C12="No"</formula>
    </cfRule>
  </conditionalFormatting>
  <conditionalFormatting sqref="C17:C21">
    <cfRule type="expression" dxfId="178" priority="26">
      <formula>C17="No"</formula>
    </cfRule>
  </conditionalFormatting>
  <conditionalFormatting sqref="C25">
    <cfRule type="expression" dxfId="177" priority="25">
      <formula>C25="No"</formula>
    </cfRule>
  </conditionalFormatting>
  <conditionalFormatting sqref="C28:C35">
    <cfRule type="expression" dxfId="176" priority="24">
      <formula>C28="No"</formula>
    </cfRule>
  </conditionalFormatting>
  <conditionalFormatting sqref="C38">
    <cfRule type="expression" dxfId="175" priority="22">
      <formula>C38="No"</formula>
    </cfRule>
  </conditionalFormatting>
  <conditionalFormatting sqref="C42">
    <cfRule type="expression" dxfId="174" priority="21">
      <formula>C42="No"</formula>
    </cfRule>
  </conditionalFormatting>
  <conditionalFormatting sqref="C44">
    <cfRule type="expression" dxfId="173" priority="19">
      <formula>C44="No"</formula>
    </cfRule>
  </conditionalFormatting>
  <conditionalFormatting sqref="C47">
    <cfRule type="expression" dxfId="172" priority="16">
      <formula>C47="No"</formula>
    </cfRule>
  </conditionalFormatting>
  <conditionalFormatting sqref="C50">
    <cfRule type="expression" dxfId="171" priority="15">
      <formula>C50="No"</formula>
    </cfRule>
  </conditionalFormatting>
  <conditionalFormatting sqref="C54:C57">
    <cfRule type="expression" dxfId="170" priority="14">
      <formula>C54="No"</formula>
    </cfRule>
  </conditionalFormatting>
  <conditionalFormatting sqref="C60">
    <cfRule type="expression" dxfId="169" priority="13">
      <formula>C60="No"</formula>
    </cfRule>
  </conditionalFormatting>
  <conditionalFormatting sqref="C62">
    <cfRule type="expression" dxfId="168" priority="12">
      <formula>C62="No"</formula>
    </cfRule>
  </conditionalFormatting>
  <conditionalFormatting sqref="N20:P20">
    <cfRule type="cellIs" dxfId="167" priority="17" operator="greaterThan">
      <formula>$N$7</formula>
    </cfRule>
  </conditionalFormatting>
  <conditionalFormatting sqref="N36:P36">
    <cfRule type="expression" dxfId="166" priority="23">
      <formula>N36="No"</formula>
    </cfRule>
  </conditionalFormatting>
  <conditionalFormatting sqref="N45:P45">
    <cfRule type="cellIs" dxfId="165" priority="18" operator="greaterThan">
      <formula>$N$44</formula>
    </cfRule>
  </conditionalFormatting>
  <conditionalFormatting sqref="N63:P63">
    <cfRule type="cellIs" dxfId="164" priority="11" operator="greaterThan">
      <formula>$N$62</formula>
    </cfRule>
  </conditionalFormatting>
  <conditionalFormatting sqref="D21:M21">
    <cfRule type="expression" dxfId="163" priority="9">
      <formula>C$17="No"</formula>
    </cfRule>
  </conditionalFormatting>
  <conditionalFormatting sqref="D19:M19">
    <cfRule type="expression" dxfId="162" priority="8">
      <formula>C$17="No"</formula>
    </cfRule>
  </conditionalFormatting>
  <conditionalFormatting sqref="D25:M25">
    <cfRule type="expression" dxfId="161" priority="7">
      <formula>C$17="No"</formula>
    </cfRule>
  </conditionalFormatting>
  <conditionalFormatting sqref="D28:M28">
    <cfRule type="expression" dxfId="160" priority="6">
      <formula>C$17="No"</formula>
    </cfRule>
  </conditionalFormatting>
  <conditionalFormatting sqref="D33:M33">
    <cfRule type="expression" dxfId="159" priority="5">
      <formula>C$17="No"</formula>
    </cfRule>
  </conditionalFormatting>
  <conditionalFormatting sqref="D44:M44">
    <cfRule type="expression" dxfId="158" priority="4">
      <formula>C$17="No"</formula>
    </cfRule>
  </conditionalFormatting>
  <conditionalFormatting sqref="D9:L9">
    <cfRule type="expression" dxfId="157" priority="2">
      <formula>C$7="No"</formula>
    </cfRule>
  </conditionalFormatting>
  <conditionalFormatting sqref="N12:P12">
    <cfRule type="cellIs" dxfId="156" priority="1" operator="greaterThan">
      <formula>$N$6</formula>
    </cfRule>
  </conditionalFormatting>
  <dataValidations count="19">
    <dataValidation type="list" allowBlank="1" showInputMessage="1" showErrorMessage="1" sqref="N30:P30" xr:uid="{FE990F72-24D2-4CD8-A2C5-342BD9C1F482}">
      <formula1>$AG$32:$AG$35</formula1>
    </dataValidation>
    <dataValidation type="list" allowBlank="1" showInputMessage="1" showErrorMessage="1" sqref="N29:P29" xr:uid="{07F6DF4C-7F06-4686-B39B-8B1D0432BB6C}">
      <formula1>$AE$32:$AE$38</formula1>
    </dataValidation>
    <dataValidation type="list" allowBlank="1" showInputMessage="1" showErrorMessage="1" sqref="N25:P26 N38:P38" xr:uid="{09387B76-67A8-4E8D-9E2B-E87E58E0A0BB}">
      <formula1>$AG$20:$AG$28</formula1>
    </dataValidation>
    <dataValidation type="list" allowBlank="1" showInputMessage="1" showErrorMessage="1" sqref="N21:P22" xr:uid="{E3637E5C-2B01-4A05-9CEE-0AAD1DADC1C1}">
      <formula1>$AE$20:$AE$29</formula1>
    </dataValidation>
    <dataValidation type="whole" allowBlank="1" showInputMessage="1" showErrorMessage="1" errorTitle="Limit to high" error="Limit cannot exceed minimum liability limit or 10mil whichever is less. _x000a__x000a_" sqref="N20:P20" xr:uid="{088EED53-67B8-453D-99FD-170A441B4B7F}">
      <formula1>0</formula1>
      <formula2>10000000</formula2>
    </dataValidation>
    <dataValidation type="list" allowBlank="1" showInputMessage="1" showErrorMessage="1" sqref="N19:P19" xr:uid="{1C7113C4-393A-4B91-BCD9-E81C46AFF21B}">
      <formula1>$AE$4:$AE$9</formula1>
    </dataValidation>
    <dataValidation type="list" allowBlank="1" showInputMessage="1" showErrorMessage="1" sqref="N18:P18" xr:uid="{94CCE20A-6815-409E-B0EE-9B05FBA705EF}">
      <formula1>$AE$11:$AE$17</formula1>
    </dataValidation>
    <dataValidation showDropDown="1" showInputMessage="1" showErrorMessage="1" sqref="N17:P17 N28:P28" xr:uid="{9AA511DF-1A56-4E1F-B3F3-F72A74B09F0A}"/>
    <dataValidation type="list" allowBlank="1" showInputMessage="1" showErrorMessage="1" sqref="L16:M16" xr:uid="{0A7F1315-A597-4084-B3DA-353E15DEABC9}">
      <formula1>$AG$10:$AG$13</formula1>
    </dataValidation>
    <dataValidation type="list" allowBlank="1" showInputMessage="1" showErrorMessage="1" sqref="L15:M15" xr:uid="{BB228D44-E9DC-47A1-804C-BE22E260C2F5}">
      <formula1>"N/A,52,104"</formula1>
    </dataValidation>
    <dataValidation type="list" allowBlank="1" showInputMessage="1" showErrorMessage="1" sqref="L14:M14 L61:M61" xr:uid="{FE6C3DCC-9659-4720-8F95-AAE926D232FB}">
      <formula1>"Pax Only, Crew/Pax"</formula1>
    </dataValidation>
    <dataValidation type="list" allowBlank="1" showInputMessage="1" showErrorMessage="1" sqref="N13:P13" xr:uid="{F8352012-9854-4BB0-9EA6-4B36666D5915}">
      <formula1>$AG$4:$AG$8</formula1>
    </dataValidation>
    <dataValidation type="list" allowBlank="1" showInputMessage="1" showErrorMessage="1" sqref="C7 C25 C9 C12:C13 C17:C21 C28:C35 N36:P36 C38 C42 C44 C47 C50 C60 C54:C57 C62" xr:uid="{7BA97FE6-0C9A-4002-B42B-DB0DC037C91D}">
      <formula1>"No, Yes"</formula1>
    </dataValidation>
    <dataValidation type="list" allowBlank="1" showInputMessage="1" showErrorMessage="1" sqref="N8:P8 N10:P10" xr:uid="{F65766C9-B053-435E-B9CF-32B3F5554507}">
      <formula1>"30,45,60,90"</formula1>
    </dataValidation>
    <dataValidation type="list" allowBlank="1" showInputMessage="1" showErrorMessage="1" sqref="P15:Q15" xr:uid="{C9E6F373-3089-459C-870F-3D5B5FF2673D}">
      <formula1>$AD$12:$AD$20</formula1>
    </dataValidation>
    <dataValidation type="list" allowBlank="1" showInputMessage="1" showErrorMessage="1" sqref="N44:P45" xr:uid="{3B5C542D-2783-47E8-AD87-5CBB233F083A}">
      <formula1>$AE$43:$AE$47</formula1>
    </dataValidation>
    <dataValidation type="list" allowBlank="1" showInputMessage="1" showErrorMessage="1" sqref="Q44:R44" xr:uid="{E91B1F66-12AB-4C49-AFF8-0DB69A61534B}">
      <formula1>$AE$49:$AE$51</formula1>
    </dataValidation>
    <dataValidation type="list" allowBlank="1" showInputMessage="1" showErrorMessage="1" sqref="N54:P54" xr:uid="{EF9DE3CB-49CB-48D9-B0CA-E298786ED06F}">
      <formula1>$AG$43:$AG$49</formula1>
    </dataValidation>
    <dataValidation type="list" allowBlank="1" showInputMessage="1" showErrorMessage="1" sqref="N62:P63" xr:uid="{8A24FC14-E0DE-43BA-95BA-AE86F29BB929}">
      <formula1>$AE$54:$AE$61</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5B8F3-56E1-4D5D-9115-808FA20108A8}">
  <sheetPr codeName="Sheet20">
    <tabColor theme="2" tint="-0.89999084444715716"/>
  </sheetPr>
  <dimension ref="A1:AL92"/>
  <sheetViews>
    <sheetView workbookViewId="0">
      <selection activeCell="B6" sqref="B6"/>
    </sheetView>
  </sheetViews>
  <sheetFormatPr defaultColWidth="0" defaultRowHeight="14.25" zeroHeight="1"/>
  <cols>
    <col min="1" max="1" width="1.75" customWidth="1"/>
    <col min="2" max="2" width="6.5" bestFit="1" customWidth="1"/>
    <col min="3" max="3" width="8.625" bestFit="1" customWidth="1"/>
    <col min="4" max="4" width="6.5" customWidth="1"/>
    <col min="5" max="5" width="15.625" customWidth="1"/>
    <col min="6" max="6" width="122.5" customWidth="1"/>
    <col min="7" max="7" width="17.625" hidden="1" customWidth="1"/>
    <col min="8" max="13" width="15.625" hidden="1" customWidth="1"/>
    <col min="14" max="14" width="12" hidden="1" customWidth="1"/>
    <col min="15" max="16" width="40" hidden="1" customWidth="1"/>
    <col min="17" max="16384" width="15.625" hidden="1"/>
  </cols>
  <sheetData>
    <row r="1" spans="1:38" ht="14.25" customHeight="1">
      <c r="A1" s="69">
        <f>'Data-UW'!$I$13</f>
        <v>0</v>
      </c>
      <c r="B1" s="1047" t="s">
        <v>4538</v>
      </c>
      <c r="C1" s="1047"/>
      <c r="D1" s="1047"/>
      <c r="E1" s="1047"/>
      <c r="F1" s="1047"/>
      <c r="G1" s="777"/>
      <c r="H1" s="777"/>
      <c r="I1" s="777"/>
      <c r="J1" s="777"/>
      <c r="K1" s="777"/>
      <c r="L1" s="777"/>
      <c r="M1" s="2"/>
      <c r="N1" s="2"/>
      <c r="O1" s="2"/>
      <c r="P1" s="2"/>
    </row>
    <row r="2" spans="1:38" ht="14.25" customHeight="1">
      <c r="A2" s="2"/>
      <c r="B2" s="1047"/>
      <c r="C2" s="1047"/>
      <c r="D2" s="1047"/>
      <c r="E2" s="1047"/>
      <c r="F2" s="1047"/>
      <c r="G2" s="777"/>
      <c r="H2" s="777"/>
      <c r="I2" s="777"/>
      <c r="J2" s="777"/>
      <c r="K2" s="777"/>
      <c r="L2" s="777"/>
      <c r="M2" s="2"/>
      <c r="N2" s="848" t="s">
        <v>4417</v>
      </c>
      <c r="O2" s="848" t="s">
        <v>4449</v>
      </c>
      <c r="P2" s="848" t="str">
        <f>CONCATENATE(N2," - ",O2)</f>
        <v>AVP 00 01 - AIRCRAFT PLATINUM POLICY DECLARATIONS</v>
      </c>
    </row>
    <row r="3" spans="1:38" ht="25.5" customHeight="1">
      <c r="A3" s="2"/>
      <c r="B3" s="1047"/>
      <c r="C3" s="1047"/>
      <c r="D3" s="1047"/>
      <c r="E3" s="1047"/>
      <c r="F3" s="1047"/>
      <c r="G3" s="777"/>
      <c r="H3" s="777"/>
      <c r="I3" s="777"/>
      <c r="J3" s="777"/>
      <c r="K3" s="777"/>
      <c r="L3" s="777"/>
      <c r="M3" s="2"/>
      <c r="N3" s="848" t="str">
        <f>IF(A1="NY","AVP 00 02 NY","AVP 00 02")</f>
        <v>AVP 00 02</v>
      </c>
      <c r="O3" s="848" t="s">
        <v>4450</v>
      </c>
      <c r="P3" s="848" t="str">
        <f t="shared" ref="P3:P5" si="0">CONCATENATE(N3," - ",O3)</f>
        <v>AVP 00 02 - AIRCRAFT PLATINUM POLICY</v>
      </c>
      <c r="Q3">
        <v>1</v>
      </c>
      <c r="R3" s="848" t="s">
        <v>2806</v>
      </c>
      <c r="S3" t="str">
        <f>IFERROR(VLOOKUP(MATCH(A1,QSstate,0),Q3:R7,2),"")</f>
        <v/>
      </c>
      <c r="AL3" t="s">
        <v>2907</v>
      </c>
    </row>
    <row r="4" spans="1:38" ht="22.5" customHeight="1" thickBot="1">
      <c r="A4" s="2"/>
      <c r="B4" s="384" t="s">
        <v>2901</v>
      </c>
      <c r="C4" s="384" t="s">
        <v>5</v>
      </c>
      <c r="D4" s="67" t="s">
        <v>3417</v>
      </c>
      <c r="E4" s="2"/>
      <c r="F4" s="2"/>
      <c r="G4" s="2"/>
      <c r="H4" s="2"/>
      <c r="I4" s="2"/>
      <c r="J4" s="2"/>
      <c r="K4" s="2"/>
      <c r="L4" s="2"/>
      <c r="M4" s="2"/>
      <c r="N4" s="848" t="s">
        <v>4535</v>
      </c>
      <c r="O4" s="848" t="s">
        <v>4536</v>
      </c>
      <c r="P4" s="848" t="str">
        <f t="shared" si="0"/>
        <v>AV 00 03 - FORMS SCHEDULE</v>
      </c>
      <c r="Q4">
        <v>2</v>
      </c>
      <c r="R4" s="848" t="s">
        <v>2811</v>
      </c>
    </row>
    <row r="5" spans="1:38" ht="15" customHeight="1" thickTop="1">
      <c r="A5" s="2"/>
      <c r="B5" s="64"/>
      <c r="C5" s="65"/>
      <c r="D5" s="2"/>
      <c r="E5" s="848" t="s">
        <v>4486</v>
      </c>
      <c r="F5" s="848" t="s">
        <v>4488</v>
      </c>
      <c r="G5" s="848" t="str">
        <f>IF(B5="","",CONCATENATE(E5," - ",F5))</f>
        <v/>
      </c>
      <c r="H5" s="2"/>
      <c r="I5" s="2"/>
      <c r="J5" s="2"/>
      <c r="K5" s="2"/>
      <c r="L5" s="2"/>
      <c r="M5" s="2"/>
      <c r="N5" s="848" t="s">
        <v>4441</v>
      </c>
      <c r="O5" s="848" t="s">
        <v>4474</v>
      </c>
      <c r="P5" s="848" t="str">
        <f t="shared" si="0"/>
        <v>AVP 02 31 - PILOT CLAUSE ENDORSEMENT</v>
      </c>
      <c r="Q5">
        <v>3</v>
      </c>
      <c r="R5" s="848" t="s">
        <v>2817</v>
      </c>
    </row>
    <row r="6" spans="1:38" ht="15" customHeight="1">
      <c r="A6" s="2"/>
      <c r="B6" s="64"/>
      <c r="C6" s="66"/>
      <c r="D6" s="2"/>
      <c r="E6" s="848" t="s">
        <v>4487</v>
      </c>
      <c r="F6" s="848" t="s">
        <v>4489</v>
      </c>
      <c r="G6" s="848" t="str">
        <f t="shared" ref="G6:G64" si="1">IF(B6="","",CONCATENATE(E6," - ",F6))</f>
        <v/>
      </c>
      <c r="H6" s="2">
        <f t="shared" ref="H6:H64" si="2">IF(G6&gt;"",1,)</f>
        <v>0</v>
      </c>
      <c r="I6" s="2" t="str">
        <f>CONCATENATE(G6,IF(H6&gt;0,", ",""))</f>
        <v/>
      </c>
      <c r="J6" s="2"/>
      <c r="K6" s="2"/>
      <c r="L6" s="2"/>
      <c r="M6" s="2"/>
      <c r="N6" s="848"/>
      <c r="O6" s="848"/>
      <c r="P6" s="848"/>
      <c r="Q6">
        <v>4</v>
      </c>
      <c r="R6" s="848" t="s">
        <v>2846</v>
      </c>
    </row>
    <row r="7" spans="1:38" ht="15" customHeight="1">
      <c r="A7" s="2"/>
      <c r="B7" s="64"/>
      <c r="C7" s="66"/>
      <c r="D7" s="2"/>
      <c r="E7" s="848" t="s">
        <v>4484</v>
      </c>
      <c r="F7" s="848" t="s">
        <v>4485</v>
      </c>
      <c r="G7" s="848" t="str">
        <f t="shared" si="1"/>
        <v/>
      </c>
      <c r="H7" s="2">
        <f t="shared" si="2"/>
        <v>0</v>
      </c>
      <c r="I7" s="2" t="str">
        <f t="shared" ref="I7:I64" si="3">CONCATENATE(G7,IF(H7&gt;0,", ",""))</f>
        <v/>
      </c>
      <c r="J7" s="2"/>
      <c r="K7" s="2"/>
      <c r="L7" s="2"/>
      <c r="M7" s="2"/>
      <c r="N7" s="2"/>
      <c r="O7" s="2"/>
      <c r="P7" s="2" t="str">
        <f>CONCATENATE(P2,", ",P3,", ",P4,", ",P5,", ")</f>
        <v xml:space="preserve">AVP 00 01 - AIRCRAFT PLATINUM POLICY DECLARATIONS, AVP 00 02 - AIRCRAFT PLATINUM POLICY, AV 00 03 - FORMS SCHEDULE, AVP 02 31 - PILOT CLAUSE ENDORSEMENT, </v>
      </c>
      <c r="Q7">
        <v>5</v>
      </c>
      <c r="R7" s="848" t="s">
        <v>1847</v>
      </c>
    </row>
    <row r="8" spans="1:38" ht="15" customHeight="1">
      <c r="A8" s="2"/>
      <c r="B8" s="64"/>
      <c r="C8" s="66"/>
      <c r="D8" s="2"/>
      <c r="E8" s="848" t="s">
        <v>4419</v>
      </c>
      <c r="F8" s="848" t="s">
        <v>4452</v>
      </c>
      <c r="G8" s="848" t="str">
        <f t="shared" si="1"/>
        <v/>
      </c>
      <c r="H8" s="2">
        <f t="shared" si="2"/>
        <v>0</v>
      </c>
      <c r="I8" s="2" t="str">
        <f t="shared" si="3"/>
        <v/>
      </c>
      <c r="J8" s="2"/>
      <c r="K8" s="2"/>
      <c r="L8" s="2"/>
      <c r="M8" s="2"/>
      <c r="N8" s="848"/>
      <c r="O8" s="848"/>
      <c r="P8" s="848"/>
      <c r="Q8">
        <v>6</v>
      </c>
    </row>
    <row r="9" spans="1:38" ht="15" customHeight="1">
      <c r="A9" s="2"/>
      <c r="B9" s="64"/>
      <c r="C9" s="66"/>
      <c r="D9" s="2"/>
      <c r="E9" s="848" t="s">
        <v>4529</v>
      </c>
      <c r="F9" s="848" t="s">
        <v>4531</v>
      </c>
      <c r="G9" s="848" t="str">
        <f t="shared" si="1"/>
        <v/>
      </c>
      <c r="H9" s="2">
        <f t="shared" si="2"/>
        <v>0</v>
      </c>
      <c r="I9" s="2" t="str">
        <f t="shared" si="3"/>
        <v/>
      </c>
      <c r="J9" s="2"/>
      <c r="K9" s="2"/>
      <c r="L9" s="2"/>
      <c r="M9" s="2"/>
      <c r="N9" s="848"/>
      <c r="O9" s="848"/>
      <c r="P9" s="848"/>
      <c r="S9" s="851" t="str">
        <f>CONCATENATE(S3,"")</f>
        <v/>
      </c>
    </row>
    <row r="10" spans="1:38" ht="15" customHeight="1">
      <c r="A10" s="2"/>
      <c r="B10" s="64"/>
      <c r="C10" s="66"/>
      <c r="D10" s="2"/>
      <c r="E10" s="848" t="s">
        <v>4420</v>
      </c>
      <c r="F10" s="848" t="s">
        <v>4453</v>
      </c>
      <c r="G10" s="848" t="str">
        <f t="shared" si="1"/>
        <v/>
      </c>
      <c r="H10" s="2">
        <f t="shared" si="2"/>
        <v>0</v>
      </c>
      <c r="I10" s="2" t="str">
        <f t="shared" si="3"/>
        <v/>
      </c>
      <c r="J10" s="2"/>
      <c r="K10" s="2"/>
      <c r="L10" s="2"/>
      <c r="M10" s="2"/>
      <c r="N10" s="848"/>
      <c r="O10" s="848"/>
      <c r="P10" s="848"/>
    </row>
    <row r="11" spans="1:38" ht="15" customHeight="1">
      <c r="A11" s="2"/>
      <c r="B11" s="64"/>
      <c r="C11" s="66"/>
      <c r="D11" s="2"/>
      <c r="E11" s="848" t="str">
        <f>IF(A1="NH","AVA 00 27 NH","AVA 01 31")</f>
        <v>AVA 01 31</v>
      </c>
      <c r="F11" s="848" t="s">
        <v>4532</v>
      </c>
      <c r="G11" s="848" t="str">
        <f t="shared" si="1"/>
        <v/>
      </c>
      <c r="H11" s="2">
        <f t="shared" si="2"/>
        <v>0</v>
      </c>
      <c r="I11" s="2" t="str">
        <f t="shared" si="3"/>
        <v/>
      </c>
      <c r="J11" s="2"/>
      <c r="K11" s="2"/>
      <c r="L11" s="2"/>
      <c r="M11" s="2"/>
      <c r="N11" s="848"/>
      <c r="O11" s="848"/>
      <c r="P11" s="848"/>
    </row>
    <row r="12" spans="1:38" ht="15" customHeight="1">
      <c r="A12" s="2"/>
      <c r="B12" s="64"/>
      <c r="C12" s="66"/>
      <c r="D12" s="2"/>
      <c r="E12" s="848" t="s">
        <v>4530</v>
      </c>
      <c r="F12" s="848" t="s">
        <v>4533</v>
      </c>
      <c r="G12" s="848" t="str">
        <f t="shared" si="1"/>
        <v/>
      </c>
      <c r="H12" s="2">
        <f t="shared" si="2"/>
        <v>0</v>
      </c>
      <c r="I12" s="2" t="str">
        <f t="shared" si="3"/>
        <v/>
      </c>
      <c r="J12" s="2"/>
      <c r="K12" s="2"/>
      <c r="L12" s="2"/>
      <c r="M12" s="2"/>
      <c r="N12" s="848"/>
      <c r="O12" s="848"/>
      <c r="P12" s="848"/>
    </row>
    <row r="13" spans="1:38" ht="15" customHeight="1">
      <c r="A13" s="2"/>
      <c r="B13" s="64"/>
      <c r="C13" s="66"/>
      <c r="D13" s="2"/>
      <c r="E13" s="848" t="str">
        <f>IF(A1="NH","AVA 00 27 NH","AVA 01 27")</f>
        <v>AVA 01 27</v>
      </c>
      <c r="F13" s="848" t="s">
        <v>4490</v>
      </c>
      <c r="G13" s="848" t="str">
        <f t="shared" si="1"/>
        <v/>
      </c>
      <c r="H13" s="2">
        <f t="shared" si="2"/>
        <v>0</v>
      </c>
      <c r="I13" s="2" t="str">
        <f t="shared" si="3"/>
        <v/>
      </c>
      <c r="J13" s="2"/>
      <c r="K13" s="2"/>
      <c r="L13" s="2"/>
      <c r="M13" s="2"/>
      <c r="N13" s="848"/>
      <c r="O13" s="848"/>
      <c r="P13" s="848"/>
    </row>
    <row r="14" spans="1:38" ht="15" customHeight="1">
      <c r="A14" s="2"/>
      <c r="B14" s="64"/>
      <c r="C14" s="66"/>
      <c r="D14" s="2"/>
      <c r="E14" s="848" t="s">
        <v>4421</v>
      </c>
      <c r="F14" s="848" t="s">
        <v>4454</v>
      </c>
      <c r="G14" s="848" t="str">
        <f t="shared" si="1"/>
        <v/>
      </c>
      <c r="H14" s="2">
        <f t="shared" si="2"/>
        <v>0</v>
      </c>
      <c r="I14" s="2" t="str">
        <f t="shared" si="3"/>
        <v/>
      </c>
      <c r="J14" s="2"/>
      <c r="K14" s="2"/>
      <c r="L14" s="2"/>
      <c r="M14" s="2"/>
      <c r="N14" s="848"/>
      <c r="O14" s="848"/>
      <c r="P14" s="848"/>
    </row>
    <row r="15" spans="1:38" ht="15" customHeight="1">
      <c r="A15" s="2"/>
      <c r="B15" s="64"/>
      <c r="C15" s="66"/>
      <c r="D15" s="2"/>
      <c r="E15" s="848" t="s">
        <v>4427</v>
      </c>
      <c r="F15" s="848" t="s">
        <v>4460</v>
      </c>
      <c r="G15" s="848" t="str">
        <f t="shared" si="1"/>
        <v/>
      </c>
      <c r="H15" s="2">
        <f t="shared" si="2"/>
        <v>0</v>
      </c>
      <c r="I15" s="2" t="str">
        <f t="shared" si="3"/>
        <v/>
      </c>
      <c r="J15" s="2"/>
      <c r="K15" s="2"/>
      <c r="L15" s="2"/>
      <c r="M15" s="2"/>
      <c r="N15" s="848"/>
      <c r="O15" s="848"/>
      <c r="P15" s="848"/>
    </row>
    <row r="16" spans="1:38" ht="15" customHeight="1">
      <c r="A16" s="2"/>
      <c r="B16" s="64"/>
      <c r="C16" s="66"/>
      <c r="D16" s="2"/>
      <c r="E16" s="848" t="s">
        <v>4424</v>
      </c>
      <c r="F16" s="848" t="s">
        <v>4457</v>
      </c>
      <c r="G16" s="848" t="str">
        <f t="shared" si="1"/>
        <v/>
      </c>
      <c r="H16" s="2">
        <f t="shared" si="2"/>
        <v>0</v>
      </c>
      <c r="I16" s="2" t="str">
        <f t="shared" si="3"/>
        <v/>
      </c>
      <c r="J16" s="2"/>
      <c r="K16" s="2"/>
      <c r="L16" s="2"/>
      <c r="M16" s="2"/>
      <c r="N16" s="848"/>
      <c r="O16" s="848"/>
      <c r="P16" s="848"/>
    </row>
    <row r="17" spans="1:16" ht="15" customHeight="1">
      <c r="A17" s="2"/>
      <c r="B17" s="64"/>
      <c r="C17" s="66"/>
      <c r="D17" s="2"/>
      <c r="E17" s="848" t="s">
        <v>4491</v>
      </c>
      <c r="F17" s="848" t="s">
        <v>4492</v>
      </c>
      <c r="G17" s="848" t="str">
        <f t="shared" si="1"/>
        <v/>
      </c>
      <c r="H17" s="2">
        <f t="shared" si="2"/>
        <v>0</v>
      </c>
      <c r="I17" s="2" t="str">
        <f t="shared" si="3"/>
        <v/>
      </c>
      <c r="J17" s="2"/>
      <c r="K17" s="2"/>
      <c r="L17" s="2"/>
      <c r="M17" s="2"/>
      <c r="N17" s="848"/>
      <c r="O17" s="848"/>
      <c r="P17" s="848"/>
    </row>
    <row r="18" spans="1:16" ht="15" customHeight="1">
      <c r="A18" s="2"/>
      <c r="B18" s="2"/>
      <c r="C18" s="2"/>
      <c r="D18" s="2"/>
      <c r="E18" s="848" t="s">
        <v>4493</v>
      </c>
      <c r="F18" s="848" t="s">
        <v>4494</v>
      </c>
      <c r="G18" s="848" t="str">
        <f t="shared" si="1"/>
        <v/>
      </c>
      <c r="H18" s="2">
        <f t="shared" si="2"/>
        <v>0</v>
      </c>
      <c r="I18" s="2" t="str">
        <f t="shared" si="3"/>
        <v/>
      </c>
      <c r="J18" s="2"/>
      <c r="K18" s="2"/>
      <c r="L18" s="2"/>
      <c r="M18" s="2"/>
      <c r="N18" s="848"/>
      <c r="O18" s="848"/>
      <c r="P18" s="848"/>
    </row>
    <row r="19" spans="1:16" ht="15" customHeight="1">
      <c r="A19" s="2"/>
      <c r="B19" s="850"/>
      <c r="C19" s="66"/>
      <c r="D19" s="2"/>
      <c r="E19" s="848" t="s">
        <v>4495</v>
      </c>
      <c r="F19" s="848" t="s">
        <v>4502</v>
      </c>
      <c r="G19" s="848" t="str">
        <f t="shared" si="1"/>
        <v/>
      </c>
      <c r="H19" s="2">
        <f t="shared" si="2"/>
        <v>0</v>
      </c>
      <c r="I19" s="2" t="str">
        <f t="shared" si="3"/>
        <v/>
      </c>
      <c r="J19" s="2"/>
      <c r="K19" s="2"/>
      <c r="L19" s="2"/>
      <c r="M19" s="2"/>
      <c r="N19" s="2"/>
      <c r="O19" s="2"/>
      <c r="P19" s="2"/>
    </row>
    <row r="20" spans="1:16" ht="15" customHeight="1">
      <c r="A20" s="2"/>
      <c r="B20" s="64"/>
      <c r="C20" s="66"/>
      <c r="D20" s="2"/>
      <c r="E20" s="848" t="s">
        <v>4428</v>
      </c>
      <c r="F20" s="848" t="s">
        <v>4461</v>
      </c>
      <c r="G20" s="848" t="str">
        <f t="shared" si="1"/>
        <v/>
      </c>
      <c r="H20" s="2">
        <f t="shared" si="2"/>
        <v>0</v>
      </c>
      <c r="I20" s="2" t="str">
        <f t="shared" si="3"/>
        <v/>
      </c>
      <c r="J20" s="2"/>
      <c r="K20" s="2"/>
      <c r="L20" s="2"/>
      <c r="M20" s="2"/>
      <c r="N20" s="2"/>
      <c r="O20" s="2"/>
      <c r="P20" s="2"/>
    </row>
    <row r="21" spans="1:16" ht="15" customHeight="1">
      <c r="A21" s="2"/>
      <c r="B21" s="64"/>
      <c r="C21" s="66"/>
      <c r="D21" s="2"/>
      <c r="E21" s="848" t="s">
        <v>4496</v>
      </c>
      <c r="F21" s="848" t="s">
        <v>4503</v>
      </c>
      <c r="G21" s="848" t="str">
        <f t="shared" si="1"/>
        <v/>
      </c>
      <c r="H21" s="2">
        <f t="shared" si="2"/>
        <v>0</v>
      </c>
      <c r="I21" s="2" t="str">
        <f t="shared" si="3"/>
        <v/>
      </c>
      <c r="J21" s="2"/>
      <c r="K21" s="2"/>
      <c r="L21" s="2"/>
      <c r="M21" s="2"/>
      <c r="N21" s="2"/>
      <c r="O21" s="2"/>
      <c r="P21" s="2"/>
    </row>
    <row r="22" spans="1:16" ht="15" customHeight="1">
      <c r="A22" s="2"/>
      <c r="B22" s="64"/>
      <c r="C22" s="66"/>
      <c r="D22" s="2"/>
      <c r="E22" s="848" t="s">
        <v>4497</v>
      </c>
      <c r="F22" s="848" t="s">
        <v>4504</v>
      </c>
      <c r="G22" s="848" t="str">
        <f t="shared" si="1"/>
        <v/>
      </c>
      <c r="H22" s="2">
        <f t="shared" si="2"/>
        <v>0</v>
      </c>
      <c r="I22" s="2" t="str">
        <f t="shared" si="3"/>
        <v/>
      </c>
      <c r="J22" s="2"/>
      <c r="K22" s="2"/>
      <c r="L22" s="2"/>
      <c r="M22" s="2"/>
      <c r="N22" s="2"/>
      <c r="O22" s="2"/>
      <c r="P22" s="2"/>
    </row>
    <row r="23" spans="1:16" ht="15" customHeight="1">
      <c r="A23" s="2"/>
      <c r="B23" s="64"/>
      <c r="C23" s="66"/>
      <c r="D23" s="2"/>
      <c r="E23" s="848" t="s">
        <v>4498</v>
      </c>
      <c r="F23" s="848" t="s">
        <v>4505</v>
      </c>
      <c r="G23" s="848" t="str">
        <f t="shared" si="1"/>
        <v/>
      </c>
      <c r="H23" s="2">
        <f t="shared" si="2"/>
        <v>0</v>
      </c>
      <c r="I23" s="2" t="str">
        <f t="shared" si="3"/>
        <v/>
      </c>
      <c r="J23" s="2"/>
      <c r="K23" s="2"/>
      <c r="L23" s="2"/>
      <c r="M23" s="2"/>
      <c r="N23" s="2"/>
      <c r="O23" s="2"/>
      <c r="P23" s="2"/>
    </row>
    <row r="24" spans="1:16" ht="15" customHeight="1">
      <c r="A24" s="2"/>
      <c r="B24" s="64"/>
      <c r="C24" s="848"/>
      <c r="D24" s="2"/>
      <c r="E24" s="848" t="str">
        <f>IF(A1="IL","AV 00 10 IL","AV 00 10")</f>
        <v>AV 00 10</v>
      </c>
      <c r="F24" s="848" t="s">
        <v>4483</v>
      </c>
      <c r="G24" s="848" t="str">
        <f t="shared" si="1"/>
        <v/>
      </c>
      <c r="H24" s="2">
        <f t="shared" si="2"/>
        <v>0</v>
      </c>
      <c r="I24" s="2" t="str">
        <f t="shared" si="3"/>
        <v/>
      </c>
      <c r="J24" s="2"/>
      <c r="K24" s="2"/>
      <c r="L24" s="2"/>
      <c r="M24" s="2"/>
      <c r="N24" s="2"/>
      <c r="O24" s="2"/>
      <c r="P24" s="2"/>
    </row>
    <row r="25" spans="1:16" ht="15" customHeight="1">
      <c r="A25" s="2"/>
      <c r="B25" s="64"/>
      <c r="C25" s="848"/>
      <c r="D25" s="2"/>
      <c r="E25" s="848" t="s">
        <v>4499</v>
      </c>
      <c r="F25" s="848" t="s">
        <v>4506</v>
      </c>
      <c r="G25" s="848" t="str">
        <f t="shared" si="1"/>
        <v/>
      </c>
      <c r="H25" s="2">
        <f t="shared" si="2"/>
        <v>0</v>
      </c>
      <c r="I25" s="2" t="str">
        <f t="shared" si="3"/>
        <v/>
      </c>
      <c r="J25" s="2"/>
      <c r="K25" s="2"/>
      <c r="L25" s="2"/>
      <c r="M25" s="2"/>
      <c r="N25" s="2"/>
      <c r="O25" s="2"/>
      <c r="P25" s="2"/>
    </row>
    <row r="26" spans="1:16" ht="15" customHeight="1">
      <c r="A26" s="2"/>
      <c r="B26" s="64"/>
      <c r="C26" s="66"/>
      <c r="D26" s="2"/>
      <c r="E26" s="848" t="s">
        <v>4500</v>
      </c>
      <c r="F26" s="848" t="s">
        <v>4507</v>
      </c>
      <c r="G26" s="848" t="str">
        <f t="shared" si="1"/>
        <v/>
      </c>
      <c r="H26" s="2">
        <f t="shared" si="2"/>
        <v>0</v>
      </c>
      <c r="I26" s="2" t="str">
        <f t="shared" si="3"/>
        <v/>
      </c>
      <c r="J26" s="2"/>
      <c r="K26" s="2"/>
      <c r="L26" s="2"/>
      <c r="M26" s="2"/>
      <c r="N26" s="2"/>
      <c r="O26" s="2"/>
      <c r="P26" s="2"/>
    </row>
    <row r="27" spans="1:16" ht="15" customHeight="1">
      <c r="A27" s="2"/>
      <c r="B27" s="64"/>
      <c r="C27" s="2"/>
      <c r="D27" s="2"/>
      <c r="E27" s="848" t="s">
        <v>4429</v>
      </c>
      <c r="F27" s="848" t="s">
        <v>4462</v>
      </c>
      <c r="G27" s="848" t="str">
        <f t="shared" si="1"/>
        <v/>
      </c>
      <c r="H27" s="2">
        <f t="shared" si="2"/>
        <v>0</v>
      </c>
      <c r="I27" s="2" t="str">
        <f t="shared" si="3"/>
        <v/>
      </c>
      <c r="J27" s="2"/>
      <c r="K27" s="2"/>
      <c r="L27" s="2"/>
      <c r="M27" s="2"/>
      <c r="N27" s="2"/>
      <c r="O27" s="2"/>
      <c r="P27" s="2"/>
    </row>
    <row r="28" spans="1:16" ht="15" customHeight="1">
      <c r="A28" s="2"/>
      <c r="B28" s="64"/>
      <c r="C28" s="2"/>
      <c r="D28" s="2"/>
      <c r="E28" s="848" t="s">
        <v>4430</v>
      </c>
      <c r="F28" s="848" t="s">
        <v>4463</v>
      </c>
      <c r="G28" s="848" t="str">
        <f t="shared" si="1"/>
        <v/>
      </c>
      <c r="H28" s="2">
        <f t="shared" si="2"/>
        <v>0</v>
      </c>
      <c r="I28" s="2" t="str">
        <f t="shared" si="3"/>
        <v/>
      </c>
      <c r="J28" s="2"/>
      <c r="K28" s="2"/>
      <c r="L28" s="2"/>
      <c r="M28" s="2"/>
      <c r="N28" s="2"/>
      <c r="O28" s="2"/>
      <c r="P28" s="2"/>
    </row>
    <row r="29" spans="1:16" ht="15" customHeight="1">
      <c r="A29" s="2"/>
      <c r="B29" s="64"/>
      <c r="C29" s="66"/>
      <c r="D29" s="2"/>
      <c r="E29" s="848" t="s">
        <v>4501</v>
      </c>
      <c r="F29" s="848" t="s">
        <v>4508</v>
      </c>
      <c r="G29" s="848" t="str">
        <f t="shared" si="1"/>
        <v/>
      </c>
      <c r="H29" s="2">
        <f t="shared" si="2"/>
        <v>0</v>
      </c>
      <c r="I29" s="2" t="str">
        <f t="shared" si="3"/>
        <v/>
      </c>
      <c r="J29" s="2"/>
      <c r="K29" s="2"/>
      <c r="L29" s="2"/>
      <c r="M29" s="2"/>
      <c r="N29" s="2"/>
      <c r="O29" s="2"/>
      <c r="P29" s="2"/>
    </row>
    <row r="30" spans="1:16" ht="15" customHeight="1">
      <c r="A30" s="2"/>
      <c r="B30" s="64"/>
      <c r="C30" s="848"/>
      <c r="D30" s="2"/>
      <c r="E30" s="848" t="s">
        <v>4431</v>
      </c>
      <c r="F30" s="848" t="s">
        <v>4464</v>
      </c>
      <c r="G30" s="848" t="str">
        <f t="shared" si="1"/>
        <v/>
      </c>
      <c r="H30" s="2">
        <f t="shared" si="2"/>
        <v>0</v>
      </c>
      <c r="I30" s="2" t="str">
        <f t="shared" si="3"/>
        <v/>
      </c>
      <c r="J30" s="2"/>
      <c r="K30" s="2"/>
      <c r="L30" s="2"/>
      <c r="M30" s="2"/>
      <c r="N30" s="2"/>
      <c r="O30" s="2"/>
      <c r="P30" s="2"/>
    </row>
    <row r="31" spans="1:16" ht="15" customHeight="1">
      <c r="A31" s="2"/>
      <c r="B31" s="64"/>
      <c r="C31" s="66"/>
      <c r="D31" s="2"/>
      <c r="E31" s="848" t="s">
        <v>4432</v>
      </c>
      <c r="F31" s="848" t="s">
        <v>4465</v>
      </c>
      <c r="G31" s="848" t="str">
        <f t="shared" si="1"/>
        <v/>
      </c>
      <c r="H31" s="2">
        <f t="shared" si="2"/>
        <v>0</v>
      </c>
      <c r="I31" s="2" t="str">
        <f t="shared" si="3"/>
        <v/>
      </c>
      <c r="J31" s="2"/>
      <c r="K31" s="2"/>
      <c r="L31" s="2"/>
      <c r="M31" s="2"/>
      <c r="N31" s="2"/>
      <c r="O31" s="2"/>
      <c r="P31" s="2"/>
    </row>
    <row r="32" spans="1:16" ht="15" customHeight="1">
      <c r="A32" s="2"/>
      <c r="B32" s="2"/>
      <c r="C32" s="2"/>
      <c r="D32" s="2"/>
      <c r="E32" s="848" t="s">
        <v>4433</v>
      </c>
      <c r="F32" s="848" t="s">
        <v>4466</v>
      </c>
      <c r="G32" s="848" t="str">
        <f t="shared" si="1"/>
        <v/>
      </c>
      <c r="H32" s="2">
        <f t="shared" si="2"/>
        <v>0</v>
      </c>
      <c r="I32" s="2" t="str">
        <f t="shared" si="3"/>
        <v/>
      </c>
      <c r="J32" s="2"/>
      <c r="K32" s="2"/>
      <c r="L32" s="2"/>
      <c r="M32" s="2"/>
      <c r="N32" s="2"/>
      <c r="O32" s="2"/>
      <c r="P32" s="2"/>
    </row>
    <row r="33" spans="1:16" ht="15" customHeight="1">
      <c r="A33" s="2"/>
      <c r="B33" s="64"/>
      <c r="C33" s="66"/>
      <c r="D33" s="2"/>
      <c r="E33" s="848" t="str">
        <f>IF(A1="IL","AVA 00 79 IL",IF(A1="WA","AVA 00 79 WA","AVA 00 79"))</f>
        <v>AVA 00 79</v>
      </c>
      <c r="F33" s="848" t="s">
        <v>4482</v>
      </c>
      <c r="G33" s="848" t="str">
        <f t="shared" si="1"/>
        <v/>
      </c>
      <c r="H33" s="2">
        <f t="shared" si="2"/>
        <v>0</v>
      </c>
      <c r="I33" s="2" t="str">
        <f t="shared" si="3"/>
        <v/>
      </c>
      <c r="J33" s="2"/>
      <c r="K33" s="2"/>
      <c r="L33" s="2"/>
      <c r="M33" s="2"/>
      <c r="N33" s="2"/>
      <c r="O33" s="2"/>
      <c r="P33" s="2"/>
    </row>
    <row r="34" spans="1:16" ht="15" customHeight="1">
      <c r="A34" s="2"/>
      <c r="B34" s="64"/>
      <c r="C34" s="848"/>
      <c r="D34" s="2"/>
      <c r="E34" s="848" t="s">
        <v>4434</v>
      </c>
      <c r="F34" s="848" t="s">
        <v>4467</v>
      </c>
      <c r="G34" s="848" t="str">
        <f t="shared" si="1"/>
        <v/>
      </c>
      <c r="H34" s="2">
        <f t="shared" si="2"/>
        <v>0</v>
      </c>
      <c r="I34" s="2" t="str">
        <f t="shared" si="3"/>
        <v/>
      </c>
      <c r="J34" s="2"/>
      <c r="K34" s="2"/>
      <c r="L34" s="2"/>
      <c r="M34" s="2"/>
      <c r="N34" s="2"/>
      <c r="O34" s="2"/>
      <c r="P34" s="2"/>
    </row>
    <row r="35" spans="1:16" ht="15" customHeight="1">
      <c r="A35" s="2"/>
      <c r="B35" s="64"/>
      <c r="C35" s="848"/>
      <c r="D35" s="2"/>
      <c r="E35" s="848" t="s">
        <v>4509</v>
      </c>
      <c r="F35" s="848" t="s">
        <v>4512</v>
      </c>
      <c r="G35" s="848" t="str">
        <f t="shared" si="1"/>
        <v/>
      </c>
      <c r="H35" s="2">
        <f t="shared" si="2"/>
        <v>0</v>
      </c>
      <c r="I35" s="2" t="str">
        <f t="shared" si="3"/>
        <v/>
      </c>
      <c r="J35" s="2"/>
      <c r="K35" s="2"/>
      <c r="L35" s="2"/>
      <c r="M35" s="2"/>
      <c r="N35" s="2"/>
      <c r="O35" s="2"/>
      <c r="P35" s="2"/>
    </row>
    <row r="36" spans="1:16" ht="15" customHeight="1">
      <c r="A36" s="2"/>
      <c r="B36" s="64"/>
      <c r="C36" s="848"/>
      <c r="D36" s="2"/>
      <c r="E36" s="848" t="s">
        <v>4435</v>
      </c>
      <c r="F36" s="848" t="s">
        <v>4468</v>
      </c>
      <c r="G36" s="848" t="str">
        <f t="shared" si="1"/>
        <v/>
      </c>
      <c r="H36" s="2">
        <f t="shared" si="2"/>
        <v>0</v>
      </c>
      <c r="I36" s="2" t="str">
        <f t="shared" si="3"/>
        <v/>
      </c>
      <c r="J36" s="2"/>
      <c r="K36" s="2"/>
      <c r="L36" s="2"/>
      <c r="M36" s="2"/>
      <c r="N36" s="2"/>
      <c r="O36" s="2"/>
      <c r="P36" s="2"/>
    </row>
    <row r="37" spans="1:16" ht="15" customHeight="1">
      <c r="A37" s="2"/>
      <c r="B37" s="64"/>
      <c r="C37" s="66"/>
      <c r="D37" s="2"/>
      <c r="E37" s="848" t="s">
        <v>4510</v>
      </c>
      <c r="F37" s="848" t="s">
        <v>4513</v>
      </c>
      <c r="G37" s="848" t="str">
        <f t="shared" si="1"/>
        <v/>
      </c>
      <c r="H37" s="2">
        <f t="shared" si="2"/>
        <v>0</v>
      </c>
      <c r="I37" s="2" t="str">
        <f t="shared" si="3"/>
        <v/>
      </c>
      <c r="J37" s="2"/>
      <c r="K37" s="2"/>
      <c r="L37" s="2"/>
      <c r="M37" s="2"/>
      <c r="N37" s="2"/>
      <c r="O37" s="2"/>
      <c r="P37" s="2"/>
    </row>
    <row r="38" spans="1:16" ht="15" customHeight="1">
      <c r="A38" s="2"/>
      <c r="B38" s="64"/>
      <c r="C38" s="848"/>
      <c r="D38" s="707"/>
      <c r="E38" s="848" t="str">
        <f>IF(A1="NY","AV 00 19 NY","AV 00 19")</f>
        <v>AV 00 19</v>
      </c>
      <c r="F38" s="848" t="s">
        <v>4537</v>
      </c>
      <c r="G38" s="848" t="str">
        <f t="shared" si="1"/>
        <v/>
      </c>
      <c r="H38" s="2">
        <f t="shared" si="2"/>
        <v>0</v>
      </c>
      <c r="I38" s="2" t="str">
        <f t="shared" si="3"/>
        <v/>
      </c>
      <c r="J38" s="2"/>
      <c r="K38" s="2"/>
      <c r="L38" s="2"/>
      <c r="M38" s="2"/>
      <c r="N38" s="2"/>
      <c r="O38" s="2"/>
      <c r="P38" s="2"/>
    </row>
    <row r="39" spans="1:16" ht="15" customHeight="1">
      <c r="A39" s="2"/>
      <c r="B39" s="2"/>
      <c r="C39" s="2"/>
      <c r="D39" s="2"/>
      <c r="E39" s="848" t="s">
        <v>4511</v>
      </c>
      <c r="F39" s="849" t="s">
        <v>4514</v>
      </c>
      <c r="G39" s="848" t="str">
        <f t="shared" si="1"/>
        <v/>
      </c>
      <c r="H39" s="2">
        <f t="shared" si="2"/>
        <v>0</v>
      </c>
      <c r="I39" s="2" t="str">
        <f t="shared" si="3"/>
        <v/>
      </c>
      <c r="J39" s="2"/>
      <c r="K39" s="2"/>
      <c r="L39" s="2"/>
      <c r="M39" s="2"/>
      <c r="N39" s="2"/>
      <c r="O39" s="2"/>
      <c r="P39" s="2"/>
    </row>
    <row r="40" spans="1:16" ht="15" customHeight="1">
      <c r="A40" s="2"/>
      <c r="B40" s="2"/>
      <c r="C40" s="2"/>
      <c r="D40" s="2"/>
      <c r="E40" s="848" t="s">
        <v>4515</v>
      </c>
      <c r="F40" s="848" t="s">
        <v>4521</v>
      </c>
      <c r="G40" s="848" t="str">
        <f t="shared" si="1"/>
        <v/>
      </c>
      <c r="H40" s="2">
        <f t="shared" si="2"/>
        <v>0</v>
      </c>
      <c r="I40" s="2" t="str">
        <f t="shared" si="3"/>
        <v/>
      </c>
      <c r="J40" s="2"/>
      <c r="K40" s="2"/>
      <c r="L40" s="2"/>
      <c r="M40" s="2"/>
      <c r="N40" s="2"/>
      <c r="O40" s="2"/>
      <c r="P40" s="2"/>
    </row>
    <row r="41" spans="1:16" ht="15" customHeight="1">
      <c r="A41" s="2"/>
      <c r="B41" s="850"/>
      <c r="C41" s="66"/>
      <c r="D41" s="2"/>
      <c r="E41" s="848" t="s">
        <v>4436</v>
      </c>
      <c r="F41" s="848" t="s">
        <v>4469</v>
      </c>
      <c r="G41" s="848" t="str">
        <f t="shared" si="1"/>
        <v/>
      </c>
      <c r="H41" s="2">
        <f t="shared" si="2"/>
        <v>0</v>
      </c>
      <c r="I41" s="2" t="str">
        <f t="shared" si="3"/>
        <v/>
      </c>
      <c r="J41" s="2"/>
      <c r="K41" s="2"/>
      <c r="L41" s="2"/>
      <c r="M41" s="2"/>
      <c r="N41" s="2"/>
      <c r="O41" s="2"/>
      <c r="P41" s="2"/>
    </row>
    <row r="42" spans="1:16" ht="15" customHeight="1">
      <c r="A42" s="2"/>
      <c r="B42" s="64"/>
      <c r="C42" s="848"/>
      <c r="D42" s="2"/>
      <c r="E42" s="848" t="s">
        <v>4527</v>
      </c>
      <c r="F42" s="848" t="s">
        <v>4528</v>
      </c>
      <c r="G42" s="848" t="str">
        <f t="shared" si="1"/>
        <v/>
      </c>
      <c r="H42" s="2">
        <f t="shared" si="2"/>
        <v>0</v>
      </c>
      <c r="I42" s="2" t="str">
        <f t="shared" si="3"/>
        <v/>
      </c>
      <c r="J42" s="2"/>
      <c r="K42" s="2"/>
      <c r="L42" s="2"/>
      <c r="M42" s="2"/>
      <c r="N42" s="2"/>
      <c r="O42" s="2"/>
      <c r="P42" s="2"/>
    </row>
    <row r="43" spans="1:16" ht="15" customHeight="1">
      <c r="A43" s="2"/>
      <c r="B43" s="64"/>
      <c r="C43" s="848"/>
      <c r="D43" s="2"/>
      <c r="E43" s="848" t="s">
        <v>4520</v>
      </c>
      <c r="F43" s="848" t="s">
        <v>4526</v>
      </c>
      <c r="G43" s="848" t="str">
        <f t="shared" si="1"/>
        <v/>
      </c>
      <c r="H43" s="2">
        <f t="shared" si="2"/>
        <v>0</v>
      </c>
      <c r="I43" s="2" t="str">
        <f t="shared" si="3"/>
        <v/>
      </c>
      <c r="J43" s="2"/>
      <c r="K43" s="2"/>
      <c r="L43" s="2"/>
      <c r="M43" s="2"/>
      <c r="N43" s="2"/>
      <c r="O43" s="2"/>
      <c r="P43" s="2"/>
    </row>
    <row r="44" spans="1:16" ht="15" customHeight="1">
      <c r="A44" s="2"/>
      <c r="B44" s="64"/>
      <c r="C44" s="66"/>
      <c r="D44" s="2"/>
      <c r="E44" s="848" t="s">
        <v>4437</v>
      </c>
      <c r="F44" s="848" t="s">
        <v>4470</v>
      </c>
      <c r="G44" s="848" t="str">
        <f t="shared" si="1"/>
        <v/>
      </c>
      <c r="H44" s="2">
        <f t="shared" si="2"/>
        <v>0</v>
      </c>
      <c r="I44" s="2" t="str">
        <f t="shared" si="3"/>
        <v/>
      </c>
      <c r="J44" s="2"/>
      <c r="K44" s="2"/>
      <c r="L44" s="2"/>
      <c r="M44" s="2"/>
      <c r="N44" s="2"/>
      <c r="O44" s="2"/>
      <c r="P44" s="2"/>
    </row>
    <row r="45" spans="1:16" ht="15" customHeight="1">
      <c r="A45" s="2"/>
      <c r="B45" s="56" t="str">
        <f>IF(Aircraft!P35&gt;0,"X","")</f>
        <v/>
      </c>
      <c r="C45" s="2"/>
      <c r="D45" s="2"/>
      <c r="E45" s="848" t="s">
        <v>4438</v>
      </c>
      <c r="F45" s="848" t="s">
        <v>4471</v>
      </c>
      <c r="G45" s="848" t="str">
        <f t="shared" si="1"/>
        <v/>
      </c>
      <c r="H45" s="2">
        <f t="shared" si="2"/>
        <v>0</v>
      </c>
      <c r="I45" s="2" t="str">
        <f t="shared" si="3"/>
        <v/>
      </c>
      <c r="J45" s="2"/>
      <c r="K45" s="2"/>
      <c r="L45" s="2"/>
      <c r="M45" s="2"/>
      <c r="N45" s="2"/>
      <c r="O45" s="2"/>
      <c r="P45" s="2"/>
    </row>
    <row r="46" spans="1:16" ht="15" customHeight="1">
      <c r="A46" s="2"/>
      <c r="B46" s="64"/>
      <c r="C46" s="66"/>
      <c r="D46" s="2"/>
      <c r="E46" s="848" t="s">
        <v>4440</v>
      </c>
      <c r="F46" s="848" t="s">
        <v>4473</v>
      </c>
      <c r="G46" s="848" t="str">
        <f t="shared" si="1"/>
        <v/>
      </c>
      <c r="H46" s="2">
        <f t="shared" si="2"/>
        <v>0</v>
      </c>
      <c r="I46" s="2" t="str">
        <f t="shared" si="3"/>
        <v/>
      </c>
      <c r="J46" s="2"/>
      <c r="K46" s="2"/>
      <c r="L46" s="2"/>
      <c r="M46" s="2"/>
      <c r="N46" s="2"/>
      <c r="O46" s="2"/>
      <c r="P46" s="2"/>
    </row>
    <row r="47" spans="1:16" ht="15" customHeight="1">
      <c r="A47" s="2"/>
      <c r="B47" s="64"/>
      <c r="C47" s="66"/>
      <c r="D47" s="2"/>
      <c r="E47" s="848" t="s">
        <v>4439</v>
      </c>
      <c r="F47" s="848" t="s">
        <v>4472</v>
      </c>
      <c r="G47" s="848" t="str">
        <f t="shared" si="1"/>
        <v/>
      </c>
      <c r="H47" s="2">
        <f t="shared" si="2"/>
        <v>0</v>
      </c>
      <c r="I47" s="2" t="str">
        <f t="shared" si="3"/>
        <v/>
      </c>
      <c r="J47" s="2"/>
      <c r="K47" s="2"/>
      <c r="L47" s="2"/>
      <c r="M47" s="2"/>
      <c r="N47" s="2"/>
      <c r="O47" s="2"/>
      <c r="P47" s="2"/>
    </row>
    <row r="48" spans="1:16" ht="15" customHeight="1">
      <c r="A48" s="2"/>
      <c r="B48" s="64"/>
      <c r="C48" s="66"/>
      <c r="D48" s="2"/>
      <c r="E48" s="848" t="s">
        <v>4442</v>
      </c>
      <c r="F48" s="848" t="s">
        <v>4475</v>
      </c>
      <c r="G48" s="848" t="str">
        <f t="shared" si="1"/>
        <v/>
      </c>
      <c r="H48" s="2">
        <f t="shared" si="2"/>
        <v>0</v>
      </c>
      <c r="I48" s="2" t="str">
        <f t="shared" si="3"/>
        <v/>
      </c>
      <c r="J48" s="2"/>
      <c r="K48" s="2"/>
      <c r="L48" s="2"/>
      <c r="M48" s="2"/>
      <c r="N48" s="2"/>
      <c r="O48" s="2"/>
      <c r="P48" s="2"/>
    </row>
    <row r="49" spans="1:16" ht="15" customHeight="1">
      <c r="A49" s="2"/>
      <c r="B49" s="64"/>
      <c r="C49" s="66"/>
      <c r="D49" s="2"/>
      <c r="E49" s="848" t="s">
        <v>4443</v>
      </c>
      <c r="F49" s="848" t="s">
        <v>4476</v>
      </c>
      <c r="G49" s="848" t="str">
        <f t="shared" si="1"/>
        <v/>
      </c>
      <c r="H49" s="2">
        <f t="shared" si="2"/>
        <v>0</v>
      </c>
      <c r="I49" s="2" t="str">
        <f t="shared" si="3"/>
        <v/>
      </c>
      <c r="J49" s="2"/>
      <c r="K49" s="2"/>
      <c r="L49" s="2"/>
      <c r="M49" s="2"/>
      <c r="N49" s="2"/>
      <c r="O49" s="2"/>
      <c r="P49" s="2"/>
    </row>
    <row r="50" spans="1:16" ht="15" customHeight="1">
      <c r="A50" s="2"/>
      <c r="B50" s="64"/>
      <c r="C50" s="2"/>
      <c r="D50" s="2"/>
      <c r="E50" s="848" t="s">
        <v>4516</v>
      </c>
      <c r="F50" s="848" t="s">
        <v>4522</v>
      </c>
      <c r="G50" s="848" t="str">
        <f t="shared" si="1"/>
        <v/>
      </c>
      <c r="H50" s="2">
        <f t="shared" si="2"/>
        <v>0</v>
      </c>
      <c r="I50" s="2" t="str">
        <f t="shared" si="3"/>
        <v/>
      </c>
      <c r="J50" s="2"/>
      <c r="K50" s="2"/>
      <c r="L50" s="2"/>
      <c r="M50" s="2"/>
      <c r="N50" s="2"/>
      <c r="O50" s="2"/>
      <c r="P50" s="2"/>
    </row>
    <row r="51" spans="1:16" ht="15" customHeight="1">
      <c r="A51" s="2"/>
      <c r="B51" s="64"/>
      <c r="C51" s="66"/>
      <c r="D51" s="2"/>
      <c r="E51" s="848" t="s">
        <v>4444</v>
      </c>
      <c r="F51" s="848" t="s">
        <v>4477</v>
      </c>
      <c r="G51" s="848" t="str">
        <f t="shared" si="1"/>
        <v/>
      </c>
      <c r="H51" s="2">
        <f t="shared" si="2"/>
        <v>0</v>
      </c>
      <c r="I51" s="2" t="str">
        <f t="shared" si="3"/>
        <v/>
      </c>
      <c r="J51" s="2"/>
      <c r="K51" s="2"/>
      <c r="L51" s="2"/>
      <c r="M51" s="2"/>
      <c r="N51" s="2"/>
      <c r="O51" s="2"/>
      <c r="P51" s="2"/>
    </row>
    <row r="52" spans="1:16" ht="15" customHeight="1">
      <c r="A52" s="2"/>
      <c r="B52" s="64"/>
      <c r="C52" s="66"/>
      <c r="D52" s="707"/>
      <c r="E52" s="848" t="str">
        <f>CONCATENATE("AVA 01 41"," ",S9)</f>
        <v xml:space="preserve">AVA 01 41 </v>
      </c>
      <c r="F52" s="848" t="s">
        <v>4534</v>
      </c>
      <c r="G52" s="848" t="str">
        <f t="shared" si="1"/>
        <v/>
      </c>
      <c r="H52" s="2">
        <f t="shared" si="2"/>
        <v>0</v>
      </c>
      <c r="I52" s="2" t="str">
        <f t="shared" si="3"/>
        <v/>
      </c>
      <c r="J52" s="2"/>
      <c r="K52" s="2"/>
      <c r="L52" s="2"/>
      <c r="M52" s="2"/>
      <c r="N52" s="2"/>
      <c r="O52" s="2"/>
      <c r="P52" s="2"/>
    </row>
    <row r="53" spans="1:16" ht="15" customHeight="1">
      <c r="A53" s="2"/>
      <c r="B53" s="64"/>
      <c r="C53" s="66"/>
      <c r="D53" s="2"/>
      <c r="E53" s="848" t="s">
        <v>4445</v>
      </c>
      <c r="F53" s="848" t="s">
        <v>4478</v>
      </c>
      <c r="G53" s="848" t="str">
        <f t="shared" si="1"/>
        <v/>
      </c>
      <c r="H53" s="2">
        <f t="shared" si="2"/>
        <v>0</v>
      </c>
      <c r="I53" s="2" t="str">
        <f t="shared" si="3"/>
        <v/>
      </c>
      <c r="J53" s="2"/>
      <c r="K53" s="2"/>
      <c r="L53" s="2"/>
      <c r="M53" s="2"/>
      <c r="N53" s="2"/>
      <c r="O53" s="2"/>
      <c r="P53" s="2"/>
    </row>
    <row r="54" spans="1:16" ht="15" customHeight="1">
      <c r="A54" s="2"/>
      <c r="B54" s="64"/>
      <c r="C54" s="66"/>
      <c r="D54" s="2"/>
      <c r="E54" s="848" t="s">
        <v>4446</v>
      </c>
      <c r="F54" s="848" t="s">
        <v>4479</v>
      </c>
      <c r="G54" s="848" t="str">
        <f t="shared" si="1"/>
        <v/>
      </c>
      <c r="H54" s="2">
        <f t="shared" si="2"/>
        <v>0</v>
      </c>
      <c r="I54" s="2" t="str">
        <f t="shared" si="3"/>
        <v/>
      </c>
      <c r="J54" s="2"/>
      <c r="K54" s="2"/>
      <c r="L54" s="2"/>
      <c r="M54" s="2"/>
      <c r="N54" s="2"/>
      <c r="O54" s="2"/>
      <c r="P54" s="2"/>
    </row>
    <row r="55" spans="1:16" ht="15" customHeight="1">
      <c r="A55" s="2"/>
      <c r="B55" s="64"/>
      <c r="C55" s="66"/>
      <c r="D55" s="2"/>
      <c r="E55" s="848" t="s">
        <v>4447</v>
      </c>
      <c r="F55" s="848" t="s">
        <v>4480</v>
      </c>
      <c r="G55" s="848" t="str">
        <f t="shared" si="1"/>
        <v/>
      </c>
      <c r="H55" s="2">
        <f t="shared" si="2"/>
        <v>0</v>
      </c>
      <c r="I55" s="2" t="str">
        <f t="shared" si="3"/>
        <v/>
      </c>
      <c r="J55" s="2"/>
      <c r="K55" s="2"/>
      <c r="L55" s="2"/>
      <c r="M55" s="2"/>
      <c r="N55" s="2"/>
      <c r="O55" s="2"/>
      <c r="P55" s="2"/>
    </row>
    <row r="56" spans="1:16" ht="15" customHeight="1">
      <c r="A56" s="2"/>
      <c r="B56" s="64"/>
      <c r="C56" s="66"/>
      <c r="D56" s="2"/>
      <c r="E56" s="848" t="s">
        <v>4418</v>
      </c>
      <c r="F56" s="848" t="s">
        <v>4451</v>
      </c>
      <c r="G56" s="848" t="str">
        <f t="shared" si="1"/>
        <v/>
      </c>
      <c r="H56" s="2">
        <f t="shared" si="2"/>
        <v>0</v>
      </c>
      <c r="I56" s="2" t="str">
        <f t="shared" si="3"/>
        <v/>
      </c>
      <c r="J56" s="2"/>
      <c r="K56" s="2"/>
      <c r="L56" s="2"/>
      <c r="M56" s="2"/>
      <c r="N56" s="2"/>
      <c r="O56" s="2"/>
      <c r="P56" s="2"/>
    </row>
    <row r="57" spans="1:16" ht="15" customHeight="1">
      <c r="A57" s="2"/>
      <c r="B57" s="64"/>
      <c r="C57" s="2"/>
      <c r="D57" s="2"/>
      <c r="E57" s="848" t="s">
        <v>4517</v>
      </c>
      <c r="F57" s="848" t="s">
        <v>4523</v>
      </c>
      <c r="G57" s="848" t="str">
        <f t="shared" si="1"/>
        <v/>
      </c>
      <c r="H57" s="2">
        <f t="shared" si="2"/>
        <v>0</v>
      </c>
      <c r="I57" s="2" t="str">
        <f t="shared" si="3"/>
        <v/>
      </c>
      <c r="J57" s="2"/>
      <c r="K57" s="2"/>
      <c r="L57" s="2"/>
      <c r="M57" s="2"/>
      <c r="N57" s="2"/>
      <c r="O57" s="2"/>
      <c r="P57" s="2"/>
    </row>
    <row r="58" spans="1:16" ht="15" customHeight="1">
      <c r="A58" s="2"/>
      <c r="B58" s="64"/>
      <c r="C58" s="2"/>
      <c r="D58" s="2"/>
      <c r="E58" s="848" t="s">
        <v>4448</v>
      </c>
      <c r="F58" s="848" t="s">
        <v>4481</v>
      </c>
      <c r="G58" s="848" t="str">
        <f t="shared" si="1"/>
        <v/>
      </c>
      <c r="H58" s="2">
        <f t="shared" si="2"/>
        <v>0</v>
      </c>
      <c r="I58" s="2" t="str">
        <f t="shared" si="3"/>
        <v/>
      </c>
      <c r="J58" s="2"/>
      <c r="K58" s="2"/>
      <c r="L58" s="2"/>
      <c r="M58" s="2"/>
      <c r="N58" s="2"/>
      <c r="O58" s="2"/>
      <c r="P58" s="2"/>
    </row>
    <row r="59" spans="1:16" ht="15" customHeight="1">
      <c r="A59" s="2"/>
      <c r="B59" s="64"/>
      <c r="C59" s="2"/>
      <c r="D59" s="2"/>
      <c r="E59" s="848" t="s">
        <v>4518</v>
      </c>
      <c r="F59" s="848" t="s">
        <v>4524</v>
      </c>
      <c r="G59" s="848" t="str">
        <f t="shared" si="1"/>
        <v/>
      </c>
      <c r="H59" s="2">
        <f t="shared" si="2"/>
        <v>0</v>
      </c>
      <c r="I59" s="2" t="str">
        <f t="shared" si="3"/>
        <v/>
      </c>
      <c r="J59" s="2"/>
      <c r="K59" s="2"/>
      <c r="L59" s="2"/>
      <c r="M59" s="2"/>
      <c r="N59" s="2"/>
      <c r="O59" s="2"/>
      <c r="P59" s="2"/>
    </row>
    <row r="60" spans="1:16" ht="15" customHeight="1">
      <c r="A60" s="2"/>
      <c r="B60" s="64"/>
      <c r="C60" s="2"/>
      <c r="D60" s="2"/>
      <c r="E60" s="848" t="s">
        <v>4519</v>
      </c>
      <c r="F60" s="848" t="s">
        <v>4525</v>
      </c>
      <c r="G60" s="848" t="str">
        <f t="shared" si="1"/>
        <v/>
      </c>
      <c r="H60" s="2">
        <f t="shared" si="2"/>
        <v>0</v>
      </c>
      <c r="I60" s="2" t="str">
        <f t="shared" si="3"/>
        <v/>
      </c>
      <c r="J60" s="2"/>
      <c r="K60" s="2"/>
      <c r="L60" s="2"/>
      <c r="M60" s="2"/>
      <c r="N60" s="2"/>
      <c r="O60" s="2"/>
      <c r="P60" s="2"/>
    </row>
    <row r="61" spans="1:16" ht="15" customHeight="1">
      <c r="A61" s="2"/>
      <c r="B61" s="64"/>
      <c r="C61" s="2"/>
      <c r="D61" s="2"/>
      <c r="E61" s="848" t="s">
        <v>4423</v>
      </c>
      <c r="F61" s="848" t="s">
        <v>4456</v>
      </c>
      <c r="G61" s="848" t="str">
        <f t="shared" si="1"/>
        <v/>
      </c>
      <c r="H61" s="2">
        <f t="shared" si="2"/>
        <v>0</v>
      </c>
      <c r="I61" s="2" t="str">
        <f t="shared" si="3"/>
        <v/>
      </c>
      <c r="J61" s="2"/>
      <c r="K61" s="2"/>
      <c r="L61" s="2"/>
      <c r="M61" s="2"/>
      <c r="N61" s="2"/>
      <c r="O61" s="2"/>
      <c r="P61" s="2"/>
    </row>
    <row r="62" spans="1:16" ht="15" customHeight="1">
      <c r="A62" s="2"/>
      <c r="B62" s="56" t="str">
        <f>IF(Rating!J2="Yes","X","")</f>
        <v/>
      </c>
      <c r="C62" s="2"/>
      <c r="D62" s="2"/>
      <c r="E62" s="848" t="s">
        <v>4422</v>
      </c>
      <c r="F62" s="848" t="s">
        <v>4455</v>
      </c>
      <c r="G62" s="848" t="str">
        <f t="shared" si="1"/>
        <v/>
      </c>
      <c r="H62" s="2">
        <f t="shared" si="2"/>
        <v>0</v>
      </c>
      <c r="I62" s="2" t="str">
        <f t="shared" si="3"/>
        <v/>
      </c>
      <c r="J62" s="2"/>
      <c r="K62" s="2"/>
      <c r="L62" s="2"/>
      <c r="M62" s="2"/>
      <c r="N62" s="2"/>
      <c r="O62" s="2"/>
      <c r="P62" s="2"/>
    </row>
    <row r="63" spans="1:16" ht="15" customHeight="1">
      <c r="A63" s="2"/>
      <c r="B63" s="64"/>
      <c r="C63" s="2"/>
      <c r="D63" s="2"/>
      <c r="E63" s="848" t="s">
        <v>4426</v>
      </c>
      <c r="F63" s="849" t="s">
        <v>4459</v>
      </c>
      <c r="G63" s="848" t="str">
        <f t="shared" si="1"/>
        <v/>
      </c>
      <c r="H63" s="2">
        <f t="shared" si="2"/>
        <v>0</v>
      </c>
      <c r="I63" s="2" t="str">
        <f t="shared" si="3"/>
        <v/>
      </c>
      <c r="J63" s="2"/>
      <c r="K63" s="2"/>
      <c r="L63" s="2"/>
      <c r="M63" s="2"/>
      <c r="N63" s="2"/>
      <c r="O63" s="2"/>
      <c r="P63" s="2"/>
    </row>
    <row r="64" spans="1:16" ht="15" customHeight="1">
      <c r="A64" s="2"/>
      <c r="B64" s="56" t="str">
        <f>IF(Rating!L2="Yes","X","")</f>
        <v/>
      </c>
      <c r="C64" s="2"/>
      <c r="D64" s="2"/>
      <c r="E64" s="848" t="s">
        <v>4425</v>
      </c>
      <c r="F64" s="849" t="s">
        <v>4458</v>
      </c>
      <c r="G64" s="848" t="str">
        <f t="shared" si="1"/>
        <v/>
      </c>
      <c r="H64" s="2">
        <f t="shared" si="2"/>
        <v>0</v>
      </c>
      <c r="I64" s="2" t="str">
        <f t="shared" si="3"/>
        <v/>
      </c>
      <c r="J64" s="2"/>
      <c r="K64" s="2"/>
      <c r="L64" s="2"/>
      <c r="M64" s="2"/>
      <c r="N64" s="2"/>
      <c r="O64" s="2"/>
      <c r="P64" s="2"/>
    </row>
    <row r="65" spans="1:16" ht="15" customHeight="1">
      <c r="A65" s="2"/>
      <c r="B65" s="2"/>
      <c r="C65" s="2"/>
      <c r="D65" s="2"/>
      <c r="E65" s="2"/>
      <c r="F65" s="2"/>
      <c r="G65" s="848"/>
      <c r="H65" s="2"/>
      <c r="I65" s="2"/>
      <c r="J65" s="2"/>
      <c r="K65" s="2"/>
      <c r="L65" s="2"/>
      <c r="M65" s="2"/>
      <c r="N65" s="2"/>
      <c r="O65" s="2"/>
      <c r="P65" s="2"/>
    </row>
    <row r="66" spans="1:16" ht="15" hidden="1" customHeight="1">
      <c r="A66" s="2"/>
      <c r="B66" s="2"/>
      <c r="C66" s="42">
        <f>SUM(C5:C64)</f>
        <v>0</v>
      </c>
      <c r="D66" s="2"/>
      <c r="E66" s="2"/>
      <c r="F66" s="2"/>
      <c r="G66" s="848"/>
      <c r="H66" s="2"/>
      <c r="I66" s="2"/>
      <c r="J66" s="2"/>
      <c r="K66" s="2"/>
      <c r="L66" s="2"/>
      <c r="M66" s="2"/>
      <c r="N66" s="2"/>
      <c r="O66" s="2"/>
      <c r="P66" s="2"/>
    </row>
    <row r="67" spans="1:16" hidden="1">
      <c r="A67" s="2"/>
      <c r="B67" s="2"/>
      <c r="C67" s="2"/>
      <c r="D67" s="2"/>
      <c r="E67" s="2"/>
      <c r="F67" s="2"/>
      <c r="G67" s="848"/>
      <c r="H67" s="2"/>
      <c r="I67" s="2" t="str">
        <f>CONCATENATE(P7,I6,I7,I8,I9,I10,I11,I12,I13,I14,I15,I16,I17,I18,I19,I20,I21,I22,I23,I24,I25,I26,I27,I28,I29,I30,I31,I32,I33,I34,I35,I36,I37,I38,I39,I40,I41,I42,I43,I44,I45,I46,I47,I48,I49,I50,I51,I52,I53,I54,I55,I56,I57,I58,I59,I60,I61,I62,I63,I64," and any state amendatory endorsements and notices.")</f>
        <v>AVP 00 01 - AIRCRAFT PLATINUM POLICY DECLARATIONS, AVP 00 02 - AIRCRAFT PLATINUM POLICY, AV 00 03 - FORMS SCHEDULE, AVP 02 31 - PILOT CLAUSE ENDORSEMENT,  and any state amendatory endorsements and notices.</v>
      </c>
      <c r="J67" s="2"/>
      <c r="K67" s="2"/>
      <c r="L67" s="2"/>
      <c r="M67" s="2"/>
      <c r="N67" s="2"/>
      <c r="O67" s="2"/>
      <c r="P67" s="2"/>
    </row>
    <row r="68" spans="1:16" hidden="1">
      <c r="A68" s="2"/>
      <c r="B68" s="2"/>
      <c r="C68" s="2"/>
      <c r="D68" s="2"/>
      <c r="E68" s="848"/>
      <c r="F68" s="848"/>
      <c r="G68" s="848"/>
      <c r="H68" s="2"/>
      <c r="I68" s="2"/>
      <c r="J68" s="2"/>
      <c r="K68" s="2"/>
      <c r="L68" s="2"/>
      <c r="M68" s="2"/>
      <c r="N68" s="2"/>
      <c r="O68" s="2"/>
      <c r="P68" s="2"/>
    </row>
    <row r="69" spans="1:16" hidden="1">
      <c r="A69" s="2"/>
      <c r="B69" s="2"/>
      <c r="C69" s="2"/>
      <c r="D69" s="2"/>
      <c r="E69" s="2"/>
      <c r="F69" s="2"/>
      <c r="G69" s="848"/>
      <c r="H69" s="2"/>
      <c r="I69" s="2"/>
      <c r="J69" s="2"/>
      <c r="K69" s="2"/>
      <c r="L69" s="2"/>
      <c r="M69" s="2"/>
      <c r="N69" s="2"/>
      <c r="O69" s="2"/>
      <c r="P69" s="2"/>
    </row>
    <row r="70" spans="1:16" hidden="1">
      <c r="A70" s="2"/>
      <c r="B70" s="2"/>
      <c r="C70" s="2"/>
      <c r="D70" s="2"/>
      <c r="E70" s="2"/>
      <c r="F70" s="2"/>
      <c r="G70" s="2"/>
      <c r="H70" s="2"/>
      <c r="I70" s="2"/>
      <c r="J70" s="2"/>
      <c r="K70" s="2"/>
      <c r="L70" s="2"/>
      <c r="M70" s="2"/>
      <c r="N70" s="2"/>
      <c r="O70" s="2"/>
      <c r="P70" s="2"/>
    </row>
    <row r="71" spans="1:16" hidden="1">
      <c r="A71" s="2"/>
      <c r="B71" s="2"/>
      <c r="C71" s="2"/>
      <c r="D71" s="848"/>
      <c r="E71" s="2"/>
      <c r="F71" s="2"/>
      <c r="G71" s="2"/>
      <c r="H71" s="2"/>
      <c r="I71" s="2"/>
      <c r="J71" s="2"/>
      <c r="K71" s="2"/>
      <c r="L71" s="2"/>
      <c r="M71" s="2"/>
      <c r="N71" s="2"/>
      <c r="O71" s="2"/>
      <c r="P71" s="2"/>
    </row>
    <row r="72" spans="1:16" hidden="1">
      <c r="A72" s="2"/>
      <c r="B72" s="2"/>
      <c r="C72" s="2"/>
      <c r="D72" s="848"/>
      <c r="E72" s="2"/>
      <c r="F72" s="2"/>
      <c r="G72" s="2"/>
      <c r="H72" s="2"/>
      <c r="I72" s="2"/>
      <c r="J72" s="2"/>
      <c r="K72" s="2"/>
      <c r="L72" s="2"/>
      <c r="M72" s="2"/>
      <c r="N72" s="2"/>
      <c r="O72" s="2"/>
      <c r="P72" s="2"/>
    </row>
    <row r="73" spans="1:16" hidden="1">
      <c r="A73" s="2"/>
      <c r="B73" s="2"/>
      <c r="C73" s="2"/>
      <c r="D73" s="848"/>
      <c r="E73" s="2"/>
      <c r="F73" s="2"/>
      <c r="G73" s="2"/>
      <c r="H73" s="2"/>
      <c r="I73" s="2"/>
      <c r="J73" s="2"/>
      <c r="K73" s="2"/>
      <c r="L73" s="2"/>
      <c r="M73" s="2"/>
      <c r="N73" s="2"/>
      <c r="O73" s="2"/>
      <c r="P73" s="2"/>
    </row>
    <row r="74" spans="1:16" hidden="1">
      <c r="A74" s="2"/>
      <c r="B74" s="2"/>
      <c r="C74" s="2"/>
      <c r="D74" s="848"/>
      <c r="E74" s="2"/>
      <c r="F74" s="2"/>
      <c r="G74" s="2"/>
      <c r="H74" s="2"/>
      <c r="I74" s="2"/>
      <c r="J74" s="2"/>
      <c r="K74" s="2"/>
      <c r="L74" s="2"/>
      <c r="M74" s="2"/>
      <c r="N74" s="2"/>
      <c r="O74" s="2"/>
      <c r="P74" s="2"/>
    </row>
    <row r="75" spans="1:16" hidden="1">
      <c r="A75" s="2"/>
      <c r="B75" s="2"/>
      <c r="C75" s="2"/>
      <c r="D75" s="848"/>
      <c r="E75" s="2"/>
      <c r="F75" s="2"/>
      <c r="G75" s="2"/>
      <c r="H75" s="2"/>
      <c r="I75" s="848"/>
      <c r="J75" s="848"/>
      <c r="K75" s="2"/>
      <c r="L75" s="2"/>
      <c r="M75" s="2"/>
      <c r="N75" s="2"/>
      <c r="O75" s="2"/>
      <c r="P75" s="2"/>
    </row>
    <row r="76" spans="1:16" hidden="1">
      <c r="A76" s="2"/>
      <c r="B76" s="2"/>
      <c r="C76" s="2"/>
      <c r="D76" s="2"/>
      <c r="E76" s="2"/>
      <c r="F76" s="2"/>
      <c r="G76" s="2"/>
      <c r="H76" s="2"/>
      <c r="I76" s="848"/>
      <c r="J76" s="848"/>
      <c r="K76" s="2"/>
      <c r="L76" s="2"/>
      <c r="M76" s="2"/>
      <c r="N76" s="2"/>
      <c r="O76" s="2"/>
      <c r="P76" s="2"/>
    </row>
    <row r="77" spans="1:16" hidden="1">
      <c r="A77" s="2"/>
      <c r="B77" s="2"/>
      <c r="C77" s="2"/>
      <c r="D77" s="2"/>
      <c r="E77" s="2"/>
      <c r="F77" s="2"/>
      <c r="G77" s="2"/>
      <c r="H77" s="2"/>
      <c r="I77" s="848"/>
      <c r="J77" s="848"/>
      <c r="K77" s="2"/>
      <c r="L77" s="2"/>
      <c r="M77" s="2"/>
      <c r="N77" s="2"/>
      <c r="O77" s="2"/>
      <c r="P77" s="2"/>
    </row>
    <row r="78" spans="1:16" hidden="1">
      <c r="A78" s="2"/>
      <c r="B78" s="2"/>
      <c r="C78" s="2"/>
      <c r="D78" s="2"/>
      <c r="E78" s="2"/>
      <c r="F78" s="2"/>
      <c r="G78" s="2"/>
      <c r="H78" s="2"/>
      <c r="I78" s="848"/>
      <c r="J78" s="848"/>
      <c r="K78" s="2"/>
      <c r="L78" s="2"/>
      <c r="M78" s="2"/>
      <c r="N78" s="2"/>
      <c r="O78" s="2"/>
      <c r="P78" s="2"/>
    </row>
    <row r="79" spans="1:16" hidden="1">
      <c r="A79" s="2"/>
      <c r="B79" s="2"/>
      <c r="C79" s="2"/>
      <c r="D79" s="2"/>
      <c r="E79" s="2"/>
      <c r="F79" s="2"/>
      <c r="G79" s="2"/>
      <c r="H79" s="2"/>
      <c r="I79" s="848"/>
      <c r="J79" s="848"/>
      <c r="K79" s="2"/>
      <c r="L79" s="2"/>
      <c r="M79" s="2"/>
      <c r="N79" s="2"/>
      <c r="O79" s="2"/>
      <c r="P79" s="2"/>
    </row>
    <row r="80" spans="1:16" hidden="1">
      <c r="A80" s="2"/>
      <c r="B80" s="2"/>
      <c r="C80" s="2"/>
      <c r="D80" s="2"/>
      <c r="E80" s="2"/>
      <c r="F80" s="2"/>
      <c r="G80" s="2"/>
      <c r="H80" s="2"/>
      <c r="I80" s="848"/>
      <c r="J80" s="848"/>
      <c r="K80" s="2"/>
      <c r="L80" s="2"/>
      <c r="M80" s="2"/>
      <c r="N80" s="2"/>
      <c r="O80" s="2"/>
      <c r="P80" s="2"/>
    </row>
    <row r="81" spans="1:16" hidden="1">
      <c r="A81" s="2"/>
      <c r="B81" s="2"/>
      <c r="C81" s="2"/>
      <c r="D81" s="2"/>
      <c r="E81" s="2"/>
      <c r="F81" s="2"/>
      <c r="G81" s="2"/>
      <c r="H81" s="2"/>
      <c r="I81" s="2"/>
      <c r="J81" s="2"/>
      <c r="K81" s="2"/>
      <c r="L81" s="2"/>
      <c r="M81" s="2"/>
      <c r="N81" s="2"/>
      <c r="O81" s="2"/>
      <c r="P81" s="2"/>
    </row>
    <row r="82" spans="1:16" hidden="1">
      <c r="A82" s="2"/>
      <c r="B82" s="2"/>
      <c r="C82" s="2"/>
      <c r="D82" s="2"/>
      <c r="E82" s="2"/>
      <c r="F82" s="2"/>
      <c r="G82" s="2"/>
      <c r="H82" s="2"/>
      <c r="I82" s="848"/>
      <c r="J82" s="848"/>
      <c r="K82" s="2"/>
      <c r="L82" s="2"/>
      <c r="M82" s="2"/>
      <c r="N82" s="2"/>
      <c r="O82" s="2"/>
      <c r="P82" s="2"/>
    </row>
    <row r="83" spans="1:16" hidden="1">
      <c r="A83" s="2"/>
      <c r="B83" s="2"/>
      <c r="C83" s="2"/>
      <c r="D83" s="2"/>
      <c r="E83" s="2"/>
      <c r="F83" s="2"/>
      <c r="G83" s="2"/>
      <c r="H83" s="2"/>
      <c r="I83" s="848"/>
      <c r="J83" s="848"/>
      <c r="K83" s="2"/>
      <c r="L83" s="2"/>
      <c r="M83" s="2"/>
      <c r="N83" s="2"/>
      <c r="O83" s="2"/>
      <c r="P83" s="2"/>
    </row>
    <row r="84" spans="1:16" hidden="1">
      <c r="A84" s="2"/>
      <c r="B84" s="2"/>
      <c r="C84" s="2"/>
      <c r="D84" s="2"/>
      <c r="E84" s="2"/>
      <c r="F84" s="2"/>
      <c r="G84" s="2"/>
      <c r="H84" s="2"/>
      <c r="I84" s="848"/>
      <c r="J84" s="848"/>
      <c r="K84" s="2"/>
      <c r="L84" s="2"/>
      <c r="M84" s="2"/>
      <c r="N84" s="2"/>
      <c r="O84" s="2"/>
      <c r="P84" s="2"/>
    </row>
    <row r="85" spans="1:16" hidden="1">
      <c r="A85" s="2"/>
      <c r="B85" s="2"/>
      <c r="C85" s="2"/>
      <c r="D85" s="2"/>
      <c r="E85" s="2"/>
      <c r="F85" s="2"/>
      <c r="G85" s="2"/>
      <c r="H85" s="2"/>
      <c r="I85" s="848"/>
      <c r="J85" s="848"/>
      <c r="K85" s="2"/>
      <c r="L85" s="2"/>
      <c r="M85" s="2"/>
      <c r="N85" s="2"/>
      <c r="O85" s="2"/>
      <c r="P85" s="2"/>
    </row>
    <row r="86" spans="1:16" hidden="1">
      <c r="A86" s="2"/>
      <c r="I86" s="847"/>
      <c r="J86" s="847"/>
      <c r="K86" s="2"/>
      <c r="L86" s="2"/>
      <c r="M86" s="2"/>
    </row>
    <row r="87" spans="1:16" hidden="1">
      <c r="A87" s="2"/>
      <c r="I87" s="847"/>
      <c r="J87" s="847"/>
    </row>
    <row r="88" spans="1:16" hidden="1">
      <c r="I88" s="847"/>
      <c r="J88" s="847"/>
    </row>
    <row r="89" spans="1:16" hidden="1">
      <c r="I89" s="847"/>
      <c r="J89" s="847"/>
    </row>
    <row r="90" spans="1:16" hidden="1">
      <c r="I90" s="847"/>
      <c r="J90" s="847"/>
    </row>
    <row r="91" spans="1:16" hidden="1">
      <c r="I91" s="847"/>
      <c r="J91" s="847"/>
    </row>
    <row r="92" spans="1:16" hidden="1">
      <c r="I92" s="847"/>
      <c r="J92" s="847"/>
    </row>
  </sheetData>
  <sortState xmlns:xlrd2="http://schemas.microsoft.com/office/spreadsheetml/2017/richdata2" ref="E5:F64">
    <sortCondition ref="F5:F64"/>
  </sortState>
  <mergeCells count="1">
    <mergeCell ref="B1:F3"/>
  </mergeCells>
  <conditionalFormatting sqref="B5:B17">
    <cfRule type="expression" dxfId="155" priority="12">
      <formula>B5="X"</formula>
    </cfRule>
  </conditionalFormatting>
  <conditionalFormatting sqref="B19:B31">
    <cfRule type="expression" dxfId="154" priority="9">
      <formula>B19="X"</formula>
    </cfRule>
  </conditionalFormatting>
  <conditionalFormatting sqref="B33:B38">
    <cfRule type="expression" dxfId="153" priority="11">
      <formula>B33="X"</formula>
    </cfRule>
  </conditionalFormatting>
  <conditionalFormatting sqref="B41:B64">
    <cfRule type="expression" dxfId="152" priority="1">
      <formula>B41="X"</formula>
    </cfRule>
  </conditionalFormatting>
  <conditionalFormatting sqref="D38">
    <cfRule type="expression" dxfId="151" priority="7">
      <formula>$D$38&gt;""</formula>
    </cfRule>
    <cfRule type="expression" dxfId="150" priority="8">
      <formula>$B$38&gt;""</formula>
    </cfRule>
  </conditionalFormatting>
  <conditionalFormatting sqref="D52">
    <cfRule type="expression" dxfId="149" priority="4">
      <formula>$B$52&gt;""</formula>
    </cfRule>
  </conditionalFormatting>
  <dataValidations count="2">
    <dataValidation type="list" allowBlank="1" showInputMessage="1" showErrorMessage="1" sqref="B18" xr:uid="{65D904EE-02DC-46B4-B1FA-BA145F4E7A9E}">
      <formula1>$AM$2:$AM$3</formula1>
    </dataValidation>
    <dataValidation type="list" allowBlank="1" showInputMessage="1" showErrorMessage="1" sqref="B5:B17 B63 B19:B44 B46:B61" xr:uid="{7541D71F-E314-4A38-B9C5-C1DC9746B2BC}">
      <formula1>$AL$2:$AL$3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DEB1-8292-4A8A-8C4F-4292961FAD72}">
  <sheetPr codeName="Sheet5">
    <tabColor rgb="FF002060"/>
  </sheetPr>
  <dimension ref="A1:AD107"/>
  <sheetViews>
    <sheetView topLeftCell="A4" workbookViewId="0">
      <selection activeCell="I11" sqref="I11:J11"/>
    </sheetView>
  </sheetViews>
  <sheetFormatPr defaultColWidth="0" defaultRowHeight="14.25" zeroHeight="1"/>
  <cols>
    <col min="1" max="5" width="5.625" customWidth="1"/>
    <col min="6" max="6" width="4.875" customWidth="1"/>
    <col min="7" max="7" width="7.875" customWidth="1"/>
    <col min="8" max="8" width="9.125" customWidth="1"/>
    <col min="9" max="9" width="4.75" customWidth="1"/>
    <col min="10" max="10" width="3.5" customWidth="1"/>
    <col min="11" max="11" width="5.625" customWidth="1"/>
    <col min="12" max="12" width="6.875" customWidth="1"/>
    <col min="13" max="18" width="5.625" customWidth="1"/>
    <col min="19" max="25" width="5.625" hidden="1" customWidth="1"/>
    <col min="26" max="26" width="9" hidden="1" customWidth="1"/>
    <col min="27" max="27" width="12.125" hidden="1" customWidth="1"/>
    <col min="28" max="28" width="9" hidden="1" customWidth="1"/>
    <col min="29" max="29" width="11.125" hidden="1" customWidth="1"/>
    <col min="30" max="30" width="0" hidden="1" customWidth="1"/>
    <col min="31" max="16384" width="9" hidden="1"/>
  </cols>
  <sheetData>
    <row r="1" spans="1:30">
      <c r="A1" s="1047" t="s">
        <v>3178</v>
      </c>
      <c r="B1" s="1047"/>
      <c r="C1" s="1047"/>
      <c r="D1" s="1047"/>
      <c r="E1" s="1047"/>
      <c r="F1" s="1047"/>
      <c r="G1" s="1047"/>
      <c r="H1" s="1047"/>
      <c r="I1" s="1047"/>
      <c r="J1" s="1047"/>
      <c r="K1" s="1047"/>
      <c r="L1" s="1047"/>
      <c r="M1" s="1047"/>
      <c r="N1" s="1047"/>
      <c r="O1" s="1047"/>
      <c r="P1" s="1047"/>
      <c r="Q1" s="1047"/>
      <c r="R1" s="1047"/>
      <c r="S1" s="1047"/>
      <c r="T1" s="1047"/>
      <c r="U1" s="1047"/>
      <c r="V1" s="1047"/>
      <c r="W1" s="1047"/>
      <c r="X1" s="1047"/>
      <c r="Y1" s="1047"/>
    </row>
    <row r="2" spans="1:30">
      <c r="A2" s="1047"/>
      <c r="B2" s="1047"/>
      <c r="C2" s="1047"/>
      <c r="D2" s="1047"/>
      <c r="E2" s="1047"/>
      <c r="F2" s="1047"/>
      <c r="G2" s="1047"/>
      <c r="H2" s="1047"/>
      <c r="I2" s="1047"/>
      <c r="J2" s="1047"/>
      <c r="K2" s="1047"/>
      <c r="L2" s="1047"/>
      <c r="M2" s="1047"/>
      <c r="N2" s="1047"/>
      <c r="O2" s="1047"/>
      <c r="P2" s="1047"/>
      <c r="Q2" s="1047"/>
      <c r="R2" s="1047"/>
      <c r="S2" s="1047"/>
      <c r="T2" s="1047"/>
      <c r="U2" s="1047"/>
      <c r="V2" s="1047"/>
      <c r="W2" s="1047"/>
      <c r="X2" s="1047"/>
      <c r="Y2" s="1047"/>
      <c r="AA2" s="466">
        <v>25000</v>
      </c>
      <c r="AC2" s="466">
        <v>1000</v>
      </c>
      <c r="AD2">
        <v>500</v>
      </c>
    </row>
    <row r="3" spans="1:30">
      <c r="A3" s="1047"/>
      <c r="B3" s="1047"/>
      <c r="C3" s="1047"/>
      <c r="D3" s="1047"/>
      <c r="E3" s="1047"/>
      <c r="F3" s="1047"/>
      <c r="G3" s="1047"/>
      <c r="H3" s="1047"/>
      <c r="I3" s="1047"/>
      <c r="J3" s="1047"/>
      <c r="K3" s="1047"/>
      <c r="L3" s="1047"/>
      <c r="M3" s="1047"/>
      <c r="N3" s="1047"/>
      <c r="O3" s="1047"/>
      <c r="P3" s="1047"/>
      <c r="Q3" s="1047"/>
      <c r="R3" s="1047"/>
      <c r="S3" s="1047"/>
      <c r="T3" s="1047"/>
      <c r="U3" s="1047"/>
      <c r="V3" s="1047"/>
      <c r="W3" s="1047"/>
      <c r="X3" s="1047"/>
      <c r="Y3" s="1047"/>
      <c r="AA3" s="466">
        <v>50000</v>
      </c>
      <c r="AC3" s="466">
        <v>2000</v>
      </c>
      <c r="AD3">
        <v>1000</v>
      </c>
    </row>
    <row r="4" spans="1:30">
      <c r="A4" s="2"/>
      <c r="B4" s="2"/>
      <c r="C4" s="2"/>
      <c r="D4" s="2"/>
      <c r="E4" s="2"/>
      <c r="F4" s="2"/>
      <c r="G4" s="2"/>
      <c r="H4" s="2"/>
      <c r="I4" s="2"/>
      <c r="J4" s="2"/>
      <c r="K4" s="2"/>
      <c r="L4" s="2"/>
      <c r="M4" s="2"/>
      <c r="N4" s="2"/>
      <c r="O4" s="2"/>
      <c r="P4" s="2"/>
      <c r="Q4" s="2"/>
      <c r="R4" s="2"/>
      <c r="S4" s="2"/>
      <c r="T4" s="2"/>
      <c r="U4" s="2"/>
      <c r="V4" s="2"/>
      <c r="W4" s="2"/>
      <c r="X4" s="2"/>
      <c r="Y4" s="2"/>
      <c r="AA4" s="466">
        <v>75000</v>
      </c>
      <c r="AC4" s="466">
        <v>5000</v>
      </c>
      <c r="AD4">
        <v>1500</v>
      </c>
    </row>
    <row r="5" spans="1:30" ht="15.75">
      <c r="A5" s="2"/>
      <c r="B5" s="1063" t="s">
        <v>3179</v>
      </c>
      <c r="C5" s="1063"/>
      <c r="D5" s="1063"/>
      <c r="E5" s="2"/>
      <c r="F5" s="2"/>
      <c r="G5" s="2"/>
      <c r="H5" s="2"/>
      <c r="I5" s="2"/>
      <c r="J5" s="2"/>
      <c r="K5" s="2"/>
      <c r="L5" s="2"/>
      <c r="M5" s="2"/>
      <c r="N5" s="2"/>
      <c r="O5" s="2"/>
      <c r="P5" s="2"/>
      <c r="Q5" s="2"/>
      <c r="R5" s="2"/>
      <c r="S5" s="2"/>
      <c r="T5" s="2"/>
      <c r="U5" s="2"/>
      <c r="V5" s="2"/>
      <c r="W5" s="2"/>
      <c r="X5" s="2"/>
      <c r="Y5" s="2"/>
      <c r="AA5" s="466">
        <v>100000</v>
      </c>
      <c r="AC5" s="466">
        <v>10000</v>
      </c>
      <c r="AD5">
        <v>2000</v>
      </c>
    </row>
    <row r="6" spans="1:30" ht="15">
      <c r="A6" s="2"/>
      <c r="B6" s="465" t="s">
        <v>3180</v>
      </c>
      <c r="C6" s="2"/>
      <c r="D6" s="2"/>
      <c r="E6" s="2"/>
      <c r="F6" s="2"/>
      <c r="G6" s="2"/>
      <c r="H6" s="2"/>
      <c r="I6" s="2"/>
      <c r="J6" s="2"/>
      <c r="K6" s="2"/>
      <c r="L6" s="2"/>
      <c r="M6" s="2"/>
      <c r="N6" s="2"/>
      <c r="O6" s="2"/>
      <c r="P6" s="2"/>
      <c r="Q6" s="2"/>
      <c r="R6" s="2"/>
      <c r="S6" s="2"/>
      <c r="T6" s="2"/>
      <c r="U6" s="2"/>
      <c r="V6" s="2"/>
      <c r="W6" s="2"/>
      <c r="X6" s="2"/>
      <c r="Y6" s="2"/>
      <c r="AA6" s="466">
        <v>150000</v>
      </c>
      <c r="AC6" s="466">
        <v>15000</v>
      </c>
      <c r="AD6">
        <v>2500</v>
      </c>
    </row>
    <row r="7" spans="1:30">
      <c r="A7" s="2"/>
      <c r="B7" s="2">
        <v>1</v>
      </c>
      <c r="C7" s="2" t="s">
        <v>3181</v>
      </c>
      <c r="D7" s="2"/>
      <c r="E7" s="2"/>
      <c r="F7" s="2"/>
      <c r="G7" s="2"/>
      <c r="H7" s="2"/>
      <c r="I7" s="2"/>
      <c r="J7" s="2"/>
      <c r="K7" s="2"/>
      <c r="L7" s="2"/>
      <c r="M7" s="2"/>
      <c r="N7" s="2"/>
      <c r="O7" s="2"/>
      <c r="P7" s="2"/>
      <c r="Q7" s="2"/>
      <c r="R7" s="2"/>
      <c r="S7" s="2"/>
      <c r="T7" s="2"/>
      <c r="U7" s="2"/>
      <c r="V7" s="2"/>
      <c r="W7" s="2"/>
      <c r="X7" s="2"/>
      <c r="Y7" s="2"/>
      <c r="AA7" s="466">
        <v>200000</v>
      </c>
      <c r="AC7" s="466">
        <v>25000</v>
      </c>
      <c r="AD7">
        <v>3000</v>
      </c>
    </row>
    <row r="8" spans="1:30">
      <c r="A8" s="2"/>
      <c r="B8" s="2"/>
      <c r="C8" s="2" t="s">
        <v>3182</v>
      </c>
      <c r="D8" s="2"/>
      <c r="E8" s="2"/>
      <c r="F8" s="2"/>
      <c r="G8" s="2"/>
      <c r="H8" s="2"/>
      <c r="I8" s="2"/>
      <c r="J8" s="2"/>
      <c r="K8" s="1058">
        <v>150000</v>
      </c>
      <c r="L8" s="1058"/>
      <c r="M8" s="2" t="s">
        <v>3183</v>
      </c>
      <c r="N8" s="2"/>
      <c r="O8" s="2"/>
      <c r="P8" s="2"/>
      <c r="Q8" s="2"/>
      <c r="R8" s="2"/>
      <c r="S8" s="2"/>
      <c r="T8" s="2"/>
      <c r="U8" s="2"/>
      <c r="V8" s="2"/>
      <c r="W8" s="2"/>
      <c r="X8" s="2"/>
      <c r="Y8" s="2"/>
      <c r="AA8" s="466">
        <v>250000</v>
      </c>
      <c r="AC8" s="466">
        <v>50000</v>
      </c>
      <c r="AD8">
        <v>4000</v>
      </c>
    </row>
    <row r="9" spans="1:30">
      <c r="A9" s="2"/>
      <c r="B9" s="2"/>
      <c r="C9" s="2"/>
      <c r="D9" s="2"/>
      <c r="E9" s="2"/>
      <c r="F9" s="2"/>
      <c r="G9" s="2"/>
      <c r="H9" s="2"/>
      <c r="I9" s="2"/>
      <c r="J9" s="2"/>
      <c r="K9" s="2"/>
      <c r="L9" s="2"/>
      <c r="M9" s="2"/>
      <c r="N9" s="2"/>
      <c r="O9" s="2"/>
      <c r="P9" s="2"/>
      <c r="Q9" s="2"/>
      <c r="R9" s="2"/>
      <c r="S9" s="2"/>
      <c r="T9" s="2"/>
      <c r="U9" s="2"/>
      <c r="V9" s="2"/>
      <c r="W9" s="2"/>
      <c r="X9" s="2"/>
      <c r="Y9" s="2"/>
      <c r="AA9" s="466">
        <v>300000</v>
      </c>
      <c r="AD9">
        <v>5000</v>
      </c>
    </row>
    <row r="10" spans="1:30">
      <c r="A10" s="2"/>
      <c r="B10" s="2" t="s">
        <v>3184</v>
      </c>
      <c r="C10" s="2"/>
      <c r="D10" s="2"/>
      <c r="E10" s="2"/>
      <c r="F10" s="2"/>
      <c r="G10" s="2"/>
      <c r="H10" s="2"/>
      <c r="I10" s="2"/>
      <c r="J10" s="2"/>
      <c r="K10" s="2"/>
      <c r="L10" s="2"/>
      <c r="M10" s="2"/>
      <c r="N10" s="2"/>
      <c r="O10" s="2"/>
      <c r="P10" s="2"/>
      <c r="Q10" s="2"/>
      <c r="R10" s="2"/>
      <c r="S10" s="2"/>
      <c r="T10" s="2"/>
      <c r="U10" s="2"/>
      <c r="V10" s="2"/>
      <c r="W10" s="2"/>
      <c r="X10" s="2"/>
      <c r="Y10" s="2"/>
      <c r="AA10" s="466">
        <v>400000</v>
      </c>
      <c r="AB10" s="467"/>
    </row>
    <row r="11" spans="1:30">
      <c r="A11" s="2"/>
      <c r="B11" s="2">
        <v>1</v>
      </c>
      <c r="C11" s="1059" t="s">
        <v>3185</v>
      </c>
      <c r="D11" s="1059"/>
      <c r="E11" s="1059"/>
      <c r="F11" s="1059"/>
      <c r="G11" s="1059"/>
      <c r="H11" s="1059"/>
      <c r="I11" s="1058">
        <v>1000</v>
      </c>
      <c r="J11" s="1058"/>
      <c r="K11" s="2" t="s">
        <v>3186</v>
      </c>
      <c r="L11" s="2"/>
      <c r="M11" s="2"/>
      <c r="N11" s="2"/>
      <c r="O11" s="2"/>
      <c r="P11" s="2"/>
      <c r="Q11" s="2"/>
      <c r="R11" s="2"/>
      <c r="S11" s="2"/>
      <c r="T11" s="2"/>
      <c r="U11" s="2"/>
      <c r="V11" s="2"/>
      <c r="W11" s="2"/>
      <c r="X11" s="2"/>
      <c r="Y11" s="2"/>
      <c r="AA11" s="467">
        <v>500000</v>
      </c>
    </row>
    <row r="12" spans="1:30">
      <c r="A12" s="2"/>
      <c r="B12" s="2"/>
      <c r="C12" s="1059" t="s">
        <v>3187</v>
      </c>
      <c r="D12" s="1059"/>
      <c r="E12" s="1059"/>
      <c r="F12" s="1059"/>
      <c r="G12" s="468">
        <v>50000</v>
      </c>
      <c r="H12" s="1060" t="s">
        <v>3188</v>
      </c>
      <c r="I12" s="1060"/>
      <c r="J12" s="1060"/>
      <c r="K12" s="1060"/>
      <c r="L12" s="2"/>
      <c r="M12" s="2"/>
      <c r="N12" s="2"/>
      <c r="O12" s="2"/>
      <c r="P12" s="2"/>
      <c r="Q12" s="2"/>
      <c r="R12" s="2"/>
      <c r="S12" s="2"/>
      <c r="T12" s="2"/>
      <c r="U12" s="2"/>
      <c r="V12" s="2"/>
      <c r="W12" s="2"/>
      <c r="X12" s="2"/>
      <c r="Y12" s="2"/>
      <c r="AA12">
        <v>100000</v>
      </c>
    </row>
    <row r="13" spans="1:30">
      <c r="A13" s="2"/>
      <c r="B13" s="2"/>
      <c r="C13" s="2"/>
      <c r="D13" s="2"/>
      <c r="E13" s="2"/>
      <c r="F13" s="2"/>
      <c r="G13" s="2"/>
      <c r="H13" s="2"/>
      <c r="I13" s="2"/>
      <c r="J13" s="2"/>
      <c r="K13" s="2"/>
      <c r="L13" s="2"/>
      <c r="M13" s="2"/>
      <c r="N13" s="2"/>
      <c r="O13" s="2"/>
      <c r="P13" s="2"/>
      <c r="Q13" s="2"/>
      <c r="R13" s="2"/>
      <c r="S13" s="2"/>
      <c r="T13" s="2"/>
      <c r="U13" s="2"/>
      <c r="V13" s="2"/>
      <c r="W13" s="2"/>
      <c r="X13" s="2"/>
      <c r="Y13" s="2"/>
      <c r="AA13">
        <v>200000</v>
      </c>
    </row>
    <row r="14" spans="1:30">
      <c r="A14" s="2"/>
      <c r="B14" s="2" t="s">
        <v>3189</v>
      </c>
      <c r="C14" s="2"/>
      <c r="D14" s="2"/>
      <c r="E14" s="2"/>
      <c r="F14" s="2"/>
      <c r="G14" s="2"/>
      <c r="H14" s="2"/>
      <c r="I14" s="2"/>
      <c r="J14" s="2"/>
      <c r="K14" s="2"/>
      <c r="L14" s="2"/>
      <c r="M14" s="2"/>
      <c r="N14" s="2"/>
      <c r="O14" s="2"/>
      <c r="P14" s="2"/>
      <c r="Q14" s="2"/>
      <c r="R14" s="2"/>
      <c r="S14" s="2"/>
      <c r="T14" s="2"/>
      <c r="U14" s="2"/>
      <c r="V14" s="2"/>
      <c r="W14" s="2"/>
      <c r="X14" s="2"/>
      <c r="Y14" s="2"/>
      <c r="AA14">
        <v>400000</v>
      </c>
    </row>
    <row r="15" spans="1:30">
      <c r="A15" s="2"/>
      <c r="B15" s="2"/>
      <c r="C15" s="2" t="s">
        <v>3190</v>
      </c>
      <c r="D15" s="2"/>
      <c r="E15" s="2"/>
      <c r="F15" s="2"/>
      <c r="G15" s="2"/>
      <c r="H15" s="1058">
        <v>1000000</v>
      </c>
      <c r="I15" s="1058"/>
      <c r="J15" s="2" t="s">
        <v>3191</v>
      </c>
      <c r="K15" s="2"/>
      <c r="L15" s="2"/>
      <c r="M15" s="1058">
        <v>1000000</v>
      </c>
      <c r="N15" s="1058"/>
      <c r="O15" s="2"/>
      <c r="P15" s="2"/>
      <c r="Q15" s="2"/>
      <c r="R15" s="2"/>
      <c r="S15" s="2"/>
      <c r="T15" s="2"/>
      <c r="U15" s="2"/>
      <c r="V15" s="2"/>
      <c r="W15" s="2"/>
      <c r="X15" s="2"/>
      <c r="Y15" s="2"/>
      <c r="AA15">
        <v>500000</v>
      </c>
    </row>
    <row r="16" spans="1:30">
      <c r="A16" s="2"/>
      <c r="B16" s="2"/>
      <c r="C16" s="1062" t="s">
        <v>3192</v>
      </c>
      <c r="D16" s="1062"/>
      <c r="E16" s="1061">
        <v>10000</v>
      </c>
      <c r="F16" s="1061"/>
      <c r="G16" s="2" t="s">
        <v>3193</v>
      </c>
      <c r="H16" s="2"/>
      <c r="I16" s="2"/>
      <c r="J16" s="2"/>
      <c r="K16" s="2"/>
      <c r="L16" s="2"/>
      <c r="M16" s="2"/>
      <c r="N16" s="2"/>
      <c r="O16" s="2"/>
      <c r="P16" s="2"/>
      <c r="Q16" s="2"/>
      <c r="R16" s="2"/>
      <c r="S16" s="2"/>
      <c r="T16" s="2"/>
      <c r="U16" s="2"/>
      <c r="V16" s="2"/>
      <c r="W16" s="2"/>
      <c r="X16" s="2"/>
      <c r="Y16" s="2"/>
      <c r="AA16">
        <v>600000</v>
      </c>
    </row>
    <row r="17" spans="1:27">
      <c r="A17" s="2"/>
      <c r="B17" s="2"/>
      <c r="C17" s="2"/>
      <c r="D17" s="2"/>
      <c r="E17" s="2"/>
      <c r="F17" s="2"/>
      <c r="G17" s="2"/>
      <c r="H17" s="2"/>
      <c r="I17" s="2"/>
      <c r="J17" s="2"/>
      <c r="K17" s="2"/>
      <c r="L17" s="2"/>
      <c r="M17" s="2"/>
      <c r="N17" s="2"/>
      <c r="O17" s="2"/>
      <c r="P17" s="2"/>
      <c r="Q17" s="2"/>
      <c r="R17" s="2"/>
      <c r="S17" s="2"/>
      <c r="T17" s="2"/>
      <c r="U17" s="2"/>
      <c r="V17" s="2"/>
      <c r="W17" s="2"/>
      <c r="X17" s="2"/>
      <c r="Y17" s="2"/>
      <c r="AA17">
        <v>800000</v>
      </c>
    </row>
    <row r="18" spans="1:27">
      <c r="A18" s="2"/>
      <c r="B18" s="2" t="s">
        <v>3194</v>
      </c>
      <c r="C18" s="2"/>
      <c r="D18" s="2"/>
      <c r="E18" s="2"/>
      <c r="F18" s="2"/>
      <c r="G18" s="2"/>
      <c r="H18" s="2"/>
      <c r="I18" s="2"/>
      <c r="J18" s="2"/>
      <c r="K18" s="2"/>
      <c r="L18" s="2"/>
      <c r="M18" s="2"/>
      <c r="N18" s="2"/>
      <c r="O18" s="2"/>
      <c r="P18" s="2"/>
      <c r="Q18" s="2"/>
      <c r="R18" s="2"/>
      <c r="S18" s="2"/>
      <c r="T18" s="2"/>
      <c r="U18" s="2"/>
      <c r="V18" s="2"/>
      <c r="W18" s="2"/>
      <c r="X18" s="2"/>
      <c r="Y18" s="2"/>
      <c r="AA18">
        <v>1000000</v>
      </c>
    </row>
    <row r="19" spans="1:27">
      <c r="A19" s="2"/>
      <c r="B19" s="2"/>
      <c r="C19" s="358" t="s">
        <v>3195</v>
      </c>
      <c r="D19" s="1058">
        <v>150000</v>
      </c>
      <c r="E19" s="1058"/>
      <c r="F19" s="2" t="s">
        <v>3196</v>
      </c>
      <c r="G19" s="2"/>
      <c r="H19" s="2"/>
      <c r="I19" s="2"/>
      <c r="J19" s="2"/>
      <c r="K19" s="2"/>
      <c r="L19" s="2"/>
      <c r="M19" s="2"/>
      <c r="N19" s="2"/>
      <c r="O19" s="2"/>
      <c r="P19" s="2"/>
      <c r="Q19" s="2"/>
      <c r="R19" s="2"/>
      <c r="S19" s="2"/>
      <c r="T19" s="2"/>
      <c r="U19" s="2"/>
      <c r="V19" s="2"/>
      <c r="W19" s="2"/>
      <c r="X19" s="2"/>
      <c r="Y19" s="2"/>
      <c r="AA19">
        <v>1500000</v>
      </c>
    </row>
    <row r="20" spans="1:27">
      <c r="A20" s="2"/>
      <c r="B20" s="2"/>
      <c r="C20" s="2"/>
      <c r="D20" s="2"/>
      <c r="E20" s="2"/>
      <c r="F20" s="2"/>
      <c r="G20" s="2"/>
      <c r="H20" s="2"/>
      <c r="I20" s="2"/>
      <c r="J20" s="2"/>
      <c r="K20" s="2"/>
      <c r="L20" s="2"/>
      <c r="M20" s="2"/>
      <c r="N20" s="2"/>
      <c r="O20" s="2"/>
      <c r="P20" s="2"/>
      <c r="Q20" s="2"/>
      <c r="R20" s="2"/>
      <c r="S20" s="2"/>
      <c r="T20" s="2"/>
      <c r="U20" s="2"/>
      <c r="V20" s="2"/>
      <c r="W20" s="2"/>
      <c r="X20" s="2"/>
      <c r="Y20" s="2"/>
      <c r="AA20">
        <v>2000000</v>
      </c>
    </row>
    <row r="21" spans="1:27">
      <c r="A21" s="2"/>
      <c r="B21" s="2" t="s">
        <v>3197</v>
      </c>
      <c r="C21" s="2"/>
      <c r="D21" s="2"/>
      <c r="E21" s="2"/>
      <c r="F21" s="2"/>
      <c r="G21" s="2"/>
      <c r="H21" s="2"/>
      <c r="I21" s="2"/>
      <c r="J21" s="2"/>
      <c r="K21" s="2"/>
      <c r="L21" s="2"/>
      <c r="M21" s="2"/>
      <c r="N21" s="2"/>
      <c r="O21" s="2"/>
      <c r="P21" s="2"/>
      <c r="Q21" s="2"/>
      <c r="R21" s="2"/>
      <c r="S21" s="2"/>
      <c r="T21" s="2"/>
      <c r="U21" s="2"/>
      <c r="V21" s="2"/>
      <c r="W21" s="2"/>
      <c r="X21" s="2"/>
      <c r="Y21" s="2"/>
    </row>
    <row r="22" spans="1:27">
      <c r="A22" s="2"/>
      <c r="B22" s="2"/>
      <c r="C22" s="358" t="s">
        <v>3198</v>
      </c>
      <c r="D22" s="1058">
        <v>1000</v>
      </c>
      <c r="E22" s="1058"/>
      <c r="F22" s="2" t="s">
        <v>3199</v>
      </c>
      <c r="G22" s="2"/>
      <c r="H22" s="2"/>
      <c r="I22" s="2"/>
      <c r="J22" s="2"/>
      <c r="K22" s="2"/>
      <c r="L22" s="2"/>
      <c r="M22" s="2"/>
      <c r="N22" s="2"/>
      <c r="O22" s="2"/>
      <c r="P22" s="2"/>
      <c r="Q22" s="2"/>
      <c r="R22" s="2"/>
      <c r="S22" s="2"/>
      <c r="T22" s="2"/>
      <c r="U22" s="2"/>
      <c r="V22" s="2"/>
      <c r="W22" s="2"/>
      <c r="X22" s="2"/>
      <c r="Y22" s="2"/>
    </row>
    <row r="23" spans="1:27">
      <c r="A23" s="2"/>
      <c r="B23" s="2"/>
      <c r="C23" s="2"/>
      <c r="D23" s="2" t="s">
        <v>3200</v>
      </c>
      <c r="E23" s="2"/>
      <c r="F23" s="2"/>
      <c r="G23" s="2"/>
      <c r="H23" s="2"/>
      <c r="I23" s="2"/>
      <c r="J23" s="2"/>
      <c r="K23" s="2"/>
      <c r="L23" s="2"/>
      <c r="M23" s="2"/>
      <c r="N23" s="2"/>
      <c r="O23" s="2"/>
      <c r="P23" s="2"/>
      <c r="Q23" s="2"/>
      <c r="R23" s="2"/>
      <c r="S23" s="2"/>
      <c r="T23" s="2"/>
      <c r="U23" s="2"/>
      <c r="V23" s="2"/>
      <c r="W23" s="2"/>
      <c r="X23" s="2"/>
      <c r="Y23" s="2"/>
    </row>
    <row r="24" spans="1:27">
      <c r="A24" s="2"/>
      <c r="B24" s="2"/>
      <c r="C24" s="2"/>
      <c r="D24" s="3" t="s">
        <v>3074</v>
      </c>
      <c r="E24" s="1058">
        <v>2500</v>
      </c>
      <c r="F24" s="1058"/>
      <c r="G24" s="2"/>
      <c r="H24" s="2"/>
      <c r="I24" s="2"/>
      <c r="J24" s="2"/>
      <c r="K24" s="2"/>
      <c r="L24" s="2"/>
      <c r="M24" s="2"/>
      <c r="N24" s="2"/>
      <c r="O24" s="2"/>
      <c r="P24" s="2"/>
      <c r="Q24" s="2"/>
      <c r="R24" s="2"/>
      <c r="S24" s="2"/>
      <c r="T24" s="2"/>
      <c r="U24" s="2"/>
      <c r="V24" s="2"/>
      <c r="W24" s="2"/>
      <c r="X24" s="2"/>
      <c r="Y24" s="2"/>
    </row>
    <row r="25" spans="1:27">
      <c r="A25" s="2"/>
      <c r="B25" s="2"/>
      <c r="C25" s="2"/>
      <c r="D25" s="2" t="s">
        <v>3201</v>
      </c>
      <c r="E25" s="2"/>
      <c r="F25" s="2"/>
      <c r="G25" s="2"/>
      <c r="H25" s="2"/>
      <c r="I25" s="2"/>
      <c r="J25" s="2"/>
      <c r="K25" s="2"/>
      <c r="L25" s="2"/>
      <c r="M25" s="2"/>
      <c r="N25" s="2"/>
      <c r="O25" s="2"/>
      <c r="P25" s="2"/>
      <c r="Q25" s="2"/>
      <c r="R25" s="2"/>
      <c r="S25" s="2"/>
      <c r="T25" s="2"/>
      <c r="U25" s="2"/>
      <c r="V25" s="2"/>
      <c r="W25" s="2"/>
      <c r="X25" s="2"/>
      <c r="Y25" s="2"/>
    </row>
    <row r="26" spans="1:27">
      <c r="A26" s="2"/>
      <c r="B26" s="2"/>
      <c r="C26" s="2"/>
      <c r="D26" s="3" t="s">
        <v>3074</v>
      </c>
      <c r="E26" s="1058">
        <v>2500</v>
      </c>
      <c r="F26" s="1058"/>
      <c r="G26" s="2"/>
      <c r="H26" s="2"/>
      <c r="I26" s="2"/>
      <c r="J26" s="2"/>
      <c r="K26" s="2"/>
      <c r="L26" s="2"/>
      <c r="M26" s="2"/>
      <c r="N26" s="2"/>
      <c r="O26" s="2"/>
      <c r="P26" s="2"/>
      <c r="Q26" s="2"/>
      <c r="R26" s="2"/>
      <c r="S26" s="2"/>
      <c r="T26" s="2"/>
      <c r="U26" s="2"/>
      <c r="V26" s="2"/>
      <c r="W26" s="2"/>
      <c r="X26" s="2"/>
      <c r="Y26" s="2"/>
    </row>
    <row r="27" spans="1:27">
      <c r="A27" s="2"/>
      <c r="B27" s="2"/>
      <c r="C27" s="2"/>
      <c r="D27" s="2" t="s">
        <v>3202</v>
      </c>
      <c r="E27" s="2"/>
      <c r="F27" s="2"/>
      <c r="G27" s="2"/>
      <c r="H27" s="2"/>
      <c r="I27" s="2"/>
      <c r="J27" s="2"/>
      <c r="K27" s="2"/>
      <c r="L27" s="2"/>
      <c r="M27" s="2"/>
      <c r="N27" s="2"/>
      <c r="O27" s="2"/>
      <c r="P27" s="2"/>
      <c r="Q27" s="2"/>
      <c r="R27" s="2"/>
      <c r="S27" s="2"/>
      <c r="T27" s="2"/>
      <c r="U27" s="2"/>
      <c r="V27" s="2"/>
      <c r="W27" s="2"/>
      <c r="X27" s="2"/>
      <c r="Y27" s="2"/>
    </row>
    <row r="28" spans="1:27">
      <c r="A28" s="2"/>
      <c r="B28" s="2"/>
      <c r="C28" s="2"/>
      <c r="D28" s="3" t="s">
        <v>3074</v>
      </c>
      <c r="E28" s="1058">
        <v>250000</v>
      </c>
      <c r="F28" s="1058"/>
      <c r="G28" s="2"/>
      <c r="H28" s="2"/>
      <c r="I28" s="2"/>
      <c r="J28" s="2"/>
      <c r="K28" s="2"/>
      <c r="L28" s="2"/>
      <c r="M28" s="2"/>
      <c r="N28" s="2"/>
      <c r="O28" s="2"/>
      <c r="P28" s="2"/>
      <c r="Q28" s="2"/>
      <c r="R28" s="2"/>
      <c r="S28" s="2"/>
      <c r="T28" s="2"/>
      <c r="U28" s="2"/>
      <c r="V28" s="2"/>
      <c r="W28" s="2"/>
      <c r="X28" s="2"/>
      <c r="Y28" s="2"/>
    </row>
    <row r="29" spans="1:27">
      <c r="A29" s="2"/>
      <c r="B29" s="2"/>
      <c r="C29" s="2"/>
      <c r="D29" s="2"/>
      <c r="E29" s="2"/>
      <c r="F29" s="2"/>
      <c r="G29" s="2"/>
      <c r="H29" s="2"/>
      <c r="I29" s="2"/>
      <c r="J29" s="2"/>
      <c r="K29" s="2"/>
      <c r="L29" s="2"/>
      <c r="M29" s="2"/>
      <c r="N29" s="2"/>
      <c r="O29" s="2"/>
      <c r="P29" s="2"/>
      <c r="Q29" s="2"/>
      <c r="R29" s="2"/>
      <c r="S29" s="2"/>
      <c r="T29" s="2"/>
      <c r="U29" s="2"/>
      <c r="V29" s="2"/>
      <c r="W29" s="2"/>
      <c r="X29" s="2"/>
      <c r="Y29" s="2"/>
    </row>
    <row r="30" spans="1:27">
      <c r="A30" s="2"/>
      <c r="B30" s="2" t="s">
        <v>3203</v>
      </c>
      <c r="C30" s="2"/>
      <c r="D30" s="2"/>
      <c r="E30" s="2"/>
      <c r="F30" s="2"/>
      <c r="G30" s="2"/>
      <c r="H30" s="2"/>
      <c r="I30" s="2"/>
      <c r="J30" s="2"/>
      <c r="K30" s="2"/>
      <c r="L30" s="2"/>
      <c r="M30" s="2"/>
      <c r="N30" s="2"/>
      <c r="O30" s="2"/>
      <c r="P30" s="2"/>
      <c r="Q30" s="2"/>
      <c r="R30" s="2"/>
      <c r="S30" s="2"/>
      <c r="T30" s="2"/>
      <c r="U30" s="2"/>
      <c r="V30" s="2"/>
      <c r="W30" s="2"/>
      <c r="X30" s="2"/>
      <c r="Y30" s="2"/>
    </row>
    <row r="31" spans="1:27">
      <c r="A31" s="2"/>
      <c r="B31" s="2"/>
      <c r="C31" s="2" t="s">
        <v>3204</v>
      </c>
      <c r="D31" s="2"/>
      <c r="E31" s="2"/>
      <c r="F31" s="1058">
        <v>5000</v>
      </c>
      <c r="G31" s="1058"/>
      <c r="H31" s="2" t="s">
        <v>3205</v>
      </c>
      <c r="I31" s="2"/>
      <c r="J31" s="2"/>
      <c r="K31" s="2"/>
      <c r="L31" s="2"/>
      <c r="M31" s="2"/>
      <c r="N31" s="2"/>
      <c r="O31" s="2"/>
      <c r="P31" s="2"/>
      <c r="Q31" s="2"/>
      <c r="R31" s="2"/>
      <c r="S31" s="2"/>
      <c r="T31" s="2"/>
      <c r="U31" s="2"/>
      <c r="V31" s="2"/>
      <c r="W31" s="2"/>
      <c r="X31" s="2"/>
      <c r="Y31" s="2"/>
    </row>
    <row r="32" spans="1:27">
      <c r="A32" s="2"/>
      <c r="B32" s="2"/>
      <c r="C32" s="2"/>
      <c r="D32" s="2"/>
      <c r="E32" s="2"/>
      <c r="F32" s="2"/>
      <c r="G32" s="2"/>
      <c r="H32" s="2"/>
      <c r="I32" s="2"/>
      <c r="J32" s="2"/>
      <c r="K32" s="2"/>
      <c r="L32" s="2"/>
      <c r="M32" s="2"/>
      <c r="N32" s="2"/>
      <c r="O32" s="2"/>
      <c r="P32" s="2"/>
      <c r="Q32" s="2"/>
      <c r="R32" s="2"/>
      <c r="S32" s="2"/>
      <c r="T32" s="2"/>
      <c r="U32" s="2"/>
      <c r="V32" s="2"/>
      <c r="W32" s="2"/>
      <c r="X32" s="2"/>
      <c r="Y32" s="2"/>
    </row>
    <row r="33" spans="1:25">
      <c r="A33" s="2"/>
      <c r="B33" s="2" t="s">
        <v>3206</v>
      </c>
      <c r="C33" s="2"/>
      <c r="D33" s="2"/>
      <c r="E33" s="2"/>
      <c r="F33" s="2"/>
      <c r="G33" s="2"/>
      <c r="H33" s="2"/>
      <c r="I33" s="2"/>
      <c r="J33" s="2"/>
      <c r="K33" s="2"/>
      <c r="L33" s="2"/>
      <c r="M33" s="2"/>
      <c r="N33" s="2"/>
      <c r="O33" s="2"/>
      <c r="P33" s="2"/>
      <c r="Q33" s="2"/>
      <c r="R33" s="2"/>
      <c r="S33" s="2"/>
      <c r="T33" s="2"/>
      <c r="U33" s="2"/>
      <c r="V33" s="2"/>
      <c r="W33" s="2"/>
      <c r="X33" s="2"/>
      <c r="Y33" s="2"/>
    </row>
    <row r="34" spans="1:25">
      <c r="A34" s="2"/>
      <c r="B34" s="2"/>
      <c r="C34" s="2" t="s">
        <v>3207</v>
      </c>
      <c r="D34" s="2"/>
      <c r="E34" s="1058">
        <v>25000</v>
      </c>
      <c r="F34" s="1058"/>
      <c r="G34" s="2" t="s">
        <v>3208</v>
      </c>
      <c r="H34" s="2"/>
      <c r="I34" s="2"/>
      <c r="J34" s="2"/>
      <c r="K34" s="2"/>
      <c r="L34" s="2"/>
      <c r="M34" s="2"/>
      <c r="N34" s="2"/>
      <c r="O34" s="2"/>
      <c r="P34" s="2"/>
      <c r="Q34" s="2"/>
      <c r="R34" s="2"/>
      <c r="S34" s="2"/>
      <c r="T34" s="2"/>
      <c r="U34" s="2"/>
      <c r="V34" s="2"/>
      <c r="W34" s="2"/>
      <c r="X34" s="2"/>
      <c r="Y34" s="2"/>
    </row>
    <row r="35" spans="1:25">
      <c r="A35" s="2"/>
      <c r="B35" s="2"/>
      <c r="C35" s="2" t="s">
        <v>3209</v>
      </c>
      <c r="D35" s="2"/>
      <c r="E35" s="2"/>
      <c r="F35" s="2"/>
      <c r="G35" s="2"/>
      <c r="H35" s="2"/>
      <c r="I35" s="1058">
        <v>25000</v>
      </c>
      <c r="J35" s="1058"/>
      <c r="K35" s="2" t="s">
        <v>3210</v>
      </c>
      <c r="L35" s="2"/>
      <c r="M35" s="2"/>
      <c r="N35" s="2"/>
      <c r="O35" s="2"/>
      <c r="P35" s="2"/>
      <c r="Q35" s="2"/>
      <c r="R35" s="2"/>
      <c r="S35" s="2"/>
      <c r="T35" s="2"/>
      <c r="U35" s="2"/>
      <c r="V35" s="2"/>
      <c r="W35" s="2"/>
      <c r="X35" s="2"/>
      <c r="Y35" s="2"/>
    </row>
    <row r="36" spans="1:25">
      <c r="A36" s="2"/>
      <c r="B36" s="2" t="s">
        <v>3211</v>
      </c>
      <c r="C36" s="2"/>
      <c r="D36" s="2"/>
      <c r="E36" s="2"/>
      <c r="F36" s="2"/>
      <c r="G36" s="2"/>
      <c r="H36" s="2"/>
      <c r="I36" s="2"/>
      <c r="J36" s="2"/>
      <c r="K36" s="2"/>
      <c r="L36" s="2"/>
      <c r="M36" s="2"/>
      <c r="N36" s="2"/>
      <c r="O36" s="2"/>
      <c r="P36" s="2"/>
      <c r="Q36" s="2"/>
      <c r="R36" s="2"/>
      <c r="S36" s="2"/>
      <c r="T36" s="2"/>
      <c r="U36" s="2"/>
      <c r="V36" s="2"/>
      <c r="W36" s="2"/>
      <c r="X36" s="2"/>
      <c r="Y36" s="2"/>
    </row>
    <row r="37" spans="1:25">
      <c r="A37" s="2"/>
      <c r="B37" s="2" t="s">
        <v>3212</v>
      </c>
      <c r="C37" s="2" t="s">
        <v>3213</v>
      </c>
      <c r="D37" s="1058">
        <v>1000</v>
      </c>
      <c r="E37" s="1058"/>
      <c r="F37" s="2" t="s">
        <v>3214</v>
      </c>
      <c r="G37" s="2"/>
      <c r="H37" s="2"/>
      <c r="I37" s="2"/>
      <c r="J37" s="2"/>
      <c r="K37" s="2"/>
      <c r="L37" s="2"/>
      <c r="M37" s="2"/>
      <c r="N37" s="2"/>
      <c r="O37" s="2"/>
      <c r="P37" s="2"/>
      <c r="Q37" s="2"/>
      <c r="R37" s="2"/>
      <c r="S37" s="2"/>
      <c r="T37" s="2"/>
      <c r="U37" s="2"/>
      <c r="V37" s="2"/>
      <c r="W37" s="2"/>
      <c r="X37" s="2"/>
      <c r="Y37" s="2"/>
    </row>
    <row r="38" spans="1:25">
      <c r="A38" s="2"/>
      <c r="B38" s="2"/>
      <c r="C38" s="2"/>
      <c r="D38" s="2"/>
      <c r="E38" s="2"/>
      <c r="F38" s="2"/>
      <c r="G38" s="2"/>
      <c r="H38" s="2"/>
      <c r="I38" s="2"/>
      <c r="J38" s="2"/>
      <c r="K38" s="2"/>
      <c r="L38" s="2"/>
      <c r="M38" s="2"/>
      <c r="N38" s="2"/>
      <c r="O38" s="2"/>
      <c r="P38" s="2"/>
      <c r="Q38" s="2"/>
      <c r="R38" s="2"/>
      <c r="S38" s="2"/>
      <c r="T38" s="2"/>
      <c r="U38" s="2"/>
      <c r="V38" s="2"/>
      <c r="W38" s="2"/>
      <c r="X38" s="2"/>
      <c r="Y38" s="2"/>
    </row>
    <row r="39" spans="1:25">
      <c r="A39" s="2"/>
      <c r="B39" s="2" t="s">
        <v>3215</v>
      </c>
      <c r="C39" s="2"/>
      <c r="D39" s="2"/>
      <c r="E39" s="2"/>
      <c r="F39" s="2"/>
      <c r="G39" s="2"/>
      <c r="H39" s="2"/>
      <c r="I39" s="2"/>
      <c r="J39" s="2"/>
      <c r="K39" s="2"/>
      <c r="L39" s="2"/>
      <c r="M39" s="2"/>
      <c r="N39" s="2"/>
      <c r="O39" s="2"/>
      <c r="P39" s="2"/>
      <c r="Q39" s="2"/>
      <c r="R39" s="2"/>
      <c r="S39" s="2"/>
      <c r="T39" s="2"/>
      <c r="U39" s="2"/>
      <c r="V39" s="2"/>
      <c r="W39" s="2"/>
      <c r="X39" s="2"/>
      <c r="Y39" s="2"/>
    </row>
    <row r="40" spans="1:25">
      <c r="A40" s="2"/>
      <c r="B40" s="2"/>
      <c r="C40" s="2" t="s">
        <v>3216</v>
      </c>
      <c r="D40" s="2"/>
      <c r="E40" s="2"/>
      <c r="F40" s="2"/>
      <c r="G40" s="2"/>
      <c r="H40" s="2"/>
      <c r="I40" s="2"/>
      <c r="J40" s="2"/>
      <c r="K40" s="2"/>
      <c r="L40" s="2"/>
      <c r="M40" s="2"/>
      <c r="N40" s="2"/>
      <c r="O40" s="2"/>
      <c r="P40" s="2"/>
      <c r="Q40" s="2"/>
      <c r="R40" s="2"/>
      <c r="S40" s="2"/>
      <c r="T40" s="2"/>
      <c r="U40" s="2"/>
      <c r="V40" s="2"/>
      <c r="W40" s="2"/>
      <c r="X40" s="2"/>
      <c r="Y40" s="2"/>
    </row>
    <row r="41" spans="1:25">
      <c r="A41" s="2"/>
      <c r="B41" s="2"/>
      <c r="C41" s="3" t="s">
        <v>3074</v>
      </c>
      <c r="D41" s="1058">
        <v>25000</v>
      </c>
      <c r="E41" s="1058"/>
      <c r="F41" s="2" t="s">
        <v>3217</v>
      </c>
      <c r="G41" s="2"/>
      <c r="H41" s="2"/>
      <c r="I41" s="2"/>
      <c r="J41" s="2"/>
      <c r="K41" s="2"/>
      <c r="L41" s="2"/>
      <c r="M41" s="2"/>
      <c r="N41" s="2"/>
      <c r="O41" s="2"/>
      <c r="P41" s="2"/>
      <c r="Q41" s="2"/>
      <c r="R41" s="2"/>
      <c r="S41" s="2"/>
      <c r="T41" s="2"/>
      <c r="U41" s="2"/>
      <c r="V41" s="2"/>
      <c r="W41" s="2"/>
      <c r="X41" s="2"/>
      <c r="Y41" s="2"/>
    </row>
    <row r="42" spans="1:25">
      <c r="A42" s="2"/>
      <c r="B42" s="2"/>
      <c r="C42" s="2"/>
      <c r="D42" s="2"/>
      <c r="E42" s="2"/>
      <c r="F42" s="2"/>
      <c r="G42" s="2"/>
      <c r="H42" s="2"/>
      <c r="I42" s="2"/>
      <c r="J42" s="2"/>
      <c r="K42" s="2"/>
      <c r="L42" s="2"/>
      <c r="M42" s="2"/>
      <c r="N42" s="2"/>
      <c r="O42" s="2"/>
      <c r="P42" s="2"/>
      <c r="Q42" s="2"/>
      <c r="R42" s="2"/>
      <c r="S42" s="2"/>
      <c r="T42" s="2"/>
      <c r="U42" s="2"/>
      <c r="V42" s="2"/>
      <c r="W42" s="2"/>
      <c r="X42" s="2"/>
      <c r="Y42" s="2"/>
    </row>
    <row r="43" spans="1:25">
      <c r="A43" s="2"/>
      <c r="B43" s="2" t="s">
        <v>3218</v>
      </c>
      <c r="C43" s="2"/>
      <c r="D43" s="2"/>
      <c r="E43" s="2"/>
      <c r="F43" s="2"/>
      <c r="G43" s="2"/>
      <c r="H43" s="2"/>
      <c r="I43" s="2"/>
      <c r="J43" s="2"/>
      <c r="K43" s="2"/>
      <c r="L43" s="2"/>
      <c r="M43" s="2"/>
      <c r="N43" s="2"/>
      <c r="O43" s="2"/>
      <c r="P43" s="2"/>
      <c r="Q43" s="2"/>
      <c r="R43" s="2"/>
      <c r="S43" s="2"/>
      <c r="T43" s="2"/>
      <c r="U43" s="2"/>
      <c r="V43" s="2"/>
      <c r="W43" s="2"/>
      <c r="X43" s="2"/>
      <c r="Y43" s="2"/>
    </row>
    <row r="44" spans="1:25">
      <c r="A44" s="2"/>
      <c r="B44" s="2"/>
      <c r="C44" s="2" t="s">
        <v>3219</v>
      </c>
      <c r="D44" s="2"/>
      <c r="E44" s="2"/>
      <c r="F44" s="2"/>
      <c r="G44" s="2"/>
      <c r="H44" s="2"/>
      <c r="I44" s="2"/>
      <c r="J44" s="2"/>
      <c r="K44" s="2"/>
      <c r="L44" s="2"/>
      <c r="M44" s="2"/>
      <c r="N44" s="2"/>
      <c r="O44" s="2"/>
      <c r="P44" s="2"/>
      <c r="Q44" s="2"/>
      <c r="R44" s="2"/>
      <c r="S44" s="2"/>
      <c r="T44" s="2"/>
      <c r="U44" s="2"/>
      <c r="V44" s="2"/>
      <c r="W44" s="2"/>
      <c r="X44" s="2"/>
      <c r="Y44" s="2"/>
    </row>
    <row r="45" spans="1:25">
      <c r="A45" s="2"/>
      <c r="B45" s="2"/>
      <c r="C45" s="3" t="s">
        <v>3074</v>
      </c>
      <c r="D45" s="1058">
        <v>10000</v>
      </c>
      <c r="E45" s="1058"/>
      <c r="F45" s="2" t="s">
        <v>3094</v>
      </c>
      <c r="G45" s="2"/>
      <c r="H45" s="2"/>
      <c r="I45" s="2"/>
      <c r="J45" s="2"/>
      <c r="K45" s="2"/>
      <c r="L45" s="2"/>
      <c r="M45" s="2"/>
      <c r="N45" s="2"/>
      <c r="O45" s="2"/>
      <c r="P45" s="2"/>
      <c r="Q45" s="2"/>
      <c r="R45" s="2"/>
      <c r="S45" s="2"/>
      <c r="T45" s="2"/>
      <c r="U45" s="2"/>
      <c r="V45" s="2"/>
      <c r="W45" s="2"/>
      <c r="X45" s="2"/>
      <c r="Y45" s="2"/>
    </row>
    <row r="46" spans="1:25">
      <c r="A46" s="2"/>
      <c r="B46" s="2"/>
      <c r="C46" s="2"/>
      <c r="D46" s="2"/>
      <c r="E46" s="2"/>
      <c r="F46" s="2"/>
      <c r="G46" s="2"/>
      <c r="H46" s="2"/>
      <c r="I46" s="2"/>
      <c r="J46" s="2"/>
      <c r="K46" s="2"/>
      <c r="L46" s="2"/>
      <c r="M46" s="2"/>
      <c r="N46" s="2"/>
      <c r="O46" s="2"/>
      <c r="P46" s="2"/>
      <c r="Q46" s="2"/>
      <c r="R46" s="2"/>
      <c r="S46" s="2"/>
      <c r="T46" s="2"/>
      <c r="U46" s="2"/>
      <c r="V46" s="2"/>
      <c r="W46" s="2"/>
      <c r="X46" s="2"/>
      <c r="Y46" s="2"/>
    </row>
    <row r="47" spans="1:25">
      <c r="A47" s="2"/>
      <c r="B47" s="2" t="s">
        <v>3220</v>
      </c>
      <c r="C47" s="2"/>
      <c r="D47" s="2"/>
      <c r="E47" s="2"/>
      <c r="F47" s="2"/>
      <c r="G47" s="2"/>
      <c r="H47" s="2"/>
      <c r="I47" s="2"/>
      <c r="J47" s="2"/>
      <c r="K47" s="2"/>
      <c r="L47" s="2"/>
      <c r="M47" s="2"/>
      <c r="N47" s="2"/>
      <c r="O47" s="2"/>
      <c r="P47" s="2"/>
      <c r="Q47" s="2"/>
      <c r="R47" s="2"/>
      <c r="S47" s="2"/>
      <c r="T47" s="2"/>
      <c r="U47" s="2"/>
      <c r="V47" s="2"/>
      <c r="W47" s="2"/>
      <c r="X47" s="2"/>
      <c r="Y47" s="2"/>
    </row>
    <row r="48" spans="1:25" ht="14.25" customHeight="1">
      <c r="A48" s="2"/>
      <c r="B48" s="2"/>
      <c r="C48" s="995" t="s">
        <v>3221</v>
      </c>
      <c r="D48" s="995"/>
      <c r="E48" s="995"/>
      <c r="F48" s="995"/>
      <c r="G48" s="995"/>
      <c r="H48" s="995"/>
      <c r="I48" s="995"/>
      <c r="J48" s="995"/>
      <c r="K48" s="995"/>
      <c r="L48" s="995"/>
      <c r="M48" s="995"/>
      <c r="N48" s="995"/>
      <c r="O48" s="995"/>
      <c r="P48" s="995"/>
      <c r="Q48" s="2"/>
      <c r="R48" s="2"/>
      <c r="S48" s="2"/>
      <c r="T48" s="2"/>
      <c r="U48" s="2"/>
      <c r="V48" s="2"/>
      <c r="W48" s="2"/>
      <c r="X48" s="2"/>
      <c r="Y48" s="2"/>
    </row>
    <row r="49" spans="1:25">
      <c r="A49" s="2"/>
      <c r="B49" s="2"/>
      <c r="C49" s="995"/>
      <c r="D49" s="995"/>
      <c r="E49" s="995"/>
      <c r="F49" s="995"/>
      <c r="G49" s="995"/>
      <c r="H49" s="995"/>
      <c r="I49" s="995"/>
      <c r="J49" s="995"/>
      <c r="K49" s="995"/>
      <c r="L49" s="995"/>
      <c r="M49" s="995"/>
      <c r="N49" s="995"/>
      <c r="O49" s="995"/>
      <c r="P49" s="995"/>
      <c r="Q49" s="2"/>
      <c r="R49" s="2"/>
      <c r="S49" s="2"/>
      <c r="T49" s="2"/>
      <c r="U49" s="2"/>
      <c r="V49" s="2"/>
      <c r="W49" s="2"/>
      <c r="X49" s="2"/>
      <c r="Y49" s="2"/>
    </row>
    <row r="50" spans="1:25">
      <c r="A50" s="2"/>
      <c r="B50" s="2"/>
      <c r="C50" s="995"/>
      <c r="D50" s="995"/>
      <c r="E50" s="995"/>
      <c r="F50" s="995"/>
      <c r="G50" s="995"/>
      <c r="H50" s="995"/>
      <c r="I50" s="995"/>
      <c r="J50" s="995"/>
      <c r="K50" s="995"/>
      <c r="L50" s="995"/>
      <c r="M50" s="995"/>
      <c r="N50" s="995"/>
      <c r="O50" s="995"/>
      <c r="P50" s="995"/>
      <c r="Q50" s="2"/>
      <c r="R50" s="2"/>
      <c r="S50" s="2"/>
      <c r="T50" s="2"/>
      <c r="U50" s="2"/>
      <c r="V50" s="2"/>
      <c r="W50" s="2"/>
      <c r="X50" s="2"/>
      <c r="Y50" s="2"/>
    </row>
    <row r="51" spans="1:25">
      <c r="A51" s="2"/>
      <c r="B51" s="2"/>
      <c r="C51" s="3" t="s">
        <v>3074</v>
      </c>
      <c r="D51" s="1058">
        <v>250000</v>
      </c>
      <c r="E51" s="1058"/>
      <c r="F51" s="2" t="s">
        <v>3222</v>
      </c>
      <c r="G51" s="2"/>
      <c r="H51" s="2"/>
      <c r="I51" s="2"/>
      <c r="J51" s="2"/>
      <c r="K51" s="2"/>
      <c r="L51" s="2"/>
      <c r="M51" s="2"/>
      <c r="N51" s="2"/>
      <c r="O51" s="2"/>
      <c r="P51" s="2"/>
      <c r="Q51" s="2"/>
      <c r="R51" s="2"/>
      <c r="S51" s="2"/>
      <c r="T51" s="2"/>
      <c r="U51" s="2"/>
      <c r="V51" s="2"/>
      <c r="W51" s="2"/>
      <c r="X51" s="2"/>
      <c r="Y51" s="2"/>
    </row>
    <row r="52" spans="1:25">
      <c r="A52" s="2"/>
      <c r="B52" s="2"/>
      <c r="C52" s="2"/>
      <c r="D52" s="2"/>
      <c r="E52" s="2"/>
      <c r="F52" s="2"/>
      <c r="G52" s="2"/>
      <c r="H52" s="2"/>
      <c r="I52" s="2"/>
      <c r="J52" s="2"/>
      <c r="K52" s="2"/>
      <c r="L52" s="2"/>
      <c r="M52" s="2"/>
      <c r="N52" s="2"/>
      <c r="O52" s="2"/>
      <c r="P52" s="2"/>
      <c r="Q52" s="2"/>
      <c r="R52" s="2"/>
      <c r="S52" s="2"/>
      <c r="T52" s="2"/>
      <c r="U52" s="2"/>
      <c r="V52" s="2"/>
      <c r="W52" s="2"/>
      <c r="X52" s="2"/>
      <c r="Y52" s="2"/>
    </row>
    <row r="53" spans="1:25">
      <c r="A53" s="2"/>
      <c r="B53" s="2" t="s">
        <v>3223</v>
      </c>
      <c r="C53" s="2"/>
      <c r="D53" s="2"/>
      <c r="E53" s="2"/>
      <c r="F53" s="2"/>
      <c r="G53" s="2"/>
      <c r="H53" s="2"/>
      <c r="I53" s="2"/>
      <c r="J53" s="2"/>
      <c r="K53" s="2"/>
      <c r="L53" s="2"/>
      <c r="M53" s="2"/>
      <c r="N53" s="2"/>
      <c r="O53" s="2"/>
      <c r="P53" s="2"/>
      <c r="Q53" s="2"/>
      <c r="R53" s="2"/>
      <c r="S53" s="2"/>
      <c r="T53" s="2"/>
      <c r="U53" s="2"/>
      <c r="V53" s="2"/>
      <c r="W53" s="2"/>
      <c r="X53" s="2"/>
      <c r="Y53" s="2"/>
    </row>
    <row r="54" spans="1:25">
      <c r="A54" s="2"/>
      <c r="B54" s="2"/>
      <c r="C54" s="2" t="s">
        <v>3224</v>
      </c>
      <c r="D54" s="2"/>
      <c r="E54" s="2"/>
      <c r="F54" s="2"/>
      <c r="G54" s="2"/>
      <c r="H54" s="2"/>
      <c r="I54" s="2"/>
      <c r="J54" s="2"/>
      <c r="K54" s="2"/>
      <c r="L54" s="2"/>
      <c r="M54" s="2"/>
      <c r="N54" s="2"/>
      <c r="O54" s="2"/>
      <c r="P54" s="2"/>
      <c r="Q54" s="2"/>
      <c r="R54" s="2"/>
      <c r="S54" s="2"/>
      <c r="T54" s="2"/>
      <c r="U54" s="2"/>
      <c r="V54" s="2"/>
      <c r="W54" s="2"/>
      <c r="X54" s="2"/>
      <c r="Y54" s="2"/>
    </row>
    <row r="55" spans="1:25">
      <c r="A55" s="2"/>
      <c r="B55" s="2"/>
      <c r="C55" s="3" t="s">
        <v>3074</v>
      </c>
      <c r="D55" s="1058">
        <v>2500</v>
      </c>
      <c r="E55" s="1058"/>
      <c r="F55" s="2" t="s">
        <v>3225</v>
      </c>
      <c r="G55" s="2"/>
      <c r="H55" s="1058">
        <v>25000</v>
      </c>
      <c r="I55" s="1058"/>
      <c r="J55" s="2" t="s">
        <v>3186</v>
      </c>
      <c r="K55" s="2"/>
      <c r="L55" s="2"/>
      <c r="M55" s="2"/>
      <c r="N55" s="2"/>
      <c r="O55" s="2"/>
      <c r="P55" s="2"/>
      <c r="Q55" s="2"/>
      <c r="R55" s="2"/>
      <c r="S55" s="2"/>
      <c r="T55" s="2"/>
      <c r="U55" s="2"/>
      <c r="V55" s="2"/>
      <c r="W55" s="2"/>
      <c r="X55" s="2"/>
      <c r="Y55" s="2"/>
    </row>
    <row r="56" spans="1:25">
      <c r="A56" s="2"/>
      <c r="B56" s="2"/>
      <c r="C56" s="2"/>
      <c r="D56" s="2"/>
      <c r="E56" s="2"/>
      <c r="F56" s="2"/>
      <c r="G56" s="2"/>
      <c r="H56" s="2"/>
      <c r="I56" s="2"/>
      <c r="J56" s="2"/>
      <c r="K56" s="2"/>
      <c r="L56" s="2"/>
      <c r="M56" s="2"/>
      <c r="N56" s="2"/>
      <c r="O56" s="2"/>
      <c r="P56" s="2"/>
      <c r="Q56" s="2"/>
      <c r="R56" s="2"/>
      <c r="S56" s="2"/>
      <c r="T56" s="2"/>
      <c r="U56" s="2"/>
      <c r="V56" s="2"/>
      <c r="W56" s="2"/>
      <c r="X56" s="2"/>
      <c r="Y56" s="2"/>
    </row>
    <row r="57" spans="1:25" hidden="1">
      <c r="S57" s="2"/>
      <c r="T57" s="2"/>
      <c r="U57" s="2"/>
      <c r="V57" s="2"/>
      <c r="W57" s="2"/>
      <c r="X57" s="2"/>
      <c r="Y57" s="2"/>
    </row>
    <row r="58" spans="1:25" hidden="1">
      <c r="S58" s="2"/>
      <c r="T58" s="2"/>
      <c r="U58" s="2"/>
      <c r="V58" s="2"/>
      <c r="W58" s="2"/>
      <c r="X58" s="2"/>
      <c r="Y58" s="2"/>
    </row>
    <row r="59" spans="1:25" hidden="1">
      <c r="S59" s="2"/>
      <c r="T59" s="2"/>
      <c r="U59" s="2"/>
      <c r="V59" s="2"/>
      <c r="W59" s="2"/>
      <c r="X59" s="2"/>
      <c r="Y59" s="2"/>
    </row>
    <row r="60" spans="1:25" hidden="1">
      <c r="S60" s="2"/>
      <c r="T60" s="2"/>
      <c r="U60" s="2"/>
      <c r="V60" s="2"/>
      <c r="W60" s="2"/>
      <c r="X60" s="2"/>
      <c r="Y60" s="2"/>
    </row>
    <row r="61" spans="1:25" hidden="1">
      <c r="S61" s="2"/>
      <c r="T61" s="2"/>
      <c r="U61" s="2"/>
      <c r="V61" s="2"/>
      <c r="W61" s="2"/>
      <c r="X61" s="2"/>
      <c r="Y61" s="2"/>
    </row>
    <row r="62" spans="1:25" hidden="1">
      <c r="S62" s="2"/>
      <c r="T62" s="2"/>
      <c r="U62" s="2"/>
      <c r="V62" s="2"/>
      <c r="W62" s="2"/>
      <c r="X62" s="2"/>
      <c r="Y62" s="2"/>
    </row>
    <row r="63" spans="1:25" hidden="1">
      <c r="S63" s="2"/>
      <c r="T63" s="2"/>
      <c r="U63" s="2"/>
      <c r="V63" s="2"/>
      <c r="W63" s="2"/>
      <c r="X63" s="2"/>
      <c r="Y63" s="2"/>
    </row>
    <row r="64" spans="1:25" hidden="1">
      <c r="S64" s="2"/>
      <c r="T64" s="2"/>
      <c r="U64" s="2"/>
      <c r="V64" s="2"/>
      <c r="W64" s="2"/>
      <c r="X64" s="2"/>
      <c r="Y64" s="2"/>
    </row>
    <row r="65" spans="19:25" hidden="1">
      <c r="S65" s="2"/>
      <c r="T65" s="2"/>
      <c r="U65" s="2"/>
      <c r="V65" s="2"/>
      <c r="W65" s="2"/>
      <c r="X65" s="2"/>
      <c r="Y65" s="2"/>
    </row>
    <row r="66" spans="19:25" hidden="1">
      <c r="S66" s="2"/>
      <c r="T66" s="2"/>
      <c r="U66" s="2"/>
      <c r="V66" s="2"/>
      <c r="W66" s="2"/>
      <c r="X66" s="2"/>
      <c r="Y66" s="2"/>
    </row>
    <row r="67" spans="19:25" hidden="1">
      <c r="S67" s="2"/>
      <c r="T67" s="2"/>
      <c r="U67" s="2"/>
      <c r="V67" s="2"/>
      <c r="W67" s="2"/>
      <c r="X67" s="2"/>
      <c r="Y67" s="2"/>
    </row>
    <row r="68" spans="19:25" hidden="1">
      <c r="S68" s="2"/>
      <c r="T68" s="2"/>
      <c r="U68" s="2"/>
      <c r="V68" s="2"/>
      <c r="W68" s="2"/>
      <c r="X68" s="2"/>
      <c r="Y68" s="2"/>
    </row>
    <row r="69" spans="19:25" hidden="1">
      <c r="S69" s="2"/>
      <c r="T69" s="2"/>
      <c r="U69" s="2"/>
      <c r="V69" s="2"/>
      <c r="W69" s="2"/>
      <c r="X69" s="2"/>
      <c r="Y69" s="2"/>
    </row>
    <row r="70" spans="19:25" hidden="1">
      <c r="S70" s="2"/>
      <c r="T70" s="2"/>
      <c r="U70" s="2"/>
      <c r="V70" s="2"/>
      <c r="W70" s="2"/>
      <c r="X70" s="2"/>
      <c r="Y70" s="2"/>
    </row>
    <row r="71" spans="19:25" hidden="1">
      <c r="S71" s="2"/>
      <c r="T71" s="2"/>
      <c r="U71" s="2"/>
      <c r="V71" s="2"/>
      <c r="W71" s="2"/>
      <c r="X71" s="2"/>
      <c r="Y71" s="2"/>
    </row>
    <row r="72" spans="19:25" hidden="1">
      <c r="S72" s="2"/>
      <c r="T72" s="2"/>
      <c r="U72" s="2"/>
      <c r="V72" s="2"/>
      <c r="W72" s="2"/>
      <c r="X72" s="2"/>
      <c r="Y72" s="2"/>
    </row>
    <row r="73" spans="19:25" hidden="1">
      <c r="S73" s="2"/>
      <c r="T73" s="2"/>
      <c r="U73" s="2"/>
      <c r="V73" s="2"/>
      <c r="W73" s="2"/>
      <c r="X73" s="2"/>
      <c r="Y73" s="2"/>
    </row>
    <row r="74" spans="19:25" hidden="1">
      <c r="S74" s="2"/>
      <c r="T74" s="2"/>
      <c r="U74" s="2"/>
      <c r="V74" s="2"/>
      <c r="W74" s="2"/>
      <c r="X74" s="2"/>
      <c r="Y74" s="2"/>
    </row>
    <row r="75" spans="19:25" hidden="1">
      <c r="S75" s="2"/>
      <c r="T75" s="2"/>
      <c r="U75" s="2"/>
      <c r="V75" s="2"/>
      <c r="W75" s="2"/>
      <c r="X75" s="2"/>
      <c r="Y75" s="2"/>
    </row>
    <row r="76" spans="19:25" hidden="1">
      <c r="S76" s="2"/>
      <c r="T76" s="2"/>
      <c r="U76" s="2"/>
      <c r="V76" s="2"/>
      <c r="W76" s="2"/>
      <c r="X76" s="2"/>
      <c r="Y76" s="2"/>
    </row>
    <row r="77" spans="19:25" hidden="1">
      <c r="S77" s="2"/>
      <c r="T77" s="2"/>
      <c r="U77" s="2"/>
      <c r="V77" s="2"/>
      <c r="W77" s="2"/>
      <c r="X77" s="2"/>
      <c r="Y77" s="2"/>
    </row>
    <row r="78" spans="19:25" hidden="1">
      <c r="S78" s="2"/>
      <c r="T78" s="2"/>
      <c r="U78" s="2"/>
      <c r="V78" s="2"/>
      <c r="W78" s="2"/>
      <c r="X78" s="2"/>
      <c r="Y78" s="2"/>
    </row>
    <row r="79" spans="19:25" hidden="1">
      <c r="S79" s="2"/>
      <c r="T79" s="2"/>
      <c r="U79" s="2"/>
      <c r="V79" s="2"/>
      <c r="W79" s="2"/>
      <c r="X79" s="2"/>
      <c r="Y79" s="2"/>
    </row>
    <row r="80" spans="19:25" hidden="1">
      <c r="S80" s="2"/>
      <c r="T80" s="2"/>
      <c r="U80" s="2"/>
      <c r="V80" s="2"/>
      <c r="W80" s="2"/>
      <c r="X80" s="2"/>
      <c r="Y80" s="2"/>
    </row>
    <row r="81" spans="19:25" hidden="1">
      <c r="S81" s="2"/>
      <c r="T81" s="2"/>
      <c r="U81" s="2"/>
      <c r="V81" s="2"/>
      <c r="W81" s="2"/>
      <c r="X81" s="2"/>
      <c r="Y81" s="2"/>
    </row>
    <row r="82" spans="19:25" hidden="1">
      <c r="S82" s="2"/>
      <c r="T82" s="2"/>
      <c r="U82" s="2"/>
      <c r="V82" s="2"/>
      <c r="W82" s="2"/>
      <c r="X82" s="2"/>
      <c r="Y82" s="2"/>
    </row>
    <row r="83" spans="19:25" hidden="1">
      <c r="S83" s="2"/>
      <c r="T83" s="2"/>
      <c r="U83" s="2"/>
      <c r="V83" s="2"/>
      <c r="W83" s="2"/>
      <c r="X83" s="2"/>
      <c r="Y83" s="2"/>
    </row>
    <row r="84" spans="19:25" hidden="1">
      <c r="S84" s="2"/>
      <c r="T84" s="2"/>
      <c r="U84" s="2"/>
      <c r="V84" s="2"/>
      <c r="W84" s="2"/>
      <c r="X84" s="2"/>
      <c r="Y84" s="2"/>
    </row>
    <row r="85" spans="19:25" hidden="1">
      <c r="S85" s="2"/>
      <c r="T85" s="2"/>
      <c r="U85" s="2"/>
      <c r="V85" s="2"/>
      <c r="W85" s="2"/>
      <c r="X85" s="2"/>
      <c r="Y85" s="2"/>
    </row>
    <row r="86" spans="19:25" hidden="1">
      <c r="S86" s="2"/>
      <c r="T86" s="2"/>
      <c r="U86" s="2"/>
      <c r="V86" s="2"/>
      <c r="W86" s="2"/>
      <c r="X86" s="2"/>
      <c r="Y86" s="2"/>
    </row>
    <row r="87" spans="19:25" hidden="1">
      <c r="S87" s="2"/>
      <c r="T87" s="2"/>
      <c r="U87" s="2"/>
      <c r="V87" s="2"/>
      <c r="W87" s="2"/>
      <c r="X87" s="2"/>
      <c r="Y87" s="2"/>
    </row>
    <row r="88" spans="19:25" hidden="1">
      <c r="S88" s="2"/>
      <c r="T88" s="2"/>
      <c r="U88" s="2"/>
      <c r="V88" s="2"/>
      <c r="W88" s="2"/>
      <c r="X88" s="2"/>
      <c r="Y88" s="2"/>
    </row>
    <row r="89" spans="19:25" hidden="1">
      <c r="S89" s="2"/>
      <c r="T89" s="2"/>
      <c r="U89" s="2"/>
      <c r="V89" s="2"/>
      <c r="W89" s="2"/>
      <c r="X89" s="2"/>
      <c r="Y89" s="2"/>
    </row>
    <row r="90" spans="19:25" hidden="1">
      <c r="S90" s="2"/>
      <c r="T90" s="2"/>
      <c r="U90" s="2"/>
      <c r="V90" s="2"/>
      <c r="W90" s="2"/>
      <c r="X90" s="2"/>
      <c r="Y90" s="2"/>
    </row>
    <row r="91" spans="19:25" hidden="1">
      <c r="S91" s="2"/>
      <c r="T91" s="2"/>
      <c r="U91" s="2"/>
      <c r="V91" s="2"/>
      <c r="W91" s="2"/>
      <c r="X91" s="2"/>
      <c r="Y91" s="2"/>
    </row>
    <row r="92" spans="19:25" hidden="1">
      <c r="S92" s="2"/>
      <c r="T92" s="2"/>
      <c r="U92" s="2"/>
      <c r="V92" s="2"/>
      <c r="W92" s="2"/>
      <c r="X92" s="2"/>
      <c r="Y92" s="2"/>
    </row>
    <row r="93" spans="19:25" hidden="1">
      <c r="S93" s="2"/>
      <c r="T93" s="2"/>
      <c r="U93" s="2"/>
      <c r="V93" s="2"/>
      <c r="W93" s="2"/>
      <c r="X93" s="2"/>
      <c r="Y93" s="2"/>
    </row>
    <row r="94" spans="19:25" hidden="1">
      <c r="S94" s="2"/>
      <c r="T94" s="2"/>
      <c r="U94" s="2"/>
      <c r="V94" s="2"/>
      <c r="W94" s="2"/>
      <c r="X94" s="2"/>
      <c r="Y94" s="2"/>
    </row>
    <row r="95" spans="19:25" hidden="1">
      <c r="S95" s="2"/>
      <c r="T95" s="2"/>
      <c r="U95" s="2"/>
      <c r="V95" s="2"/>
      <c r="W95" s="2"/>
      <c r="X95" s="2"/>
      <c r="Y95" s="2"/>
    </row>
    <row r="96" spans="19:25" hidden="1">
      <c r="S96" s="2"/>
      <c r="T96" s="2"/>
      <c r="U96" s="2"/>
      <c r="V96" s="2"/>
      <c r="W96" s="2"/>
      <c r="X96" s="2"/>
      <c r="Y96" s="2"/>
    </row>
    <row r="97" spans="19:25" hidden="1">
      <c r="S97" s="2"/>
      <c r="T97" s="2"/>
      <c r="U97" s="2"/>
      <c r="V97" s="2"/>
      <c r="W97" s="2"/>
      <c r="X97" s="2"/>
      <c r="Y97" s="2"/>
    </row>
    <row r="98" spans="19:25" hidden="1">
      <c r="S98" s="2"/>
      <c r="T98" s="2"/>
      <c r="U98" s="2"/>
      <c r="V98" s="2"/>
      <c r="W98" s="2"/>
      <c r="X98" s="2"/>
      <c r="Y98" s="2"/>
    </row>
    <row r="99" spans="19:25" hidden="1">
      <c r="S99" s="2"/>
      <c r="T99" s="2"/>
      <c r="U99" s="2"/>
      <c r="V99" s="2"/>
      <c r="W99" s="2"/>
      <c r="X99" s="2"/>
      <c r="Y99" s="2"/>
    </row>
    <row r="100" spans="19:25" hidden="1">
      <c r="S100" s="2"/>
      <c r="T100" s="2"/>
      <c r="U100" s="2"/>
      <c r="V100" s="2"/>
      <c r="W100" s="2"/>
      <c r="X100" s="2"/>
      <c r="Y100" s="2"/>
    </row>
    <row r="101" spans="19:25" hidden="1">
      <c r="S101" s="2"/>
      <c r="T101" s="2"/>
      <c r="U101" s="2"/>
      <c r="V101" s="2"/>
      <c r="W101" s="2"/>
      <c r="X101" s="2"/>
      <c r="Y101" s="2"/>
    </row>
    <row r="102" spans="19:25" hidden="1">
      <c r="S102" s="2"/>
      <c r="T102" s="2"/>
      <c r="U102" s="2"/>
      <c r="V102" s="2"/>
      <c r="W102" s="2"/>
      <c r="X102" s="2"/>
      <c r="Y102" s="2"/>
    </row>
    <row r="103" spans="19:25" hidden="1">
      <c r="S103" s="2"/>
      <c r="T103" s="2"/>
      <c r="U103" s="2"/>
      <c r="V103" s="2"/>
      <c r="W103" s="2"/>
      <c r="X103" s="2"/>
      <c r="Y103" s="2"/>
    </row>
    <row r="104" spans="19:25" hidden="1">
      <c r="S104" s="2"/>
      <c r="T104" s="2"/>
      <c r="U104" s="2"/>
      <c r="V104" s="2"/>
      <c r="W104" s="2"/>
      <c r="X104" s="2"/>
      <c r="Y104" s="2"/>
    </row>
    <row r="105" spans="19:25" hidden="1">
      <c r="S105" s="2"/>
      <c r="T105" s="2"/>
      <c r="U105" s="2"/>
      <c r="V105" s="2"/>
      <c r="W105" s="2"/>
      <c r="X105" s="2"/>
      <c r="Y105" s="2"/>
    </row>
    <row r="106" spans="19:25" hidden="1">
      <c r="S106" s="2"/>
      <c r="T106" s="2"/>
      <c r="U106" s="2"/>
      <c r="V106" s="2"/>
      <c r="W106" s="2"/>
      <c r="X106" s="2"/>
      <c r="Y106" s="2"/>
    </row>
    <row r="107" spans="19:25" hidden="1">
      <c r="S107" s="2"/>
      <c r="T107" s="2"/>
      <c r="U107" s="2"/>
      <c r="V107" s="2"/>
      <c r="W107" s="2"/>
      <c r="X107" s="2"/>
      <c r="Y107" s="2"/>
    </row>
  </sheetData>
  <sheetProtection algorithmName="SHA-512" hashValue="jE/iol1uOHCmYKya8UVVovIYqmv5Vn8MDe61+hqOT90rX9YljnrLAE9WZFo+V4xYMy8IaCe2o0iXJr4CMgAA+Q==" saltValue="jKUKT5K+Gp90oDbedhkQkA==" spinCount="100000" sheet="1" selectLockedCells="1"/>
  <mergeCells count="26">
    <mergeCell ref="A1:Y3"/>
    <mergeCell ref="B5:D5"/>
    <mergeCell ref="K8:L8"/>
    <mergeCell ref="I11:J11"/>
    <mergeCell ref="C11:H11"/>
    <mergeCell ref="C12:F12"/>
    <mergeCell ref="H12:K12"/>
    <mergeCell ref="H15:I15"/>
    <mergeCell ref="M15:N15"/>
    <mergeCell ref="E16:F16"/>
    <mergeCell ref="C16:D16"/>
    <mergeCell ref="D19:E19"/>
    <mergeCell ref="D22:E22"/>
    <mergeCell ref="E24:F24"/>
    <mergeCell ref="E26:F26"/>
    <mergeCell ref="E28:F28"/>
    <mergeCell ref="F31:G31"/>
    <mergeCell ref="E34:F34"/>
    <mergeCell ref="I35:J35"/>
    <mergeCell ref="D51:E51"/>
    <mergeCell ref="D55:E55"/>
    <mergeCell ref="H55:I55"/>
    <mergeCell ref="D37:E37"/>
    <mergeCell ref="D41:E41"/>
    <mergeCell ref="D45:E45"/>
    <mergeCell ref="C48:P50"/>
  </mergeCells>
  <dataValidations count="8">
    <dataValidation type="list" allowBlank="1" showInputMessage="1" showErrorMessage="1" sqref="I11:J11 E16:F16 D22:E22 F31 D41:E41 D45:E45 H55:I55" xr:uid="{607C1848-2386-4660-A0C9-6DDDA9591F89}">
      <formula1>$AC$2:$AC$8</formula1>
    </dataValidation>
    <dataValidation type="list" allowBlank="1" showInputMessage="1" showErrorMessage="1" sqref="K8:L8 D19:E19" xr:uid="{0478692E-950A-4B5D-B524-10E2B752EE3E}">
      <formula1>$AA$2:$AA$8</formula1>
    </dataValidation>
    <dataValidation type="list" allowBlank="1" showInputMessage="1" showErrorMessage="1" sqref="G12" xr:uid="{864D6DBD-3B54-41E1-93C7-C2E4A0F8689E}">
      <formula1>$AA$2:$AA$5</formula1>
    </dataValidation>
    <dataValidation type="list" allowBlank="1" showInputMessage="1" showErrorMessage="1" sqref="H15:I15 M15:N15" xr:uid="{1CA92AF5-C501-4084-ADFD-AB15DFC4EC05}">
      <formula1>$AA$12:$AA$20</formula1>
    </dataValidation>
    <dataValidation type="list" allowBlank="1" showInputMessage="1" showErrorMessage="1" sqref="E24:F24 E26:F26 D55:E55" xr:uid="{B7D66ED3-21EE-4AA0-AF17-975EC3889488}">
      <formula1>$AD$2:$AD$7</formula1>
    </dataValidation>
    <dataValidation type="list" allowBlank="1" showInputMessage="1" showErrorMessage="1" sqref="E28:F28 D51:E51" xr:uid="{0F2CA9B7-1581-46A0-872D-E963E32E2F6A}">
      <formula1>$AA$3:$AA$10</formula1>
    </dataValidation>
    <dataValidation type="list" allowBlank="1" showInputMessage="1" showErrorMessage="1" sqref="E34:F34 I35:J35" xr:uid="{2A70FE2E-6F34-4335-BD6B-E4B4B3AD9218}">
      <formula1>$AA$2:$AA$3</formula1>
    </dataValidation>
    <dataValidation type="list" allowBlank="1" showInputMessage="1" showErrorMessage="1" sqref="D37:E37" xr:uid="{AEEEEA07-3599-4E59-8EDB-729B0131F750}">
      <formula1>$AD$3:$AD$7</formula1>
    </dataValidation>
  </dataValidations>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00B050"/>
  </sheetPr>
  <dimension ref="A1:DN163"/>
  <sheetViews>
    <sheetView showGridLines="0" workbookViewId="0">
      <selection activeCell="C3" sqref="C3"/>
    </sheetView>
  </sheetViews>
  <sheetFormatPr defaultColWidth="0" defaultRowHeight="14.25" zeroHeight="1"/>
  <cols>
    <col min="1" max="26" width="2.375" customWidth="1"/>
    <col min="27" max="27" width="4.875" customWidth="1"/>
    <col min="28" max="28" width="2.625" customWidth="1"/>
    <col min="29" max="33" width="4" customWidth="1"/>
    <col min="34" max="34" width="6.875" customWidth="1"/>
    <col min="35" max="35" width="8.375" customWidth="1"/>
    <col min="36" max="36" width="3" customWidth="1"/>
    <col min="37" max="37" width="5.625" customWidth="1"/>
    <col min="38" max="38" width="2.375" customWidth="1"/>
    <col min="39" max="39" width="7" customWidth="1"/>
    <col min="40" max="40" width="2.375" customWidth="1"/>
    <col min="41" max="41" width="6.5" customWidth="1"/>
    <col min="42" max="42" width="2.375" customWidth="1"/>
    <col min="43" max="43" width="6.625" customWidth="1"/>
    <col min="44" max="44" width="3.125" customWidth="1"/>
    <col min="45" max="49" width="5.125" customWidth="1"/>
    <col min="50" max="50" width="5" customWidth="1"/>
    <col min="51" max="74" width="6.125" hidden="1" customWidth="1"/>
    <col min="75" max="75" width="7" hidden="1" customWidth="1"/>
    <col min="76" max="76" width="10.5" hidden="1" customWidth="1"/>
    <col min="77" max="79" width="6.125" hidden="1" customWidth="1"/>
    <col min="80" max="80" width="10.5" hidden="1" customWidth="1"/>
    <col min="81" max="81" width="11.875" hidden="1" customWidth="1"/>
    <col min="82" max="82" width="10.5" hidden="1" customWidth="1"/>
    <col min="83" max="83" width="27.625" hidden="1" customWidth="1"/>
    <col min="84" max="88" width="10.5" hidden="1" customWidth="1"/>
    <col min="89" max="94" width="11.5" hidden="1" customWidth="1"/>
    <col min="95" max="95" width="18" hidden="1" customWidth="1"/>
    <col min="96" max="96" width="21.25" hidden="1" customWidth="1"/>
    <col min="97" max="116" width="6.125" hidden="1" customWidth="1"/>
    <col min="117" max="118" width="0" hidden="1" customWidth="1"/>
    <col min="119" max="16384" width="6.125" hidden="1"/>
  </cols>
  <sheetData>
    <row r="1" spans="1:118" ht="15.75" customHeight="1">
      <c r="A1" s="2"/>
      <c r="B1" s="2"/>
      <c r="C1" s="2"/>
      <c r="D1" s="2"/>
      <c r="E1" s="2"/>
      <c r="F1" s="2"/>
      <c r="G1" s="1151" t="s">
        <v>3226</v>
      </c>
      <c r="H1" s="1151"/>
      <c r="I1" s="1151"/>
      <c r="J1" s="1151"/>
      <c r="K1" s="1151"/>
      <c r="L1" s="1151"/>
      <c r="M1" s="1151"/>
      <c r="N1" s="1151"/>
      <c r="O1" s="1151"/>
      <c r="P1" s="1151"/>
      <c r="Q1" s="1151"/>
      <c r="R1" s="1151"/>
      <c r="S1" s="1151"/>
      <c r="T1" s="1151"/>
      <c r="U1" s="1151"/>
      <c r="V1" s="1151"/>
      <c r="W1" s="1151"/>
      <c r="X1" s="2"/>
      <c r="Y1" s="2"/>
      <c r="Z1" s="2"/>
      <c r="AA1" s="2"/>
      <c r="AB1" s="455"/>
      <c r="AC1" s="1166" t="s">
        <v>3227</v>
      </c>
      <c r="AD1" s="1166"/>
      <c r="AE1" s="1166"/>
      <c r="AF1" s="1166"/>
      <c r="AG1" s="1166"/>
      <c r="AH1" s="1166"/>
      <c r="AI1" s="1166"/>
      <c r="AJ1" s="1166"/>
      <c r="AK1" s="1166"/>
      <c r="AL1" s="1166"/>
      <c r="AM1" s="1166"/>
      <c r="AN1" s="1166"/>
      <c r="AO1" s="1166"/>
      <c r="AP1" s="1166"/>
      <c r="AQ1" s="1166"/>
      <c r="AR1" s="1166"/>
      <c r="AS1" s="1166"/>
      <c r="AT1" s="1166"/>
      <c r="AU1" s="1166"/>
      <c r="AV1" s="1166"/>
      <c r="AW1" s="1166"/>
      <c r="AX1" s="1166"/>
      <c r="AY1" s="462" t="s">
        <v>3242</v>
      </c>
    </row>
    <row r="2" spans="1:118" ht="15.75" customHeight="1">
      <c r="A2" s="2"/>
      <c r="B2" s="2"/>
      <c r="C2" s="2"/>
      <c r="D2" s="2"/>
      <c r="E2" s="2"/>
      <c r="F2" s="2"/>
      <c r="G2" s="1151"/>
      <c r="H2" s="1151"/>
      <c r="I2" s="1151"/>
      <c r="J2" s="1151"/>
      <c r="K2" s="1151"/>
      <c r="L2" s="1151"/>
      <c r="M2" s="1151"/>
      <c r="N2" s="1151"/>
      <c r="O2" s="1151"/>
      <c r="P2" s="1151"/>
      <c r="Q2" s="1151"/>
      <c r="R2" s="1151"/>
      <c r="S2" s="1151"/>
      <c r="T2" s="1151"/>
      <c r="U2" s="1151"/>
      <c r="V2" s="1151"/>
      <c r="W2" s="1151"/>
      <c r="X2" s="2"/>
      <c r="Y2" s="2"/>
      <c r="Z2" s="2"/>
      <c r="AA2" s="2"/>
      <c r="AB2" s="455"/>
      <c r="AC2" s="1166"/>
      <c r="AD2" s="1166"/>
      <c r="AE2" s="1166"/>
      <c r="AF2" s="1166"/>
      <c r="AG2" s="1166"/>
      <c r="AH2" s="1166"/>
      <c r="AI2" s="1166"/>
      <c r="AJ2" s="1166"/>
      <c r="AK2" s="1166"/>
      <c r="AL2" s="1166"/>
      <c r="AM2" s="1166"/>
      <c r="AN2" s="1166"/>
      <c r="AO2" s="1166"/>
      <c r="AP2" s="1166"/>
      <c r="AQ2" s="1166"/>
      <c r="AR2" s="1166"/>
      <c r="AS2" s="1166"/>
      <c r="AT2" s="1166"/>
      <c r="AU2" s="1166"/>
      <c r="AV2" s="1166"/>
      <c r="AW2" s="1166"/>
      <c r="AX2" s="1166"/>
      <c r="AY2" s="462" t="s">
        <v>2787</v>
      </c>
      <c r="BC2" t="str">
        <f>IF(AND(AE4&lt;&gt;AY1,AH6&gt;""),CONCATENATE(AH6," or"),IF(AND(AE4&lt;&gt;AY1,AH6=""),"",IF(AH6=""," NEED PILOT NAMME NO VALID COVERAGE",AH6)))</f>
        <v/>
      </c>
      <c r="BT2" t="s">
        <v>4044</v>
      </c>
      <c r="CB2" t="s">
        <v>4050</v>
      </c>
    </row>
    <row r="3" spans="1:118" ht="15.75">
      <c r="A3" s="2"/>
      <c r="B3" s="2"/>
      <c r="C3" s="314"/>
      <c r="D3" s="2" t="s">
        <v>3228</v>
      </c>
      <c r="E3" s="2"/>
      <c r="F3" s="2"/>
      <c r="G3" s="394"/>
      <c r="H3" s="394"/>
      <c r="I3" s="394"/>
      <c r="J3" s="394"/>
      <c r="K3" s="394"/>
      <c r="L3" s="394"/>
      <c r="M3" s="394"/>
      <c r="N3" s="394"/>
      <c r="O3" s="394"/>
      <c r="P3" s="394"/>
      <c r="Q3" s="394"/>
      <c r="R3" s="394"/>
      <c r="S3" s="314"/>
      <c r="T3" s="2" t="s">
        <v>3229</v>
      </c>
      <c r="U3" s="2"/>
      <c r="V3" s="394"/>
      <c r="W3" s="394"/>
      <c r="X3" s="2"/>
      <c r="Y3" s="2"/>
      <c r="Z3" s="2"/>
      <c r="AA3" s="2"/>
      <c r="AB3" s="455"/>
      <c r="AC3" s="2"/>
      <c r="AD3" s="2"/>
      <c r="AE3" s="1100" t="s">
        <v>3230</v>
      </c>
      <c r="AF3" s="1100"/>
      <c r="AG3" s="1100"/>
      <c r="AH3" s="1100"/>
      <c r="AI3" s="1100"/>
      <c r="AJ3" s="2"/>
      <c r="AK3" s="395" t="s">
        <v>4043</v>
      </c>
      <c r="AL3" s="2"/>
      <c r="AM3" s="395" t="s">
        <v>3231</v>
      </c>
      <c r="AN3" s="395"/>
      <c r="AO3" s="395" t="s">
        <v>3232</v>
      </c>
      <c r="AP3" s="395"/>
      <c r="AQ3" s="395" t="str">
        <f>IF(AE4=$AY$10,"RW-T",IF(AE4=$AY$2,"RG","ME"))</f>
        <v>ME</v>
      </c>
      <c r="AR3" s="395"/>
      <c r="AS3" s="395" t="s">
        <v>3233</v>
      </c>
      <c r="AT3" s="395"/>
      <c r="AU3" s="395"/>
      <c r="AV3" s="395"/>
      <c r="AW3" s="395"/>
      <c r="AX3" s="2"/>
      <c r="AY3" t="s">
        <v>4031</v>
      </c>
      <c r="BU3" s="387" t="s">
        <v>4043</v>
      </c>
      <c r="BV3" s="387" t="s">
        <v>3231</v>
      </c>
      <c r="BW3" s="387" t="s">
        <v>3540</v>
      </c>
      <c r="BX3" s="387" t="s">
        <v>4045</v>
      </c>
      <c r="BY3" s="387" t="s">
        <v>3233</v>
      </c>
      <c r="CA3">
        <v>1</v>
      </c>
      <c r="CB3" t="s">
        <v>4051</v>
      </c>
      <c r="CC3" t="s">
        <v>4052</v>
      </c>
      <c r="CD3" t="s">
        <v>4053</v>
      </c>
      <c r="CE3" t="s">
        <v>4054</v>
      </c>
      <c r="CF3" t="s">
        <v>4072</v>
      </c>
      <c r="CG3" t="s">
        <v>4055</v>
      </c>
      <c r="CH3" t="s">
        <v>3319</v>
      </c>
      <c r="CI3" t="s">
        <v>4071</v>
      </c>
      <c r="CJ3" t="s">
        <v>4043</v>
      </c>
      <c r="CK3" t="s">
        <v>4056</v>
      </c>
      <c r="CL3" t="s">
        <v>3231</v>
      </c>
      <c r="CM3" t="s">
        <v>4057</v>
      </c>
      <c r="CN3" t="s">
        <v>3540</v>
      </c>
      <c r="CO3" t="s">
        <v>4058</v>
      </c>
      <c r="CP3" t="s">
        <v>4046</v>
      </c>
      <c r="CQ3" t="s">
        <v>4059</v>
      </c>
      <c r="CR3" t="s">
        <v>3233</v>
      </c>
      <c r="CS3" t="s">
        <v>4060</v>
      </c>
      <c r="CT3" t="s">
        <v>4061</v>
      </c>
      <c r="CX3" s="1068" t="str">
        <f>CT18</f>
        <v/>
      </c>
      <c r="CY3" s="1068"/>
      <c r="CZ3" s="1068"/>
      <c r="DA3" s="1068"/>
      <c r="DB3" s="1068"/>
      <c r="DC3" s="1068"/>
      <c r="DD3" s="1068"/>
      <c r="DE3" s="1068"/>
      <c r="DF3" s="1068"/>
      <c r="DG3" s="1068"/>
      <c r="DH3" s="1068"/>
      <c r="DI3" s="1068"/>
      <c r="DJ3" s="1068"/>
      <c r="DK3" s="1068"/>
      <c r="DL3" s="1068"/>
      <c r="DM3" s="1068"/>
      <c r="DN3" s="1068"/>
    </row>
    <row r="4" spans="1:118" ht="15.75">
      <c r="A4" s="2"/>
      <c r="B4" s="2"/>
      <c r="C4" s="314"/>
      <c r="D4" s="2" t="s">
        <v>3236</v>
      </c>
      <c r="E4" s="2"/>
      <c r="F4" s="2"/>
      <c r="G4" s="394"/>
      <c r="H4" s="394"/>
      <c r="I4" s="394"/>
      <c r="J4" s="394"/>
      <c r="K4" s="394"/>
      <c r="L4" s="394"/>
      <c r="M4" s="394"/>
      <c r="N4" s="394"/>
      <c r="O4" s="394"/>
      <c r="P4" s="394"/>
      <c r="Q4" s="394"/>
      <c r="R4" s="394"/>
      <c r="S4" s="314"/>
      <c r="T4" s="2" t="s">
        <v>3237</v>
      </c>
      <c r="U4" s="2"/>
      <c r="V4" s="394"/>
      <c r="W4" s="394"/>
      <c r="X4" s="2"/>
      <c r="Y4" s="2"/>
      <c r="Z4" s="2"/>
      <c r="AA4" s="2"/>
      <c r="AB4" s="455"/>
      <c r="AC4" s="2"/>
      <c r="AD4" s="2">
        <v>1</v>
      </c>
      <c r="AE4" s="1078"/>
      <c r="AF4" s="1079"/>
      <c r="AG4" s="1079"/>
      <c r="AH4" s="1080"/>
      <c r="AI4" s="1081"/>
      <c r="AJ4" s="2"/>
      <c r="AK4" s="471" t="str">
        <f>IFERROR(VLOOKUP(MATCH($AE4,$AY$1:$AY$14,0),$BT$4:$BY$17,2),"")</f>
        <v/>
      </c>
      <c r="AL4" s="395"/>
      <c r="AM4" s="670" t="str">
        <f>IFERROR(VLOOKUP(MATCH($AE4,$AY$1:$AY$14,0),$BT$4:$BY$17,3),"")</f>
        <v/>
      </c>
      <c r="AN4" s="395"/>
      <c r="AO4" s="670" t="str">
        <f>IFERROR(VLOOKUP(MATCH($AE4,$AY$1:$AY$14,0),$BT$4:$BY$17,4),"")</f>
        <v/>
      </c>
      <c r="AP4" s="395"/>
      <c r="AQ4" s="670" t="str">
        <f>IFERROR(VLOOKUP(MATCH($AE4,$AY$1:$AY$14,0),$BT$4:$BY$17,5),"")</f>
        <v/>
      </c>
      <c r="AR4" s="395"/>
      <c r="AS4" s="671" t="str">
        <f>IFERROR(VLOOKUP(MATCH($AE4,$AY$1:$AY$14,0),$BT$4:$BY$17,6),"")</f>
        <v/>
      </c>
      <c r="AT4" s="2"/>
      <c r="AU4" s="2"/>
      <c r="AV4" s="2"/>
      <c r="AW4" s="2"/>
      <c r="AX4" s="2"/>
      <c r="AY4" t="s">
        <v>4032</v>
      </c>
      <c r="BT4">
        <v>1</v>
      </c>
      <c r="BU4" t="s">
        <v>4047</v>
      </c>
      <c r="CB4">
        <v>1</v>
      </c>
      <c r="CC4" t="s">
        <v>4049</v>
      </c>
      <c r="CE4" t="str">
        <f>IF($AH$5=""," Enter N# terms are not valid",Table2[[#This Row],[N'#s]])</f>
        <v xml:space="preserve"> Enter N# terms are not valid</v>
      </c>
      <c r="CF4" t="str">
        <f t="shared" ref="CF4:CF18" si="0">IF($AH$5="","",$AH$5)</f>
        <v/>
      </c>
      <c r="CG4" t="str">
        <f>IF(Table2[[#This Row],[Pilot]]="","","Named Pilots:")</f>
        <v/>
      </c>
      <c r="CH4" t="str">
        <f t="shared" ref="CH4:CH18" si="1">IF(AND($AE$4&lt;&gt;$AY$1,$AH$6&gt;""),CONCATENATE($AH$6," or"),IF(AND($AE$4&lt;&gt;$AY$1,$AH$6=""),"",IF($AH$6=""," NEED PILOT NAMME NO VALID COVERAGE",$AH$6)))</f>
        <v/>
      </c>
      <c r="CI4" t="s">
        <v>3242</v>
      </c>
      <c r="CJ4" t="str">
        <f t="shared" ref="CJ4:CJ18" si="2">IF($AK$4="Com","Commercial","ATP")</f>
        <v>ATP</v>
      </c>
      <c r="CT4" t="str">
        <f>CONCATENATE(Table2[[#This Row],[Column2]],Table2[[#This Row],[Column4]],CHAR(10),CHAR(10),Table2[[#This Row],[Column5]],Table2[[#This Row],[Pilot]],CHAR(10),Table2[[#This Row],[Start]])</f>
        <v>As Respects: Enter N# terms are not valid
Named Pilots Only</v>
      </c>
      <c r="CV4">
        <v>1</v>
      </c>
      <c r="CX4" s="1068"/>
      <c r="CY4" s="1068"/>
      <c r="CZ4" s="1068"/>
      <c r="DA4" s="1068"/>
      <c r="DB4" s="1068"/>
      <c r="DC4" s="1068"/>
      <c r="DD4" s="1068"/>
      <c r="DE4" s="1068"/>
      <c r="DF4" s="1068"/>
      <c r="DG4" s="1068"/>
      <c r="DH4" s="1068"/>
      <c r="DI4" s="1068"/>
      <c r="DJ4" s="1068"/>
      <c r="DK4" s="1068"/>
      <c r="DL4" s="1068"/>
      <c r="DM4" s="1068"/>
      <c r="DN4" s="1068"/>
    </row>
    <row r="5" spans="1:118" ht="15.75">
      <c r="A5" s="2"/>
      <c r="B5" s="2"/>
      <c r="C5" s="314"/>
      <c r="D5" s="2" t="s">
        <v>3239</v>
      </c>
      <c r="E5" s="2"/>
      <c r="F5" s="2"/>
      <c r="G5" s="394"/>
      <c r="H5" s="394"/>
      <c r="I5" s="394"/>
      <c r="J5" s="394"/>
      <c r="K5" s="394"/>
      <c r="L5" s="394"/>
      <c r="M5" s="394"/>
      <c r="N5" s="394"/>
      <c r="O5" s="394"/>
      <c r="P5" s="394"/>
      <c r="Q5" s="394"/>
      <c r="R5" s="394"/>
      <c r="S5" s="314"/>
      <c r="T5" s="2" t="s">
        <v>3240</v>
      </c>
      <c r="U5" s="2"/>
      <c r="V5" s="394"/>
      <c r="W5" s="394"/>
      <c r="X5" s="2"/>
      <c r="Y5" s="2"/>
      <c r="Z5" s="2"/>
      <c r="AA5" s="2"/>
      <c r="AB5" s="455"/>
      <c r="AC5" s="2"/>
      <c r="AD5" s="2"/>
      <c r="AE5" s="1082" t="s">
        <v>3241</v>
      </c>
      <c r="AF5" s="1082"/>
      <c r="AG5" s="1082"/>
      <c r="AH5" s="1084"/>
      <c r="AI5" s="1085"/>
      <c r="AJ5" s="1085"/>
      <c r="AK5" s="1085"/>
      <c r="AL5" s="1085"/>
      <c r="AM5" s="1085"/>
      <c r="AN5" s="1085"/>
      <c r="AO5" s="1085"/>
      <c r="AP5" s="1085"/>
      <c r="AQ5" s="1086"/>
      <c r="AR5" s="2"/>
      <c r="AS5" s="2"/>
      <c r="AT5" s="2"/>
      <c r="AU5" s="2"/>
      <c r="AV5" s="2"/>
      <c r="AW5" s="2"/>
      <c r="AX5" s="2"/>
      <c r="AY5" s="462" t="s">
        <v>4033</v>
      </c>
      <c r="BT5">
        <v>2</v>
      </c>
      <c r="BU5" t="s">
        <v>4047</v>
      </c>
      <c r="BV5">
        <v>2000</v>
      </c>
      <c r="BW5">
        <v>500</v>
      </c>
      <c r="BX5">
        <v>1000</v>
      </c>
      <c r="BY5">
        <v>100</v>
      </c>
      <c r="CB5">
        <v>2</v>
      </c>
      <c r="CC5" t="s">
        <v>4049</v>
      </c>
      <c r="CE5" t="str">
        <f>IF(Table2[[#This Row],[N'#s]]=""," Single Engine Turboprop Aircraft",Table2[[#This Row],[N'#s]])</f>
        <v xml:space="preserve"> Single Engine Turboprop Aircraft</v>
      </c>
      <c r="CF5" t="str">
        <f t="shared" si="0"/>
        <v/>
      </c>
      <c r="CG5" t="str">
        <f>IF(Table2[[#This Row],[Pilot]]="","","Named Pilots:")</f>
        <v/>
      </c>
      <c r="CH5" t="str">
        <f t="shared" si="1"/>
        <v/>
      </c>
      <c r="CI5" s="672" t="s">
        <v>4066</v>
      </c>
      <c r="CJ5" s="672" t="str">
        <f t="shared" si="2"/>
        <v>ATP</v>
      </c>
      <c r="CK5" s="672" t="s">
        <v>4068</v>
      </c>
      <c r="CL5" s="676" t="str">
        <f>$AM$4</f>
        <v/>
      </c>
      <c r="CM5" s="672" t="s">
        <v>4067</v>
      </c>
      <c r="CN5" s="676" t="str">
        <f>$AO$4</f>
        <v/>
      </c>
      <c r="CO5" s="672" t="s">
        <v>4069</v>
      </c>
      <c r="CP5" s="676" t="str">
        <f>$AQ$4</f>
        <v/>
      </c>
      <c r="CQ5" s="672" t="s">
        <v>4070</v>
      </c>
      <c r="CR5" t="str">
        <f>$AS$4</f>
        <v/>
      </c>
      <c r="CS5" s="672"/>
      <c r="CT5" t="str">
        <f>CONCATENATE(Table2[[#This Row],[Column2]],Table2[[#This Row],[Column4]],CHAR(10),CHAR(10),Table2[[#This Row],[Column5]],Table2[[#This Row],[Pilot]],CHAR(10),Table2[[#This Row],[Start]],Table2[[#This Row],[Lic]],Table2[[#This Row],[Column7]],TEXT(Table2[[#This Row],[TT]],"#,##0"),Table2[[#This Row],[Column8]],TEXT(Table2[[#This Row],[ME/RG/RW]],"#,##0"),Table2[[#This Row],[Column10]],Table2[[#This Row],[MM]],Table2[[#This Row],[Column12]])</f>
        <v xml:space="preserve">As Respects: Single Engine Turboprop Aircraft
Any Pilot maintaining a ATP or more advanced pilot certificate, with an Instrument rating, who has logged a minimum of  total hours, including 500 hours in Turboprop aircraft,  hours in aircraft with retractable gear and  hours in the make and model to be flown. </v>
      </c>
      <c r="CV5">
        <v>1</v>
      </c>
      <c r="CX5" s="1068"/>
      <c r="CY5" s="1068"/>
      <c r="CZ5" s="1068"/>
      <c r="DA5" s="1068"/>
      <c r="DB5" s="1068"/>
      <c r="DC5" s="1068"/>
      <c r="DD5" s="1068"/>
      <c r="DE5" s="1068"/>
      <c r="DF5" s="1068"/>
      <c r="DG5" s="1068"/>
      <c r="DH5" s="1068"/>
      <c r="DI5" s="1068"/>
      <c r="DJ5" s="1068"/>
      <c r="DK5" s="1068"/>
      <c r="DL5" s="1068"/>
      <c r="DM5" s="1068"/>
      <c r="DN5" s="1068"/>
    </row>
    <row r="6" spans="1:118" ht="15.75">
      <c r="A6" s="2"/>
      <c r="B6" s="2"/>
      <c r="C6" s="314"/>
      <c r="D6" s="2" t="s">
        <v>3243</v>
      </c>
      <c r="E6" s="2"/>
      <c r="F6" s="2"/>
      <c r="G6" s="394"/>
      <c r="H6" s="394"/>
      <c r="I6" s="394"/>
      <c r="J6" s="394"/>
      <c r="K6" s="394"/>
      <c r="L6" s="394"/>
      <c r="M6" s="394"/>
      <c r="N6" s="394"/>
      <c r="O6" s="394"/>
      <c r="P6" s="394"/>
      <c r="Q6" s="394"/>
      <c r="R6" s="394"/>
      <c r="S6" s="314"/>
      <c r="T6" s="2" t="s">
        <v>3244</v>
      </c>
      <c r="U6" s="2"/>
      <c r="V6" s="394"/>
      <c r="W6" s="394"/>
      <c r="X6" s="2"/>
      <c r="Y6" s="2"/>
      <c r="Z6" s="2"/>
      <c r="AA6" s="2"/>
      <c r="AB6" s="455"/>
      <c r="AC6" s="2"/>
      <c r="AD6" s="2"/>
      <c r="AE6" s="1059" t="s">
        <v>4048</v>
      </c>
      <c r="AF6" s="1059"/>
      <c r="AG6" s="1059"/>
      <c r="AH6" s="1087"/>
      <c r="AI6" s="1088"/>
      <c r="AJ6" s="1088"/>
      <c r="AK6" s="1088"/>
      <c r="AL6" s="1088"/>
      <c r="AM6" s="1088"/>
      <c r="AN6" s="1088"/>
      <c r="AO6" s="1088"/>
      <c r="AP6" s="1088"/>
      <c r="AQ6" s="1089"/>
      <c r="AR6" s="2"/>
      <c r="AS6" s="2"/>
      <c r="AT6" s="2"/>
      <c r="AU6" s="2"/>
      <c r="AV6" s="2"/>
      <c r="AW6" s="2"/>
      <c r="AX6" s="2"/>
      <c r="AY6" s="462" t="s">
        <v>4034</v>
      </c>
      <c r="BT6">
        <v>3</v>
      </c>
      <c r="BU6" t="s">
        <v>4047</v>
      </c>
      <c r="BV6">
        <v>3000</v>
      </c>
      <c r="BW6">
        <v>750</v>
      </c>
      <c r="BX6">
        <v>1500</v>
      </c>
      <c r="BY6">
        <v>250</v>
      </c>
      <c r="CB6">
        <v>3</v>
      </c>
      <c r="CC6" t="s">
        <v>4049</v>
      </c>
      <c r="CE6" s="672" t="str">
        <f>IF(Table2[[#This Row],[N'#s]]=""," Multiengine Turboprop Aircraft Requiring Only One (1) Crewmember",Table2[[#This Row],[N'#s]])</f>
        <v xml:space="preserve"> Multiengine Turboprop Aircraft Requiring Only One (1) Crewmember</v>
      </c>
      <c r="CF6" t="str">
        <f t="shared" si="0"/>
        <v/>
      </c>
      <c r="CG6" t="str">
        <f>IF(Table2[[#This Row],[Pilot]]="","","Named Pilots:")</f>
        <v/>
      </c>
      <c r="CH6" t="str">
        <f t="shared" si="1"/>
        <v/>
      </c>
      <c r="CI6" s="672" t="s">
        <v>4066</v>
      </c>
      <c r="CJ6" s="672" t="str">
        <f t="shared" si="2"/>
        <v>ATP</v>
      </c>
      <c r="CK6" s="672" t="s">
        <v>4075</v>
      </c>
      <c r="CL6" s="676" t="str">
        <f t="shared" ref="CL6:CL13" si="3">$AM$4</f>
        <v/>
      </c>
      <c r="CM6" s="672" t="s">
        <v>4074</v>
      </c>
      <c r="CN6" s="676" t="str">
        <f t="shared" ref="CN6:CN13" si="4">$AO$4</f>
        <v/>
      </c>
      <c r="CO6" s="672" t="s">
        <v>4078</v>
      </c>
      <c r="CP6" s="676" t="str">
        <f t="shared" ref="CP6:CP13" si="5">$AQ$4</f>
        <v/>
      </c>
      <c r="CQ6" s="672" t="s">
        <v>4076</v>
      </c>
      <c r="CR6" t="str">
        <f t="shared" ref="CR6:CR13" si="6">$AS$4</f>
        <v/>
      </c>
      <c r="CS6" s="673" t="s">
        <v>4077</v>
      </c>
      <c r="CT6" t="str">
        <f>CONCATENATE(Table2[[#This Row],[Column2]],Table2[[#This Row],[Column4]],CHAR(10),CHAR(10),Table2[[#This Row],[Column5]],Table2[[#This Row],[Pilot]],CHAR(10),Table2[[#This Row],[Start]],Table2[[#This Row],[Lic]],Table2[[#This Row],[Column7]],TEXT(Table2[[#This Row],[TT]],"#,##0"),Table2[[#This Row],[Column8]],TEXT(Table2[[#This Row],[ME/RG/RW]],"#,##0"),Table2[[#This Row],[Column10]],Table2[[#This Row],[Turbine]],Table2[[#This Row],[Column12]],Table2[[#This Row],[MM]],Table2[[#This Row],[Column14]])</f>
        <v xml:space="preserve">As Respects: Multiengine Turboprop Aircraft Requiring Only One (1) Crewmember
Any Pilot maintaining a ATP or more advanced pilot certificate, with Multiengine and Instrument ratings, who has logged a minimum of  total hours, including  hours in multiengine aircraft,  hours in Turboprop aircraft, and  hours in the make and model to be flown.  </v>
      </c>
      <c r="CV6">
        <v>1</v>
      </c>
      <c r="CX6" s="1068"/>
      <c r="CY6" s="1068"/>
      <c r="CZ6" s="1068"/>
      <c r="DA6" s="1068"/>
      <c r="DB6" s="1068"/>
      <c r="DC6" s="1068"/>
      <c r="DD6" s="1068"/>
      <c r="DE6" s="1068"/>
      <c r="DF6" s="1068"/>
      <c r="DG6" s="1068"/>
      <c r="DH6" s="1068"/>
      <c r="DI6" s="1068"/>
      <c r="DJ6" s="1068"/>
      <c r="DK6" s="1068"/>
      <c r="DL6" s="1068"/>
      <c r="DM6" s="1068"/>
      <c r="DN6" s="1068"/>
    </row>
    <row r="7" spans="1:118" ht="15.75">
      <c r="A7" s="2"/>
      <c r="B7" s="2"/>
      <c r="C7" s="314"/>
      <c r="D7" s="2" t="s">
        <v>3246</v>
      </c>
      <c r="E7" s="2"/>
      <c r="F7" s="2"/>
      <c r="G7" s="394"/>
      <c r="H7" s="394"/>
      <c r="I7" s="394"/>
      <c r="J7" s="394"/>
      <c r="K7" s="394"/>
      <c r="L7" s="394"/>
      <c r="M7" s="394"/>
      <c r="N7" s="394"/>
      <c r="O7" s="394"/>
      <c r="P7" s="394"/>
      <c r="Q7" s="394"/>
      <c r="R7" s="394"/>
      <c r="S7" s="314"/>
      <c r="T7" s="2" t="s">
        <v>3238</v>
      </c>
      <c r="U7" s="394"/>
      <c r="V7" s="394"/>
      <c r="W7" s="394"/>
      <c r="X7" s="2"/>
      <c r="Y7" s="2"/>
      <c r="Z7" s="2"/>
      <c r="AA7" s="2"/>
      <c r="AB7" s="455"/>
      <c r="AC7" s="2"/>
      <c r="AD7" s="2"/>
      <c r="AE7" s="2"/>
      <c r="AF7" s="2"/>
      <c r="AG7" s="2"/>
      <c r="AH7" s="1090"/>
      <c r="AI7" s="1091"/>
      <c r="AJ7" s="1091"/>
      <c r="AK7" s="1091"/>
      <c r="AL7" s="1091"/>
      <c r="AM7" s="1091"/>
      <c r="AN7" s="1091"/>
      <c r="AO7" s="1091"/>
      <c r="AP7" s="1091"/>
      <c r="AQ7" s="1092"/>
      <c r="AR7" s="2"/>
      <c r="AS7" s="2"/>
      <c r="AT7" s="2"/>
      <c r="AU7" s="2"/>
      <c r="AV7" s="2"/>
      <c r="AW7" s="2"/>
      <c r="AX7" s="2"/>
      <c r="AY7" s="462" t="s">
        <v>4035</v>
      </c>
      <c r="BT7">
        <v>4</v>
      </c>
      <c r="BU7" t="s">
        <v>4047</v>
      </c>
      <c r="BV7">
        <v>3000</v>
      </c>
      <c r="BW7">
        <v>750</v>
      </c>
      <c r="BX7">
        <v>1500</v>
      </c>
      <c r="BY7">
        <v>100</v>
      </c>
      <c r="CB7">
        <v>4</v>
      </c>
      <c r="CC7" t="s">
        <v>4049</v>
      </c>
      <c r="CE7" s="672" t="str">
        <f>IF(Table2[[#This Row],[N'#s]]=""," The Pilot-In-Command of Multiengine Turboprop Aircraft Requiring Two (2) Crewmembers",Table2[[#This Row],[N'#s]])</f>
        <v xml:space="preserve"> The Pilot-In-Command of Multiengine Turboprop Aircraft Requiring Two (2) Crewmembers</v>
      </c>
      <c r="CF7" t="str">
        <f t="shared" si="0"/>
        <v/>
      </c>
      <c r="CG7" t="str">
        <f>IF(Table2[[#This Row],[Pilot]]="","","Named Pilots:")</f>
        <v/>
      </c>
      <c r="CH7" t="str">
        <f t="shared" si="1"/>
        <v/>
      </c>
      <c r="CI7" s="672" t="s">
        <v>4066</v>
      </c>
      <c r="CJ7" s="672" t="str">
        <f t="shared" si="2"/>
        <v>ATP</v>
      </c>
      <c r="CK7" s="672" t="s">
        <v>4073</v>
      </c>
      <c r="CL7" s="676" t="str">
        <f t="shared" si="3"/>
        <v/>
      </c>
      <c r="CM7" s="672" t="s">
        <v>4074</v>
      </c>
      <c r="CN7" s="676" t="str">
        <f t="shared" si="4"/>
        <v/>
      </c>
      <c r="CO7" s="672" t="s">
        <v>4078</v>
      </c>
      <c r="CP7" s="676" t="str">
        <f t="shared" si="5"/>
        <v/>
      </c>
      <c r="CQ7" s="672" t="s">
        <v>4076</v>
      </c>
      <c r="CR7" t="str">
        <f t="shared" si="6"/>
        <v/>
      </c>
      <c r="CS7" s="672" t="s">
        <v>4077</v>
      </c>
      <c r="CT7" t="str">
        <f>CONCATENATE(Table2[[#This Row],[Column2]],Table2[[#This Row],[Column4]],CHAR(10),CHAR(10),Table2[[#This Row],[Column5]],Table2[[#This Row],[Pilot]],CHAR(10),Table2[[#This Row],[Start]],Table2[[#This Row],[Lic]],Table2[[#This Row],[Column7]],TEXT(Table2[[#This Row],[TT]],"#,#0"),Table2[[#This Row],[Column8]],TEXT(Table2[[#This Row],[ME/RG/RW]],"#,#0"),Table2[[#This Row],[Column10]],Table2[[#This Row],[Turbine]],Table2[[#This Row],[Column12]],Table2[[#This Row],[MM]],Table2[[#This Row],[Column14]])</f>
        <v xml:space="preserve">As Respects: The Pilot-In-Command of Multiengine Turboprop Aircraft Requiring Two (2) Crewmembers
Any Pilot maintaining a ATPor more advanced pilot certificate, with Multiengine and Instrument ratings, who has logged a minimum of  total hours, including  hours in multiengine aircraft,  hours in Turboprop aircraft, and  hours in the make and model to be flown.  </v>
      </c>
      <c r="CV7">
        <v>1</v>
      </c>
      <c r="CX7" s="1068"/>
      <c r="CY7" s="1068"/>
      <c r="CZ7" s="1068"/>
      <c r="DA7" s="1068"/>
      <c r="DB7" s="1068"/>
      <c r="DC7" s="1068"/>
      <c r="DD7" s="1068"/>
      <c r="DE7" s="1068"/>
      <c r="DF7" s="1068"/>
      <c r="DG7" s="1068"/>
      <c r="DH7" s="1068"/>
      <c r="DI7" s="1068"/>
      <c r="DJ7" s="1068"/>
      <c r="DK7" s="1068"/>
      <c r="DL7" s="1068"/>
      <c r="DM7" s="1068"/>
      <c r="DN7" s="1068"/>
    </row>
    <row r="8" spans="1:118" ht="15.75">
      <c r="A8" s="2"/>
      <c r="B8" s="2"/>
      <c r="C8" s="314"/>
      <c r="D8" s="2" t="s">
        <v>3249</v>
      </c>
      <c r="E8" s="2"/>
      <c r="F8" s="2"/>
      <c r="G8" s="394"/>
      <c r="H8" s="394"/>
      <c r="I8" s="394"/>
      <c r="J8" s="394"/>
      <c r="K8" s="394"/>
      <c r="L8" s="394"/>
      <c r="M8" s="394"/>
      <c r="N8" s="394"/>
      <c r="O8" s="394"/>
      <c r="P8" s="394"/>
      <c r="Q8" s="394"/>
      <c r="R8" s="394"/>
      <c r="S8" s="314"/>
      <c r="T8" s="2" t="s">
        <v>3250</v>
      </c>
      <c r="U8" s="394"/>
      <c r="V8" s="394"/>
      <c r="W8" s="394"/>
      <c r="X8" s="2"/>
      <c r="Y8" s="2"/>
      <c r="Z8" s="2"/>
      <c r="AA8" s="2"/>
      <c r="AB8" s="455"/>
      <c r="AC8" s="2"/>
      <c r="AD8" s="2"/>
      <c r="AE8" s="2"/>
      <c r="AF8" s="2"/>
      <c r="AG8" s="2"/>
      <c r="AH8" s="1073" t="s">
        <v>4093</v>
      </c>
      <c r="AI8" s="1073"/>
      <c r="AJ8" s="1074" t="s">
        <v>4094</v>
      </c>
      <c r="AK8" s="1075"/>
      <c r="AL8" s="1075"/>
      <c r="AM8" s="1075"/>
      <c r="AN8" s="1075"/>
      <c r="AO8" s="1075"/>
      <c r="AP8" s="1075"/>
      <c r="AQ8" s="1076"/>
      <c r="AR8" s="2"/>
      <c r="AS8" s="2"/>
      <c r="AT8" s="2"/>
      <c r="AU8" s="2"/>
      <c r="AV8" s="2"/>
      <c r="AW8" s="2"/>
      <c r="AX8" s="2"/>
      <c r="AY8" s="462" t="s">
        <v>4036</v>
      </c>
      <c r="BT8">
        <v>5</v>
      </c>
      <c r="BU8" t="s">
        <v>4047</v>
      </c>
      <c r="BV8">
        <v>1500</v>
      </c>
      <c r="BW8">
        <v>250</v>
      </c>
      <c r="BX8">
        <v>500</v>
      </c>
      <c r="CB8">
        <v>5</v>
      </c>
      <c r="CC8" t="s">
        <v>4049</v>
      </c>
      <c r="CE8" s="672" t="str">
        <f>IF(Table2[[#This Row],[N'#s]]=""," The Second in Command of Multiengine Turboprop Aircraft Requiring Two (2) Crewmembers",Table2[[#This Row],[N'#s]])</f>
        <v xml:space="preserve"> The Second in Command of Multiengine Turboprop Aircraft Requiring Two (2) Crewmembers</v>
      </c>
      <c r="CF8" t="str">
        <f t="shared" si="0"/>
        <v/>
      </c>
      <c r="CG8" t="str">
        <f>IF(Table2[[#This Row],[Pilot]]="","","Named Pilots:")</f>
        <v/>
      </c>
      <c r="CH8" t="str">
        <f t="shared" si="1"/>
        <v/>
      </c>
      <c r="CI8" s="672" t="s">
        <v>4066</v>
      </c>
      <c r="CJ8" s="672" t="str">
        <f t="shared" si="2"/>
        <v>ATP</v>
      </c>
      <c r="CK8" s="672" t="s">
        <v>4075</v>
      </c>
      <c r="CL8" s="676" t="str">
        <f t="shared" si="3"/>
        <v/>
      </c>
      <c r="CM8" s="672" t="s">
        <v>4074</v>
      </c>
      <c r="CN8" s="676" t="str">
        <f t="shared" si="4"/>
        <v/>
      </c>
      <c r="CO8" s="672" t="s">
        <v>4078</v>
      </c>
      <c r="CP8" s="676" t="str">
        <f t="shared" si="5"/>
        <v/>
      </c>
      <c r="CQ8" t="s">
        <v>4085</v>
      </c>
      <c r="CR8" t="str">
        <f t="shared" si="6"/>
        <v/>
      </c>
      <c r="CS8" s="672"/>
      <c r="CT8" t="str">
        <f xml:space="preserve"> CONCATENATE(Table2[[#This Row],[Column2]],Table2[[#This Row],[Column4]],CHAR(10),CHAR(10),Table2[[#This Row],[Column5]],Table2[[#This Row],[Pilot]],CHAR(10),Table2[[#This Row],[Start]],Table2[[#This Row],[Lic]],Table2[[#This Row],[Column7]],TEXT(Table2[[#This Row],[TT]],"#,#0"),Table2[[#This Row],[Column8]],TEXT(Table2[[#This Row],[ME/RG/RW]],"#,#0"),Table2[[#This Row],[Column10]],Table2[[#This Row],[Turbine]],Table2[[#This Row],[Column12]])</f>
        <v>As Respects: The Second in Command of Multiengine Turboprop Aircraft Requiring Two (2) Crewmembers
Any Pilot maintaining a ATP or more advanced pilot certificate, with Multiengine and Instrument ratings, who has logged a minimum of  total hours, including  hours in multiengine aircraft,  hours in Turboprop aircraft.</v>
      </c>
      <c r="CV8">
        <v>1</v>
      </c>
      <c r="CX8" s="1068"/>
      <c r="CY8" s="1068"/>
      <c r="CZ8" s="1068"/>
      <c r="DA8" s="1068"/>
      <c r="DB8" s="1068"/>
      <c r="DC8" s="1068"/>
      <c r="DD8" s="1068"/>
      <c r="DE8" s="1068"/>
      <c r="DF8" s="1068"/>
      <c r="DG8" s="1068"/>
      <c r="DH8" s="1068"/>
      <c r="DI8" s="1068"/>
      <c r="DJ8" s="1068"/>
      <c r="DK8" s="1068"/>
      <c r="DL8" s="1068"/>
      <c r="DM8" s="1068"/>
      <c r="DN8" s="1068"/>
    </row>
    <row r="9" spans="1:118" ht="16.5" thickBot="1">
      <c r="A9" s="2"/>
      <c r="B9" s="2"/>
      <c r="C9" s="2"/>
      <c r="D9" s="2"/>
      <c r="E9" s="2"/>
      <c r="F9" s="2"/>
      <c r="G9" s="2"/>
      <c r="H9" s="2"/>
      <c r="I9" s="2"/>
      <c r="J9" s="2"/>
      <c r="K9" s="2"/>
      <c r="L9" s="2"/>
      <c r="M9" s="2"/>
      <c r="N9" s="2"/>
      <c r="O9" s="2"/>
      <c r="P9" s="2"/>
      <c r="Q9" s="2"/>
      <c r="R9" s="2"/>
      <c r="S9" s="2"/>
      <c r="T9" s="2"/>
      <c r="U9" s="2"/>
      <c r="V9" s="2"/>
      <c r="W9" s="2"/>
      <c r="X9" s="2"/>
      <c r="Y9" s="2"/>
      <c r="Z9" s="2"/>
      <c r="AA9" s="2"/>
      <c r="AB9" s="455"/>
      <c r="AC9" s="134"/>
      <c r="AD9" s="134"/>
      <c r="AE9" s="134"/>
      <c r="AF9" s="134"/>
      <c r="AG9" s="134"/>
      <c r="AH9" s="677"/>
      <c r="AI9" s="677"/>
      <c r="AJ9" s="677"/>
      <c r="AK9" s="677"/>
      <c r="AL9" s="677"/>
      <c r="AM9" s="677"/>
      <c r="AN9" s="677"/>
      <c r="AO9" s="677"/>
      <c r="AP9" s="677"/>
      <c r="AQ9" s="677"/>
      <c r="AR9" s="134"/>
      <c r="AS9" s="134"/>
      <c r="AT9" s="134"/>
      <c r="AU9" s="134"/>
      <c r="AV9" s="134"/>
      <c r="AW9" s="134"/>
      <c r="AX9" s="134"/>
      <c r="AY9" s="462" t="s">
        <v>4037</v>
      </c>
      <c r="BT9">
        <v>6</v>
      </c>
      <c r="BU9" t="s">
        <v>4047</v>
      </c>
      <c r="BV9">
        <v>2500</v>
      </c>
      <c r="BW9">
        <v>750</v>
      </c>
      <c r="BX9">
        <v>1000</v>
      </c>
      <c r="BY9">
        <v>150</v>
      </c>
      <c r="CB9">
        <v>6</v>
      </c>
      <c r="CC9" t="s">
        <v>4049</v>
      </c>
      <c r="CE9" s="672" t="str">
        <f>IF(Table2[[#This Row],[N'#s]]=""," Single Engine Jet Aircraft",Table2[[#This Row],[N'#s]])</f>
        <v xml:space="preserve"> Single Engine Jet Aircraft</v>
      </c>
      <c r="CF9" t="str">
        <f t="shared" si="0"/>
        <v/>
      </c>
      <c r="CG9" t="str">
        <f>IF(Table2[[#This Row],[Pilot]]="","","Named Pilots:")</f>
        <v/>
      </c>
      <c r="CH9" t="str">
        <f t="shared" si="1"/>
        <v/>
      </c>
      <c r="CI9" s="672" t="s">
        <v>4066</v>
      </c>
      <c r="CJ9" s="672" t="str">
        <f t="shared" si="2"/>
        <v>ATP</v>
      </c>
      <c r="CK9" s="672" t="s">
        <v>4083</v>
      </c>
      <c r="CL9" s="676" t="str">
        <f t="shared" si="3"/>
        <v/>
      </c>
      <c r="CM9" s="672" t="s">
        <v>4074</v>
      </c>
      <c r="CN9" s="676" t="str">
        <f t="shared" si="4"/>
        <v/>
      </c>
      <c r="CO9" s="672" t="s">
        <v>4081</v>
      </c>
      <c r="CP9" s="676" t="str">
        <f t="shared" si="5"/>
        <v/>
      </c>
      <c r="CR9" t="str">
        <f t="shared" si="6"/>
        <v/>
      </c>
      <c r="CS9" s="673" t="s">
        <v>4079</v>
      </c>
      <c r="CT9" t="str">
        <f xml:space="preserve"> CONCATENATE(Table2[[#This Row],[Column2]],Table2[[#This Row],[Column4]],CHAR(10),CHAR(10),Table2[[#This Row],[Column5]],Table2[[#This Row],[Pilot]],CHAR(10),Table2[[#This Row],[Start]],Table2[[#This Row],[Lic]],Table2[[#This Row],[Column7]],TEXT(Table2[[#This Row],[TT]],"#,#0"),Table2[[#This Row],[Column8]],Table2[[#This Row],[Turbine]],Table2[[#This Row],[Column10]],Table2[[#This Row],[MM]],Table2[[#This Row],[Column14]])</f>
        <v xml:space="preserve">As Respects: Single Engine Jet Aircraft
Any Pilot maintaining a ATP or more advanced pilot certificate, with Instrument ratings, who has logged a minimum of  total hours, including  hours in turbojet aircraft, and  hours in the make and model to be flown.  Additionally, the Pilot must be Type Rated in the Make and Model to be flown.  </v>
      </c>
      <c r="CV9">
        <v>1</v>
      </c>
      <c r="CX9" s="1068"/>
      <c r="CY9" s="1068"/>
      <c r="CZ9" s="1068"/>
      <c r="DA9" s="1068"/>
      <c r="DB9" s="1068"/>
      <c r="DC9" s="1068"/>
      <c r="DD9" s="1068"/>
      <c r="DE9" s="1068"/>
      <c r="DF9" s="1068"/>
      <c r="DG9" s="1068"/>
      <c r="DH9" s="1068"/>
      <c r="DI9" s="1068"/>
      <c r="DJ9" s="1068"/>
      <c r="DK9" s="1068"/>
      <c r="DL9" s="1068"/>
      <c r="DM9" s="1068"/>
      <c r="DN9" s="1068"/>
    </row>
    <row r="10" spans="1:118" ht="15.75">
      <c r="A10" s="2"/>
      <c r="B10" s="1099" t="s">
        <v>3230</v>
      </c>
      <c r="C10" s="1100"/>
      <c r="D10" s="1100"/>
      <c r="E10" s="1100"/>
      <c r="F10" s="1100"/>
      <c r="G10" s="1100"/>
      <c r="H10" s="1100"/>
      <c r="I10" s="1100"/>
      <c r="J10" s="2"/>
      <c r="K10" s="1059" t="s">
        <v>3231</v>
      </c>
      <c r="L10" s="1059"/>
      <c r="M10" s="2"/>
      <c r="N10" s="1100" t="s">
        <v>3234</v>
      </c>
      <c r="O10" s="1100"/>
      <c r="P10" s="2"/>
      <c r="Q10" s="1100" t="s">
        <v>3235</v>
      </c>
      <c r="R10" s="1100"/>
      <c r="S10" s="2"/>
      <c r="T10" s="1100" t="s">
        <v>2819</v>
      </c>
      <c r="U10" s="1100"/>
      <c r="V10" s="2"/>
      <c r="W10" s="1100" t="s">
        <v>3233</v>
      </c>
      <c r="X10" s="1100"/>
      <c r="Y10" s="2"/>
      <c r="Z10" s="1059" t="s">
        <v>1846</v>
      </c>
      <c r="AA10" s="1059"/>
      <c r="AB10" s="455"/>
      <c r="AC10" s="2"/>
      <c r="AD10" s="2"/>
      <c r="AE10" s="1077" t="s">
        <v>3230</v>
      </c>
      <c r="AF10" s="1077"/>
      <c r="AG10" s="1077"/>
      <c r="AH10" s="1077"/>
      <c r="AI10" s="1077"/>
      <c r="AJ10" s="2"/>
      <c r="AK10" s="395" t="s">
        <v>4043</v>
      </c>
      <c r="AL10" s="2"/>
      <c r="AM10" s="395" t="s">
        <v>3231</v>
      </c>
      <c r="AN10" s="395"/>
      <c r="AO10" s="395" t="s">
        <v>3232</v>
      </c>
      <c r="AP10" s="395"/>
      <c r="AQ10" s="395" t="str">
        <f>IF(AE11=$AY$10,"RW-T",IF(AE11=$AY$2,"RG","ME"))</f>
        <v>ME</v>
      </c>
      <c r="AR10" s="395"/>
      <c r="AS10" s="395" t="s">
        <v>3233</v>
      </c>
      <c r="AT10" s="2"/>
      <c r="AU10" s="2"/>
      <c r="AV10" s="2"/>
      <c r="AW10" s="2"/>
      <c r="AX10" s="2"/>
      <c r="AY10" s="462" t="s">
        <v>4038</v>
      </c>
      <c r="BT10">
        <v>7</v>
      </c>
      <c r="BU10" t="s">
        <v>4047</v>
      </c>
      <c r="BV10">
        <v>4000</v>
      </c>
      <c r="BW10">
        <v>1000</v>
      </c>
      <c r="BX10">
        <v>2000</v>
      </c>
      <c r="BY10">
        <v>250</v>
      </c>
      <c r="CB10">
        <v>7</v>
      </c>
      <c r="CC10" t="s">
        <v>4049</v>
      </c>
      <c r="CE10" s="672" t="str">
        <f>IF(Table2[[#This Row],[N'#s]]=""," Jet Aircraft Requiring Only One (1) Crewmember",Table2[[#This Row],[N'#s]])</f>
        <v xml:space="preserve"> Jet Aircraft Requiring Only One (1) Crewmember</v>
      </c>
      <c r="CF10" t="str">
        <f t="shared" si="0"/>
        <v/>
      </c>
      <c r="CG10" t="str">
        <f>IF(Table2[[#This Row],[Pilot]]="","","Named Pilots:")</f>
        <v/>
      </c>
      <c r="CH10" t="str">
        <f t="shared" si="1"/>
        <v/>
      </c>
      <c r="CI10" s="672" t="s">
        <v>4066</v>
      </c>
      <c r="CJ10" s="672" t="str">
        <f t="shared" si="2"/>
        <v>ATP</v>
      </c>
      <c r="CK10" s="672" t="s">
        <v>4075</v>
      </c>
      <c r="CL10" s="676" t="str">
        <f t="shared" si="3"/>
        <v/>
      </c>
      <c r="CM10" s="672" t="s">
        <v>4074</v>
      </c>
      <c r="CN10" s="676" t="str">
        <f t="shared" si="4"/>
        <v/>
      </c>
      <c r="CO10" s="672" t="s">
        <v>4087</v>
      </c>
      <c r="CP10" s="676" t="str">
        <f t="shared" si="5"/>
        <v/>
      </c>
      <c r="CQ10" s="672" t="s">
        <v>4081</v>
      </c>
      <c r="CR10" t="str">
        <f t="shared" si="6"/>
        <v/>
      </c>
      <c r="CS10" s="672" t="s">
        <v>4086</v>
      </c>
      <c r="CT10" t="str">
        <f xml:space="preserve"> CONCATENATE(Table2[[#This Row],[Column2]],Table2[[#This Row],[Column4]],CHAR(10),CHAR(10),Table2[[#This Row],[Column5]],Table2[[#This Row],[Pilot]],CHAR(10),Table2[[#This Row],[Start]],Table2[[#This Row],[Lic]],Table2[[#This Row],[Column7]],TEXT(Table2[[#This Row],[TT]],"#,#0"),Table2[[#This Row],[Column8]],TEXT(Table2[[#This Row],[ME/RG/RW]],"#,#0"),Table2[[#This Row],[Column10]],Table2[[#This Row],[Turbine]],Table2[[#This Row],[Column12]],Table2[[#This Row],[MM]],Table2[[#This Row],[Column14]])</f>
        <v xml:space="preserve">As Respects: Jet Aircraft Requiring Only One (1) Crewmember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10">
        <v>1</v>
      </c>
      <c r="CX10" s="1068"/>
      <c r="CY10" s="1068"/>
      <c r="CZ10" s="1068"/>
      <c r="DA10" s="1068"/>
      <c r="DB10" s="1068"/>
      <c r="DC10" s="1068"/>
      <c r="DD10" s="1068"/>
      <c r="DE10" s="1068"/>
      <c r="DF10" s="1068"/>
      <c r="DG10" s="1068"/>
      <c r="DH10" s="1068"/>
      <c r="DI10" s="1068"/>
      <c r="DJ10" s="1068"/>
      <c r="DK10" s="1068"/>
      <c r="DL10" s="1068"/>
      <c r="DM10" s="1068"/>
      <c r="DN10" s="1068"/>
    </row>
    <row r="11" spans="1:118" ht="15.75">
      <c r="A11" s="2">
        <v>1</v>
      </c>
      <c r="B11" s="1078"/>
      <c r="C11" s="1079"/>
      <c r="D11" s="1079"/>
      <c r="E11" s="1079"/>
      <c r="F11" s="1079"/>
      <c r="G11" s="1080"/>
      <c r="H11" s="1080"/>
      <c r="I11" s="1081"/>
      <c r="J11" s="2"/>
      <c r="K11" s="1095"/>
      <c r="L11" s="1096"/>
      <c r="M11" s="2"/>
      <c r="N11" s="1095"/>
      <c r="O11" s="1096"/>
      <c r="P11" s="2"/>
      <c r="Q11" s="1095"/>
      <c r="R11" s="1096"/>
      <c r="S11" s="2"/>
      <c r="T11" s="1095"/>
      <c r="U11" s="1096"/>
      <c r="V11" s="2"/>
      <c r="W11" s="1095"/>
      <c r="X11" s="1096"/>
      <c r="Y11" s="2"/>
      <c r="Z11" s="1163"/>
      <c r="AA11" s="1164"/>
      <c r="AB11" s="455"/>
      <c r="AC11" s="2"/>
      <c r="AD11" s="2">
        <v>2</v>
      </c>
      <c r="AE11" s="1078"/>
      <c r="AF11" s="1079"/>
      <c r="AG11" s="1079"/>
      <c r="AH11" s="1080"/>
      <c r="AI11" s="1081"/>
      <c r="AJ11" s="2"/>
      <c r="AK11" s="471" t="str">
        <f>IFERROR(VLOOKUP(MATCH($AE11,$AY$1:$AY$14,0),$BT$4:$BY$17,2),"")</f>
        <v/>
      </c>
      <c r="AL11" s="2"/>
      <c r="AM11" s="670" t="str">
        <f>IFERROR(VLOOKUP(MATCH($AE11,$AY$1:$AY$14,0),$BT$4:$BY$17,3),"")</f>
        <v/>
      </c>
      <c r="AN11" s="2"/>
      <c r="AO11" s="670" t="str">
        <f>IFERROR(VLOOKUP(MATCH($AE11,$AY$1:$AY$14,0),$BT$4:$BY$17,4),"")</f>
        <v/>
      </c>
      <c r="AP11" s="2"/>
      <c r="AQ11" s="670" t="str">
        <f>IFERROR(VLOOKUP(MATCH($AE11,$AY$1:$AY$14,0),$BT$4:$BY$17,5),"")</f>
        <v/>
      </c>
      <c r="AR11" s="2"/>
      <c r="AS11" s="671" t="str">
        <f>IFERROR(VLOOKUP(MATCH($AE11,$AY$1:$AY$14,0),$BT$4:$BY$17,6),"")</f>
        <v/>
      </c>
      <c r="AT11" s="2"/>
      <c r="AU11" s="2"/>
      <c r="AV11" s="2"/>
      <c r="AW11" s="2"/>
      <c r="AX11" s="2"/>
      <c r="AY11" s="462" t="s">
        <v>4039</v>
      </c>
      <c r="BT11">
        <v>8</v>
      </c>
      <c r="BU11" t="s">
        <v>4047</v>
      </c>
      <c r="BV11">
        <v>4000</v>
      </c>
      <c r="BW11">
        <v>1000</v>
      </c>
      <c r="BX11">
        <v>2000</v>
      </c>
      <c r="BY11">
        <v>100</v>
      </c>
      <c r="CB11">
        <v>8</v>
      </c>
      <c r="CC11" t="s">
        <v>4049</v>
      </c>
      <c r="CE11" s="672" t="str">
        <f>IF(Table2[[#This Row],[N'#s]]=""," The Pilot-In-Command of Jet Aircraft Requiring Two (2) Crewmembers",Table2[[#This Row],[N'#s]])</f>
        <v xml:space="preserve"> The Pilot-In-Command of Jet Aircraft Requiring Two (2) Crewmembers</v>
      </c>
      <c r="CF11" t="str">
        <f t="shared" si="0"/>
        <v/>
      </c>
      <c r="CG11" t="str">
        <f>IF(Table2[[#This Row],[Pilot]]="","","Named Pilots:")</f>
        <v/>
      </c>
      <c r="CH11" t="str">
        <f t="shared" si="1"/>
        <v/>
      </c>
      <c r="CI11" s="672" t="s">
        <v>4066</v>
      </c>
      <c r="CJ11" s="672" t="str">
        <f t="shared" si="2"/>
        <v>ATP</v>
      </c>
      <c r="CK11" s="672" t="s">
        <v>4075</v>
      </c>
      <c r="CL11" s="676" t="str">
        <f t="shared" si="3"/>
        <v/>
      </c>
      <c r="CM11" s="672" t="s">
        <v>4074</v>
      </c>
      <c r="CN11" s="676" t="str">
        <f t="shared" si="4"/>
        <v/>
      </c>
      <c r="CO11" s="672" t="s">
        <v>4087</v>
      </c>
      <c r="CP11" s="676" t="str">
        <f t="shared" si="5"/>
        <v/>
      </c>
      <c r="CQ11" s="672" t="s">
        <v>4081</v>
      </c>
      <c r="CR11" t="str">
        <f t="shared" si="6"/>
        <v/>
      </c>
      <c r="CS11" s="672" t="s">
        <v>4088</v>
      </c>
      <c r="CT11" t="str">
        <f xml:space="preserve"> CONCATENATE(Table2[[#This Row],[Column2]],Table2[[#This Row],[Column4]],CHAR(10),CHAR(10),Table2[[#This Row],[Column5]],Table2[[#This Row],[Pilot]],CHAR(10),Table2[[#This Row],[Start]],Table2[[#This Row],[Lic]],Table2[[#This Row],[Column7]],TEXT(Table2[[#This Row],[TT]],"#,#0"),Table2[[#This Row],[Column8]],TEXT(Table2[[#This Row],[ME/RG/RW]],"#,#0"),Table2[[#This Row],[Column10]],Table2[[#This Row],[Turbine]],Table2[[#This Row],[Column12]],Table2[[#This Row],[MM]],Table2[[#This Row],[Column14]])</f>
        <v xml:space="preserve">As Respects: The Pilot-In-Command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11">
        <v>1</v>
      </c>
      <c r="CX11" s="1068"/>
      <c r="CY11" s="1068"/>
      <c r="CZ11" s="1068"/>
      <c r="DA11" s="1068"/>
      <c r="DB11" s="1068"/>
      <c r="DC11" s="1068"/>
      <c r="DD11" s="1068"/>
      <c r="DE11" s="1068"/>
      <c r="DF11" s="1068"/>
      <c r="DG11" s="1068"/>
      <c r="DH11" s="1068"/>
      <c r="DI11" s="1068"/>
      <c r="DJ11" s="1068"/>
      <c r="DK11" s="1068"/>
      <c r="DL11" s="1068"/>
      <c r="DM11" s="1068"/>
      <c r="DN11" s="1068"/>
    </row>
    <row r="12" spans="1:118" ht="15.75">
      <c r="A12" s="2"/>
      <c r="B12" s="2" t="s">
        <v>3241</v>
      </c>
      <c r="C12" s="2"/>
      <c r="D12" s="2"/>
      <c r="E12" s="2"/>
      <c r="F12" s="2"/>
      <c r="G12" s="1165"/>
      <c r="H12" s="1075"/>
      <c r="I12" s="1075"/>
      <c r="J12" s="1075"/>
      <c r="K12" s="1075"/>
      <c r="L12" s="1075"/>
      <c r="M12" s="1075"/>
      <c r="N12" s="1075"/>
      <c r="O12" s="1075"/>
      <c r="P12" s="1075"/>
      <c r="Q12" s="1075"/>
      <c r="R12" s="1075"/>
      <c r="S12" s="1075"/>
      <c r="T12" s="1075"/>
      <c r="U12" s="1075"/>
      <c r="V12" s="1075"/>
      <c r="W12" s="1075"/>
      <c r="X12" s="1076"/>
      <c r="Y12" s="2"/>
      <c r="Z12" s="2"/>
      <c r="AA12" s="2"/>
      <c r="AB12" s="455"/>
      <c r="AC12" s="2"/>
      <c r="AD12" s="2"/>
      <c r="AE12" s="1082" t="s">
        <v>3241</v>
      </c>
      <c r="AF12" s="1082"/>
      <c r="AG12" s="1083"/>
      <c r="AH12" s="1084"/>
      <c r="AI12" s="1085"/>
      <c r="AJ12" s="1085"/>
      <c r="AK12" s="1085"/>
      <c r="AL12" s="1085"/>
      <c r="AM12" s="1085"/>
      <c r="AN12" s="1085"/>
      <c r="AO12" s="1085"/>
      <c r="AP12" s="1085"/>
      <c r="AQ12" s="1086"/>
      <c r="AR12" s="2"/>
      <c r="AS12" s="2"/>
      <c r="AT12" s="2"/>
      <c r="AU12" s="2"/>
      <c r="AV12" s="2"/>
      <c r="AW12" s="2"/>
      <c r="AX12" s="2"/>
      <c r="AY12" s="462" t="s">
        <v>4040</v>
      </c>
      <c r="BI12" s="387" t="s">
        <v>3231</v>
      </c>
      <c r="BJ12" s="387" t="s">
        <v>3234</v>
      </c>
      <c r="BK12" s="387" t="s">
        <v>3235</v>
      </c>
      <c r="BL12" s="387" t="s">
        <v>2819</v>
      </c>
      <c r="BM12" s="387" t="s">
        <v>3233</v>
      </c>
      <c r="BN12" s="387" t="s">
        <v>1846</v>
      </c>
      <c r="BP12">
        <v>1</v>
      </c>
      <c r="BQ12" t="str">
        <f>CONCATENATE("Any pilot with a Commercial or more advanced pilot certificate, with instrument rating, Multiengine and type ratings, if required, having a minimum of ",AM4," hours total logged time as Pilot-In-Command, ",AO4," hours in multiengine aircraft, ",AQ4," hours in aircraft powered with Turbine Engine(s), and ",AS4," hours in the same make and model aircraft being insured.")</f>
        <v>Any pilot with a Commercial or more advanced pilot certificate, with instrument rating, Multiengine and type ratings, if required, having a minimum of  hours total logged time as Pilot-In-Command,  hours in multiengine aircraft,  hours in aircraft powered with Turbine Engine(s), and  hours in the same make and model aircraft being insured.</v>
      </c>
      <c r="BT12">
        <v>9</v>
      </c>
      <c r="BU12" t="s">
        <v>4047</v>
      </c>
      <c r="BV12">
        <v>2000</v>
      </c>
      <c r="BW12">
        <v>250</v>
      </c>
      <c r="BX12">
        <v>1000</v>
      </c>
      <c r="BY12">
        <v>50</v>
      </c>
      <c r="CB12">
        <v>9</v>
      </c>
      <c r="CC12" t="s">
        <v>4049</v>
      </c>
      <c r="CE12" s="672" t="str">
        <f>IF(Table2[[#This Row],[N'#s]]=""," As Respects the Second in Command of Jet Aircraft Requiring Two (2) Crewmembers",Table2[[#This Row],[N'#s]])</f>
        <v xml:space="preserve"> As Respects the Second in Command of Jet Aircraft Requiring Two (2) Crewmembers</v>
      </c>
      <c r="CF12" t="str">
        <f t="shared" si="0"/>
        <v/>
      </c>
      <c r="CG12" t="str">
        <f>IF(Table2[[#This Row],[Pilot]]="","","Named Pilots:")</f>
        <v/>
      </c>
      <c r="CH12" t="str">
        <f t="shared" si="1"/>
        <v/>
      </c>
      <c r="CI12" s="672" t="s">
        <v>4066</v>
      </c>
      <c r="CJ12" s="672" t="str">
        <f t="shared" si="2"/>
        <v>ATP</v>
      </c>
      <c r="CK12" s="672" t="s">
        <v>4075</v>
      </c>
      <c r="CL12" s="676" t="str">
        <f t="shared" si="3"/>
        <v/>
      </c>
      <c r="CM12" s="672" t="s">
        <v>4074</v>
      </c>
      <c r="CN12" s="676" t="str">
        <f t="shared" si="4"/>
        <v/>
      </c>
      <c r="CO12" s="672" t="s">
        <v>4078</v>
      </c>
      <c r="CP12" s="676" t="str">
        <f t="shared" si="5"/>
        <v/>
      </c>
      <c r="CQ12" s="672" t="s">
        <v>4081</v>
      </c>
      <c r="CR12" t="str">
        <f t="shared" si="6"/>
        <v/>
      </c>
      <c r="CS12" s="673" t="s">
        <v>4077</v>
      </c>
      <c r="CT12" t="str">
        <f xml:space="preserve"> CONCATENATE(Table2[[#This Row],[Column2]],Table2[[#This Row],[Column4]],CHAR(10),CHAR(10),Table2[[#This Row],[Column5]],Table2[[#This Row],[Pilot]],CHAR(10),Table2[[#This Row],[Start]],Table2[[#This Row],[Lic]],Table2[[#This Row],[Column7]],TEXT(Table2[[#This Row],[TT]],"#,#0"),Table2[[#This Row],[Column8]],TEXT(Table2[[#This Row],[ME/RG/RW]],"#,#0"),Table2[[#This Row],[Column10]],Table2[[#This Row],[Turbine]],Table2[[#This Row],[Column12]],Table2[[#This Row],[MM]],Table2[[#This Row],[Column14]])</f>
        <v xml:space="preserve">As Respects: As Respects the Second in 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v>
      </c>
      <c r="CV12">
        <v>1</v>
      </c>
      <c r="CX12" s="1068"/>
      <c r="CY12" s="1068"/>
      <c r="CZ12" s="1068"/>
      <c r="DA12" s="1068"/>
      <c r="DB12" s="1068"/>
      <c r="DC12" s="1068"/>
      <c r="DD12" s="1068"/>
      <c r="DE12" s="1068"/>
      <c r="DF12" s="1068"/>
      <c r="DG12" s="1068"/>
      <c r="DH12" s="1068"/>
      <c r="DI12" s="1068"/>
      <c r="DJ12" s="1068"/>
      <c r="DK12" s="1068"/>
      <c r="DL12" s="1068"/>
      <c r="DM12" s="1068"/>
      <c r="DN12" s="1068"/>
    </row>
    <row r="13" spans="1:118" ht="15.75">
      <c r="A13" s="2"/>
      <c r="B13" s="2" t="s">
        <v>3256</v>
      </c>
      <c r="C13" s="2"/>
      <c r="D13" s="2"/>
      <c r="E13" s="2"/>
      <c r="F13" s="2"/>
      <c r="G13" s="1152"/>
      <c r="H13" s="1153"/>
      <c r="I13" s="1153"/>
      <c r="J13" s="1153"/>
      <c r="K13" s="1153"/>
      <c r="L13" s="1153"/>
      <c r="M13" s="1153"/>
      <c r="N13" s="1153"/>
      <c r="O13" s="1153"/>
      <c r="P13" s="1153"/>
      <c r="Q13" s="1153"/>
      <c r="R13" s="1153"/>
      <c r="S13" s="1153"/>
      <c r="T13" s="1153"/>
      <c r="U13" s="1153"/>
      <c r="V13" s="1153"/>
      <c r="W13" s="1153"/>
      <c r="X13" s="1154"/>
      <c r="Y13" s="2"/>
      <c r="Z13" s="2"/>
      <c r="AA13" s="2"/>
      <c r="AB13" s="455"/>
      <c r="AC13" s="2"/>
      <c r="AD13" s="2"/>
      <c r="AE13" s="1059" t="s">
        <v>4048</v>
      </c>
      <c r="AF13" s="1059"/>
      <c r="AG13" s="1059"/>
      <c r="AH13" s="1087"/>
      <c r="AI13" s="1088"/>
      <c r="AJ13" s="1088"/>
      <c r="AK13" s="1088"/>
      <c r="AL13" s="1088"/>
      <c r="AM13" s="1088"/>
      <c r="AN13" s="1088"/>
      <c r="AO13" s="1088"/>
      <c r="AP13" s="1088"/>
      <c r="AQ13" s="1089"/>
      <c r="AR13" s="2"/>
      <c r="AS13" s="2"/>
      <c r="AT13" s="2"/>
      <c r="AU13" s="2"/>
      <c r="AV13" s="2"/>
      <c r="AW13" s="2"/>
      <c r="AX13" s="2"/>
      <c r="AY13" s="462" t="s">
        <v>4041</v>
      </c>
      <c r="BH13">
        <v>1</v>
      </c>
      <c r="BI13" s="388" t="str">
        <f>BE51</f>
        <v/>
      </c>
      <c r="BJ13" s="388" t="str">
        <f>BF51</f>
        <v/>
      </c>
      <c r="BK13" s="388"/>
      <c r="BL13" s="388" t="str">
        <f>BH51</f>
        <v/>
      </c>
      <c r="BM13" s="388" t="str">
        <f>BG51</f>
        <v/>
      </c>
      <c r="BN13" s="388" t="str">
        <f>BI51</f>
        <v/>
      </c>
      <c r="BP13">
        <v>2</v>
      </c>
      <c r="BQ13" t="str">
        <f>CONCATENATE("Any pilot with a Commercial or more advanced pilot certificate, with instrument rating, Multiengine and type ratings, if required, having a minimum of ",AM25," hours total logged time as Pilot-In-Command, ",AO25," hours in multiengine aircraft, ",AQ25," hours in aircraft powered with Turbine Engine(s), and ",AS25," hours in the same make and model aircraft being insured.")</f>
        <v>Any pilot with a Commercial or more advanced pilot certificate, with instrument rating, Multiengine and type ratings, if required, having a minimum of  hours total logged time as Pilot-In-Command,  hours in multiengine aircraft,  hours in aircraft powered with Turbine Engine(s), and  hours in the same make and model aircraft being insured.</v>
      </c>
      <c r="BT13">
        <v>10</v>
      </c>
      <c r="BU13" t="s">
        <v>4047</v>
      </c>
      <c r="BV13">
        <v>2000</v>
      </c>
      <c r="BW13">
        <v>500</v>
      </c>
      <c r="BX13">
        <v>500</v>
      </c>
      <c r="BY13">
        <v>100</v>
      </c>
      <c r="CB13">
        <v>10</v>
      </c>
      <c r="CC13" t="s">
        <v>4049</v>
      </c>
      <c r="CE13" s="672" t="str">
        <f>IF(Table2[[#This Row],[N'#s]]=""," Turbine Rotorwing Aircraft",Table2[[#This Row],[N'#s]])</f>
        <v xml:space="preserve"> Turbine Rotorwing Aircraft</v>
      </c>
      <c r="CF13" t="str">
        <f t="shared" si="0"/>
        <v/>
      </c>
      <c r="CG13" t="str">
        <f>IF(Table2[[#This Row],[Pilot]]="","","Named Pilots:")</f>
        <v/>
      </c>
      <c r="CH13" t="str">
        <f t="shared" si="1"/>
        <v/>
      </c>
      <c r="CI13" s="672" t="s">
        <v>4066</v>
      </c>
      <c r="CJ13" s="672" t="str">
        <f t="shared" si="2"/>
        <v>ATP</v>
      </c>
      <c r="CK13" s="672" t="s">
        <v>4084</v>
      </c>
      <c r="CL13" s="676" t="str">
        <f t="shared" si="3"/>
        <v/>
      </c>
      <c r="CM13" s="672" t="s">
        <v>4074</v>
      </c>
      <c r="CN13" s="676" t="str">
        <f t="shared" si="4"/>
        <v/>
      </c>
      <c r="CO13" s="672" t="s">
        <v>4082</v>
      </c>
      <c r="CP13" s="676" t="str">
        <f t="shared" si="5"/>
        <v/>
      </c>
      <c r="CQ13" s="673" t="s">
        <v>4080</v>
      </c>
      <c r="CR13" t="str">
        <f t="shared" si="6"/>
        <v/>
      </c>
      <c r="CT13" t="str">
        <f xml:space="preserve"> CONCATENATE(Table2[[#This Row],[Column2]],IF(AH13="",Table2[[#This Row],[Column4]],AH13),CHAR(10),CHAR(10),Table2[[#This Row],[Column5]],IF(Table2[[#This Row],[Pilot]]="","",Table2[[#This Row],[Pilot]]),CHAR(10),Table2[[#This Row],[Start]],Table2[[#This Row],[Lic]],Table2[[#This Row],[Column7]],TEXT(Table2[[#This Row],[TT]],"#,#0"),Table2[[#This Row],[Column8]],Table2[[#This Row],[MM]],Table2[[#This Row],[Column10]],Table2[[#This Row],[Turbine]],Table2[[#This Row],[Column12]])</f>
        <v xml:space="preserve">As Respects: Turbine Rotorwing Aircraft
Any Pilot maintaining a ATP or more advanced pilot certificate, with Rotorwing and Instrument ratings, who has logged a minimum of  total hours, including  hours in the make and model to be flown, and  hours in turbine rotorwing aircraft.  </v>
      </c>
      <c r="CV13">
        <v>1</v>
      </c>
      <c r="CX13" s="1068"/>
      <c r="CY13" s="1068"/>
      <c r="CZ13" s="1068"/>
      <c r="DA13" s="1068"/>
      <c r="DB13" s="1068"/>
      <c r="DC13" s="1068"/>
      <c r="DD13" s="1068"/>
      <c r="DE13" s="1068"/>
      <c r="DF13" s="1068"/>
      <c r="DG13" s="1068"/>
      <c r="DH13" s="1068"/>
      <c r="DI13" s="1068"/>
      <c r="DJ13" s="1068"/>
      <c r="DK13" s="1068"/>
      <c r="DL13" s="1068"/>
      <c r="DM13" s="1068"/>
      <c r="DN13" s="1068"/>
    </row>
    <row r="14" spans="1:118" ht="16.5" thickBot="1">
      <c r="A14" s="2"/>
      <c r="B14" s="2"/>
      <c r="C14" s="2"/>
      <c r="D14" s="2"/>
      <c r="E14" s="2"/>
      <c r="F14" s="2"/>
      <c r="G14" s="1155"/>
      <c r="H14" s="1156"/>
      <c r="I14" s="1156"/>
      <c r="J14" s="1156"/>
      <c r="K14" s="1156"/>
      <c r="L14" s="1156"/>
      <c r="M14" s="1156"/>
      <c r="N14" s="1156"/>
      <c r="O14" s="1156"/>
      <c r="P14" s="1156"/>
      <c r="Q14" s="1156"/>
      <c r="R14" s="1156"/>
      <c r="S14" s="1156"/>
      <c r="T14" s="1156"/>
      <c r="U14" s="1156"/>
      <c r="V14" s="1156"/>
      <c r="W14" s="1156"/>
      <c r="X14" s="1157"/>
      <c r="Y14" s="2"/>
      <c r="Z14" s="2"/>
      <c r="AA14" s="2"/>
      <c r="AB14" s="456"/>
      <c r="AC14" s="2"/>
      <c r="AD14" s="2"/>
      <c r="AE14" s="2"/>
      <c r="AF14" s="2"/>
      <c r="AG14" s="2"/>
      <c r="AH14" s="1090"/>
      <c r="AI14" s="1091"/>
      <c r="AJ14" s="1091"/>
      <c r="AK14" s="1091"/>
      <c r="AL14" s="1091"/>
      <c r="AM14" s="1091"/>
      <c r="AN14" s="1091"/>
      <c r="AO14" s="1091"/>
      <c r="AP14" s="1091"/>
      <c r="AQ14" s="1092"/>
      <c r="AR14" s="2"/>
      <c r="AS14" s="2"/>
      <c r="AT14" s="2"/>
      <c r="AU14" s="2"/>
      <c r="AV14" s="2"/>
      <c r="AW14" s="2"/>
      <c r="AX14" s="2"/>
      <c r="AY14" t="s">
        <v>4042</v>
      </c>
      <c r="BH14">
        <v>2</v>
      </c>
      <c r="BI14" s="123" t="str">
        <f t="shared" ref="BI14:BJ16" si="7">BE52</f>
        <v/>
      </c>
      <c r="BJ14" s="123" t="str">
        <f t="shared" si="7"/>
        <v/>
      </c>
      <c r="BK14" s="123"/>
      <c r="BL14" s="123"/>
      <c r="BM14" s="123" t="str">
        <f>BH52</f>
        <v/>
      </c>
      <c r="BN14" s="123" t="str">
        <f>BI52</f>
        <v/>
      </c>
      <c r="BT14">
        <v>11</v>
      </c>
      <c r="BU14" t="s">
        <v>2864</v>
      </c>
      <c r="BV14" t="s">
        <v>2864</v>
      </c>
      <c r="BW14" t="s">
        <v>2864</v>
      </c>
      <c r="BX14" t="s">
        <v>2864</v>
      </c>
      <c r="BY14" t="s">
        <v>2864</v>
      </c>
      <c r="CB14">
        <v>11</v>
      </c>
      <c r="CC14" t="s">
        <v>4049</v>
      </c>
      <c r="CE14" s="672" t="str">
        <f>IF(Table2[[#This Row],[N'#s]]=""," All Single Crew Aircraft",Table2[[#This Row],[N'#s]])</f>
        <v xml:space="preserve"> All Single Crew Aircraft</v>
      </c>
      <c r="CF14" t="str">
        <f t="shared" si="0"/>
        <v/>
      </c>
      <c r="CG14" t="str">
        <f>IF(Table2[[#This Row],[Pilot]]="","","Named Pilots:")</f>
        <v/>
      </c>
      <c r="CH14" t="str">
        <f t="shared" si="1"/>
        <v/>
      </c>
      <c r="CI14" s="675" t="s">
        <v>4064</v>
      </c>
      <c r="CJ14" s="675" t="str">
        <f t="shared" si="2"/>
        <v>ATP</v>
      </c>
      <c r="CK14" s="674"/>
      <c r="CT14" t="str">
        <f xml:space="preserve"> CONCATENATE(Table2[[#This Row],[Column2]],Table2[[#This Row],[Column4]],CHAR(10),CHAR(10),Table2[[#This Row],[Column5]],Table2[[#This Row],[Pilot]],CHAR(10),Table2[[#This Row],[Start]])</f>
        <v>As Respects: All Single Crew Aircraft
Any pilot as approved by the chief pilot of the named insured or his/her designee.</v>
      </c>
      <c r="CV14">
        <v>1</v>
      </c>
      <c r="CX14" s="1068"/>
      <c r="CY14" s="1068"/>
      <c r="CZ14" s="1068"/>
      <c r="DA14" s="1068"/>
      <c r="DB14" s="1068"/>
      <c r="DC14" s="1068"/>
      <c r="DD14" s="1068"/>
      <c r="DE14" s="1068"/>
      <c r="DF14" s="1068"/>
      <c r="DG14" s="1068"/>
      <c r="DH14" s="1068"/>
      <c r="DI14" s="1068"/>
      <c r="DJ14" s="1068"/>
      <c r="DK14" s="1068"/>
      <c r="DL14" s="1068"/>
      <c r="DM14" s="1068"/>
      <c r="DN14" s="1068"/>
    </row>
    <row r="15" spans="1:118" ht="16.5" thickBot="1">
      <c r="A15" s="134"/>
      <c r="B15" s="134"/>
      <c r="C15" s="134"/>
      <c r="D15" s="134"/>
      <c r="E15" s="134"/>
      <c r="F15" s="134"/>
      <c r="G15" s="134"/>
      <c r="H15" s="134"/>
      <c r="I15" s="134"/>
      <c r="J15" s="134"/>
      <c r="K15" s="134"/>
      <c r="L15" s="134"/>
      <c r="M15" s="134"/>
      <c r="N15" s="134"/>
      <c r="O15" s="134"/>
      <c r="P15" s="134"/>
      <c r="Q15" s="134"/>
      <c r="R15" s="134"/>
      <c r="S15" s="134"/>
      <c r="T15" s="134"/>
      <c r="U15" s="134"/>
      <c r="V15" s="134"/>
      <c r="W15" s="134"/>
      <c r="X15" s="134"/>
      <c r="Y15" s="134"/>
      <c r="Z15" s="134"/>
      <c r="AA15" s="134"/>
      <c r="AB15" s="455"/>
      <c r="AC15" s="2"/>
      <c r="AD15" s="2"/>
      <c r="AE15" s="2"/>
      <c r="AF15" s="2"/>
      <c r="AG15" s="2"/>
      <c r="AH15" s="1073" t="s">
        <v>4093</v>
      </c>
      <c r="AI15" s="1073"/>
      <c r="AJ15" s="1074"/>
      <c r="AK15" s="1075"/>
      <c r="AL15" s="1075"/>
      <c r="AM15" s="1075"/>
      <c r="AN15" s="1075"/>
      <c r="AO15" s="1075"/>
      <c r="AP15" s="1075"/>
      <c r="AQ15" s="1076"/>
      <c r="AR15" s="2"/>
      <c r="AS15" s="2"/>
      <c r="AT15" s="2"/>
      <c r="AU15" s="2"/>
      <c r="AV15" s="2"/>
      <c r="AW15" s="2"/>
      <c r="AX15" s="2"/>
      <c r="BH15">
        <v>3</v>
      </c>
      <c r="BI15" s="123" t="str">
        <f t="shared" si="7"/>
        <v/>
      </c>
      <c r="BJ15" s="123" t="str">
        <f t="shared" si="7"/>
        <v/>
      </c>
      <c r="BK15" s="123"/>
      <c r="BL15" s="123"/>
      <c r="BM15" s="123" t="str">
        <f>BH53</f>
        <v/>
      </c>
      <c r="BN15" s="123" t="str">
        <f>BI53</f>
        <v/>
      </c>
      <c r="BQ15" t="s">
        <v>3245</v>
      </c>
      <c r="BT15">
        <v>12</v>
      </c>
      <c r="BU15" t="s">
        <v>2864</v>
      </c>
      <c r="BV15" t="s">
        <v>2864</v>
      </c>
      <c r="BW15" t="s">
        <v>2864</v>
      </c>
      <c r="BX15" t="s">
        <v>2864</v>
      </c>
      <c r="BY15" t="s">
        <v>2864</v>
      </c>
      <c r="CB15">
        <v>12</v>
      </c>
      <c r="CC15" t="s">
        <v>4049</v>
      </c>
      <c r="CE15" s="672" t="str">
        <f>IF(Table2[[#This Row],[N'#s]]=""," All Dual Crew Aircraft",Table2[[#This Row],[N'#s]])</f>
        <v xml:space="preserve"> All Dual Crew Aircraft</v>
      </c>
      <c r="CF15" t="str">
        <f t="shared" si="0"/>
        <v/>
      </c>
      <c r="CG15" t="str">
        <f>IF(Table2[[#This Row],[Pilot]]="","","Named Pilots:")</f>
        <v/>
      </c>
      <c r="CH15" t="str">
        <f t="shared" si="1"/>
        <v/>
      </c>
      <c r="CI15" s="675" t="s">
        <v>4065</v>
      </c>
      <c r="CJ15" s="675" t="str">
        <f t="shared" si="2"/>
        <v>ATP</v>
      </c>
      <c r="CK15" s="674"/>
      <c r="CT15" t="str">
        <f xml:space="preserve"> CONCATENATE(Table2[[#This Row],[Column2]],Table2[[#This Row],[Column4]],CHAR(10),CHAR(10),Table2[[#This Row],[Column5]],Table2[[#This Row],[Pilot]],CHAR(10),Table2[[#This Row],[Start]])</f>
        <v>As Respects: All Dual Crew Aircraft
Any two-person crew as approved by the chief pilot of the named insured or his/her designee.</v>
      </c>
      <c r="CV15">
        <v>1</v>
      </c>
      <c r="CX15" s="1068"/>
      <c r="CY15" s="1068"/>
      <c r="CZ15" s="1068"/>
      <c r="DA15" s="1068"/>
      <c r="DB15" s="1068"/>
      <c r="DC15" s="1068"/>
      <c r="DD15" s="1068"/>
      <c r="DE15" s="1068"/>
      <c r="DF15" s="1068"/>
      <c r="DG15" s="1068"/>
      <c r="DH15" s="1068"/>
      <c r="DI15" s="1068"/>
      <c r="DJ15" s="1068"/>
      <c r="DK15" s="1068"/>
      <c r="DL15" s="1068"/>
      <c r="DM15" s="1068"/>
      <c r="DN15" s="1068"/>
    </row>
    <row r="16" spans="1:118" ht="16.5" thickBot="1">
      <c r="A16" s="2"/>
      <c r="B16" s="2" t="s">
        <v>3230</v>
      </c>
      <c r="C16" s="2"/>
      <c r="D16" s="2"/>
      <c r="E16" s="2"/>
      <c r="F16" s="2"/>
      <c r="G16" s="2"/>
      <c r="H16" s="2"/>
      <c r="I16" s="2"/>
      <c r="J16" s="2"/>
      <c r="K16" s="1100" t="s">
        <v>3231</v>
      </c>
      <c r="L16" s="1100"/>
      <c r="M16" s="2"/>
      <c r="N16" s="2" t="s">
        <v>3234</v>
      </c>
      <c r="O16" s="2"/>
      <c r="P16" s="2"/>
      <c r="Q16" s="2" t="s">
        <v>3235</v>
      </c>
      <c r="R16" s="2"/>
      <c r="S16" s="2"/>
      <c r="T16" s="2" t="s">
        <v>2819</v>
      </c>
      <c r="U16" s="2"/>
      <c r="V16" s="2"/>
      <c r="W16" s="2" t="s">
        <v>3233</v>
      </c>
      <c r="X16" s="2"/>
      <c r="Y16" s="2"/>
      <c r="Z16" s="2" t="s">
        <v>1846</v>
      </c>
      <c r="AA16" s="2"/>
      <c r="AB16" s="455"/>
      <c r="AC16" s="134"/>
      <c r="AD16" s="134"/>
      <c r="AE16" s="134"/>
      <c r="AF16" s="134"/>
      <c r="AG16" s="134"/>
      <c r="AH16" s="677"/>
      <c r="AI16" s="677"/>
      <c r="AJ16" s="677"/>
      <c r="AK16" s="677"/>
      <c r="AL16" s="677"/>
      <c r="AM16" s="677"/>
      <c r="AN16" s="677"/>
      <c r="AO16" s="677"/>
      <c r="AP16" s="677"/>
      <c r="AQ16" s="677"/>
      <c r="AR16" s="134"/>
      <c r="AS16" s="134"/>
      <c r="AT16" s="134"/>
      <c r="AU16" s="134"/>
      <c r="AV16" s="134"/>
      <c r="AW16" s="134"/>
      <c r="AX16" s="134"/>
      <c r="BD16" t="s">
        <v>3247</v>
      </c>
      <c r="BH16">
        <v>4</v>
      </c>
      <c r="BI16" s="149" t="str">
        <f t="shared" si="7"/>
        <v/>
      </c>
      <c r="BJ16" s="149" t="str">
        <f t="shared" si="7"/>
        <v/>
      </c>
      <c r="BK16" s="149"/>
      <c r="BL16" s="149"/>
      <c r="BM16" s="149" t="str">
        <f>BH54</f>
        <v/>
      </c>
      <c r="BN16" s="149" t="str">
        <f>BI54</f>
        <v/>
      </c>
      <c r="BQ16" t="s">
        <v>3248</v>
      </c>
      <c r="BT16">
        <v>13</v>
      </c>
      <c r="BU16" t="s">
        <v>2864</v>
      </c>
      <c r="BV16" t="s">
        <v>2864</v>
      </c>
      <c r="BW16" t="s">
        <v>2864</v>
      </c>
      <c r="BX16" t="s">
        <v>2864</v>
      </c>
      <c r="BY16" t="s">
        <v>2864</v>
      </c>
      <c r="CB16">
        <v>13</v>
      </c>
      <c r="CC16" t="s">
        <v>4049</v>
      </c>
      <c r="CE16" s="672" t="str">
        <f>IF(Table2[[#This Row],[N'#s]]=""," The Second-In-Command of any Dual Crew Aircraft",Table2[[#This Row],[N'#s]])</f>
        <v xml:space="preserve"> The Second-In-Command of any Dual Crew Aircraft</v>
      </c>
      <c r="CF16" t="str">
        <f t="shared" si="0"/>
        <v/>
      </c>
      <c r="CG16" t="str">
        <f>IF(Table2[[#This Row],[Pilot]]="","","Named Pilots:")</f>
        <v/>
      </c>
      <c r="CH16" t="str">
        <f t="shared" si="1"/>
        <v/>
      </c>
      <c r="CI16" s="675" t="s">
        <v>4064</v>
      </c>
      <c r="CJ16" s="675" t="str">
        <f t="shared" si="2"/>
        <v>ATP</v>
      </c>
      <c r="CK16" s="674"/>
      <c r="CT16" t="str">
        <f xml:space="preserve"> CONCATENATE(Table2[[#This Row],[Column2]],Table2[[#This Row],[Column4]],CHAR(10),CHAR(10),Table2[[#This Row],[Column5]],Table2[[#This Row],[Pilot]],CHAR(10),Table2[[#This Row],[Start]])</f>
        <v>As Respects: The Second-In-Command of any Dual Crew Aircraft
Any pilot as approved by the chief pilot of the named insured or his/her designee.</v>
      </c>
      <c r="CV16">
        <v>1</v>
      </c>
      <c r="CX16" s="1068"/>
      <c r="CY16" s="1068"/>
      <c r="CZ16" s="1068"/>
      <c r="DA16" s="1068"/>
      <c r="DB16" s="1068"/>
      <c r="DC16" s="1068"/>
      <c r="DD16" s="1068"/>
      <c r="DE16" s="1068"/>
      <c r="DF16" s="1068"/>
      <c r="DG16" s="1068"/>
      <c r="DH16" s="1068"/>
      <c r="DI16" s="1068"/>
      <c r="DJ16" s="1068"/>
      <c r="DK16" s="1068"/>
      <c r="DL16" s="1068"/>
      <c r="DM16" s="1068"/>
      <c r="DN16" s="1068"/>
    </row>
    <row r="17" spans="1:118" ht="14.25" customHeight="1">
      <c r="A17" s="2">
        <v>2</v>
      </c>
      <c r="B17" s="1159"/>
      <c r="C17" s="1160"/>
      <c r="D17" s="1160"/>
      <c r="E17" s="1160"/>
      <c r="F17" s="1160"/>
      <c r="G17" s="1160"/>
      <c r="H17" s="1160"/>
      <c r="I17" s="1161"/>
      <c r="J17" s="2"/>
      <c r="K17" s="1095"/>
      <c r="L17" s="1096"/>
      <c r="M17" s="2"/>
      <c r="N17" s="1095"/>
      <c r="O17" s="1096"/>
      <c r="P17" s="2"/>
      <c r="Q17" s="1095"/>
      <c r="R17" s="1096"/>
      <c r="S17" s="2"/>
      <c r="T17" s="1095"/>
      <c r="U17" s="1096"/>
      <c r="V17" s="2"/>
      <c r="W17" s="1095"/>
      <c r="X17" s="1096"/>
      <c r="Y17" s="2"/>
      <c r="Z17" s="1163"/>
      <c r="AA17" s="1164"/>
      <c r="AB17" s="455"/>
      <c r="AC17" s="2"/>
      <c r="AD17" s="2"/>
      <c r="AE17" s="1077" t="s">
        <v>3230</v>
      </c>
      <c r="AF17" s="1077"/>
      <c r="AG17" s="1077"/>
      <c r="AH17" s="1077"/>
      <c r="AI17" s="1077"/>
      <c r="AJ17" s="2"/>
      <c r="AK17" s="395" t="s">
        <v>4043</v>
      </c>
      <c r="AL17" s="2"/>
      <c r="AM17" s="395" t="s">
        <v>3231</v>
      </c>
      <c r="AN17" s="395"/>
      <c r="AO17" s="395" t="s">
        <v>3232</v>
      </c>
      <c r="AP17" s="395"/>
      <c r="AQ17" s="395" t="str">
        <f>IF(AE18=$AY$10,"RW-T",IF(AE18=$AY$2,"RG","ME"))</f>
        <v>ME</v>
      </c>
      <c r="AR17" s="395"/>
      <c r="AS17" s="395" t="s">
        <v>3233</v>
      </c>
      <c r="AT17" s="2"/>
      <c r="AU17" s="2"/>
      <c r="AV17" s="2"/>
      <c r="AW17" s="2"/>
      <c r="AX17" s="2"/>
      <c r="AZ17" t="s">
        <v>3238</v>
      </c>
      <c r="BA17">
        <v>1</v>
      </c>
      <c r="BD17" t="str">
        <f>IF(B11="","",MATCH($B$11,AZ17:AZ27,0))</f>
        <v/>
      </c>
      <c r="BQ17" t="s">
        <v>3251</v>
      </c>
      <c r="BT17">
        <v>14</v>
      </c>
      <c r="BU17" t="s">
        <v>2864</v>
      </c>
      <c r="BV17" t="s">
        <v>2864</v>
      </c>
      <c r="BW17" t="s">
        <v>2864</v>
      </c>
      <c r="BX17" t="s">
        <v>2864</v>
      </c>
      <c r="BY17" t="s">
        <v>2864</v>
      </c>
      <c r="CB17">
        <v>14</v>
      </c>
      <c r="CC17" t="s">
        <v>4049</v>
      </c>
      <c r="CE17" s="672" t="s">
        <v>4089</v>
      </c>
      <c r="CF17" t="str">
        <f t="shared" si="0"/>
        <v/>
      </c>
      <c r="CG17" t="str">
        <f>IF(Table2[[#This Row],[Pilot]]="","","Named Pilots:")</f>
        <v/>
      </c>
      <c r="CH17" t="str">
        <f t="shared" si="1"/>
        <v/>
      </c>
      <c r="CI17" s="675" t="s">
        <v>4064</v>
      </c>
      <c r="CJ17" s="675" t="str">
        <f t="shared" si="2"/>
        <v>ATP</v>
      </c>
      <c r="CK17" s="674"/>
      <c r="CT17" t="str">
        <f xml:space="preserve"> CONCATENATE(Table2[[#This Row],[Column2]],Table2[[#This Row],[Column4]],CHAR(10),CHAR(10),Table2[[#This Row],[Column5]],Table2[[#This Row],[Pilot]],CHAR(10),Table2[[#This Row],[Start]])</f>
        <v>As Respects: Any Aircraft
Any pilot as approved by the chief pilot of the named insured or his/her designee.</v>
      </c>
      <c r="CV17">
        <v>1</v>
      </c>
      <c r="CX17" s="1068"/>
      <c r="CY17" s="1068"/>
      <c r="CZ17" s="1068"/>
      <c r="DA17" s="1068"/>
      <c r="DB17" s="1068"/>
      <c r="DC17" s="1068"/>
      <c r="DD17" s="1068"/>
      <c r="DE17" s="1068"/>
      <c r="DF17" s="1068"/>
      <c r="DG17" s="1068"/>
      <c r="DH17" s="1068"/>
      <c r="DI17" s="1068"/>
      <c r="DJ17" s="1068"/>
      <c r="DK17" s="1068"/>
      <c r="DL17" s="1068"/>
      <c r="DM17" s="1068"/>
      <c r="DN17" s="1068"/>
    </row>
    <row r="18" spans="1:118" ht="14.25" customHeight="1">
      <c r="A18" s="2"/>
      <c r="B18" s="2" t="s">
        <v>3241</v>
      </c>
      <c r="C18" s="2"/>
      <c r="D18" s="2"/>
      <c r="E18" s="2"/>
      <c r="F18" s="2"/>
      <c r="G18" s="1074"/>
      <c r="H18" s="1075"/>
      <c r="I18" s="1075"/>
      <c r="J18" s="1075"/>
      <c r="K18" s="1075"/>
      <c r="L18" s="1075"/>
      <c r="M18" s="1075"/>
      <c r="N18" s="1075"/>
      <c r="O18" s="1075"/>
      <c r="P18" s="1075"/>
      <c r="Q18" s="1075"/>
      <c r="R18" s="1075"/>
      <c r="S18" s="1075"/>
      <c r="T18" s="1075"/>
      <c r="U18" s="1075"/>
      <c r="V18" s="1075"/>
      <c r="W18" s="1075"/>
      <c r="X18" s="1076"/>
      <c r="Y18" s="2"/>
      <c r="Z18" s="2"/>
      <c r="AA18" s="2"/>
      <c r="AB18" s="455"/>
      <c r="AC18" s="2"/>
      <c r="AD18" s="2">
        <v>3</v>
      </c>
      <c r="AE18" s="1078"/>
      <c r="AF18" s="1079"/>
      <c r="AG18" s="1079"/>
      <c r="AH18" s="1080"/>
      <c r="AI18" s="1081"/>
      <c r="AJ18" s="2"/>
      <c r="AK18" s="471" t="str">
        <f>IFERROR(VLOOKUP(MATCH($AE18,$AY$1:$AY$14,0),$BT$4:$BY$17,2),"")</f>
        <v/>
      </c>
      <c r="AL18" s="2"/>
      <c r="AM18" s="670" t="str">
        <f>IFERROR(VLOOKUP(MATCH($AE18,$AY$1:$AY$14,0),$BT$4:$BY$17,3),"")</f>
        <v/>
      </c>
      <c r="AN18" s="2"/>
      <c r="AO18" s="670" t="str">
        <f>IFERROR(VLOOKUP(MATCH($AE18,$AY$1:$AY$14,0),$BT$4:$BY$17,4),"")</f>
        <v/>
      </c>
      <c r="AP18" s="2"/>
      <c r="AQ18" s="670" t="str">
        <f>IFERROR(VLOOKUP(MATCH($AE18,$AY$1:$AY$14,0),$BT$4:$BY$17,5),"")</f>
        <v/>
      </c>
      <c r="AR18" s="2"/>
      <c r="AS18" s="671" t="str">
        <f>IFERROR(VLOOKUP(MATCH($AE18,$AY$1:$AY$14,0),$BT$4:$BY$17,6),"")</f>
        <v/>
      </c>
      <c r="AT18" s="2"/>
      <c r="AU18" s="2"/>
      <c r="AV18" s="2"/>
      <c r="AW18" s="2"/>
      <c r="AX18" s="2"/>
      <c r="AZ18" t="s">
        <v>3228</v>
      </c>
      <c r="BA18">
        <v>2</v>
      </c>
      <c r="BD18" t="str">
        <f>IF(B17="","",MATCH($B$17,$AZ$17:$AZ$27,0))</f>
        <v/>
      </c>
      <c r="BI18" s="387" t="s">
        <v>3231</v>
      </c>
      <c r="BJ18" s="387" t="s">
        <v>3234</v>
      </c>
      <c r="BK18" s="387" t="s">
        <v>3235</v>
      </c>
      <c r="BL18" s="387" t="s">
        <v>2819</v>
      </c>
      <c r="BM18" s="387" t="s">
        <v>3233</v>
      </c>
      <c r="BN18" s="387" t="s">
        <v>1846</v>
      </c>
      <c r="BQ18" t="s">
        <v>3252</v>
      </c>
      <c r="CB18">
        <v>15</v>
      </c>
      <c r="CF18" t="str">
        <f t="shared" si="0"/>
        <v/>
      </c>
      <c r="CH18" t="str">
        <f t="shared" si="1"/>
        <v/>
      </c>
      <c r="CJ18" t="str">
        <f t="shared" si="2"/>
        <v>ATP</v>
      </c>
      <c r="CT18" t="str">
        <f>IFERROR(VLOOKUP(MATCH(AE4,AY1:AY14,0),Pilot1,19),"")</f>
        <v/>
      </c>
      <c r="CV18">
        <v>1</v>
      </c>
    </row>
    <row r="19" spans="1:118">
      <c r="A19" s="2"/>
      <c r="B19" s="2" t="s">
        <v>3256</v>
      </c>
      <c r="C19" s="2"/>
      <c r="D19" s="2"/>
      <c r="E19" s="2"/>
      <c r="F19" s="2"/>
      <c r="G19" s="1158"/>
      <c r="H19" s="1153"/>
      <c r="I19" s="1153"/>
      <c r="J19" s="1153"/>
      <c r="K19" s="1153"/>
      <c r="L19" s="1153"/>
      <c r="M19" s="1153"/>
      <c r="N19" s="1153"/>
      <c r="O19" s="1153"/>
      <c r="P19" s="1153"/>
      <c r="Q19" s="1153"/>
      <c r="R19" s="1153"/>
      <c r="S19" s="1153"/>
      <c r="T19" s="1153"/>
      <c r="U19" s="1153"/>
      <c r="V19" s="1153"/>
      <c r="W19" s="1153"/>
      <c r="X19" s="1154"/>
      <c r="Y19" s="2"/>
      <c r="Z19" s="2"/>
      <c r="AA19" s="2"/>
      <c r="AB19" s="455"/>
      <c r="AC19" s="2"/>
      <c r="AD19" s="2"/>
      <c r="AE19" s="1082" t="s">
        <v>3241</v>
      </c>
      <c r="AF19" s="1082"/>
      <c r="AG19" s="1083"/>
      <c r="AH19" s="1084"/>
      <c r="AI19" s="1085"/>
      <c r="AJ19" s="1085"/>
      <c r="AK19" s="1085"/>
      <c r="AL19" s="1085"/>
      <c r="AM19" s="1085"/>
      <c r="AN19" s="1085"/>
      <c r="AO19" s="1085"/>
      <c r="AP19" s="1085"/>
      <c r="AQ19" s="1086"/>
      <c r="AR19" s="2"/>
      <c r="AS19" s="2"/>
      <c r="AT19" s="2"/>
      <c r="AU19" s="2"/>
      <c r="AV19" s="2"/>
      <c r="AW19" s="2"/>
      <c r="AX19" s="2"/>
      <c r="AZ19" t="s">
        <v>3236</v>
      </c>
      <c r="BA19">
        <v>3</v>
      </c>
      <c r="BD19" t="str">
        <f>IF(B23="","",MATCH($B$23,$AZ$17:$AZ$27,0))</f>
        <v/>
      </c>
      <c r="BH19">
        <v>1</v>
      </c>
      <c r="BI19" s="388" t="str">
        <f>IF(K11="",BI13,K11)</f>
        <v/>
      </c>
      <c r="BJ19" s="388" t="str">
        <f>IF(N11="",BJ13,N11)</f>
        <v/>
      </c>
      <c r="BK19" s="388">
        <f>IF(Q11="",BK13,Q11)</f>
        <v>0</v>
      </c>
      <c r="BL19" s="388" t="str">
        <f>IF(T11="",BL13,T11)</f>
        <v/>
      </c>
      <c r="BM19" s="388" t="str">
        <f>IF(W11="",BM13,W11)</f>
        <v/>
      </c>
      <c r="BN19" s="388" t="str">
        <f>IF(Z11="",BN13,Z11)</f>
        <v/>
      </c>
      <c r="BQ19" t="s">
        <v>3253</v>
      </c>
    </row>
    <row r="20" spans="1:118" ht="15.75" thickBot="1">
      <c r="A20" s="2"/>
      <c r="B20" s="2"/>
      <c r="C20" s="2"/>
      <c r="D20" s="2"/>
      <c r="E20" s="2"/>
      <c r="F20" s="2"/>
      <c r="G20" s="1155"/>
      <c r="H20" s="1156"/>
      <c r="I20" s="1156"/>
      <c r="J20" s="1156"/>
      <c r="K20" s="1156"/>
      <c r="L20" s="1156"/>
      <c r="M20" s="1156"/>
      <c r="N20" s="1156"/>
      <c r="O20" s="1156"/>
      <c r="P20" s="1156"/>
      <c r="Q20" s="1156"/>
      <c r="R20" s="1156"/>
      <c r="S20" s="1156"/>
      <c r="T20" s="1156"/>
      <c r="U20" s="1156"/>
      <c r="V20" s="1156"/>
      <c r="W20" s="1156"/>
      <c r="X20" s="1157"/>
      <c r="Y20" s="2"/>
      <c r="Z20" s="2"/>
      <c r="AA20" s="2"/>
      <c r="AB20" s="456"/>
      <c r="AC20" s="2"/>
      <c r="AD20" s="2"/>
      <c r="AE20" s="1059" t="s">
        <v>4048</v>
      </c>
      <c r="AF20" s="1059"/>
      <c r="AG20" s="1059"/>
      <c r="AH20" s="1087"/>
      <c r="AI20" s="1088"/>
      <c r="AJ20" s="1088"/>
      <c r="AK20" s="1088"/>
      <c r="AL20" s="1088"/>
      <c r="AM20" s="1088"/>
      <c r="AN20" s="1088"/>
      <c r="AO20" s="1088"/>
      <c r="AP20" s="1088"/>
      <c r="AQ20" s="1089"/>
      <c r="AR20" s="2"/>
      <c r="AS20" s="2"/>
      <c r="AT20" s="2"/>
      <c r="AU20" s="2"/>
      <c r="AV20" s="2"/>
      <c r="AW20" s="2"/>
      <c r="AX20" s="2"/>
      <c r="AZ20" t="s">
        <v>3239</v>
      </c>
      <c r="BA20">
        <v>4</v>
      </c>
      <c r="BD20" t="str">
        <f>IF(B29="","",MATCH($B$29,$AZ$17:$AZ$27,0))</f>
        <v/>
      </c>
      <c r="BH20">
        <v>2</v>
      </c>
      <c r="BI20" s="123" t="str">
        <f>IF(K17="",BI14,K17)</f>
        <v/>
      </c>
      <c r="BJ20" s="123" t="str">
        <f>IF(N17="",BJ14,N17)</f>
        <v/>
      </c>
      <c r="BK20" s="123">
        <f>IF(Q17="",BK14,Q17)</f>
        <v>0</v>
      </c>
      <c r="BL20" s="123">
        <f>IF(T17="",BL14,T17)</f>
        <v>0</v>
      </c>
      <c r="BM20" s="123" t="str">
        <f>IF(W17="",BM14,W17)</f>
        <v/>
      </c>
      <c r="BN20" s="123" t="str">
        <f>IF(Z17="",BN14,Z17)</f>
        <v/>
      </c>
      <c r="BQ20" s="463" t="s">
        <v>3254</v>
      </c>
      <c r="BU20">
        <v>1</v>
      </c>
    </row>
    <row r="21" spans="1:118" ht="15" thickBot="1">
      <c r="A21" s="134"/>
      <c r="B21" s="134"/>
      <c r="C21" s="134"/>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455"/>
      <c r="AC21" s="2"/>
      <c r="AD21" s="2"/>
      <c r="AE21" s="2"/>
      <c r="AF21" s="2"/>
      <c r="AG21" s="2"/>
      <c r="AH21" s="1090"/>
      <c r="AI21" s="1091"/>
      <c r="AJ21" s="1091"/>
      <c r="AK21" s="1091"/>
      <c r="AL21" s="1091"/>
      <c r="AM21" s="1091"/>
      <c r="AN21" s="1091"/>
      <c r="AO21" s="1091"/>
      <c r="AP21" s="1091"/>
      <c r="AQ21" s="1092"/>
      <c r="AR21" s="2"/>
      <c r="AS21" s="2"/>
      <c r="AT21" s="2"/>
      <c r="AU21" s="2"/>
      <c r="AV21" s="2"/>
      <c r="AW21" s="2"/>
      <c r="AX21" s="2"/>
      <c r="AZ21" t="s">
        <v>3243</v>
      </c>
      <c r="BA21">
        <v>5</v>
      </c>
      <c r="BH21">
        <v>3</v>
      </c>
      <c r="BI21" s="123" t="str">
        <f>IF(K23="",BI15,K23)</f>
        <v/>
      </c>
      <c r="BJ21" s="123" t="str">
        <f>IF(N23="",BJ15,N23)</f>
        <v/>
      </c>
      <c r="BK21" s="123">
        <f>IF(Q23="",BK15,Q23)</f>
        <v>0</v>
      </c>
      <c r="BL21" s="123">
        <f>IF(T23="",BL15,T23)</f>
        <v>0</v>
      </c>
      <c r="BM21" s="123" t="str">
        <f>IF(W23="",BM15,W23)</f>
        <v/>
      </c>
      <c r="BN21" s="123" t="str">
        <f>IF(Z23="",BN15,Z23)</f>
        <v/>
      </c>
      <c r="BQ21" t="s">
        <v>3255</v>
      </c>
      <c r="CB21" t="s">
        <v>4062</v>
      </c>
    </row>
    <row r="22" spans="1:118" ht="14.25" customHeight="1">
      <c r="A22" s="2"/>
      <c r="B22" s="2" t="s">
        <v>3230</v>
      </c>
      <c r="C22" s="2"/>
      <c r="D22" s="2"/>
      <c r="E22" s="2"/>
      <c r="F22" s="2"/>
      <c r="G22" s="2"/>
      <c r="H22" s="2"/>
      <c r="I22" s="2"/>
      <c r="J22" s="2"/>
      <c r="K22" s="1100" t="s">
        <v>3231</v>
      </c>
      <c r="L22" s="1100"/>
      <c r="M22" s="2"/>
      <c r="N22" s="2" t="s">
        <v>3234</v>
      </c>
      <c r="O22" s="2"/>
      <c r="P22" s="2"/>
      <c r="Q22" s="2" t="s">
        <v>3235</v>
      </c>
      <c r="R22" s="2"/>
      <c r="S22" s="2"/>
      <c r="T22" s="2" t="s">
        <v>2819</v>
      </c>
      <c r="U22" s="2"/>
      <c r="V22" s="2"/>
      <c r="W22" s="2" t="s">
        <v>3233</v>
      </c>
      <c r="X22" s="2"/>
      <c r="Y22" s="2"/>
      <c r="Z22" s="2" t="s">
        <v>1846</v>
      </c>
      <c r="AA22" s="2"/>
      <c r="AB22" s="455"/>
      <c r="AC22" s="2"/>
      <c r="AD22" s="2"/>
      <c r="AE22" s="2"/>
      <c r="AF22" s="2"/>
      <c r="AG22" s="2"/>
      <c r="AH22" s="1073" t="s">
        <v>4093</v>
      </c>
      <c r="AI22" s="1073"/>
      <c r="AJ22" s="1074"/>
      <c r="AK22" s="1075"/>
      <c r="AL22" s="1075"/>
      <c r="AM22" s="1075"/>
      <c r="AN22" s="1075"/>
      <c r="AO22" s="1075"/>
      <c r="AP22" s="1075"/>
      <c r="AQ22" s="1076"/>
      <c r="AR22" s="2"/>
      <c r="AS22" s="2"/>
      <c r="AT22" s="2"/>
      <c r="AU22" s="2"/>
      <c r="AV22" s="2"/>
      <c r="AW22" s="2"/>
      <c r="AX22" s="2"/>
      <c r="AZ22" t="s">
        <v>3246</v>
      </c>
      <c r="BA22">
        <v>6</v>
      </c>
      <c r="BH22">
        <v>4</v>
      </c>
      <c r="BI22" s="123" t="str">
        <f>IF(K29="",BI16,K29)</f>
        <v/>
      </c>
      <c r="BJ22" s="123" t="str">
        <f>IF(N29="",BJ16,N29)</f>
        <v/>
      </c>
      <c r="BK22" s="123">
        <f>IF(Q29="",BK16,Q29)</f>
        <v>0</v>
      </c>
      <c r="BL22" s="123">
        <f>IF(T29="",BL16,T29)</f>
        <v>0</v>
      </c>
      <c r="BM22" s="123" t="str">
        <f>IF(W29="",BM16,W29)</f>
        <v/>
      </c>
      <c r="BN22" s="123" t="str">
        <f>IF(Z29="",BN16,Z29)</f>
        <v/>
      </c>
      <c r="BQ22" s="331" t="s">
        <v>3257</v>
      </c>
      <c r="BR22" s="331"/>
      <c r="BS22" s="331"/>
      <c r="BT22" s="331"/>
      <c r="BU22" s="331"/>
      <c r="BV22" s="331"/>
      <c r="BW22" s="331"/>
      <c r="BX22" s="331"/>
      <c r="BY22" s="331"/>
      <c r="BZ22" s="331"/>
      <c r="CA22" s="331"/>
      <c r="CB22" t="s">
        <v>4051</v>
      </c>
      <c r="CC22" t="s">
        <v>4052</v>
      </c>
      <c r="CD22" t="s">
        <v>4053</v>
      </c>
      <c r="CE22" t="s">
        <v>4054</v>
      </c>
      <c r="CF22" t="s">
        <v>4072</v>
      </c>
      <c r="CG22" t="s">
        <v>4055</v>
      </c>
      <c r="CH22" t="s">
        <v>3319</v>
      </c>
      <c r="CI22" t="s">
        <v>4071</v>
      </c>
      <c r="CJ22" t="s">
        <v>4043</v>
      </c>
      <c r="CK22" t="s">
        <v>4056</v>
      </c>
      <c r="CL22" t="s">
        <v>3231</v>
      </c>
      <c r="CM22" t="s">
        <v>4057</v>
      </c>
      <c r="CN22" t="s">
        <v>3540</v>
      </c>
      <c r="CO22" t="s">
        <v>4058</v>
      </c>
      <c r="CP22" t="s">
        <v>4046</v>
      </c>
      <c r="CQ22" t="s">
        <v>4059</v>
      </c>
      <c r="CR22" t="s">
        <v>3233</v>
      </c>
      <c r="CS22" t="s">
        <v>4060</v>
      </c>
      <c r="CT22" t="s">
        <v>4061</v>
      </c>
      <c r="CU22" s="331"/>
      <c r="CV22" s="331"/>
    </row>
    <row r="23" spans="1:118" ht="15" thickBot="1">
      <c r="A23" s="2">
        <v>3</v>
      </c>
      <c r="B23" s="1078"/>
      <c r="C23" s="1079"/>
      <c r="D23" s="1079"/>
      <c r="E23" s="1079"/>
      <c r="F23" s="1079"/>
      <c r="G23" s="1079"/>
      <c r="H23" s="1079"/>
      <c r="I23" s="1162"/>
      <c r="J23" s="2"/>
      <c r="K23" s="1095"/>
      <c r="L23" s="1096"/>
      <c r="M23" s="2"/>
      <c r="N23" s="1095"/>
      <c r="O23" s="1096"/>
      <c r="P23" s="2"/>
      <c r="Q23" s="1095"/>
      <c r="R23" s="1096"/>
      <c r="S23" s="2"/>
      <c r="T23" s="1095"/>
      <c r="U23" s="1096"/>
      <c r="V23" s="2"/>
      <c r="W23" s="1095"/>
      <c r="X23" s="1096"/>
      <c r="Y23" s="2"/>
      <c r="Z23" s="1163"/>
      <c r="AA23" s="1164"/>
      <c r="AB23" s="455"/>
      <c r="AC23" s="134"/>
      <c r="AD23" s="134"/>
      <c r="AE23" s="134"/>
      <c r="AF23" s="134"/>
      <c r="AG23" s="134"/>
      <c r="AH23" s="677"/>
      <c r="AI23" s="677"/>
      <c r="AJ23" s="677"/>
      <c r="AK23" s="677"/>
      <c r="AL23" s="677"/>
      <c r="AM23" s="677"/>
      <c r="AN23" s="677"/>
      <c r="AO23" s="677"/>
      <c r="AP23" s="677"/>
      <c r="AQ23" s="677"/>
      <c r="AR23" s="134"/>
      <c r="AS23" s="134"/>
      <c r="AT23" s="134"/>
      <c r="AU23" s="134"/>
      <c r="AV23" s="134"/>
      <c r="AW23" s="134"/>
      <c r="AX23" s="134"/>
      <c r="AZ23" t="s">
        <v>3229</v>
      </c>
      <c r="BA23">
        <v>7</v>
      </c>
      <c r="BQ23" t="s">
        <v>3258</v>
      </c>
      <c r="BZ23">
        <f>IF(AND($AE$11&lt;&gt;$AY$1,$AH$13&gt;""),CONCATENATE($AH$13," or"),IF(AND($AE$11&lt;&gt;$AY$1,$AH$13=""),$AH$13,IF($AH$13=""," NEED PILOT NAMME NO VALID COVERAGE",$AH$13)))</f>
        <v>0</v>
      </c>
      <c r="CB23">
        <v>1</v>
      </c>
      <c r="CC23" t="s">
        <v>4049</v>
      </c>
      <c r="CE23" t="str">
        <f>IF($AH$19=""," Enter N# terms are not valid",Table27[[#This Row],[N'#s]])</f>
        <v xml:space="preserve"> Enter N# terms are not valid</v>
      </c>
      <c r="CF23" t="str">
        <f>IF($AH$12="","",$AH$12)</f>
        <v/>
      </c>
      <c r="CG23" t="str">
        <f>IF(Table27[[#This Row],[Pilot]]="","","Named Pilots:")</f>
        <v/>
      </c>
      <c r="CH23" t="str">
        <f>IF($BZ$23=0,"",$BZ$23)</f>
        <v/>
      </c>
      <c r="CI23" t="s">
        <v>3242</v>
      </c>
      <c r="CJ23" t="str">
        <f t="shared" ref="CJ23:CJ37" si="8">IF($AK$11="Com","Commercial","ATP")</f>
        <v>ATP</v>
      </c>
      <c r="CT23" t="str">
        <f>CONCATENATE(Table27[[#This Row],[Column2]],Table27[[#This Row],[Column4]],CHAR(10),CHAR(10),Table27[[#This Row],[Column5]],Table27[[#This Row],[Pilot]],CHAR(10),Table27[[#This Row],[Start]])</f>
        <v>As Respects: Enter N# terms are not valid
Named Pilots Only</v>
      </c>
      <c r="CV23">
        <v>1</v>
      </c>
      <c r="CX23" s="1068" t="str">
        <f>CT37</f>
        <v/>
      </c>
      <c r="CY23" s="1068"/>
      <c r="CZ23" s="1068"/>
      <c r="DA23" s="1068"/>
      <c r="DB23" s="1068"/>
      <c r="DC23" s="1068"/>
      <c r="DD23" s="1068"/>
      <c r="DE23" s="1068"/>
      <c r="DF23" s="1068"/>
      <c r="DG23" s="1068"/>
      <c r="DH23" s="1068"/>
      <c r="DI23" s="1068"/>
      <c r="DJ23" s="1068"/>
      <c r="DK23" s="1068"/>
      <c r="DL23" s="1068"/>
      <c r="DM23" s="1068"/>
      <c r="DN23" s="1068"/>
    </row>
    <row r="24" spans="1:118" ht="14.25" customHeight="1">
      <c r="A24" s="2"/>
      <c r="B24" s="1103" t="s">
        <v>3241</v>
      </c>
      <c r="C24" s="1103"/>
      <c r="D24" s="1103"/>
      <c r="E24" s="1103"/>
      <c r="F24" s="1103"/>
      <c r="G24" s="1074"/>
      <c r="H24" s="1075"/>
      <c r="I24" s="1075"/>
      <c r="J24" s="1075"/>
      <c r="K24" s="1075"/>
      <c r="L24" s="1075"/>
      <c r="M24" s="1075"/>
      <c r="N24" s="1075"/>
      <c r="O24" s="1075"/>
      <c r="P24" s="1075"/>
      <c r="Q24" s="1075"/>
      <c r="R24" s="1075"/>
      <c r="S24" s="1075"/>
      <c r="T24" s="1075"/>
      <c r="U24" s="1075"/>
      <c r="V24" s="1075"/>
      <c r="W24" s="1075"/>
      <c r="X24" s="1076"/>
      <c r="Y24" s="2"/>
      <c r="Z24" s="2"/>
      <c r="AA24" s="2"/>
      <c r="AB24" s="455"/>
      <c r="AC24" s="2"/>
      <c r="AD24" s="2"/>
      <c r="AE24" s="1077" t="s">
        <v>3230</v>
      </c>
      <c r="AF24" s="1077"/>
      <c r="AG24" s="1077"/>
      <c r="AH24" s="1077"/>
      <c r="AI24" s="1077"/>
      <c r="AJ24" s="2"/>
      <c r="AK24" s="395" t="s">
        <v>4043</v>
      </c>
      <c r="AL24" s="2"/>
      <c r="AM24" s="395" t="s">
        <v>3231</v>
      </c>
      <c r="AN24" s="395"/>
      <c r="AO24" s="395" t="s">
        <v>3232</v>
      </c>
      <c r="AP24" s="395"/>
      <c r="AQ24" s="395" t="str">
        <f>IF(AE25=$AY$10,"RW-T",IF(AE25=$AY$2,"RG","ME"))</f>
        <v>ME</v>
      </c>
      <c r="AR24" s="395"/>
      <c r="AS24" s="395" t="s">
        <v>3233</v>
      </c>
      <c r="AT24" s="2"/>
      <c r="AU24" s="2"/>
      <c r="AV24" s="2"/>
      <c r="AW24" s="2"/>
      <c r="AX24" s="2"/>
      <c r="AZ24" t="s">
        <v>3237</v>
      </c>
      <c r="BA24">
        <v>8</v>
      </c>
      <c r="BQ24" s="331" t="s">
        <v>3257</v>
      </c>
      <c r="BR24" s="331"/>
      <c r="BS24" s="331"/>
      <c r="BT24" s="331"/>
      <c r="BU24" s="331"/>
      <c r="BV24" s="331"/>
      <c r="BW24" s="331"/>
      <c r="BX24" s="331"/>
      <c r="BY24" s="331"/>
      <c r="BZ24" s="331"/>
      <c r="CA24" s="331"/>
      <c r="CB24">
        <v>2</v>
      </c>
      <c r="CC24" t="s">
        <v>4049</v>
      </c>
      <c r="CE24" s="672" t="str">
        <f>IF(Table27[[#This Row],[N'#s]]=""," Single Engine Turboprop Aircraft",Table27[[#This Row],[N'#s]])</f>
        <v xml:space="preserve"> Single Engine Turboprop Aircraft</v>
      </c>
      <c r="CF24" t="str">
        <f t="shared" ref="CF24:CF36" si="9">IF($AH$12="","",$AH$12)</f>
        <v/>
      </c>
      <c r="CG24" t="str">
        <f>IF(Table27[[#This Row],[Pilot]]="","","Named Pilots:")</f>
        <v/>
      </c>
      <c r="CH24" t="str">
        <f t="shared" ref="CH24:CH37" si="10">IF($BZ$23=0,"",$BZ$23)</f>
        <v/>
      </c>
      <c r="CI24" s="672" t="s">
        <v>4066</v>
      </c>
      <c r="CJ24" s="672" t="str">
        <f t="shared" si="8"/>
        <v>ATP</v>
      </c>
      <c r="CK24" s="672" t="s">
        <v>4068</v>
      </c>
      <c r="CL24" s="676" t="str">
        <f>$AM$11</f>
        <v/>
      </c>
      <c r="CM24" s="672" t="s">
        <v>4067</v>
      </c>
      <c r="CN24" s="676" t="str">
        <f>$AO$11</f>
        <v/>
      </c>
      <c r="CO24" s="672" t="s">
        <v>4069</v>
      </c>
      <c r="CP24" s="676" t="str">
        <f>$AQ$11</f>
        <v/>
      </c>
      <c r="CQ24" s="672" t="s">
        <v>4070</v>
      </c>
      <c r="CR24" s="8" t="str">
        <f>$AS$11</f>
        <v/>
      </c>
      <c r="CS24" s="672"/>
      <c r="CT24" t="str">
        <f>CONCATENATE(Table27[[#This Row],[Column2]],Table27[[#This Row],[Column4]],CHAR(10),CHAR(10),Table27[[#This Row],[Column5]],Table27[[#This Row],[Pilot]],CHAR(10),Table27[[#This Row],[Start]],Table27[[#This Row],[Lic]],Table27[[#This Row],[Column7]],TEXT(Table27[[#This Row],[TT]],"#,##0"),Table27[[#This Row],[Column8]],TEXT(Table27[[#This Row],[ME/RG/RW]],"#,##0"),Table27[[#This Row],[Column10]],Table27[[#This Row],[MM]],Table27[[#This Row],[Column12]])</f>
        <v xml:space="preserve">As Respects: Single Engine Turboprop Aircraft
Any Pilot maintaining a ATP or more advanced pilot certificate, with an Instrument rating, who has logged a minimum of  total hours, including 500 hours in Turboprop aircraft,  hours in aircraft with retractable gear and  hours in the make and model to be flown. </v>
      </c>
      <c r="CU24" s="331"/>
      <c r="CV24" s="331">
        <v>1</v>
      </c>
      <c r="CX24" s="1068"/>
      <c r="CY24" s="1068"/>
      <c r="CZ24" s="1068"/>
      <c r="DA24" s="1068"/>
      <c r="DB24" s="1068"/>
      <c r="DC24" s="1068"/>
      <c r="DD24" s="1068"/>
      <c r="DE24" s="1068"/>
      <c r="DF24" s="1068"/>
      <c r="DG24" s="1068"/>
      <c r="DH24" s="1068"/>
      <c r="DI24" s="1068"/>
      <c r="DJ24" s="1068"/>
      <c r="DK24" s="1068"/>
      <c r="DL24" s="1068"/>
      <c r="DM24" s="1068"/>
      <c r="DN24" s="1068"/>
    </row>
    <row r="25" spans="1:118" ht="15.75">
      <c r="A25" s="2"/>
      <c r="B25" s="1101" t="s">
        <v>3256</v>
      </c>
      <c r="C25" s="1062"/>
      <c r="D25" s="1062"/>
      <c r="E25" s="1062"/>
      <c r="F25" s="1102"/>
      <c r="G25" s="1158"/>
      <c r="H25" s="1153"/>
      <c r="I25" s="1153"/>
      <c r="J25" s="1153"/>
      <c r="K25" s="1153"/>
      <c r="L25" s="1153"/>
      <c r="M25" s="1153"/>
      <c r="N25" s="1153"/>
      <c r="O25" s="1153"/>
      <c r="P25" s="1153"/>
      <c r="Q25" s="1153"/>
      <c r="R25" s="1153"/>
      <c r="S25" s="1153"/>
      <c r="T25" s="1153"/>
      <c r="U25" s="1153"/>
      <c r="V25" s="1153"/>
      <c r="W25" s="1153"/>
      <c r="X25" s="1154"/>
      <c r="Y25" s="2"/>
      <c r="Z25" s="2"/>
      <c r="AA25" s="2"/>
      <c r="AB25" s="455"/>
      <c r="AC25" s="2"/>
      <c r="AD25" s="2">
        <v>4</v>
      </c>
      <c r="AE25" s="1078"/>
      <c r="AF25" s="1079"/>
      <c r="AG25" s="1079"/>
      <c r="AH25" s="1080"/>
      <c r="AI25" s="1081"/>
      <c r="AJ25" s="2"/>
      <c r="AK25" s="471" t="str">
        <f>IFERROR(VLOOKUP(MATCH($AE25,$AY$1:$AY$14,0),$BT$4:$BY$17,2),"")</f>
        <v/>
      </c>
      <c r="AL25" s="2"/>
      <c r="AM25" s="670" t="str">
        <f>IFERROR(VLOOKUP(MATCH($AE25,$AY$1:$AY$14,0),$BT$4:$BY$17,3),"")</f>
        <v/>
      </c>
      <c r="AN25" s="2"/>
      <c r="AO25" s="670" t="str">
        <f>IFERROR(VLOOKUP(MATCH($AE25,$AY$1:$AY$14,0),$BT$4:$BY$17,4),"")</f>
        <v/>
      </c>
      <c r="AP25" s="2"/>
      <c r="AQ25" s="670" t="str">
        <f>IFERROR(VLOOKUP(MATCH($AE25,$AY$1:$AY$14,0),$BT$4:$BY$17,5),"")</f>
        <v/>
      </c>
      <c r="AR25" s="2"/>
      <c r="AS25" s="671" t="str">
        <f>IFERROR(VLOOKUP(MATCH($AE25,$AY$1:$AY$14,0),$BT$4:$BY$17,6),"")</f>
        <v/>
      </c>
      <c r="AT25" s="2"/>
      <c r="AU25" s="2"/>
      <c r="AV25" s="2"/>
      <c r="AW25" s="2"/>
      <c r="AX25" s="2"/>
      <c r="AZ25" t="s">
        <v>3240</v>
      </c>
      <c r="BA25">
        <v>9</v>
      </c>
      <c r="BP25">
        <v>1</v>
      </c>
      <c r="BQ25" t="str">
        <f>IF(AH5="","As Respects All Aircraft:",CONCATENATE("As Respects:",AH5,":"))</f>
        <v>As Respects All Aircraft:</v>
      </c>
      <c r="CB25">
        <v>3</v>
      </c>
      <c r="CC25" t="s">
        <v>4049</v>
      </c>
      <c r="CE25" s="672" t="str">
        <f>IF(Table27[[#This Row],[N'#s]]=""," Multiengine Turboprop Aircraft Requiring Only One (1) Crewmember",Table27[[#This Row],[N'#s]])</f>
        <v xml:space="preserve"> Multiengine Turboprop Aircraft Requiring Only One (1) Crewmember</v>
      </c>
      <c r="CF25" t="str">
        <f t="shared" si="9"/>
        <v/>
      </c>
      <c r="CG25" t="str">
        <f>IF(Table27[[#This Row],[Pilot]]="","","Named Pilots:")</f>
        <v/>
      </c>
      <c r="CH25" t="str">
        <f t="shared" si="10"/>
        <v/>
      </c>
      <c r="CI25" s="672" t="s">
        <v>4066</v>
      </c>
      <c r="CJ25" s="672" t="str">
        <f t="shared" si="8"/>
        <v>ATP</v>
      </c>
      <c r="CK25" s="672" t="s">
        <v>4075</v>
      </c>
      <c r="CL25" s="676" t="str">
        <f t="shared" ref="CL25:CL32" si="11">$AM$11</f>
        <v/>
      </c>
      <c r="CM25" s="672" t="s">
        <v>4074</v>
      </c>
      <c r="CN25" s="676" t="str">
        <f t="shared" ref="CN25:CN32" si="12">$AO$11</f>
        <v/>
      </c>
      <c r="CO25" s="672" t="s">
        <v>4078</v>
      </c>
      <c r="CP25" s="676" t="str">
        <f t="shared" ref="CP25:CP32" si="13">$AQ$11</f>
        <v/>
      </c>
      <c r="CQ25" s="672" t="s">
        <v>4076</v>
      </c>
      <c r="CR25" t="str">
        <f t="shared" ref="CR25:CR32" si="14">$AS$11</f>
        <v/>
      </c>
      <c r="CS25" s="673" t="s">
        <v>4077</v>
      </c>
      <c r="CT25" t="str">
        <f>CONCATENATE(Table27[[#This Row],[Column2]],Table27[[#This Row],[Column4]],CHAR(10),CHAR(10),Table27[[#This Row],[Column5]],Table27[[#This Row],[Pilot]],CHAR(10),Table27[[#This Row],[Start]],Table27[[#This Row],[Lic]],Table27[[#This Row],[Column7]],TEXT(Table27[[#This Row],[TT]],"#,##0"),Table27[[#This Row],[Column8]],TEXT(Table27[[#This Row],[ME/RG/RW]],"#,##0"),Table27[[#This Row],[Column10]],Table27[[#This Row],[Turbine]],Table27[[#This Row],[Column12]],Table27[[#This Row],[MM]],Table27[[#This Row],[Column14]])</f>
        <v xml:space="preserve">As Respects: Multiengine Turboprop Aircraft Requiring Only One (1) Crewmember
Any Pilot maintaining a ATP or more advanced pilot certificate, with Multiengine and Instrument ratings, who has logged a minimum of  total hours, including  hours in multiengine aircraft,  hours in Turboprop aircraft, and  hours in the make and model to be flown.  </v>
      </c>
      <c r="CV25">
        <v>1</v>
      </c>
      <c r="CX25" s="1068"/>
      <c r="CY25" s="1068"/>
      <c r="CZ25" s="1068"/>
      <c r="DA25" s="1068"/>
      <c r="DB25" s="1068"/>
      <c r="DC25" s="1068"/>
      <c r="DD25" s="1068"/>
      <c r="DE25" s="1068"/>
      <c r="DF25" s="1068"/>
      <c r="DG25" s="1068"/>
      <c r="DH25" s="1068"/>
      <c r="DI25" s="1068"/>
      <c r="DJ25" s="1068"/>
      <c r="DK25" s="1068"/>
      <c r="DL25" s="1068"/>
      <c r="DM25" s="1068"/>
      <c r="DN25" s="1068"/>
    </row>
    <row r="26" spans="1:118" ht="16.5" customHeight="1" thickBot="1">
      <c r="A26" s="2"/>
      <c r="B26" s="2"/>
      <c r="C26" s="2"/>
      <c r="D26" s="2"/>
      <c r="E26" s="2"/>
      <c r="F26" s="2"/>
      <c r="G26" s="1155"/>
      <c r="H26" s="1156"/>
      <c r="I26" s="1156"/>
      <c r="J26" s="1156"/>
      <c r="K26" s="1156"/>
      <c r="L26" s="1156"/>
      <c r="M26" s="1156"/>
      <c r="N26" s="1156"/>
      <c r="O26" s="1156"/>
      <c r="P26" s="1156"/>
      <c r="Q26" s="1156"/>
      <c r="R26" s="1156"/>
      <c r="S26" s="1156"/>
      <c r="T26" s="1156"/>
      <c r="U26" s="1156"/>
      <c r="V26" s="1156"/>
      <c r="W26" s="1156"/>
      <c r="X26" s="1157"/>
      <c r="Y26" s="2"/>
      <c r="Z26" s="2"/>
      <c r="AA26" s="2"/>
      <c r="AB26" s="456"/>
      <c r="AC26" s="2"/>
      <c r="AD26" s="2"/>
      <c r="AE26" s="1082" t="s">
        <v>3241</v>
      </c>
      <c r="AF26" s="1082"/>
      <c r="AG26" s="1083"/>
      <c r="AH26" s="1084"/>
      <c r="AI26" s="1085"/>
      <c r="AJ26" s="1085"/>
      <c r="AK26" s="1085"/>
      <c r="AL26" s="1085"/>
      <c r="AM26" s="1085"/>
      <c r="AN26" s="1085"/>
      <c r="AO26" s="1085"/>
      <c r="AP26" s="1085"/>
      <c r="AQ26" s="1086"/>
      <c r="AR26" s="2"/>
      <c r="AS26" s="2"/>
      <c r="AT26" s="2"/>
      <c r="AU26" s="2"/>
      <c r="AV26" s="2"/>
      <c r="AW26" s="2"/>
      <c r="AX26" s="2"/>
      <c r="AZ26" t="s">
        <v>3244</v>
      </c>
      <c r="BA26">
        <v>10</v>
      </c>
      <c r="BP26">
        <v>2</v>
      </c>
      <c r="BQ26" t="str">
        <f>IF(AH26="","As Respects All Aircraft:",CONCATENATE("As Respects:",AH26,":"))</f>
        <v>As Respects All Aircraft:</v>
      </c>
      <c r="CB26">
        <v>4</v>
      </c>
      <c r="CC26" t="s">
        <v>4049</v>
      </c>
      <c r="CE26" s="672" t="str">
        <f>IF(Table27[[#This Row],[N'#s]]=""," The Pilot-In-Command of Multiengine Turboprop Aircraft Requiring Two (2) Crewmembers",Table27[[#This Row],[N'#s]])</f>
        <v xml:space="preserve"> The Pilot-In-Command of Multiengine Turboprop Aircraft Requiring Two (2) Crewmembers</v>
      </c>
      <c r="CF26" t="str">
        <f t="shared" si="9"/>
        <v/>
      </c>
      <c r="CG26" t="str">
        <f>IF(Table27[[#This Row],[Pilot]]="","","Named Pilots:")</f>
        <v/>
      </c>
      <c r="CH26" t="str">
        <f t="shared" si="10"/>
        <v/>
      </c>
      <c r="CI26" s="672" t="s">
        <v>4066</v>
      </c>
      <c r="CJ26" s="672" t="str">
        <f t="shared" si="8"/>
        <v>ATP</v>
      </c>
      <c r="CK26" s="672" t="s">
        <v>4073</v>
      </c>
      <c r="CL26" s="676" t="str">
        <f t="shared" si="11"/>
        <v/>
      </c>
      <c r="CM26" s="672" t="s">
        <v>4074</v>
      </c>
      <c r="CN26" s="676" t="str">
        <f t="shared" si="12"/>
        <v/>
      </c>
      <c r="CO26" s="672" t="s">
        <v>4078</v>
      </c>
      <c r="CP26" s="676" t="str">
        <f t="shared" si="13"/>
        <v/>
      </c>
      <c r="CQ26" s="672" t="s">
        <v>4076</v>
      </c>
      <c r="CR26" t="str">
        <f t="shared" si="14"/>
        <v/>
      </c>
      <c r="CS26" s="672" t="s">
        <v>4077</v>
      </c>
      <c r="CT26" t="str">
        <f>CONCATENATE(Table27[[#This Row],[Column2]],Table27[[#This Row],[Column4]],CHAR(10),CHAR(10),Table27[[#This Row],[Column5]],Table27[[#This Row],[Pilot]],CHAR(10),Table27[[#This Row],[Start]],Table27[[#This Row],[Lic]],Table27[[#This Row],[Column7]],TEXT(Table27[[#This Row],[TT]],"#,#0"),Table27[[#This Row],[Column8]],TEXT(Table27[[#This Row],[ME/RG/RW]],"#,#0"),Table27[[#This Row],[Column10]],Table27[[#This Row],[Turbine]],Table27[[#This Row],[Column12]],Table27[[#This Row],[MM]],Table27[[#This Row],[Column14]])</f>
        <v xml:space="preserve">As Respects: The Pilot-In-Command of Multiengine Turboprop Aircraft Requiring Two (2) Crewmembers
Any Pilot maintaining a ATPor more advanced pilot certificate, with Multiengine and Instrument ratings, who has logged a minimum of  total hours, including  hours in multiengine aircraft,  hours in Turboprop aircraft, and  hours in the make and model to be flown.  </v>
      </c>
      <c r="CV26" s="331">
        <v>1</v>
      </c>
      <c r="CX26" s="1068"/>
      <c r="CY26" s="1068"/>
      <c r="CZ26" s="1068"/>
      <c r="DA26" s="1068"/>
      <c r="DB26" s="1068"/>
      <c r="DC26" s="1068"/>
      <c r="DD26" s="1068"/>
      <c r="DE26" s="1068"/>
      <c r="DF26" s="1068"/>
      <c r="DG26" s="1068"/>
      <c r="DH26" s="1068"/>
      <c r="DI26" s="1068"/>
      <c r="DJ26" s="1068"/>
      <c r="DK26" s="1068"/>
      <c r="DL26" s="1068"/>
      <c r="DM26" s="1068"/>
      <c r="DN26" s="1068"/>
    </row>
    <row r="27" spans="1:118" ht="12.75" customHeight="1" thickBot="1">
      <c r="A27" s="134"/>
      <c r="B27" s="134"/>
      <c r="C27" s="134"/>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455"/>
      <c r="AC27" s="2"/>
      <c r="AD27" s="2"/>
      <c r="AE27" s="1059" t="s">
        <v>4048</v>
      </c>
      <c r="AF27" s="1059"/>
      <c r="AG27" s="1059"/>
      <c r="AH27" s="1087"/>
      <c r="AI27" s="1088"/>
      <c r="AJ27" s="1088"/>
      <c r="AK27" s="1088"/>
      <c r="AL27" s="1088"/>
      <c r="AM27" s="1088"/>
      <c r="AN27" s="1088"/>
      <c r="AO27" s="1088"/>
      <c r="AP27" s="1088"/>
      <c r="AQ27" s="1089"/>
      <c r="AR27" s="2"/>
      <c r="AS27" s="2"/>
      <c r="AT27" s="2"/>
      <c r="AU27" s="2"/>
      <c r="AV27" s="2"/>
      <c r="AW27" s="2"/>
      <c r="AX27" s="2"/>
      <c r="AZ27" t="s">
        <v>3260</v>
      </c>
      <c r="BA27">
        <v>11</v>
      </c>
      <c r="CB27">
        <v>5</v>
      </c>
      <c r="CC27" t="s">
        <v>4049</v>
      </c>
      <c r="CE27" s="672" t="str">
        <f>IF(Table27[[#This Row],[N'#s]]=""," The Second in Command of Multiengine Turboprop Aircraft Requiring Two (2) Crewmembers",Table27[[#This Row],[N'#s]])</f>
        <v xml:space="preserve"> The Second in Command of Multiengine Turboprop Aircraft Requiring Two (2) Crewmembers</v>
      </c>
      <c r="CF27" t="str">
        <f t="shared" si="9"/>
        <v/>
      </c>
      <c r="CG27" t="str">
        <f>IF(Table27[[#This Row],[Pilot]]="","","Named Pilots:")</f>
        <v/>
      </c>
      <c r="CH27" t="str">
        <f t="shared" si="10"/>
        <v/>
      </c>
      <c r="CI27" s="672" t="s">
        <v>4066</v>
      </c>
      <c r="CJ27" s="672" t="str">
        <f t="shared" si="8"/>
        <v>ATP</v>
      </c>
      <c r="CK27" s="672" t="s">
        <v>4075</v>
      </c>
      <c r="CL27" s="676" t="str">
        <f t="shared" si="11"/>
        <v/>
      </c>
      <c r="CM27" s="672" t="s">
        <v>4074</v>
      </c>
      <c r="CN27" s="676" t="str">
        <f t="shared" si="12"/>
        <v/>
      </c>
      <c r="CO27" s="672" t="s">
        <v>4078</v>
      </c>
      <c r="CP27" s="676" t="str">
        <f t="shared" si="13"/>
        <v/>
      </c>
      <c r="CQ27" t="s">
        <v>4085</v>
      </c>
      <c r="CR27" t="str">
        <f t="shared" si="14"/>
        <v/>
      </c>
      <c r="CS27" s="672"/>
      <c r="CT27" t="str">
        <f xml:space="preserve"> CONCATENATE(Table27[[#This Row],[Column2]],Table27[[#This Row],[Column4]],CHAR(10),CHAR(10),Table27[[#This Row],[Column5]],Table27[[#This Row],[Pilot]],CHAR(10),Table27[[#This Row],[Start]],Table27[[#This Row],[Lic]],Table27[[#This Row],[Column7]],TEXT(Table27[[#This Row],[TT]],"#,#0"),Table27[[#This Row],[Column8]],TEXT(Table27[[#This Row],[ME/RG/RW]],"#,#0"),Table27[[#This Row],[Column10]],Table27[[#This Row],[Turbine]],Table27[[#This Row],[Column12]])</f>
        <v>As Respects: The Second in Command of Multiengine Turboprop Aircraft Requiring Two (2) Crewmembers
Any Pilot maintaining a ATP or more advanced pilot certificate, with Multiengine and Instrument ratings, who has logged a minimum of  total hours, including  hours in multiengine aircraft,  hours in Turboprop aircraft.</v>
      </c>
      <c r="CV27">
        <v>1</v>
      </c>
      <c r="CX27" s="1068"/>
      <c r="CY27" s="1068"/>
      <c r="CZ27" s="1068"/>
      <c r="DA27" s="1068"/>
      <c r="DB27" s="1068"/>
      <c r="DC27" s="1068"/>
      <c r="DD27" s="1068"/>
      <c r="DE27" s="1068"/>
      <c r="DF27" s="1068"/>
      <c r="DG27" s="1068"/>
      <c r="DH27" s="1068"/>
      <c r="DI27" s="1068"/>
      <c r="DJ27" s="1068"/>
      <c r="DK27" s="1068"/>
      <c r="DL27" s="1068"/>
      <c r="DM27" s="1068"/>
      <c r="DN27" s="1068"/>
    </row>
    <row r="28" spans="1:118" ht="15.75">
      <c r="A28" s="2"/>
      <c r="B28" s="1099" t="s">
        <v>3230</v>
      </c>
      <c r="C28" s="1100"/>
      <c r="D28" s="1100"/>
      <c r="E28" s="1100"/>
      <c r="F28" s="1100"/>
      <c r="G28" s="1100"/>
      <c r="H28" s="1100"/>
      <c r="I28" s="1100"/>
      <c r="J28" s="2"/>
      <c r="K28" s="1059" t="s">
        <v>3231</v>
      </c>
      <c r="L28" s="1059"/>
      <c r="M28" s="2"/>
      <c r="N28" s="1100" t="s">
        <v>3234</v>
      </c>
      <c r="O28" s="1100"/>
      <c r="P28" s="2"/>
      <c r="Q28" s="1100" t="s">
        <v>3235</v>
      </c>
      <c r="R28" s="1100"/>
      <c r="S28" s="2"/>
      <c r="T28" s="1100" t="s">
        <v>2819</v>
      </c>
      <c r="U28" s="1100"/>
      <c r="V28" s="2"/>
      <c r="W28" s="1100" t="s">
        <v>3233</v>
      </c>
      <c r="X28" s="1100"/>
      <c r="Y28" s="2"/>
      <c r="Z28" s="1059" t="s">
        <v>1846</v>
      </c>
      <c r="AA28" s="1059"/>
      <c r="AB28" s="455"/>
      <c r="AC28" s="2"/>
      <c r="AD28" s="2"/>
      <c r="AE28" s="2"/>
      <c r="AF28" s="2"/>
      <c r="AG28" s="2"/>
      <c r="AH28" s="1090"/>
      <c r="AI28" s="1091"/>
      <c r="AJ28" s="1091"/>
      <c r="AK28" s="1091"/>
      <c r="AL28" s="1091"/>
      <c r="AM28" s="1091"/>
      <c r="AN28" s="1091"/>
      <c r="AO28" s="1091"/>
      <c r="AP28" s="1091"/>
      <c r="AQ28" s="1092"/>
      <c r="AR28" s="2"/>
      <c r="AS28" s="2"/>
      <c r="AT28" s="2"/>
      <c r="AU28" s="2"/>
      <c r="AV28" s="2"/>
      <c r="AW28" s="2"/>
      <c r="AX28" s="2"/>
      <c r="AZ28" t="str">
        <f>IF(G13&gt;""," or","")</f>
        <v/>
      </c>
      <c r="BP28" s="464" t="s">
        <v>3261</v>
      </c>
      <c r="BS28" t="str">
        <f>IF(IF(AE4=AY1,CONCATENATE(BQ25,CHAR(10),AH6," or:",CHAR(10),BQ12))=FALSE,"",IF(AE4=AY1,CONCATENATE(BQ25,CHAR(10),AH6," or:",CHAR(10),BQ12, CHAR(10),CHAR(10),BQ20)))</f>
        <v/>
      </c>
      <c r="CB28">
        <v>6</v>
      </c>
      <c r="CC28" t="s">
        <v>4049</v>
      </c>
      <c r="CE28" s="672" t="str">
        <f>IF(Table27[[#This Row],[N'#s]]=""," Single Engine Jet Aircraft",Table27[[#This Row],[N'#s]])</f>
        <v xml:space="preserve"> Single Engine Jet Aircraft</v>
      </c>
      <c r="CF28" t="str">
        <f t="shared" si="9"/>
        <v/>
      </c>
      <c r="CG28" t="str">
        <f>IF(Table27[[#This Row],[Pilot]]="","","Named Pilots:")</f>
        <v/>
      </c>
      <c r="CH28" t="str">
        <f t="shared" si="10"/>
        <v/>
      </c>
      <c r="CI28" s="672" t="s">
        <v>4066</v>
      </c>
      <c r="CJ28" s="672" t="str">
        <f t="shared" si="8"/>
        <v>ATP</v>
      </c>
      <c r="CK28" s="672" t="s">
        <v>4083</v>
      </c>
      <c r="CL28" s="676" t="str">
        <f t="shared" si="11"/>
        <v/>
      </c>
      <c r="CM28" s="672" t="s">
        <v>4074</v>
      </c>
      <c r="CN28" s="676" t="str">
        <f t="shared" si="12"/>
        <v/>
      </c>
      <c r="CO28" s="672" t="s">
        <v>4081</v>
      </c>
      <c r="CP28" s="676" t="str">
        <f t="shared" si="13"/>
        <v/>
      </c>
      <c r="CR28" t="str">
        <f t="shared" si="14"/>
        <v/>
      </c>
      <c r="CS28" s="673" t="s">
        <v>4079</v>
      </c>
      <c r="CT28" t="str">
        <f xml:space="preserve"> CONCATENATE(Table27[[#This Row],[Column2]],Table27[[#This Row],[Column4]],CHAR(10),CHAR(10),Table27[[#This Row],[Column5]],Table27[[#This Row],[Pilot]],CHAR(10),Table27[[#This Row],[Start]],Table27[[#This Row],[Lic]],Table27[[#This Row],[Column7]],TEXT(Table27[[#This Row],[TT]],"#,#0"),Table27[[#This Row],[Column8]],Table27[[#This Row],[Turbine]],Table27[[#This Row],[Column10]],Table27[[#This Row],[MM]],Table27[[#This Row],[Column14]])</f>
        <v xml:space="preserve">As Respects: Single Engine Jet Aircraft
Any Pilot maintaining a ATP or more advanced pilot certificate, with Instrument ratings, who has logged a minimum of  total hours, including  hours in turbojet aircraft, and  hours in the make and model to be flown.  Additionally, the Pilot must be Type Rated in the Make and Model to be flown.  </v>
      </c>
      <c r="CV28" s="331">
        <v>1</v>
      </c>
      <c r="CX28" s="1068"/>
      <c r="CY28" s="1068"/>
      <c r="CZ28" s="1068"/>
      <c r="DA28" s="1068"/>
      <c r="DB28" s="1068"/>
      <c r="DC28" s="1068"/>
      <c r="DD28" s="1068"/>
      <c r="DE28" s="1068"/>
      <c r="DF28" s="1068"/>
      <c r="DG28" s="1068"/>
      <c r="DH28" s="1068"/>
      <c r="DI28" s="1068"/>
      <c r="DJ28" s="1068"/>
      <c r="DK28" s="1068"/>
      <c r="DL28" s="1068"/>
      <c r="DM28" s="1068"/>
      <c r="DN28" s="1068"/>
    </row>
    <row r="29" spans="1:118" ht="14.25" customHeight="1">
      <c r="A29" s="2">
        <v>4</v>
      </c>
      <c r="B29" s="1078"/>
      <c r="C29" s="1079"/>
      <c r="D29" s="1079"/>
      <c r="E29" s="1079"/>
      <c r="F29" s="1079"/>
      <c r="G29" s="1079"/>
      <c r="H29" s="1079"/>
      <c r="I29" s="1162"/>
      <c r="J29" s="2"/>
      <c r="K29" s="1095"/>
      <c r="L29" s="1096"/>
      <c r="M29" s="2"/>
      <c r="N29" s="1095"/>
      <c r="O29" s="1096"/>
      <c r="P29" s="2"/>
      <c r="Q29" s="1095"/>
      <c r="R29" s="1096"/>
      <c r="S29" s="2"/>
      <c r="T29" s="1095"/>
      <c r="U29" s="1096"/>
      <c r="V29" s="2"/>
      <c r="W29" s="1095"/>
      <c r="X29" s="1096"/>
      <c r="Y29" s="2"/>
      <c r="Z29" s="1163"/>
      <c r="AA29" s="1164"/>
      <c r="AB29" s="455"/>
      <c r="AC29" s="2"/>
      <c r="AD29" s="2"/>
      <c r="AE29" s="2"/>
      <c r="AF29" s="2"/>
      <c r="AG29" s="2"/>
      <c r="AH29" s="1073" t="s">
        <v>4093</v>
      </c>
      <c r="AI29" s="1073"/>
      <c r="AJ29" s="1074"/>
      <c r="AK29" s="1075"/>
      <c r="AL29" s="1075"/>
      <c r="AM29" s="1075"/>
      <c r="AN29" s="1075"/>
      <c r="AO29" s="1075"/>
      <c r="AP29" s="1075"/>
      <c r="AQ29" s="1076"/>
      <c r="AR29" s="2"/>
      <c r="AS29" s="2"/>
      <c r="AT29" s="2"/>
      <c r="AU29" s="2"/>
      <c r="AV29" s="2"/>
      <c r="AW29" s="2"/>
      <c r="AX29" s="2"/>
      <c r="AZ29" t="str">
        <f>IF(G19&gt;""," or","")</f>
        <v/>
      </c>
      <c r="BP29" s="464" t="s">
        <v>3261</v>
      </c>
      <c r="BS29" t="str">
        <f>IF(IF(AE4=AY2,CONCATENATE(BQ25,CHAR(10),BQ15,CHAR(10),AH6," or:",CHAR(10),BQ16,CHAR(10),CHAR(10),BQ17,CHAR(10),#REF!,"or:",CHAR(10),BQ18,CHAR(10),CHAR(10),BQ20))=FALSE,"",IF(AE4=AY2,CONCATENATE(BQ25,CHAR(10),BQ15,CHAR(10),AH6," or",CHAR(10),BQ16,CHAR(10),CHAR(10),BQ17,CHAR(10),#REF!,"or:",CHAR(10),BQ18,CHAR(10),CHAR(10),BQ20)))</f>
        <v/>
      </c>
      <c r="CB29">
        <v>7</v>
      </c>
      <c r="CC29" t="s">
        <v>4049</v>
      </c>
      <c r="CE29" s="672" t="str">
        <f>IF(Table27[[#This Row],[N'#s]]=""," Jet Aircraft Requiring Only One (1) Crewmember",Table27[[#This Row],[N'#s]])</f>
        <v xml:space="preserve"> Jet Aircraft Requiring Only One (1) Crewmember</v>
      </c>
      <c r="CF29" t="str">
        <f t="shared" si="9"/>
        <v/>
      </c>
      <c r="CG29" t="str">
        <f>IF(Table27[[#This Row],[Pilot]]="","","Named Pilots:")</f>
        <v/>
      </c>
      <c r="CH29" t="str">
        <f t="shared" si="10"/>
        <v/>
      </c>
      <c r="CI29" s="672" t="s">
        <v>4066</v>
      </c>
      <c r="CJ29" s="672" t="str">
        <f t="shared" si="8"/>
        <v>ATP</v>
      </c>
      <c r="CK29" s="672" t="s">
        <v>4075</v>
      </c>
      <c r="CL29" s="676" t="str">
        <f t="shared" si="11"/>
        <v/>
      </c>
      <c r="CM29" s="672" t="s">
        <v>4074</v>
      </c>
      <c r="CN29" s="676" t="str">
        <f t="shared" si="12"/>
        <v/>
      </c>
      <c r="CO29" s="672" t="s">
        <v>4087</v>
      </c>
      <c r="CP29" s="676" t="str">
        <f t="shared" si="13"/>
        <v/>
      </c>
      <c r="CQ29" s="672" t="s">
        <v>4081</v>
      </c>
      <c r="CR29" t="str">
        <f t="shared" si="14"/>
        <v/>
      </c>
      <c r="CS29" s="672" t="s">
        <v>4086</v>
      </c>
      <c r="CT29" t="str">
        <f xml:space="preserve"> CONCATENATE(Table27[[#This Row],[Column2]],Table27[[#This Row],[Column4]],CHAR(10),CHAR(10),Table27[[#This Row],[Column5]],Table27[[#This Row],[Pilot]],CHAR(10),Table27[[#This Row],[Start]],Table27[[#This Row],[Lic]],Table27[[#This Row],[Column7]],TEXT(Table27[[#This Row],[TT]],"#,#0"),Table27[[#This Row],[Column8]],TEXT(Table27[[#This Row],[ME/RG/RW]],"#,#0"),Table27[[#This Row],[Column10]],Table27[[#This Row],[Turbine]],Table27[[#This Row],[Column12]],Table27[[#This Row],[MM]],Table27[[#This Row],[Column14]])</f>
        <v xml:space="preserve">As Respects: Jet Aircraft Requiring Only One (1) Crewmember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29">
        <v>1</v>
      </c>
      <c r="CX29" s="1068"/>
      <c r="CY29" s="1068"/>
      <c r="CZ29" s="1068"/>
      <c r="DA29" s="1068"/>
      <c r="DB29" s="1068"/>
      <c r="DC29" s="1068"/>
      <c r="DD29" s="1068"/>
      <c r="DE29" s="1068"/>
      <c r="DF29" s="1068"/>
      <c r="DG29" s="1068"/>
      <c r="DH29" s="1068"/>
      <c r="DI29" s="1068"/>
      <c r="DJ29" s="1068"/>
      <c r="DK29" s="1068"/>
      <c r="DL29" s="1068"/>
      <c r="DM29" s="1068"/>
      <c r="DN29" s="1068"/>
    </row>
    <row r="30" spans="1:118" ht="16.5" thickBot="1">
      <c r="A30" s="2"/>
      <c r="B30" s="1103" t="s">
        <v>3241</v>
      </c>
      <c r="C30" s="1103"/>
      <c r="D30" s="1103"/>
      <c r="E30" s="1103"/>
      <c r="F30" s="1103"/>
      <c r="G30" s="1074"/>
      <c r="H30" s="1075"/>
      <c r="I30" s="1075"/>
      <c r="J30" s="1075"/>
      <c r="K30" s="1075"/>
      <c r="L30" s="1075"/>
      <c r="M30" s="1075"/>
      <c r="N30" s="1075"/>
      <c r="O30" s="1075"/>
      <c r="P30" s="1075"/>
      <c r="Q30" s="1075"/>
      <c r="R30" s="1075"/>
      <c r="S30" s="1075"/>
      <c r="T30" s="1075"/>
      <c r="U30" s="1075"/>
      <c r="V30" s="1075"/>
      <c r="W30" s="1075"/>
      <c r="X30" s="1076"/>
      <c r="Y30" s="2"/>
      <c r="Z30" s="2"/>
      <c r="AA30" s="2"/>
      <c r="AB30" s="455"/>
      <c r="AC30" s="134"/>
      <c r="AD30" s="134"/>
      <c r="AE30" s="134"/>
      <c r="AF30" s="134"/>
      <c r="AG30" s="134"/>
      <c r="AH30" s="677"/>
      <c r="AI30" s="677"/>
      <c r="AJ30" s="677"/>
      <c r="AK30" s="677"/>
      <c r="AL30" s="677"/>
      <c r="AM30" s="677"/>
      <c r="AN30" s="677"/>
      <c r="AO30" s="677"/>
      <c r="AP30" s="677"/>
      <c r="AQ30" s="677"/>
      <c r="AR30" s="134"/>
      <c r="AS30" s="134"/>
      <c r="AT30" s="134"/>
      <c r="AU30" s="134"/>
      <c r="AV30" s="134"/>
      <c r="AW30" s="134"/>
      <c r="AX30" s="134"/>
      <c r="AZ30" t="str">
        <f>IF(G25&gt;""," or","")</f>
        <v/>
      </c>
      <c r="BP30" s="464" t="s">
        <v>3261</v>
      </c>
      <c r="BS30" t="str">
        <f>IF(IF(AE4=AY3,CONCATENATE(BQ25,CHAR(10),BQ15,CHAR(10),AH6,CHAR(10)," or:",BQ16,CHAR(10),CHAR(10),BQ17,CHAR(10),#REF!," or:",CHAR(10),BQ24,CHAR(10),CHAR(10),BQ20))=FALSE,"",IF(AE4=AY3,CONCATENATE(BQ25,CHAR(10),BQ15,CHAR(10),AH6,CHAR(10)," or:",BQ16,CHAR(10),CHAR(10),BQ17,CHAR(10),#REF!," or:",CHAR(10),BQ24,CHAR(10),CHAR(10),BQ20)))</f>
        <v/>
      </c>
      <c r="CB30">
        <v>8</v>
      </c>
      <c r="CC30" t="s">
        <v>4049</v>
      </c>
      <c r="CE30" s="672" t="str">
        <f>IF(Table27[[#This Row],[N'#s]]=""," The Pilot-In-Command of Jet Aircraft Requiring Two (2) Crewmembers",Table27[[#This Row],[N'#s]])</f>
        <v xml:space="preserve"> The Pilot-In-Command of Jet Aircraft Requiring Two (2) Crewmembers</v>
      </c>
      <c r="CF30" t="str">
        <f t="shared" si="9"/>
        <v/>
      </c>
      <c r="CG30" t="str">
        <f>IF(Table27[[#This Row],[Pilot]]="","","Named Pilots:")</f>
        <v/>
      </c>
      <c r="CH30" t="str">
        <f t="shared" si="10"/>
        <v/>
      </c>
      <c r="CI30" s="672" t="s">
        <v>4066</v>
      </c>
      <c r="CJ30" s="672" t="str">
        <f t="shared" si="8"/>
        <v>ATP</v>
      </c>
      <c r="CK30" s="672" t="s">
        <v>4075</v>
      </c>
      <c r="CL30" s="676" t="str">
        <f t="shared" si="11"/>
        <v/>
      </c>
      <c r="CM30" s="672" t="s">
        <v>4074</v>
      </c>
      <c r="CN30" s="676" t="str">
        <f t="shared" si="12"/>
        <v/>
      </c>
      <c r="CO30" s="672" t="s">
        <v>4087</v>
      </c>
      <c r="CP30" s="676" t="str">
        <f t="shared" si="13"/>
        <v/>
      </c>
      <c r="CQ30" s="672" t="s">
        <v>4081</v>
      </c>
      <c r="CR30" t="str">
        <f t="shared" si="14"/>
        <v/>
      </c>
      <c r="CS30" s="672" t="s">
        <v>4088</v>
      </c>
      <c r="CT30" t="str">
        <f xml:space="preserve"> CONCATENATE(Table27[[#This Row],[Column2]],Table27[[#This Row],[Column4]],CHAR(10),CHAR(10),Table27[[#This Row],[Column5]],Table27[[#This Row],[Pilot]],CHAR(10),Table27[[#This Row],[Start]],Table27[[#This Row],[Lic]],Table27[[#This Row],[Column7]],TEXT(Table27[[#This Row],[TT]],"#,#0"),Table27[[#This Row],[Column8]],TEXT(Table27[[#This Row],[ME/RG/RW]],"#,#0"),Table27[[#This Row],[Column10]],Table27[[#This Row],[Turbine]],Table27[[#This Row],[Column12]],Table27[[#This Row],[MM]],Table27[[#This Row],[Column14]])</f>
        <v xml:space="preserve">As Respects: The Pilot-In-Command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30" s="331">
        <v>1</v>
      </c>
      <c r="CX30" s="1068"/>
      <c r="CY30" s="1068"/>
      <c r="CZ30" s="1068"/>
      <c r="DA30" s="1068"/>
      <c r="DB30" s="1068"/>
      <c r="DC30" s="1068"/>
      <c r="DD30" s="1068"/>
      <c r="DE30" s="1068"/>
      <c r="DF30" s="1068"/>
      <c r="DG30" s="1068"/>
      <c r="DH30" s="1068"/>
      <c r="DI30" s="1068"/>
      <c r="DJ30" s="1068"/>
      <c r="DK30" s="1068"/>
      <c r="DL30" s="1068"/>
      <c r="DM30" s="1068"/>
      <c r="DN30" s="1068"/>
    </row>
    <row r="31" spans="1:118" ht="24.75" customHeight="1">
      <c r="A31" s="2"/>
      <c r="B31" s="1101" t="s">
        <v>3256</v>
      </c>
      <c r="C31" s="1062"/>
      <c r="D31" s="1062"/>
      <c r="E31" s="1062"/>
      <c r="F31" s="1102"/>
      <c r="G31" s="1158"/>
      <c r="H31" s="1153"/>
      <c r="I31" s="1153"/>
      <c r="J31" s="1153"/>
      <c r="K31" s="1153"/>
      <c r="L31" s="1153"/>
      <c r="M31" s="1153"/>
      <c r="N31" s="1153"/>
      <c r="O31" s="1153"/>
      <c r="P31" s="1153"/>
      <c r="Q31" s="1153"/>
      <c r="R31" s="1153"/>
      <c r="S31" s="1153"/>
      <c r="T31" s="1153"/>
      <c r="U31" s="1153"/>
      <c r="V31" s="1153"/>
      <c r="W31" s="1153"/>
      <c r="X31" s="1154"/>
      <c r="Y31" s="2"/>
      <c r="Z31" s="2"/>
      <c r="AA31" s="2"/>
      <c r="AB31" s="455"/>
      <c r="AC31" s="1093" t="s">
        <v>3259</v>
      </c>
      <c r="AD31" s="1093"/>
      <c r="AE31" s="1093"/>
      <c r="AF31" s="1093"/>
      <c r="AG31" s="1093"/>
      <c r="AH31" s="1093"/>
      <c r="AI31" s="1093"/>
      <c r="AJ31" s="1093"/>
      <c r="AK31" s="1093"/>
      <c r="AL31" s="1093"/>
      <c r="AM31" s="1093"/>
      <c r="AN31" s="1093"/>
      <c r="AO31" s="1093"/>
      <c r="AP31" s="1093"/>
      <c r="AQ31" s="1093"/>
      <c r="AR31" s="1093"/>
      <c r="AS31" s="1093"/>
      <c r="AT31" s="1093"/>
      <c r="AU31" s="1093"/>
      <c r="AV31" s="1093"/>
      <c r="AW31" s="1093"/>
      <c r="AX31" s="1093"/>
      <c r="AZ31" t="str">
        <f>IF(G31&gt;""," or","")</f>
        <v/>
      </c>
      <c r="BP31" s="464" t="s">
        <v>3261</v>
      </c>
      <c r="BS31" t="str">
        <f>IF(IF(AE4=AY4,CONCATENATE(BQ25,CHAR(10),BQ24,CHAR(10),CHAR(10),BQ20))=FALSE,"",IF(AE4=AY4,CONCATENATE(BQ25,CHAR(10),BQ24,CHAR(10),CHAR(10),BQ20)))</f>
        <v/>
      </c>
      <c r="CB31">
        <v>9</v>
      </c>
      <c r="CC31" t="s">
        <v>4049</v>
      </c>
      <c r="CE31" s="672" t="str">
        <f>IF(Table27[[#This Row],[N'#s]]=""," As Respects the Second in Command of Jet Aircraft Requiring Two (2) Crewmembers",Table27[[#This Row],[N'#s]])</f>
        <v xml:space="preserve"> As Respects the Second in Command of Jet Aircraft Requiring Two (2) Crewmembers</v>
      </c>
      <c r="CF31" t="str">
        <f t="shared" si="9"/>
        <v/>
      </c>
      <c r="CG31" t="str">
        <f>IF(Table27[[#This Row],[Pilot]]="","","Named Pilots:")</f>
        <v/>
      </c>
      <c r="CH31" t="str">
        <f t="shared" si="10"/>
        <v/>
      </c>
      <c r="CI31" s="672" t="s">
        <v>4066</v>
      </c>
      <c r="CJ31" s="672" t="str">
        <f t="shared" si="8"/>
        <v>ATP</v>
      </c>
      <c r="CK31" s="672" t="s">
        <v>4075</v>
      </c>
      <c r="CL31" s="676" t="str">
        <f t="shared" si="11"/>
        <v/>
      </c>
      <c r="CM31" s="672" t="s">
        <v>4074</v>
      </c>
      <c r="CN31" s="676" t="str">
        <f t="shared" si="12"/>
        <v/>
      </c>
      <c r="CO31" s="672" t="s">
        <v>4078</v>
      </c>
      <c r="CP31" s="676" t="str">
        <f t="shared" si="13"/>
        <v/>
      </c>
      <c r="CQ31" s="672" t="s">
        <v>4081</v>
      </c>
      <c r="CR31" t="str">
        <f t="shared" si="14"/>
        <v/>
      </c>
      <c r="CS31" s="673" t="s">
        <v>4077</v>
      </c>
      <c r="CT31" t="str">
        <f xml:space="preserve"> CONCATENATE(Table27[[#This Row],[Column2]],Table27[[#This Row],[Column4]],CHAR(10),CHAR(10),Table27[[#This Row],[Column5]],Table27[[#This Row],[Pilot]],CHAR(10),Table27[[#This Row],[Start]],Table27[[#This Row],[Lic]],Table27[[#This Row],[Column7]],TEXT(Table27[[#This Row],[TT]],"#,#0"),Table27[[#This Row],[Column8]],TEXT(Table27[[#This Row],[ME/RG/RW]],"#,#0"),Table27[[#This Row],[Column10]],Table27[[#This Row],[Turbine]],Table27[[#This Row],[Column12]],Table27[[#This Row],[MM]],Table27[[#This Row],[Column14]])</f>
        <v xml:space="preserve">As Respects: As Respects the Second in 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v>
      </c>
      <c r="CV31">
        <v>1</v>
      </c>
      <c r="CX31" s="1068"/>
      <c r="CY31" s="1068"/>
      <c r="CZ31" s="1068"/>
      <c r="DA31" s="1068"/>
      <c r="DB31" s="1068"/>
      <c r="DC31" s="1068"/>
      <c r="DD31" s="1068"/>
      <c r="DE31" s="1068"/>
      <c r="DF31" s="1068"/>
      <c r="DG31" s="1068"/>
      <c r="DH31" s="1068"/>
      <c r="DI31" s="1068"/>
      <c r="DJ31" s="1068"/>
      <c r="DK31" s="1068"/>
      <c r="DL31" s="1068"/>
      <c r="DM31" s="1068"/>
      <c r="DN31" s="1068"/>
    </row>
    <row r="32" spans="1:118" ht="15.75">
      <c r="A32" s="2"/>
      <c r="B32" s="2"/>
      <c r="C32" s="2"/>
      <c r="D32" s="2"/>
      <c r="E32" s="2"/>
      <c r="F32" s="2"/>
      <c r="G32" s="1155"/>
      <c r="H32" s="1156"/>
      <c r="I32" s="1156"/>
      <c r="J32" s="1156"/>
      <c r="K32" s="1156"/>
      <c r="L32" s="1156"/>
      <c r="M32" s="1156"/>
      <c r="N32" s="1156"/>
      <c r="O32" s="1156"/>
      <c r="P32" s="1156"/>
      <c r="Q32" s="1156"/>
      <c r="R32" s="1156"/>
      <c r="S32" s="1156"/>
      <c r="T32" s="1156"/>
      <c r="U32" s="1156"/>
      <c r="V32" s="1156"/>
      <c r="W32" s="1156"/>
      <c r="X32" s="1157"/>
      <c r="Y32" s="2"/>
      <c r="Z32" s="2"/>
      <c r="AA32" s="2"/>
      <c r="AB32" s="455"/>
      <c r="AC32" s="1094"/>
      <c r="AD32" s="1094"/>
      <c r="AE32" s="1094"/>
      <c r="AF32" s="1094"/>
      <c r="AG32" s="1094"/>
      <c r="AH32" s="1094"/>
      <c r="AI32" s="1094"/>
      <c r="AJ32" s="1094"/>
      <c r="AK32" s="1094"/>
      <c r="AL32" s="1094"/>
      <c r="AM32" s="1094"/>
      <c r="AN32" s="1094"/>
      <c r="AO32" s="1094"/>
      <c r="AP32" s="1094"/>
      <c r="AQ32" s="1094"/>
      <c r="AR32" s="1094"/>
      <c r="AS32" s="1094"/>
      <c r="AT32" s="1094"/>
      <c r="AU32" s="1094"/>
      <c r="AV32" s="1094"/>
      <c r="AW32" s="1094"/>
      <c r="AX32" s="1094"/>
      <c r="BE32" t="s">
        <v>3265</v>
      </c>
      <c r="BP32" s="464" t="s">
        <v>3266</v>
      </c>
      <c r="BS32" t="str">
        <f>CONCATENATE(BS28,BS29,BS30,BS31)</f>
        <v/>
      </c>
      <c r="CB32">
        <v>10</v>
      </c>
      <c r="CC32" t="s">
        <v>4049</v>
      </c>
      <c r="CE32" s="672" t="str">
        <f>IF(Table27[[#This Row],[N'#s]]=""," Turbine Rotorwing Aircraft",Table27[[#This Row],[N'#s]])</f>
        <v xml:space="preserve"> Turbine Rotorwing Aircraft</v>
      </c>
      <c r="CF32" t="str">
        <f t="shared" si="9"/>
        <v/>
      </c>
      <c r="CG32" t="str">
        <f>IF(Table27[[#This Row],[Pilot]]="","","Named Pilots:")</f>
        <v/>
      </c>
      <c r="CH32" t="str">
        <f t="shared" si="10"/>
        <v/>
      </c>
      <c r="CI32" s="672" t="s">
        <v>4066</v>
      </c>
      <c r="CJ32" s="672" t="str">
        <f t="shared" si="8"/>
        <v>ATP</v>
      </c>
      <c r="CK32" s="672" t="s">
        <v>4084</v>
      </c>
      <c r="CL32" s="676" t="str">
        <f t="shared" si="11"/>
        <v/>
      </c>
      <c r="CM32" s="672" t="s">
        <v>4074</v>
      </c>
      <c r="CN32" s="676" t="str">
        <f t="shared" si="12"/>
        <v/>
      </c>
      <c r="CO32" s="672" t="s">
        <v>4082</v>
      </c>
      <c r="CP32" s="676" t="str">
        <f t="shared" si="13"/>
        <v/>
      </c>
      <c r="CQ32" s="673" t="s">
        <v>4080</v>
      </c>
      <c r="CR32" t="str">
        <f t="shared" si="14"/>
        <v/>
      </c>
      <c r="CT32" t="str">
        <f xml:space="preserve"> CONCATENATE(Table27[[#This Row],[Column2]],IF(AH32="",Table27[[#This Row],[Column4]],AH32),CHAR(10),CHAR(10),Table27[[#This Row],[Column5]],IF(Table27[[#This Row],[Pilot]]="","",Table27[[#This Row],[Pilot]]),CHAR(10),Table27[[#This Row],[Start]],Table27[[#This Row],[Lic]],Table27[[#This Row],[Column7]],TEXT(Table27[[#This Row],[TT]],"#,#0"),Table27[[#This Row],[Column8]],Table27[[#This Row],[MM]],Table27[[#This Row],[Column10]],Table27[[#This Row],[Turbine]],Table27[[#This Row],[Column12]])</f>
        <v xml:space="preserve">As Respects: Turbine Rotorwing Aircraft
Any Pilot maintaining a ATP or more advanced pilot certificate, with Rotorwing and Instrument ratings, who has logged a minimum of  total hours, including  hours in the make and model to be flown, and  hours in turbine rotorwing aircraft.  </v>
      </c>
      <c r="CV32" s="331">
        <v>1</v>
      </c>
      <c r="CX32" s="1068"/>
      <c r="CY32" s="1068"/>
      <c r="CZ32" s="1068"/>
      <c r="DA32" s="1068"/>
      <c r="DB32" s="1068"/>
      <c r="DC32" s="1068"/>
      <c r="DD32" s="1068"/>
      <c r="DE32" s="1068"/>
      <c r="DF32" s="1068"/>
      <c r="DG32" s="1068"/>
      <c r="DH32" s="1068"/>
      <c r="DI32" s="1068"/>
      <c r="DJ32" s="1068"/>
      <c r="DK32" s="1068"/>
      <c r="DL32" s="1068"/>
      <c r="DM32" s="1068"/>
      <c r="DN32" s="1068"/>
    </row>
    <row r="33" spans="1:118" ht="15.7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455"/>
      <c r="AC33" s="2"/>
      <c r="AD33" s="2"/>
      <c r="AE33" s="2"/>
      <c r="AF33" s="2"/>
      <c r="AG33" s="2"/>
      <c r="AH33" s="2"/>
      <c r="AI33" s="2"/>
      <c r="AJ33" s="2"/>
      <c r="AK33" s="2"/>
      <c r="AL33" s="2"/>
      <c r="AM33" s="2"/>
      <c r="AN33" s="2"/>
      <c r="AO33" s="2"/>
      <c r="AP33" s="2"/>
      <c r="AQ33" s="2"/>
      <c r="AR33" s="2"/>
      <c r="AS33" s="2"/>
      <c r="AT33" s="2"/>
      <c r="AU33" s="2"/>
      <c r="AV33" s="2"/>
      <c r="AW33" s="2"/>
      <c r="AX33" s="2"/>
      <c r="AZ33" t="s">
        <v>3267</v>
      </c>
      <c r="BA33" t="s">
        <v>3268</v>
      </c>
      <c r="BB33" t="s">
        <v>3269</v>
      </c>
      <c r="BC33" t="s">
        <v>3270</v>
      </c>
      <c r="BE33" s="387" t="s">
        <v>3271</v>
      </c>
      <c r="BF33" s="387" t="s">
        <v>3234</v>
      </c>
      <c r="BG33" s="387" t="s">
        <v>3233</v>
      </c>
      <c r="BH33" s="387" t="s">
        <v>2819</v>
      </c>
      <c r="BI33" s="387" t="s">
        <v>1846</v>
      </c>
      <c r="BJ33" s="387"/>
      <c r="BK33" s="387"/>
      <c r="BL33" s="387" t="s">
        <v>3272</v>
      </c>
      <c r="BN33" t="s">
        <v>3273</v>
      </c>
      <c r="BP33" s="464"/>
      <c r="CB33">
        <v>11</v>
      </c>
      <c r="CC33" t="s">
        <v>4049</v>
      </c>
      <c r="CE33" s="672" t="str">
        <f>IF(Table27[[#This Row],[N'#s]]=""," All Single Crew Aircraft",Table27[[#This Row],[N'#s]])</f>
        <v xml:space="preserve"> All Single Crew Aircraft</v>
      </c>
      <c r="CF33" t="str">
        <f t="shared" si="9"/>
        <v/>
      </c>
      <c r="CG33" t="str">
        <f>IF(Table27[[#This Row],[Pilot]]="","","Named Pilots:")</f>
        <v/>
      </c>
      <c r="CH33" t="str">
        <f t="shared" si="10"/>
        <v/>
      </c>
      <c r="CI33" s="675" t="s">
        <v>4064</v>
      </c>
      <c r="CJ33" s="675" t="str">
        <f t="shared" si="8"/>
        <v>ATP</v>
      </c>
      <c r="CK33" s="674"/>
      <c r="CT33" t="str">
        <f xml:space="preserve"> CONCATENATE(Table27[[#This Row],[Column2]],Table27[[#This Row],[Column4]],CHAR(10),CHAR(10),Table27[[#This Row],[Column5]],Table27[[#This Row],[Pilot]],CHAR(10),Table27[[#This Row],[Start]])</f>
        <v>As Respects: All Single Crew Aircraft
Any pilot as approved by the chief pilot of the named insured or his/her designee.</v>
      </c>
      <c r="CV33">
        <v>1</v>
      </c>
      <c r="CX33" s="1068"/>
      <c r="CY33" s="1068"/>
      <c r="CZ33" s="1068"/>
      <c r="DA33" s="1068"/>
      <c r="DB33" s="1068"/>
      <c r="DC33" s="1068"/>
      <c r="DD33" s="1068"/>
      <c r="DE33" s="1068"/>
      <c r="DF33" s="1068"/>
      <c r="DG33" s="1068"/>
      <c r="DH33" s="1068"/>
      <c r="DI33" s="1068"/>
      <c r="DJ33" s="1068"/>
      <c r="DK33" s="1068"/>
      <c r="DL33" s="1068"/>
      <c r="DM33" s="1068"/>
      <c r="DN33" s="1068"/>
    </row>
    <row r="34" spans="1:118" ht="15.7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455"/>
      <c r="AC34" s="2"/>
      <c r="AD34" s="893" t="s">
        <v>3262</v>
      </c>
      <c r="AE34" s="893"/>
      <c r="AF34" s="893"/>
      <c r="AG34" s="893"/>
      <c r="AH34" s="910" t="s">
        <v>3263</v>
      </c>
      <c r="AI34" s="910"/>
      <c r="AJ34" s="910"/>
      <c r="AK34" s="910"/>
      <c r="AL34" s="893" t="s">
        <v>3264</v>
      </c>
      <c r="AM34" s="893"/>
      <c r="AN34" s="7"/>
      <c r="AO34" s="910" t="s">
        <v>52</v>
      </c>
      <c r="AP34" s="910"/>
      <c r="AQ34" s="910"/>
      <c r="AR34" s="910"/>
      <c r="AS34" s="910"/>
      <c r="AT34" s="910"/>
      <c r="AU34" s="910"/>
      <c r="AV34" s="910"/>
      <c r="AW34" s="910"/>
      <c r="AX34" s="910"/>
      <c r="AY34">
        <v>1</v>
      </c>
      <c r="AZ34" s="59" t="str">
        <f>A68</f>
        <v>Any pilot properly certificated for the flight involved who has been approved by the Named Insured’s Chief Flight Instructor or his/her designee.</v>
      </c>
      <c r="BA34" s="130" t="str">
        <f>A68</f>
        <v>Any pilot properly certificated for the flight involved who has been approved by the Named Insured’s Chief Flight Instructor or his/her designee.</v>
      </c>
      <c r="BB34" s="130" t="str">
        <f>A68</f>
        <v>Any pilot properly certificated for the flight involved who has been approved by the Named Insured’s Chief Flight Instructor or his/her designee.</v>
      </c>
      <c r="BC34" s="130" t="str">
        <f>A68</f>
        <v>Any pilot properly certificated for the flight involved who has been approved by the Named Insured’s Chief Flight Instructor or his/her designee.</v>
      </c>
      <c r="BD34">
        <v>1</v>
      </c>
      <c r="BE34" s="128"/>
      <c r="BF34" s="128"/>
      <c r="BG34" s="128"/>
      <c r="BH34" s="128"/>
      <c r="BI34" s="128"/>
      <c r="BK34">
        <v>1</v>
      </c>
      <c r="BL34" t="s">
        <v>3274</v>
      </c>
      <c r="BM34" t="str">
        <f>IF(S7="X",CONCATENATE(BL34),"")</f>
        <v/>
      </c>
      <c r="BN34" t="s">
        <v>3275</v>
      </c>
      <c r="BO34" t="str">
        <f>IF(BM34="","",CONCATENATE(BN34))</f>
        <v/>
      </c>
      <c r="BP34" s="464" t="s">
        <v>3276</v>
      </c>
      <c r="BS34" t="str">
        <f>IF(IF(AE25=AY1,CONCATENATE(BQ26,CHAR(10),AH27," or:",CHAR(10),BQ13))=FALSE,"",IF(AE25=AY1,CONCATENATE(BQ26,CHAR(10),AH27," or:",CHAR(10),BQ13, CHAR(10),CHAR(10),BQ20)))</f>
        <v/>
      </c>
      <c r="CB34">
        <v>12</v>
      </c>
      <c r="CC34" t="s">
        <v>4049</v>
      </c>
      <c r="CE34" s="672" t="str">
        <f>IF(Table27[[#This Row],[N'#s]]=""," All Dual Crew Aircraft",Table27[[#This Row],[N'#s]])</f>
        <v xml:space="preserve"> All Dual Crew Aircraft</v>
      </c>
      <c r="CF34" t="str">
        <f t="shared" si="9"/>
        <v/>
      </c>
      <c r="CG34" t="str">
        <f>IF(Table27[[#This Row],[Pilot]]="","","Named Pilots:")</f>
        <v/>
      </c>
      <c r="CH34" t="str">
        <f t="shared" si="10"/>
        <v/>
      </c>
      <c r="CI34" s="675" t="s">
        <v>4065</v>
      </c>
      <c r="CJ34" s="675" t="str">
        <f t="shared" si="8"/>
        <v>ATP</v>
      </c>
      <c r="CK34" s="674"/>
      <c r="CT34" t="str">
        <f xml:space="preserve"> CONCATENATE(Table27[[#This Row],[Column2]],Table27[[#This Row],[Column4]],CHAR(10),CHAR(10),Table27[[#This Row],[Column5]],Table27[[#This Row],[Pilot]],CHAR(10),Table27[[#This Row],[Start]])</f>
        <v>As Respects: All Dual Crew Aircraft
Any two-person crew as approved by the chief pilot of the named insured or his/her designee.</v>
      </c>
      <c r="CV34" s="331">
        <v>1</v>
      </c>
      <c r="CX34" s="1068"/>
      <c r="CY34" s="1068"/>
      <c r="CZ34" s="1068"/>
      <c r="DA34" s="1068"/>
      <c r="DB34" s="1068"/>
      <c r="DC34" s="1068"/>
      <c r="DD34" s="1068"/>
      <c r="DE34" s="1068"/>
      <c r="DF34" s="1068"/>
      <c r="DG34" s="1068"/>
      <c r="DH34" s="1068"/>
      <c r="DI34" s="1068"/>
      <c r="DJ34" s="1068"/>
      <c r="DK34" s="1068"/>
      <c r="DL34" s="1068"/>
      <c r="DM34" s="1068"/>
      <c r="DN34" s="1068"/>
    </row>
    <row r="35" spans="1:118" ht="21.75" customHeigh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455"/>
      <c r="AC35" s="2">
        <v>1</v>
      </c>
      <c r="AD35" s="1104"/>
      <c r="AE35" s="1105"/>
      <c r="AF35" s="1105"/>
      <c r="AG35" s="1106"/>
      <c r="AH35" s="2"/>
      <c r="AI35" s="1107"/>
      <c r="AJ35" s="1108"/>
      <c r="AK35" s="2"/>
      <c r="AL35" s="1107"/>
      <c r="AM35" s="1108"/>
      <c r="AN35" s="2"/>
      <c r="AO35" s="1109"/>
      <c r="AP35" s="1110"/>
      <c r="AQ35" s="1110"/>
      <c r="AR35" s="1110"/>
      <c r="AS35" s="1110"/>
      <c r="AT35" s="1110"/>
      <c r="AU35" s="1110"/>
      <c r="AV35" s="1110"/>
      <c r="AW35" s="1110"/>
      <c r="AX35" s="1111"/>
      <c r="AY35">
        <v>2</v>
      </c>
      <c r="AZ35" s="132" t="s">
        <v>3277</v>
      </c>
      <c r="BA35" s="133" t="s">
        <v>3278</v>
      </c>
      <c r="BB35" s="133" t="s">
        <v>3279</v>
      </c>
      <c r="BC35" s="133" t="s">
        <v>3278</v>
      </c>
      <c r="BD35">
        <v>2</v>
      </c>
      <c r="BE35" s="128"/>
      <c r="BF35" s="128"/>
      <c r="BG35" s="128"/>
      <c r="BH35" s="128"/>
      <c r="BI35" s="128"/>
      <c r="BK35">
        <v>2</v>
      </c>
      <c r="BL35" t="s">
        <v>3277</v>
      </c>
      <c r="BM35" t="str">
        <f>IF(C3="X",CONCATENATE(BL35),"")</f>
        <v/>
      </c>
      <c r="BN35" t="s">
        <v>3280</v>
      </c>
      <c r="BO35" t="str">
        <f>IF(BM35="","",CONCATENATE(BN35))</f>
        <v/>
      </c>
      <c r="BP35" s="464" t="s">
        <v>3276</v>
      </c>
      <c r="BS35" t="str">
        <f>IF(IF(AE25=AY2,CONCATENATE(BQ26,CHAR(10),BQ15,CHAR(10),AH27,CHAR(10),BQ16,CHAR(10),CHAR(10),BQ17,CHAR(10),AH29,"or:",CHAR(10),BQ18,CHAR(10),CHAR(10),BQ20))=FALSE,"",IF(AE25=AY2,CONCATENATE(BQ26,CHAR(10),BQ15,CHAR(10),AH27,CHAR(10),BQ16,CHAR(10),CHAR(10),BQ17,CHAR(10),AH29,"or:",CHAR(10),BQ18,CHAR(10),CHAR(10),BQ20)))</f>
        <v/>
      </c>
      <c r="CB35">
        <v>13</v>
      </c>
      <c r="CC35" t="s">
        <v>4049</v>
      </c>
      <c r="CE35" s="672" t="str">
        <f>IF(Table27[[#This Row],[N'#s]]=""," The Second-In-Command of any Dual Crew Aircraft",Table27[[#This Row],[N'#s]])</f>
        <v xml:space="preserve"> The Second-In-Command of any Dual Crew Aircraft</v>
      </c>
      <c r="CF35" t="str">
        <f t="shared" si="9"/>
        <v/>
      </c>
      <c r="CG35" t="str">
        <f>IF(Table27[[#This Row],[Pilot]]="","","Named Pilots:")</f>
        <v/>
      </c>
      <c r="CH35" t="str">
        <f t="shared" si="10"/>
        <v/>
      </c>
      <c r="CI35" s="675" t="s">
        <v>4064</v>
      </c>
      <c r="CJ35" s="675" t="str">
        <f t="shared" si="8"/>
        <v>ATP</v>
      </c>
      <c r="CK35" s="674"/>
      <c r="CT35" t="str">
        <f xml:space="preserve"> CONCATENATE(Table27[[#This Row],[Column2]],Table27[[#This Row],[Column4]],CHAR(10),CHAR(10),Table27[[#This Row],[Column5]],Table27[[#This Row],[Pilot]],CHAR(10),Table27[[#This Row],[Start]])</f>
        <v>As Respects: The Second-In-Command of any Dual Crew Aircraft
Any pilot as approved by the chief pilot of the named insured or his/her designee.</v>
      </c>
      <c r="CV35">
        <v>1</v>
      </c>
      <c r="CX35" s="1068"/>
      <c r="CY35" s="1068"/>
      <c r="CZ35" s="1068"/>
      <c r="DA35" s="1068"/>
      <c r="DB35" s="1068"/>
      <c r="DC35" s="1068"/>
      <c r="DD35" s="1068"/>
      <c r="DE35" s="1068"/>
      <c r="DF35" s="1068"/>
      <c r="DG35" s="1068"/>
      <c r="DH35" s="1068"/>
      <c r="DI35" s="1068"/>
      <c r="DJ35" s="1068"/>
      <c r="DK35" s="1068"/>
      <c r="DL35" s="1068"/>
      <c r="DM35" s="1068"/>
      <c r="DN35" s="1068"/>
    </row>
    <row r="36" spans="1:118" ht="18.75" customHeight="1">
      <c r="A36" s="2" t="str">
        <f>IF($B$11=$AZ$27,$AZ$27,"")</f>
        <v/>
      </c>
      <c r="B36" s="2"/>
      <c r="C36" s="2"/>
      <c r="D36" s="2"/>
      <c r="E36" s="2"/>
      <c r="F36" s="2"/>
      <c r="G36" s="2"/>
      <c r="H36" s="2"/>
      <c r="I36" s="2"/>
      <c r="J36" s="2"/>
      <c r="K36" s="2"/>
      <c r="L36" s="2"/>
      <c r="M36" s="2"/>
      <c r="N36" s="2"/>
      <c r="O36" s="2"/>
      <c r="P36" s="2"/>
      <c r="Q36" s="2"/>
      <c r="R36" s="2"/>
      <c r="S36" s="2"/>
      <c r="T36" s="2"/>
      <c r="U36" s="2"/>
      <c r="V36" s="2"/>
      <c r="W36" s="2"/>
      <c r="X36" s="2"/>
      <c r="Y36" s="2"/>
      <c r="Z36" s="2"/>
      <c r="AA36" s="2"/>
      <c r="AB36" s="455"/>
      <c r="AC36" s="2">
        <v>2</v>
      </c>
      <c r="AD36" s="1104"/>
      <c r="AE36" s="1105"/>
      <c r="AF36" s="1105"/>
      <c r="AG36" s="1106"/>
      <c r="AH36" s="2"/>
      <c r="AI36" s="1107"/>
      <c r="AJ36" s="1108"/>
      <c r="AK36" s="2"/>
      <c r="AL36" s="1107"/>
      <c r="AM36" s="1108"/>
      <c r="AN36" s="2"/>
      <c r="AO36" s="1109"/>
      <c r="AP36" s="1110"/>
      <c r="AQ36" s="1110"/>
      <c r="AR36" s="1110"/>
      <c r="AS36" s="1110"/>
      <c r="AT36" s="1110"/>
      <c r="AU36" s="1110"/>
      <c r="AV36" s="1110"/>
      <c r="AW36" s="1110"/>
      <c r="AX36" s="1111"/>
      <c r="AY36">
        <v>3</v>
      </c>
      <c r="AZ36" s="60" t="str">
        <f>CONCATENATE($A$92,$BI$19,$L$85,$BM$19,$C$86)</f>
        <v>Any Private or more advanced pilot certificate having  hours total logged time and  hours make and model having demonstrated to the Named Insured's Certificated Flight Instructor the skills and knowledge necessary to operate the aircraft being flown.</v>
      </c>
      <c r="BA36" s="129" t="str">
        <f>CONCATENATE($A$85,BI20,$L$85,BM20,$C$86)</f>
        <v>Any Private or more advanced pilot certificate having  hours total logged time and  hours make and model having demonstrated to the Named Insured's Certificated Flight Instructor the skills and knowledge necessary to operate the aircraft being flown.</v>
      </c>
      <c r="BB36" s="129" t="str">
        <f>CONCATENATE($A$92,BI21,$L$85,BM21,$C$86)</f>
        <v>Any Private or more advanced pilot certificate having  hours total logged time and  hours make and model having demonstrated to the Named Insured's Certificated Flight Instructor the skills and knowledge necessary to operate the aircraft being flown.</v>
      </c>
      <c r="BC36" s="129" t="str">
        <f>CONCATENATE($A$92,BI22,$L$85,BM22,$C$86)</f>
        <v>Any Private or more advanced pilot certificate having  hours total logged time and  hours make and model having demonstrated to the Named Insured's Certificated Flight Instructor the skills and knowledge necessary to operate the aircraft being flown.</v>
      </c>
      <c r="BD36">
        <v>3</v>
      </c>
      <c r="BE36" s="128">
        <v>100</v>
      </c>
      <c r="BF36" s="128"/>
      <c r="BG36" s="128">
        <v>5</v>
      </c>
      <c r="BH36" s="128"/>
      <c r="BI36" s="128"/>
      <c r="BK36">
        <v>3</v>
      </c>
      <c r="BL36" t="s">
        <v>3281</v>
      </c>
      <c r="BM36" t="str">
        <f>IF(C4="X",CONCATENATE(BL36),"")</f>
        <v/>
      </c>
      <c r="BN36" t="s">
        <v>3282</v>
      </c>
      <c r="BO36" t="str">
        <f t="shared" ref="BO36:BO45" si="15">IF(BM36="","",CONCATENATE(BN36))</f>
        <v/>
      </c>
      <c r="BP36" s="464" t="s">
        <v>3276</v>
      </c>
      <c r="BS36" t="str">
        <f>IF(IF(AE25=AY3,CONCATENATE(BQ26,CHAR(10),BQ15,CHAR(10),AH27,CHAR(10)," or:",BQ16,CHAR(10),CHAR(10),BQ17,CHAR(10),AH29," or:",CHAR(10),BQ24,CHAR(10),CHAR(10),BQ20))=FALSE,"",IF(AE25=AY3,CONCATENATE(BQ26,CHAR(10),BQ15,CHAR(10),AH27,CHAR(10)," or:",BQ16,CHAR(10),CHAR(10),BQ17,CHAR(10),AH29," or:",CHAR(10),BQ24,CHAR(10),CHAR(10),BQ20)))</f>
        <v/>
      </c>
      <c r="CB36">
        <v>14</v>
      </c>
      <c r="CC36" t="s">
        <v>4049</v>
      </c>
      <c r="CE36" s="672" t="s">
        <v>4089</v>
      </c>
      <c r="CF36" t="str">
        <f t="shared" si="9"/>
        <v/>
      </c>
      <c r="CG36" t="str">
        <f>IF(Table27[[#This Row],[Pilot]]="","","Named Pilots:")</f>
        <v/>
      </c>
      <c r="CH36" t="str">
        <f t="shared" si="10"/>
        <v/>
      </c>
      <c r="CI36" s="675" t="s">
        <v>4064</v>
      </c>
      <c r="CJ36" s="675" t="str">
        <f t="shared" si="8"/>
        <v>ATP</v>
      </c>
      <c r="CK36" s="674"/>
      <c r="CT36" t="str">
        <f xml:space="preserve"> CONCATENATE(Table27[[#This Row],[Column2]],Table27[[#This Row],[Column4]],CHAR(10),CHAR(10),Table27[[#This Row],[Column5]],Table27[[#This Row],[Pilot]],CHAR(10),Table27[[#This Row],[Start]])</f>
        <v>As Respects: Any Aircraft
Any pilot as approved by the chief pilot of the named insured or his/her designee.</v>
      </c>
      <c r="CV36" s="331">
        <v>1</v>
      </c>
      <c r="CX36" s="1068"/>
      <c r="CY36" s="1068"/>
      <c r="CZ36" s="1068"/>
      <c r="DA36" s="1068"/>
      <c r="DB36" s="1068"/>
      <c r="DC36" s="1068"/>
      <c r="DD36" s="1068"/>
      <c r="DE36" s="1068"/>
      <c r="DF36" s="1068"/>
      <c r="DG36" s="1068"/>
      <c r="DH36" s="1068"/>
      <c r="DI36" s="1068"/>
      <c r="DJ36" s="1068"/>
      <c r="DK36" s="1068"/>
      <c r="DL36" s="1068"/>
      <c r="DM36" s="1068"/>
      <c r="DN36" s="1068"/>
    </row>
    <row r="37" spans="1:118" ht="28.5" customHeight="1">
      <c r="A37" s="2" t="str">
        <f>IF($A$36&gt;"",1,"")</f>
        <v/>
      </c>
      <c r="B37" s="1098"/>
      <c r="C37" s="1097"/>
      <c r="D37" s="1097"/>
      <c r="E37" s="1097"/>
      <c r="F37" s="1097"/>
      <c r="G37" s="1097"/>
      <c r="H37" s="1097"/>
      <c r="I37" s="1097"/>
      <c r="J37" s="1097"/>
      <c r="K37" s="1097"/>
      <c r="L37" s="1097"/>
      <c r="M37" s="1097"/>
      <c r="N37" s="1097"/>
      <c r="O37" s="1097"/>
      <c r="P37" s="1097"/>
      <c r="Q37" s="1097"/>
      <c r="R37" s="1097"/>
      <c r="S37" s="1097"/>
      <c r="T37" s="1097"/>
      <c r="U37" s="1097"/>
      <c r="V37" s="1097"/>
      <c r="W37" s="1097"/>
      <c r="X37" s="1097"/>
      <c r="Y37" s="1097"/>
      <c r="Z37" s="1097"/>
      <c r="AA37" s="1097"/>
      <c r="AB37" s="455"/>
      <c r="AC37" s="2">
        <v>3</v>
      </c>
      <c r="AD37" s="1104"/>
      <c r="AE37" s="1105"/>
      <c r="AF37" s="1105"/>
      <c r="AG37" s="1106"/>
      <c r="AH37" s="2"/>
      <c r="AI37" s="1107"/>
      <c r="AJ37" s="1108"/>
      <c r="AK37" s="2"/>
      <c r="AL37" s="1107"/>
      <c r="AM37" s="1108"/>
      <c r="AN37" s="2"/>
      <c r="AO37" s="1109"/>
      <c r="AP37" s="1110"/>
      <c r="AQ37" s="1110"/>
      <c r="AR37" s="1110"/>
      <c r="AS37" s="1110"/>
      <c r="AT37" s="1110"/>
      <c r="AU37" s="1110"/>
      <c r="AV37" s="1110"/>
      <c r="AW37" s="1110"/>
      <c r="AX37" s="1111"/>
      <c r="AY37">
        <v>4</v>
      </c>
      <c r="AZ37" s="60" t="str">
        <f>CONCATENATE($A$92,$BI$19,$A$93,CHAR(10),$A$95,$BM$19,$H$95,CHAR(10),$A$96,$BN$19,$F$96)</f>
        <v>Any Private or more advanced pilot certificate having  hours total logged time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A37" s="60" t="str">
        <f>CONCATENATE($A$92,BI20,$A$93,CHAR(10),$A$95,BM20,$H$95,CHAR(10),$A$96,BN20,$F$96)</f>
        <v>Any Private or more advanced pilot certificate having  hours total logged time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B37" s="60" t="str">
        <f>CONCATENATE($A$92,BI21,CHAR(10),$A$93,$A$95,BM21,$H$95,CHAR(10),$A$96,BN21,$F$96)</f>
        <v>Any Private or more advanced pilot certificate having 
 hours total logged time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C37" s="60" t="str">
        <f>CONCATENATE($A$92,BI22,CHAR(10),$A$93,$A$95,BM22,$H$95,CHAR(10),$A$96,BN22,$F$96)</f>
        <v>Any Private or more advanced pilot certificate having 
 hours total logged time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D37">
        <v>4</v>
      </c>
      <c r="BE37" s="128">
        <v>250</v>
      </c>
      <c r="BF37" s="128"/>
      <c r="BG37" s="128">
        <v>10</v>
      </c>
      <c r="BH37" s="128"/>
      <c r="BI37" s="128">
        <v>5</v>
      </c>
      <c r="BK37">
        <v>4</v>
      </c>
      <c r="BL37" t="s">
        <v>3283</v>
      </c>
      <c r="BM37" t="str">
        <f>IF(C5="X",CONCATENATE(BL37),"")</f>
        <v/>
      </c>
      <c r="BN37" t="s">
        <v>3284</v>
      </c>
      <c r="BO37" t="str">
        <f t="shared" si="15"/>
        <v/>
      </c>
      <c r="BP37" s="464" t="s">
        <v>3276</v>
      </c>
      <c r="BS37" t="str">
        <f>IF(IF(AE25=AY4,CONCATENATE(BQ26,CHAR(10),BQ24,CHAR(10),CHAR(10),BQ20))=FALSE,"",IF(AE25=AY4,CONCATENATE(BQ26,CHAR(10),BQ24,CHAR(10),CHAR(10),BQ20)))</f>
        <v/>
      </c>
      <c r="CB37">
        <v>15</v>
      </c>
      <c r="CF37" t="str">
        <f t="shared" ref="CF37" si="16">IF($AH$12="","",$AH$12)</f>
        <v/>
      </c>
      <c r="CG37" t="str">
        <f>IF(Table27[[#This Row],[Pilot]]="","","Named Pilots:")</f>
        <v/>
      </c>
      <c r="CH37" t="str">
        <f t="shared" si="10"/>
        <v/>
      </c>
      <c r="CJ37" t="str">
        <f t="shared" si="8"/>
        <v>ATP</v>
      </c>
      <c r="CT37" t="str">
        <f>IFERROR(VLOOKUP(MATCH(AE11,$AY$1:$AY$14,0),Pilot2,19),"")</f>
        <v/>
      </c>
      <c r="CX37" s="1068"/>
      <c r="CY37" s="1068"/>
      <c r="CZ37" s="1068"/>
      <c r="DA37" s="1068"/>
      <c r="DB37" s="1068"/>
      <c r="DC37" s="1068"/>
      <c r="DD37" s="1068"/>
      <c r="DE37" s="1068"/>
      <c r="DF37" s="1068"/>
      <c r="DG37" s="1068"/>
      <c r="DH37" s="1068"/>
      <c r="DI37" s="1068"/>
      <c r="DJ37" s="1068"/>
      <c r="DK37" s="1068"/>
      <c r="DL37" s="1068"/>
      <c r="DM37" s="1068"/>
      <c r="DN37" s="1068"/>
    </row>
    <row r="38" spans="1:118" ht="24.75" customHeight="1">
      <c r="A38" s="2"/>
      <c r="B38" s="1097"/>
      <c r="C38" s="1097"/>
      <c r="D38" s="1097"/>
      <c r="E38" s="1097"/>
      <c r="F38" s="1097"/>
      <c r="G38" s="1097"/>
      <c r="H38" s="1097"/>
      <c r="I38" s="1097"/>
      <c r="J38" s="1097"/>
      <c r="K38" s="1097"/>
      <c r="L38" s="1097"/>
      <c r="M38" s="1097"/>
      <c r="N38" s="1097"/>
      <c r="O38" s="1097"/>
      <c r="P38" s="1097"/>
      <c r="Q38" s="1097"/>
      <c r="R38" s="1097"/>
      <c r="S38" s="1097"/>
      <c r="T38" s="1097"/>
      <c r="U38" s="1097"/>
      <c r="V38" s="1097"/>
      <c r="W38" s="1097"/>
      <c r="X38" s="1097"/>
      <c r="Y38" s="1097"/>
      <c r="Z38" s="1097"/>
      <c r="AA38" s="1097"/>
      <c r="AB38" s="455"/>
      <c r="AC38" s="2">
        <v>4</v>
      </c>
      <c r="AD38" s="1104"/>
      <c r="AE38" s="1105"/>
      <c r="AF38" s="1105"/>
      <c r="AG38" s="1106"/>
      <c r="AH38" s="2"/>
      <c r="AI38" s="1107"/>
      <c r="AJ38" s="1108"/>
      <c r="AK38" s="2"/>
      <c r="AL38" s="1107"/>
      <c r="AM38" s="1108"/>
      <c r="AN38" s="2"/>
      <c r="AO38" s="1109"/>
      <c r="AP38" s="1110"/>
      <c r="AQ38" s="1110"/>
      <c r="AR38" s="1110"/>
      <c r="AS38" s="1110"/>
      <c r="AT38" s="1110"/>
      <c r="AU38" s="1110"/>
      <c r="AV38" s="1110"/>
      <c r="AW38" s="1110"/>
      <c r="AX38" s="1111"/>
      <c r="AY38">
        <v>5</v>
      </c>
      <c r="AZ38" s="60" t="str">
        <f>A101</f>
        <v xml:space="preserve">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
</v>
      </c>
      <c r="BA38" s="129" t="str">
        <f>A101</f>
        <v xml:space="preserve">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
</v>
      </c>
      <c r="BB38" s="129" t="str">
        <f>A101</f>
        <v xml:space="preserve">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
</v>
      </c>
      <c r="BC38" s="129" t="str">
        <f>A101</f>
        <v xml:space="preserve">1. Any Student pilot while under the direct supervision of the Named Insured’s Certificated Flight Instructor, or
2. If the aircraft is so certificated, any Sport pilot or more advanced pilot certificate having demonstrated to the Named Insured’s Certificated Flight Instructor the skills and knowledge necessary to operate the aircraft being flown, or
3. Any Private or more advanced pilot certificate having demonstrated to the Named Insured's Certificated Flight Instructor the skills and knowledge necessary to the operate the aircraft being flown.
</v>
      </c>
      <c r="BD38">
        <v>5</v>
      </c>
      <c r="BE38" s="128"/>
      <c r="BF38" s="128"/>
      <c r="BG38" s="128"/>
      <c r="BH38" s="128"/>
      <c r="BI38" s="128"/>
      <c r="BK38">
        <v>5</v>
      </c>
      <c r="BL38" s="1" t="s">
        <v>3285</v>
      </c>
      <c r="BM38" t="str">
        <f>IF(C6="X",CONCATENATE(BL38),"")</f>
        <v/>
      </c>
      <c r="BN38" t="s">
        <v>3286</v>
      </c>
      <c r="BO38" t="str">
        <f t="shared" si="15"/>
        <v/>
      </c>
      <c r="BP38" s="464" t="s">
        <v>3287</v>
      </c>
      <c r="BS38" t="str">
        <f>CONCATENATE(BS34,BS35,BS36,BS37)</f>
        <v/>
      </c>
    </row>
    <row r="39" spans="1:118">
      <c r="A39" s="2"/>
      <c r="B39" s="1097"/>
      <c r="C39" s="1097"/>
      <c r="D39" s="1097"/>
      <c r="E39" s="1097"/>
      <c r="F39" s="1097"/>
      <c r="G39" s="1097"/>
      <c r="H39" s="1097"/>
      <c r="I39" s="1097"/>
      <c r="J39" s="1097"/>
      <c r="K39" s="1097"/>
      <c r="L39" s="1097"/>
      <c r="M39" s="1097"/>
      <c r="N39" s="1097"/>
      <c r="O39" s="1097"/>
      <c r="P39" s="1097"/>
      <c r="Q39" s="1097"/>
      <c r="R39" s="1097"/>
      <c r="S39" s="1097"/>
      <c r="T39" s="1097"/>
      <c r="U39" s="1097"/>
      <c r="V39" s="1097"/>
      <c r="W39" s="1097"/>
      <c r="X39" s="1097"/>
      <c r="Y39" s="1097"/>
      <c r="Z39" s="1097"/>
      <c r="AA39" s="1097"/>
      <c r="AB39" s="455"/>
      <c r="AC39" s="2"/>
      <c r="AD39" s="2"/>
      <c r="AE39" s="2"/>
      <c r="AF39" s="2"/>
      <c r="AG39" s="2"/>
      <c r="AH39" s="2"/>
      <c r="AI39" s="2"/>
      <c r="AJ39" s="2"/>
      <c r="AK39" s="2"/>
      <c r="AL39" s="2"/>
      <c r="AM39" s="2"/>
      <c r="AN39" s="2"/>
      <c r="AO39" s="2"/>
      <c r="AP39" s="2"/>
      <c r="AQ39" s="2"/>
      <c r="AR39" s="2"/>
      <c r="AS39" s="2"/>
      <c r="AT39" s="2"/>
      <c r="AU39" s="2"/>
      <c r="AV39" s="2"/>
      <c r="AW39" s="2"/>
      <c r="AX39" s="2"/>
      <c r="AY39">
        <v>6</v>
      </c>
      <c r="AZ39" s="60" t="str">
        <f>CONCATENATE($A$113,$BI$19,$O$113,CHAR(10),$A$115,$BJ$19,$H$115,CHAR(10),$A$116,$BN$19,$F$116)</f>
        <v xml:space="preserve">Any Private or more advanced pilot certificate having  hours total logged time having demonstrated to the Named Insured’s Certificated Flight Instructor the skills and knowledge necessary to operate the aircraft being flown and;
 A. Having a minimum of  hours in retractable gear aircraft, or
 B. A minimum of  hours dual flight instruction with the Named Insured’s Certificated Flight Instructor.
</v>
      </c>
      <c r="BA39" s="119" t="str">
        <f>CONCATENATE($A$113,BI20,$O$113,CHAR(10),$A$115,BJ20,$H$115,CHAR(10),$A$116,BM20,$F$116)</f>
        <v xml:space="preserve">Any Private or more advanced pilot certificate having  hours total logged time having demonstrated to the Named Insured’s Certificated Flight Instructor the skills and knowledge necessary to operate the aircraft being flown and;
 A. Having a minimum of  hours in retractable gear aircraft, or
 B. A minimum of  hours dual flight instruction with the Named Insured’s Certificated Flight Instructor.
</v>
      </c>
      <c r="BB39" s="119" t="str">
        <f>CONCATENATE($A$113,BI21,$O$113,CHAR(10),$A$115,BJ21,$H$115,CHAR(10),$A$116,BN21,$F$116)</f>
        <v xml:space="preserve">Any Private or more advanced pilot certificate having  hours total logged time having demonstrated to the Named Insured’s Certificated Flight Instructor the skills and knowledge necessary to operate the aircraft being flown and;
 A. Having a minimum of  hours in retractable gear aircraft, or
 B. A minimum of  hours dual flight instruction with the Named Insured’s Certificated Flight Instructor.
</v>
      </c>
      <c r="BC39" s="119" t="str">
        <f>CONCATENATE($A$113,BI22,$O$113,CHAR(10),$A$115,BJ22,$H$115,CHAR(10),$A$116,BN22,$F$116)</f>
        <v xml:space="preserve">Any Private or more advanced pilot certificate having  hours total logged time having demonstrated to the Named Insured’s Certificated Flight Instructor the skills and knowledge necessary to operate the aircraft being flown and;
 A. Having a minimum of  hours in retractable gear aircraft, or
 B. A minimum of  hours dual flight instruction with the Named Insured’s Certificated Flight Instructor.
</v>
      </c>
      <c r="BD39">
        <v>6</v>
      </c>
      <c r="BE39" s="128">
        <v>150</v>
      </c>
      <c r="BF39" s="128">
        <v>25</v>
      </c>
      <c r="BG39" s="128"/>
      <c r="BH39" s="128"/>
      <c r="BI39" s="128">
        <v>10</v>
      </c>
      <c r="BK39">
        <v>6</v>
      </c>
      <c r="BL39" t="s">
        <v>3288</v>
      </c>
      <c r="BM39" t="str">
        <f>IF(C7="X",CONCATENATE(BL39),"")</f>
        <v/>
      </c>
      <c r="BN39" t="s">
        <v>3289</v>
      </c>
      <c r="BO39" t="str">
        <f t="shared" si="15"/>
        <v/>
      </c>
      <c r="BP39" s="464"/>
      <c r="CB39" t="s">
        <v>4063</v>
      </c>
    </row>
    <row r="40" spans="1:118">
      <c r="A40" s="2"/>
      <c r="B40" s="1097"/>
      <c r="C40" s="1097"/>
      <c r="D40" s="1097"/>
      <c r="E40" s="1097"/>
      <c r="F40" s="1097"/>
      <c r="G40" s="1097"/>
      <c r="H40" s="1097"/>
      <c r="I40" s="1097"/>
      <c r="J40" s="1097"/>
      <c r="K40" s="1097"/>
      <c r="L40" s="1097"/>
      <c r="M40" s="1097"/>
      <c r="N40" s="1097"/>
      <c r="O40" s="1097"/>
      <c r="P40" s="1097"/>
      <c r="Q40" s="1097"/>
      <c r="R40" s="1097"/>
      <c r="S40" s="1097"/>
      <c r="T40" s="1097"/>
      <c r="U40" s="1097"/>
      <c r="V40" s="1097"/>
      <c r="W40" s="1097"/>
      <c r="X40" s="1097"/>
      <c r="Y40" s="1097"/>
      <c r="Z40" s="1097"/>
      <c r="AA40" s="1097"/>
      <c r="AB40" s="455"/>
      <c r="AC40" s="2"/>
      <c r="AD40" s="2"/>
      <c r="AE40" s="2"/>
      <c r="AF40" s="2"/>
      <c r="AG40" s="2"/>
      <c r="AH40" s="2"/>
      <c r="AI40" s="2"/>
      <c r="AJ40" s="2"/>
      <c r="AK40" s="2"/>
      <c r="AL40" s="2"/>
      <c r="AM40" s="2"/>
      <c r="AN40" s="2"/>
      <c r="AO40" s="2"/>
      <c r="AP40" s="2"/>
      <c r="AQ40" s="2"/>
      <c r="AR40" s="2"/>
      <c r="AS40" s="2"/>
      <c r="AT40" s="2"/>
      <c r="AU40" s="2"/>
      <c r="AV40" s="2"/>
      <c r="AW40" s="2"/>
      <c r="AX40" s="2"/>
      <c r="AY40">
        <v>7</v>
      </c>
      <c r="AZ40" s="60" t="str">
        <f>CONCATENATE($A$122,$BI$19,$X$122,$BJ$19,$B$123,CHAR(10),$A$125,$BM$19,$H$95,CHAR(10),$A$96,$BN$19,$F$96)</f>
        <v>Any Private or more advanced pilot certificate including an Instrument rating having a minimum of  hours total logged time including  hours in retractable gear aircraft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A40" s="60" t="str">
        <f>CONCATENATE($A$122,BI20,$X$122,BJ20,$B$123,CHAR(10),$A$125,BM20,$H$95,CHAR(10),$A$96,BN20,$F$96)</f>
        <v>Any Private or more advanced pilot certificate including an Instrument rating having a minimum of  hours total logged time including  hours in retractable gear aircraft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B40" s="60" t="str">
        <f>CONCATENATE($A$122,BI21,$X$122,BJ21,$B$123,CHAR(10),$A$125,BM21,$H$95,CHAR(10),$A$96,BN21,$F$96)</f>
        <v>Any Private or more advanced pilot certificate including an Instrument rating having a minimum of  hours total logged time including  hours in retractable gear aircraft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C40" s="60" t="str">
        <f>CONCATENATE($A$122,BI22,$X$122,BJ22,$B$123,CHAR(10),$A$125,BM22,$H$95,CHAR(10),$A$96,BN22,$F$96)</f>
        <v>Any Private or more advanced pilot certificate including an Instrument rating having a minimum of  hours total logged time including  hours in retractable gear aircraft having demonstrated to the Named Insured’s Certificated Flight Instructor the skills and knowledge necessary to operate the aircraft being flown and;
 A. Having a minimum of  hours make and model, or
 B. A minimum of  hours dual flight instruction with the Named Insured’s Certificated Flight Instructor</v>
      </c>
      <c r="BD40">
        <v>7</v>
      </c>
      <c r="BE40" s="128">
        <v>250</v>
      </c>
      <c r="BF40" s="128">
        <v>50</v>
      </c>
      <c r="BG40" s="128">
        <v>10</v>
      </c>
      <c r="BH40" s="128"/>
      <c r="BI40" s="128">
        <v>5</v>
      </c>
      <c r="BK40">
        <v>7</v>
      </c>
      <c r="BL40" t="s">
        <v>3290</v>
      </c>
      <c r="BM40" t="str">
        <f>IF(S3="X",CONCATENATE(BL40),"")</f>
        <v/>
      </c>
      <c r="BN40" t="s">
        <v>3291</v>
      </c>
      <c r="BO40" t="str">
        <f t="shared" si="15"/>
        <v/>
      </c>
      <c r="BP40" s="464" t="s">
        <v>3292</v>
      </c>
      <c r="BS40" t="str">
        <f>CONCATENATE(BS32,CHAR(10),CHAR(10),BS38,CHAR(10),CHAR(10),BH73)</f>
        <v xml:space="preserve">
</v>
      </c>
      <c r="CB40" t="s">
        <v>4051</v>
      </c>
      <c r="CC40" t="s">
        <v>4052</v>
      </c>
      <c r="CD40" t="s">
        <v>4053</v>
      </c>
      <c r="CE40" t="s">
        <v>4054</v>
      </c>
      <c r="CF40" t="s">
        <v>4072</v>
      </c>
      <c r="CG40" t="s">
        <v>4055</v>
      </c>
      <c r="CH40" t="s">
        <v>3319</v>
      </c>
      <c r="CI40" t="s">
        <v>4071</v>
      </c>
      <c r="CJ40" t="s">
        <v>4043</v>
      </c>
      <c r="CK40" t="s">
        <v>4056</v>
      </c>
      <c r="CL40" t="s">
        <v>3231</v>
      </c>
      <c r="CM40" t="s">
        <v>4057</v>
      </c>
      <c r="CN40" t="s">
        <v>3540</v>
      </c>
      <c r="CO40" t="s">
        <v>4058</v>
      </c>
      <c r="CP40" t="s">
        <v>4046</v>
      </c>
      <c r="CQ40" t="s">
        <v>4059</v>
      </c>
      <c r="CR40" t="s">
        <v>3233</v>
      </c>
      <c r="CS40" t="s">
        <v>4060</v>
      </c>
      <c r="CT40" t="s">
        <v>4061</v>
      </c>
      <c r="CU40" s="331"/>
      <c r="CV40" s="331"/>
    </row>
    <row r="41" spans="1:118">
      <c r="A41" s="2"/>
      <c r="B41" s="1097"/>
      <c r="C41" s="1097"/>
      <c r="D41" s="1097"/>
      <c r="E41" s="1097"/>
      <c r="F41" s="1097"/>
      <c r="G41" s="1097"/>
      <c r="H41" s="1097"/>
      <c r="I41" s="1097"/>
      <c r="J41" s="1097"/>
      <c r="K41" s="1097"/>
      <c r="L41" s="1097"/>
      <c r="M41" s="1097"/>
      <c r="N41" s="1097"/>
      <c r="O41" s="1097"/>
      <c r="P41" s="1097"/>
      <c r="Q41" s="1097"/>
      <c r="R41" s="1097"/>
      <c r="S41" s="1097"/>
      <c r="T41" s="1097"/>
      <c r="U41" s="1097"/>
      <c r="V41" s="1097"/>
      <c r="W41" s="1097"/>
      <c r="X41" s="1097"/>
      <c r="Y41" s="1097"/>
      <c r="Z41" s="1097"/>
      <c r="AA41" s="1097"/>
      <c r="AB41" s="455"/>
      <c r="AC41" s="2"/>
      <c r="AD41" s="2"/>
      <c r="AE41" s="2"/>
      <c r="AF41" s="2"/>
      <c r="AG41" s="2"/>
      <c r="AH41" s="2"/>
      <c r="AI41" s="2"/>
      <c r="AJ41" s="2"/>
      <c r="AK41" s="2"/>
      <c r="AL41" s="2"/>
      <c r="AM41" s="2"/>
      <c r="AN41" s="2"/>
      <c r="AO41" s="2"/>
      <c r="AP41" s="2"/>
      <c r="AQ41" s="2"/>
      <c r="AR41" s="2"/>
      <c r="AS41" s="2"/>
      <c r="AT41" s="2"/>
      <c r="AU41" s="2"/>
      <c r="AV41" s="2"/>
      <c r="AW41" s="2"/>
      <c r="AX41" s="2"/>
      <c r="AY41">
        <v>8</v>
      </c>
      <c r="AZ41" s="60" t="str">
        <f>CONCATENATE($A$132,$BI$19,$P$132,$BL$19,$R$132,CHAR(10),$A$133,$BM$19,$H$133,CHAR(10),$A$134,$BN$19,$H$134,CHAR(10),$A$135)</f>
        <v>Any Private or more advanced pilot certificate with Multi Engine and Instrument ratings having a minimum of  hours total logged time including  hours in multi engine aircraft having demonstrated to the Named Insured’s Certificated Flight Instructor the skills and knowledge necessary to operate the aircraft being flown and;
 A. Having a minimum of  hours in the make and model, or
 B. Having a mInImum of  hours dual flight instruction with the Named Insured’s Certificated Flight Instructor, or
 C. In lieu of the 50 hours multi engine time, a minimum of 15 hours dual flight instruction with the Named Insured’s Certificated Flight Instructor.</v>
      </c>
      <c r="BA41" s="60" t="str">
        <f>CONCATENATE($A$132,BI20,$P$132,BL20,$R$132,CHAR(10),$A$133,BM20,$H$133,CHAR(10),$A$134,BN20,$H$134,$A$135)</f>
        <v>Any Private or more advanced pilot certificate with Multi Engine and Instrument ratings having a minimum of  hours total logged time including 0 hours in multi engine aircraft having demonstrated to the Named Insured’s Certificated Flight Instructor the skills and knowledge necessary to operate the aircraft being flown and;
 A. Having a minimum of  hours in the make and model, or
 B. Having a mInImum of  hours dual flight instruction with the Named Insured’s Certificated Flight Instructor, or C. In lieu of the 50 hours multi engine time, a minimum of 15 hours dual flight instruction with the Named Insured’s Certificated Flight Instructor.</v>
      </c>
      <c r="BB41" s="60" t="str">
        <f>CONCATENATE($A$132,BI21,$P$132,BL21,$R$132,CHAR(10),$A$133,BM21,$H$133,CHAR(10),$A$134,BN21,$H$134,$A$135)</f>
        <v>Any Private or more advanced pilot certificate with Multi Engine and Instrument ratings having a minimum of  hours total logged time including 0 hours in multi engine aircraft having demonstrated to the Named Insured’s Certificated Flight Instructor the skills and knowledge necessary to operate the aircraft being flown and;
 A. Having a minimum of  hours in the make and model, or
 B. Having a mInImum of  hours dual flight instruction with the Named Insured’s Certificated Flight Instructor, or C. In lieu of the 50 hours multi engine time, a minimum of 15 hours dual flight instruction with the Named Insured’s Certificated Flight Instructor.</v>
      </c>
      <c r="BC41" s="60" t="str">
        <f>CONCATENATE($A$132,BI22,$P$132,BL22,$R$132,CHAR(10),$A$133,BM22,$H$133,CHAR(10),$A$134,BN22,$H$134,$A$135)</f>
        <v>Any Private or more advanced pilot certificate with Multi Engine and Instrument ratings having a minimum of  hours total logged time including 0 hours in multi engine aircraft having demonstrated to the Named Insured’s Certificated Flight Instructor the skills and knowledge necessary to operate the aircraft being flown and;
 A. Having a minimum of  hours in the make and model, or
 B. Having a mInImum of  hours dual flight instruction with the Named Insured’s Certificated Flight Instructor, or C. In lieu of the 50 hours multi engine time, a minimum of 15 hours dual flight instruction with the Named Insured’s Certificated Flight Instructor.</v>
      </c>
      <c r="BD41">
        <v>8</v>
      </c>
      <c r="BE41" s="128">
        <v>300</v>
      </c>
      <c r="BF41" s="128"/>
      <c r="BG41" s="128">
        <v>10</v>
      </c>
      <c r="BH41" s="128">
        <v>50</v>
      </c>
      <c r="BI41" s="128">
        <v>5</v>
      </c>
      <c r="BK41">
        <v>8</v>
      </c>
      <c r="BL41" t="s">
        <v>3293</v>
      </c>
      <c r="BM41" t="str">
        <f>IF(S4="X",CONCATENATE(BL41),"")</f>
        <v/>
      </c>
      <c r="BN41" t="s">
        <v>3294</v>
      </c>
      <c r="BO41" t="str">
        <f t="shared" si="15"/>
        <v/>
      </c>
      <c r="BZ41">
        <f>IF(AND($AE$11&lt;&gt;$AY$1,$AH$13&gt;""),CONCATENATE($AH$13," or"),IF(AND($AE$11&lt;&gt;$AY$1,$AH$13=""),$AH$13,IF($AH$13=""," NEED PILOT NAMME NO VALID COVERAGE",$AH$13)))</f>
        <v>0</v>
      </c>
      <c r="CB41">
        <v>1</v>
      </c>
      <c r="CC41" t="s">
        <v>4049</v>
      </c>
      <c r="CE41" t="str">
        <f>IF($AH$19=""," Enter N# terms are not valid",Table278[[#This Row],[N'#s]])</f>
        <v xml:space="preserve"> Enter N# terms are not valid</v>
      </c>
      <c r="CF41" t="str">
        <f>IF($AH$19="","",$AH$19)</f>
        <v/>
      </c>
      <c r="CG41" t="str">
        <f>IF(Table278[[#This Row],[Pilot]]="","","Named Pilots: ")</f>
        <v/>
      </c>
      <c r="CH41" t="str">
        <f>IF($BZ$41=0,"",$BZ$41)</f>
        <v/>
      </c>
      <c r="CI41" t="s">
        <v>3242</v>
      </c>
      <c r="CJ41" t="str">
        <f>IF($AK$18="Com","Commercial","ATP")</f>
        <v>ATP</v>
      </c>
      <c r="CT41" t="str">
        <f>CONCATENATE(Table278[[#This Row],[Column2]],Table278[[#This Row],[Column4]],CHAR(10),CHAR(10),Table278[[#This Row],[Column5]],Table278[[#This Row],[Pilot]],CHAR(10),Table278[[#This Row],[Start]])</f>
        <v>As Respects: Enter N# terms are not valid
Named Pilots Only</v>
      </c>
      <c r="CV41">
        <v>1</v>
      </c>
      <c r="CX41" s="1068" t="str">
        <f>CT55</f>
        <v/>
      </c>
      <c r="CY41" s="1068"/>
      <c r="CZ41" s="1068"/>
      <c r="DA41" s="1068"/>
      <c r="DB41" s="1068"/>
      <c r="DC41" s="1068"/>
      <c r="DD41" s="1068"/>
      <c r="DE41" s="1068"/>
      <c r="DF41" s="1068"/>
      <c r="DG41" s="1068"/>
      <c r="DH41" s="1068"/>
      <c r="DI41" s="1068"/>
      <c r="DJ41" s="1068"/>
      <c r="DK41" s="1068"/>
      <c r="DL41" s="1068"/>
      <c r="DM41" s="1068"/>
      <c r="DN41" s="1068"/>
    </row>
    <row r="42" spans="1:118" ht="15.75">
      <c r="A42" s="2"/>
      <c r="B42" s="1097"/>
      <c r="C42" s="1097"/>
      <c r="D42" s="1097"/>
      <c r="E42" s="1097"/>
      <c r="F42" s="1097"/>
      <c r="G42" s="1097"/>
      <c r="H42" s="1097"/>
      <c r="I42" s="1097"/>
      <c r="J42" s="1097"/>
      <c r="K42" s="1097"/>
      <c r="L42" s="1097"/>
      <c r="M42" s="1097"/>
      <c r="N42" s="1097"/>
      <c r="O42" s="1097"/>
      <c r="P42" s="1097"/>
      <c r="Q42" s="1097"/>
      <c r="R42" s="1097"/>
      <c r="S42" s="1097"/>
      <c r="T42" s="1097"/>
      <c r="U42" s="1097"/>
      <c r="V42" s="1097"/>
      <c r="W42" s="1097"/>
      <c r="X42" s="1097"/>
      <c r="Y42" s="1097"/>
      <c r="Z42" s="1097"/>
      <c r="AA42" s="1097"/>
      <c r="AB42" s="455"/>
      <c r="AC42" s="2"/>
      <c r="AD42" s="2"/>
      <c r="AE42" s="2"/>
      <c r="AF42" s="2"/>
      <c r="AG42" s="2"/>
      <c r="AH42" s="2"/>
      <c r="AI42" s="2"/>
      <c r="AJ42" s="2"/>
      <c r="AK42" s="2"/>
      <c r="AL42" s="2"/>
      <c r="AM42" s="2"/>
      <c r="AN42" s="2"/>
      <c r="AO42" s="2"/>
      <c r="AP42" s="2"/>
      <c r="AQ42" s="2"/>
      <c r="AR42" s="2"/>
      <c r="AS42" s="2"/>
      <c r="AT42" s="2"/>
      <c r="AU42" s="2"/>
      <c r="AV42" s="2"/>
      <c r="AW42" s="2"/>
      <c r="AX42" s="2"/>
      <c r="AY42">
        <v>9</v>
      </c>
      <c r="AZ42" s="60" t="str">
        <f>CONCATENATE($A$141,$BI$19,$A$142,$BL$19,$H$142,CHAR(10),$A$143,$BM$19,$H$143,CHAR(10),$A$144,$BN$19,$H$144)</f>
        <v>Any Private or more advanced pilot certificate with Multi Engine and Instrument ratings having a minimum of  hours total logged time and  hours multi engine time having demonstrated to the Named Insured’s Certificated Flight Instructor the skills and knowledge necessary to operate the aircraft being flown and;
 A. Having a minimum of  hours in the make and model, or
 B. Having a minimum of  dual flight instruction with the Named Insured’s Certificated Flight Instructor.</v>
      </c>
      <c r="BA42" s="60" t="str">
        <f>CONCATENATE($A$141,BI20,$A$142,BL20,$H$142,CHAR(10),$A$143,BM20,$H$143,CHAR(10),$A$144,BN20,$H$144)</f>
        <v>Any Private or more advanced pilot certificate with Multi Engine and Instrument ratings having a minimum of  hours total logged time and 0 hours multi engine time having demonstrated to the Named Insured’s Certificated Flight Instructor the skills and knowledge necessary to operate the aircraft being flown and;
 A. Having a minimum of  hours in the make and model, or
 B. Having a minimum of  dual flight instruction with the Named Insured’s Certificated Flight Instructor.</v>
      </c>
      <c r="BB42" s="60" t="str">
        <f>CONCATENATE($A$141,BI21,$A$142,BL21,$H$142,CHAR(10),$A$143,BM21,$H$143,CHAR(10),$A$144,BN21,$H$144)</f>
        <v>Any Private or more advanced pilot certificate with Multi Engine and Instrument ratings having a minimum of  hours total logged time and 0 hours multi engine time having demonstrated to the Named Insured’s Certificated Flight Instructor the skills and knowledge necessary to operate the aircraft being flown and;
 A. Having a minimum of  hours in the make and model, or
 B. Having a minimum of  dual flight instruction with the Named Insured’s Certificated Flight Instructor.</v>
      </c>
      <c r="BC42" s="60" t="str">
        <f>CONCATENATE($A$141,BI22,$A$142,BL22,$H$142,CHAR(10),$A$143,BM22,$H$143,CHAR(10),$A$144,BN22,$H$144)</f>
        <v>Any Private or more advanced pilot certificate with Multi Engine and Instrument ratings having a minimum of  hours total logged time and 0 hours multi engine time having demonstrated to the Named Insured’s Certificated Flight Instructor the skills and knowledge necessary to operate the aircraft being flown and;
 A. Having a minimum of  hours in the make and model, or
 B. Having a minimum of  dual flight instruction with the Named Insured’s Certificated Flight Instructor.</v>
      </c>
      <c r="BD42">
        <v>9</v>
      </c>
      <c r="BE42" s="128">
        <v>500</v>
      </c>
      <c r="BF42" s="128"/>
      <c r="BG42" s="128">
        <v>10</v>
      </c>
      <c r="BH42" s="128">
        <v>200</v>
      </c>
      <c r="BI42" s="128">
        <v>10</v>
      </c>
      <c r="BK42">
        <v>9</v>
      </c>
      <c r="BL42" t="s">
        <v>3295</v>
      </c>
      <c r="BM42" t="str">
        <f>IF(S5="X",CONCATENATE(BL42),"")</f>
        <v/>
      </c>
      <c r="BN42" t="s">
        <v>3296</v>
      </c>
      <c r="BO42" t="str">
        <f t="shared" si="15"/>
        <v/>
      </c>
      <c r="CB42">
        <v>2</v>
      </c>
      <c r="CC42" t="s">
        <v>4049</v>
      </c>
      <c r="CE42" s="672" t="str">
        <f>IF(Table278[[#This Row],[N'#s]]=""," Single Engine Turboprop Aircraft",Table278[[#This Row],[N'#s]])</f>
        <v xml:space="preserve"> Single Engine Turboprop Aircraft</v>
      </c>
      <c r="CF42" t="str">
        <f t="shared" ref="CF42:CF54" si="17">IF($AH$19="","",$AH$19)</f>
        <v/>
      </c>
      <c r="CG42" t="str">
        <f>IF(Table278[[#This Row],[Pilot]]="","","Named Pilots:")</f>
        <v/>
      </c>
      <c r="CH42" t="str">
        <f t="shared" ref="CH42:CH55" si="18">IF($BZ$41=0,"",$BZ$41)</f>
        <v/>
      </c>
      <c r="CI42" s="672" t="s">
        <v>4066</v>
      </c>
      <c r="CJ42" s="672" t="str">
        <f t="shared" ref="CJ42:CJ55" si="19">IF($AK$11="Com","Commercial","ATP")</f>
        <v>ATP</v>
      </c>
      <c r="CK42" s="672" t="s">
        <v>4068</v>
      </c>
      <c r="CL42" s="676" t="str">
        <f>$AM$18</f>
        <v/>
      </c>
      <c r="CM42" s="672" t="s">
        <v>4067</v>
      </c>
      <c r="CN42" s="676" t="str">
        <f>$AO$18</f>
        <v/>
      </c>
      <c r="CO42" s="672" t="s">
        <v>4069</v>
      </c>
      <c r="CP42" s="676" t="str">
        <f>$AQ$18</f>
        <v/>
      </c>
      <c r="CQ42" s="672" t="s">
        <v>4070</v>
      </c>
      <c r="CR42" s="8" t="str">
        <f>$AS$18</f>
        <v/>
      </c>
      <c r="CS42" s="672"/>
      <c r="CT42" t="str">
        <f>CONCATENATE(Table278[[#This Row],[Column2]],Table278[[#This Row],[Column4]],CHAR(10),CHAR(10),Table278[[#This Row],[Column5]],Table278[[#This Row],[Pilot]],CHAR(10),Table278[[#This Row],[Start]],Table278[[#This Row],[Lic]],Table278[[#This Row],[Column7]],TEXT(Table278[[#This Row],[TT]],"#,##0"),Table278[[#This Row],[Column8]],TEXT(Table278[[#This Row],[ME/RG/RW]],"#,##0"),Table278[[#This Row],[Column10]],Table278[[#This Row],[MM]],Table278[[#This Row],[Column12]])</f>
        <v xml:space="preserve">As Respects: Single Engine Turboprop Aircraft
Any Pilot maintaining a ATP or more advanced pilot certificate, with an Instrument rating, who has logged a minimum of  total hours, including 500 hours in Turboprop aircraft,  hours in aircraft with retractable gear and  hours in the make and model to be flown. </v>
      </c>
      <c r="CU42" s="331"/>
      <c r="CV42" s="331">
        <v>1</v>
      </c>
      <c r="CX42" s="1068"/>
      <c r="CY42" s="1068"/>
      <c r="CZ42" s="1068"/>
      <c r="DA42" s="1068"/>
      <c r="DB42" s="1068"/>
      <c r="DC42" s="1068"/>
      <c r="DD42" s="1068"/>
      <c r="DE42" s="1068"/>
      <c r="DF42" s="1068"/>
      <c r="DG42" s="1068"/>
      <c r="DH42" s="1068"/>
      <c r="DI42" s="1068"/>
      <c r="DJ42" s="1068"/>
      <c r="DK42" s="1068"/>
      <c r="DL42" s="1068"/>
      <c r="DM42" s="1068"/>
      <c r="DN42" s="1068"/>
    </row>
    <row r="43" spans="1:118" ht="15.75">
      <c r="A43" s="2" t="str">
        <f>IF(B17=$AZ$27,$AZ$27,"")</f>
        <v/>
      </c>
      <c r="B43" s="2"/>
      <c r="C43" s="2"/>
      <c r="D43" s="2"/>
      <c r="E43" s="2"/>
      <c r="F43" s="2"/>
      <c r="G43" s="2"/>
      <c r="H43" s="2"/>
      <c r="I43" s="2"/>
      <c r="J43" s="2"/>
      <c r="K43" s="2"/>
      <c r="L43" s="2"/>
      <c r="M43" s="2"/>
      <c r="N43" s="2"/>
      <c r="O43" s="2"/>
      <c r="P43" s="2"/>
      <c r="Q43" s="2"/>
      <c r="R43" s="2"/>
      <c r="S43" s="2"/>
      <c r="T43" s="2"/>
      <c r="U43" s="2"/>
      <c r="V43" s="2"/>
      <c r="W43" s="2"/>
      <c r="X43" s="2"/>
      <c r="Y43" s="2"/>
      <c r="Z43" s="2"/>
      <c r="AA43" s="2"/>
      <c r="AB43" s="455"/>
      <c r="AC43" s="2"/>
      <c r="AD43" s="2"/>
      <c r="AE43" s="2"/>
      <c r="AF43" s="2"/>
      <c r="AG43" s="2"/>
      <c r="AH43" s="2"/>
      <c r="AI43" s="2"/>
      <c r="AJ43" s="2"/>
      <c r="AK43" s="2"/>
      <c r="AL43" s="2"/>
      <c r="AM43" s="2"/>
      <c r="AN43" s="2"/>
      <c r="AO43" s="2"/>
      <c r="AP43" s="2"/>
      <c r="AQ43" s="2"/>
      <c r="AR43" s="2"/>
      <c r="AS43" s="2"/>
      <c r="AT43" s="2"/>
      <c r="AU43" s="2"/>
      <c r="AV43" s="2"/>
      <c r="AW43" s="2"/>
      <c r="AX43" s="2"/>
      <c r="AY43">
        <v>10</v>
      </c>
      <c r="AZ43" s="60" t="str">
        <f>CONCATENATE($A$148,CHAR(10),$A$149)</f>
        <v>1. Any Student pilot while under the direct supervision of the Named Insured's Certificated Flight Instructor, or
2. Any Private or more advanced pilot certificate having demonstrated to the Named Insured's Certificated Flight Instructor the skills and knowledge necessary to the operate the aircraft being flown.</v>
      </c>
      <c r="BA43" s="60" t="str">
        <f>CONCATENATE($A$148,CHAR(10),$A$149)</f>
        <v>1. Any Student pilot while under the direct supervision of the Named Insured's Certificated Flight Instructor, or
2. Any Private or more advanced pilot certificate having demonstrated to the Named Insured's Certificated Flight Instructor the skills and knowledge necessary to the operate the aircraft being flown.</v>
      </c>
      <c r="BB43" s="60" t="str">
        <f>CONCATENATE($A$148,CHAR(10),$A$149)</f>
        <v>1. Any Student pilot while under the direct supervision of the Named Insured's Certificated Flight Instructor, or
2. Any Private or more advanced pilot certificate having demonstrated to the Named Insured's Certificated Flight Instructor the skills and knowledge necessary to the operate the aircraft being flown.</v>
      </c>
      <c r="BC43" s="60" t="str">
        <f>CONCATENATE($A$148,CHAR(10),$A$149)</f>
        <v>1. Any Student pilot while under the direct supervision of the Named Insured's Certificated Flight Instructor, or
2. Any Private or more advanced pilot certificate having demonstrated to the Named Insured's Certificated Flight Instructor the skills and knowledge necessary to the operate the aircraft being flown.</v>
      </c>
      <c r="BD43">
        <v>10</v>
      </c>
      <c r="BE43" s="128"/>
      <c r="BF43" s="128"/>
      <c r="BG43" s="128"/>
      <c r="BH43" s="128"/>
      <c r="BI43" s="128"/>
      <c r="BK43">
        <v>10</v>
      </c>
      <c r="BL43" t="s">
        <v>3297</v>
      </c>
      <c r="BM43" t="str">
        <f>IF(S6="X",CONCATENATE(BL43),"")</f>
        <v/>
      </c>
      <c r="BN43" t="s">
        <v>3298</v>
      </c>
      <c r="BO43" t="str">
        <f t="shared" si="15"/>
        <v/>
      </c>
      <c r="CB43">
        <v>3</v>
      </c>
      <c r="CC43" t="s">
        <v>4049</v>
      </c>
      <c r="CE43" s="672" t="str">
        <f>IF(Table278[[#This Row],[N'#s]]=""," Multiengine Turboprop Aircraft Requiring Only One (1) Crewmember",Table278[[#This Row],[N'#s]])</f>
        <v xml:space="preserve"> Multiengine Turboprop Aircraft Requiring Only One (1) Crewmember</v>
      </c>
      <c r="CF43" t="str">
        <f t="shared" si="17"/>
        <v/>
      </c>
      <c r="CG43" t="str">
        <f>IF(Table278[[#This Row],[Pilot]]="","","Named Pilots:")</f>
        <v/>
      </c>
      <c r="CH43" t="str">
        <f t="shared" si="18"/>
        <v/>
      </c>
      <c r="CI43" s="672" t="s">
        <v>4066</v>
      </c>
      <c r="CJ43" s="672" t="str">
        <f t="shared" si="19"/>
        <v>ATP</v>
      </c>
      <c r="CK43" s="672" t="s">
        <v>4075</v>
      </c>
      <c r="CL43" s="676" t="str">
        <f t="shared" ref="CL43:CL50" si="20">$AM$18</f>
        <v/>
      </c>
      <c r="CM43" s="672" t="s">
        <v>4074</v>
      </c>
      <c r="CN43" s="676" t="str">
        <f t="shared" ref="CN43:CN50" si="21">$AO$18</f>
        <v/>
      </c>
      <c r="CO43" s="672" t="s">
        <v>4078</v>
      </c>
      <c r="CP43" s="676" t="str">
        <f t="shared" ref="CP43:CP50" si="22">$AQ$18</f>
        <v/>
      </c>
      <c r="CQ43" s="672" t="s">
        <v>4076</v>
      </c>
      <c r="CR43" t="str">
        <f t="shared" ref="CR43:CR50" si="23">$AS$18</f>
        <v/>
      </c>
      <c r="CS43" s="673" t="s">
        <v>4077</v>
      </c>
      <c r="CT43" t="str">
        <f>CONCATENATE(Table278[[#This Row],[Column2]],Table278[[#This Row],[Column4]],CHAR(10),CHAR(10),Table278[[#This Row],[Column5]],Table278[[#This Row],[Pilot]],CHAR(10),Table278[[#This Row],[Start]],Table278[[#This Row],[Lic]],Table278[[#This Row],[Column7]],TEXT(Table278[[#This Row],[TT]],"#,##0"),Table278[[#This Row],[Column8]],TEXT(Table278[[#This Row],[ME/RG/RW]],"#,##0"),Table278[[#This Row],[Column10]],Table278[[#This Row],[Turbine]],Table278[[#This Row],[Column12]],Table278[[#This Row],[MM]],Table278[[#This Row],[Column14]])</f>
        <v xml:space="preserve">As Respects: Multiengine Turboprop Aircraft Requiring Only One (1) Crewmember
Any Pilot maintaining a ATP or more advanced pilot certificate, with Multiengine and Instrument ratings, who has logged a minimum of  total hours, including  hours in multiengine aircraft,  hours in Turboprop aircraft, and  hours in the make and model to be flown.  </v>
      </c>
      <c r="CV43">
        <v>1</v>
      </c>
      <c r="CX43" s="1068"/>
      <c r="CY43" s="1068"/>
      <c r="CZ43" s="1068"/>
      <c r="DA43" s="1068"/>
      <c r="DB43" s="1068"/>
      <c r="DC43" s="1068"/>
      <c r="DD43" s="1068"/>
      <c r="DE43" s="1068"/>
      <c r="DF43" s="1068"/>
      <c r="DG43" s="1068"/>
      <c r="DH43" s="1068"/>
      <c r="DI43" s="1068"/>
      <c r="DJ43" s="1068"/>
      <c r="DK43" s="1068"/>
      <c r="DL43" s="1068"/>
      <c r="DM43" s="1068"/>
      <c r="DN43" s="1068"/>
    </row>
    <row r="44" spans="1:118" ht="30" customHeight="1">
      <c r="A44" s="2" t="str">
        <f>IF($A$43&gt;"",2,"")</f>
        <v/>
      </c>
      <c r="B44" s="1097"/>
      <c r="C44" s="1097"/>
      <c r="D44" s="1097"/>
      <c r="E44" s="1097"/>
      <c r="F44" s="1097"/>
      <c r="G44" s="1097"/>
      <c r="H44" s="1097"/>
      <c r="I44" s="1097"/>
      <c r="J44" s="1097"/>
      <c r="K44" s="1097"/>
      <c r="L44" s="1097"/>
      <c r="M44" s="1097"/>
      <c r="N44" s="1097"/>
      <c r="O44" s="1097"/>
      <c r="P44" s="1097"/>
      <c r="Q44" s="1097"/>
      <c r="R44" s="1097"/>
      <c r="S44" s="1097"/>
      <c r="T44" s="1097"/>
      <c r="U44" s="1097"/>
      <c r="V44" s="1097"/>
      <c r="W44" s="1097"/>
      <c r="X44" s="1097"/>
      <c r="Y44" s="1097"/>
      <c r="Z44" s="1097"/>
      <c r="AA44" s="1097"/>
      <c r="AB44" s="455"/>
      <c r="AC44" s="2"/>
      <c r="AD44" s="2"/>
      <c r="AE44" s="2"/>
      <c r="AF44" s="2"/>
      <c r="AG44" s="2"/>
      <c r="AH44" s="2"/>
      <c r="AI44" s="2"/>
      <c r="AJ44" s="2"/>
      <c r="AK44" s="2"/>
      <c r="AL44" s="2"/>
      <c r="AM44" s="2"/>
      <c r="AN44" s="2"/>
      <c r="AO44" s="2"/>
      <c r="AP44" s="2"/>
      <c r="AQ44" s="2"/>
      <c r="AR44" s="2"/>
      <c r="AS44" s="2"/>
      <c r="AT44" s="2"/>
      <c r="AU44" s="2"/>
      <c r="AV44" s="2"/>
      <c r="AW44" s="2"/>
      <c r="AX44" s="2"/>
      <c r="AY44">
        <v>11</v>
      </c>
      <c r="AZ44" s="60" t="str">
        <f>IF($B$37="","",$B$37)</f>
        <v/>
      </c>
      <c r="BA44" s="60" t="str">
        <f>IF(B44="","",B44)</f>
        <v/>
      </c>
      <c r="BB44" s="60" t="str">
        <f>IF(B51="","",B51)</f>
        <v/>
      </c>
      <c r="BC44" s="60" t="str">
        <f>IF(B58="","",B58)</f>
        <v/>
      </c>
      <c r="BE44" s="387"/>
      <c r="BF44" s="387"/>
      <c r="BG44" s="387"/>
      <c r="BH44" s="387"/>
      <c r="BI44" s="387"/>
      <c r="BK44">
        <v>11</v>
      </c>
      <c r="BL44" s="1" t="s">
        <v>3299</v>
      </c>
      <c r="BM44" t="str">
        <f>IF(C8="X",CONCATENATE(BL44),"")</f>
        <v/>
      </c>
      <c r="BN44" t="s">
        <v>3300</v>
      </c>
      <c r="BO44" t="str">
        <f t="shared" si="15"/>
        <v/>
      </c>
      <c r="CB44">
        <v>4</v>
      </c>
      <c r="CC44" t="s">
        <v>4049</v>
      </c>
      <c r="CE44" s="672" t="str">
        <f>IF(Table278[[#This Row],[N'#s]]=""," The Pilot-In-Command of Multiengine Turboprop Aircraft Requiring Two (2) Crewmembers",Table278[[#This Row],[N'#s]])</f>
        <v xml:space="preserve"> The Pilot-In-Command of Multiengine Turboprop Aircraft Requiring Two (2) Crewmembers</v>
      </c>
      <c r="CF44" t="str">
        <f t="shared" si="17"/>
        <v/>
      </c>
      <c r="CG44" t="str">
        <f>IF(Table278[[#This Row],[Pilot]]="","","Named Pilots:")</f>
        <v/>
      </c>
      <c r="CH44" t="str">
        <f t="shared" si="18"/>
        <v/>
      </c>
      <c r="CI44" s="672" t="s">
        <v>4066</v>
      </c>
      <c r="CJ44" s="672" t="str">
        <f t="shared" si="19"/>
        <v>ATP</v>
      </c>
      <c r="CK44" s="672" t="s">
        <v>4073</v>
      </c>
      <c r="CL44" s="676" t="str">
        <f t="shared" si="20"/>
        <v/>
      </c>
      <c r="CM44" s="672" t="s">
        <v>4074</v>
      </c>
      <c r="CN44" s="676" t="str">
        <f t="shared" si="21"/>
        <v/>
      </c>
      <c r="CO44" s="672" t="s">
        <v>4078</v>
      </c>
      <c r="CP44" s="676" t="str">
        <f t="shared" si="22"/>
        <v/>
      </c>
      <c r="CQ44" s="672" t="s">
        <v>4076</v>
      </c>
      <c r="CR44" t="str">
        <f t="shared" si="23"/>
        <v/>
      </c>
      <c r="CS44" s="672" t="s">
        <v>4077</v>
      </c>
      <c r="CT44" t="str">
        <f>CONCATENATE(Table278[[#This Row],[Column2]],Table278[[#This Row],[Column4]],CHAR(10),CHAR(10),Table278[[#This Row],[Column5]],Table278[[#This Row],[Pilot]],CHAR(10),Table278[[#This Row],[Start]],Table278[[#This Row],[Lic]],Table278[[#This Row],[Column7]],TEXT(Table278[[#This Row],[TT]],"#,#0"),Table278[[#This Row],[Column8]],TEXT(Table278[[#This Row],[ME/RG/RW]],"#,#0"),Table278[[#This Row],[Column10]],Table278[[#This Row],[Turbine]],Table278[[#This Row],[Column12]],Table278[[#This Row],[MM]],Table278[[#This Row],[Column14]])</f>
        <v xml:space="preserve">As Respects: The Pilot-In-Command of Multiengine Turboprop Aircraft Requiring Two (2) Crewmembers
Any Pilot maintaining a ATPor more advanced pilot certificate, with Multiengine and Instrument ratings, who has logged a minimum of  total hours, including  hours in multiengine aircraft,  hours in Turboprop aircraft, and  hours in the make and model to be flown.  </v>
      </c>
      <c r="CV44" s="331">
        <v>1</v>
      </c>
      <c r="CX44" s="1068"/>
      <c r="CY44" s="1068"/>
      <c r="CZ44" s="1068"/>
      <c r="DA44" s="1068"/>
      <c r="DB44" s="1068"/>
      <c r="DC44" s="1068"/>
      <c r="DD44" s="1068"/>
      <c r="DE44" s="1068"/>
      <c r="DF44" s="1068"/>
      <c r="DG44" s="1068"/>
      <c r="DH44" s="1068"/>
      <c r="DI44" s="1068"/>
      <c r="DJ44" s="1068"/>
      <c r="DK44" s="1068"/>
      <c r="DL44" s="1068"/>
      <c r="DM44" s="1068"/>
      <c r="DN44" s="1068"/>
    </row>
    <row r="45" spans="1:118" ht="49.5" customHeight="1">
      <c r="A45" s="2"/>
      <c r="B45" s="1097"/>
      <c r="C45" s="1097"/>
      <c r="D45" s="1097"/>
      <c r="E45" s="1097"/>
      <c r="F45" s="1097"/>
      <c r="G45" s="1097"/>
      <c r="H45" s="1097"/>
      <c r="I45" s="1097"/>
      <c r="J45" s="1097"/>
      <c r="K45" s="1097"/>
      <c r="L45" s="1097"/>
      <c r="M45" s="1097"/>
      <c r="N45" s="1097"/>
      <c r="O45" s="1097"/>
      <c r="P45" s="1097"/>
      <c r="Q45" s="1097"/>
      <c r="R45" s="1097"/>
      <c r="S45" s="1097"/>
      <c r="T45" s="1097"/>
      <c r="U45" s="1097"/>
      <c r="V45" s="1097"/>
      <c r="W45" s="1097"/>
      <c r="X45" s="1097"/>
      <c r="Y45" s="1097"/>
      <c r="Z45" s="1097"/>
      <c r="AA45" s="1097"/>
      <c r="AB45" s="455"/>
      <c r="AC45" s="2"/>
      <c r="AD45" s="2"/>
      <c r="AE45" s="2"/>
      <c r="AF45" s="2"/>
      <c r="AG45" s="2"/>
      <c r="AH45" s="2"/>
      <c r="AI45" s="2"/>
      <c r="AJ45" s="2"/>
      <c r="AK45" s="2"/>
      <c r="AL45" s="2"/>
      <c r="AM45" s="2"/>
      <c r="AN45" s="2"/>
      <c r="AO45" s="2"/>
      <c r="AP45" s="2"/>
      <c r="AQ45" s="2"/>
      <c r="AR45" s="2"/>
      <c r="AS45" s="2"/>
      <c r="AT45" s="2"/>
      <c r="AU45" s="2"/>
      <c r="AV45" s="2"/>
      <c r="AW45" s="2"/>
      <c r="AX45" s="2"/>
      <c r="BE45" s="127"/>
      <c r="BF45" s="127"/>
      <c r="BG45" s="127"/>
      <c r="BH45" s="127"/>
      <c r="BI45" s="125"/>
      <c r="BJ45" s="127"/>
      <c r="BK45" s="127">
        <v>12</v>
      </c>
      <c r="BL45" s="496" t="s">
        <v>3301</v>
      </c>
      <c r="BM45" t="str">
        <f>IF(S8="X",CONCATENATE(BL45),"")</f>
        <v/>
      </c>
      <c r="BN45" s="127" t="s">
        <v>3302</v>
      </c>
      <c r="BO45" t="str">
        <f t="shared" si="15"/>
        <v/>
      </c>
      <c r="BP45" s="127"/>
      <c r="BQ45" s="127"/>
      <c r="BR45" s="127"/>
      <c r="BU45" s="127"/>
      <c r="BV45" s="127"/>
      <c r="BW45" s="127"/>
      <c r="CB45">
        <v>5</v>
      </c>
      <c r="CC45" t="s">
        <v>4049</v>
      </c>
      <c r="CE45" s="672" t="str">
        <f>IF(Table278[[#This Row],[N'#s]]=""," The Second in Command of Multiengine Turboprop Aircraft Requiring Two (2) Crewmembers",Table278[[#This Row],[N'#s]])</f>
        <v xml:space="preserve"> The Second in Command of Multiengine Turboprop Aircraft Requiring Two (2) Crewmembers</v>
      </c>
      <c r="CF45" t="str">
        <f t="shared" si="17"/>
        <v/>
      </c>
      <c r="CG45" t="str">
        <f>IF(Table278[[#This Row],[Pilot]]="","","Named Pilots:")</f>
        <v/>
      </c>
      <c r="CH45" t="str">
        <f t="shared" si="18"/>
        <v/>
      </c>
      <c r="CI45" s="672" t="s">
        <v>4066</v>
      </c>
      <c r="CJ45" s="672" t="str">
        <f t="shared" si="19"/>
        <v>ATP</v>
      </c>
      <c r="CK45" s="672" t="s">
        <v>4075</v>
      </c>
      <c r="CL45" s="676" t="str">
        <f t="shared" si="20"/>
        <v/>
      </c>
      <c r="CM45" s="672" t="s">
        <v>4074</v>
      </c>
      <c r="CN45" s="676" t="str">
        <f t="shared" si="21"/>
        <v/>
      </c>
      <c r="CO45" s="672" t="s">
        <v>4078</v>
      </c>
      <c r="CP45" s="676" t="str">
        <f t="shared" si="22"/>
        <v/>
      </c>
      <c r="CQ45" t="s">
        <v>4085</v>
      </c>
      <c r="CR45" t="str">
        <f t="shared" si="23"/>
        <v/>
      </c>
      <c r="CS45" s="672"/>
      <c r="CT45" t="str">
        <f xml:space="preserve"> CONCATENATE(Table278[[#This Row],[Column2]],Table278[[#This Row],[Column4]],CHAR(10),CHAR(10),Table278[[#This Row],[Column5]],Table278[[#This Row],[Pilot]],CHAR(10),Table278[[#This Row],[Start]],Table278[[#This Row],[Lic]],Table278[[#This Row],[Column7]],TEXT(Table278[[#This Row],[TT]],"#,#0"),Table278[[#This Row],[Column8]],TEXT(Table278[[#This Row],[ME/RG/RW]],"#,#0"),Table278[[#This Row],[Column10]],Table278[[#This Row],[Turbine]],Table278[[#This Row],[Column12]])</f>
        <v>As Respects: The Second in Command of Multiengine Turboprop Aircraft Requiring Two (2) Crewmembers
Any Pilot maintaining a ATP or more advanced pilot certificate, with Multiengine and Instrument ratings, who has logged a minimum of  total hours, including  hours in multiengine aircraft,  hours in Turboprop aircraft.</v>
      </c>
      <c r="CV45">
        <v>1</v>
      </c>
      <c r="CX45" s="1068"/>
      <c r="CY45" s="1068"/>
      <c r="CZ45" s="1068"/>
      <c r="DA45" s="1068"/>
      <c r="DB45" s="1068"/>
      <c r="DC45" s="1068"/>
      <c r="DD45" s="1068"/>
      <c r="DE45" s="1068"/>
      <c r="DF45" s="1068"/>
      <c r="DG45" s="1068"/>
      <c r="DH45" s="1068"/>
      <c r="DI45" s="1068"/>
      <c r="DJ45" s="1068"/>
      <c r="DK45" s="1068"/>
      <c r="DL45" s="1068"/>
      <c r="DM45" s="1068"/>
      <c r="DN45" s="1068"/>
    </row>
    <row r="46" spans="1:118" ht="15.75">
      <c r="A46" s="2"/>
      <c r="B46" s="1097"/>
      <c r="C46" s="1097"/>
      <c r="D46" s="1097"/>
      <c r="E46" s="1097"/>
      <c r="F46" s="1097"/>
      <c r="G46" s="1097"/>
      <c r="H46" s="1097"/>
      <c r="I46" s="1097"/>
      <c r="J46" s="1097"/>
      <c r="K46" s="1097"/>
      <c r="L46" s="1097"/>
      <c r="M46" s="1097"/>
      <c r="N46" s="1097"/>
      <c r="O46" s="1097"/>
      <c r="P46" s="1097"/>
      <c r="Q46" s="1097"/>
      <c r="R46" s="1097"/>
      <c r="S46" s="1097"/>
      <c r="T46" s="1097"/>
      <c r="U46" s="1097"/>
      <c r="V46" s="1097"/>
      <c r="W46" s="1097"/>
      <c r="X46" s="1097"/>
      <c r="Y46" s="1097"/>
      <c r="Z46" s="1097"/>
      <c r="AA46" s="1097"/>
      <c r="AB46" s="455"/>
      <c r="AC46" s="2"/>
      <c r="AD46" s="2"/>
      <c r="AE46" s="2"/>
      <c r="AF46" s="2"/>
      <c r="AG46" s="2"/>
      <c r="AH46" s="2"/>
      <c r="AI46" s="2"/>
      <c r="AJ46" s="2"/>
      <c r="AK46" s="2"/>
      <c r="AL46" s="2"/>
      <c r="AM46" s="2"/>
      <c r="AN46" s="2"/>
      <c r="AO46" s="2"/>
      <c r="AP46" s="2"/>
      <c r="AQ46" s="2"/>
      <c r="AR46" s="2"/>
      <c r="AS46" s="2"/>
      <c r="AT46" s="2"/>
      <c r="AU46" s="2"/>
      <c r="AV46" s="2"/>
      <c r="AW46" s="2"/>
      <c r="AX46" s="2"/>
      <c r="AY46" t="s">
        <v>3267</v>
      </c>
      <c r="AZ46" s="126" t="str">
        <f>IF($B$11="","",VLOOKUP($BD$17,$AY$34:$AZ$45,2))</f>
        <v/>
      </c>
      <c r="BA46" s="126" t="str">
        <f>IF(B17="","",VLOOKUP(BD18,$AY$34:$BA$45,3))</f>
        <v/>
      </c>
      <c r="BB46" s="126" t="str">
        <f>IF(B23="","",VLOOKUP(BD19,$AY$34:$BB$45,4))</f>
        <v/>
      </c>
      <c r="BC46" s="126" t="str">
        <f>IF(B29="","",VLOOKUP(BD20,$AY$34:$BC$45,5))</f>
        <v/>
      </c>
      <c r="BD46" t="s">
        <v>3303</v>
      </c>
      <c r="BE46" s="387" t="str">
        <f>IF(BD17="","",VLOOKUP($BD$17,$BD$34:$BE$43,2))</f>
        <v/>
      </c>
      <c r="BF46" s="387" t="str">
        <f>IF(BD17="","",VLOOKUP($BD$17,$BD$34:$BF$43,3))</f>
        <v/>
      </c>
      <c r="BG46" s="387" t="str">
        <f>IF(BD17="","",VLOOKUP($BD$17,$BD$34:$BG$43,4))</f>
        <v/>
      </c>
      <c r="BH46" s="387" t="str">
        <f>IF(BD17="","",VLOOKUP($BD$17,$BD$34:$BH$43,5))</f>
        <v/>
      </c>
      <c r="BI46" s="387" t="str">
        <f>IF(BD17="","",VLOOKUP($BD$17,$BD$34:$BI$43,6))</f>
        <v/>
      </c>
      <c r="BL46" t="s">
        <v>3304</v>
      </c>
      <c r="CB46">
        <v>6</v>
      </c>
      <c r="CC46" t="s">
        <v>4049</v>
      </c>
      <c r="CE46" s="672" t="str">
        <f>IF(Table278[[#This Row],[N'#s]]=""," Single Engine Jet Aircraft",Table278[[#This Row],[N'#s]])</f>
        <v xml:space="preserve"> Single Engine Jet Aircraft</v>
      </c>
      <c r="CF46" t="str">
        <f t="shared" si="17"/>
        <v/>
      </c>
      <c r="CG46" t="str">
        <f>IF(Table278[[#This Row],[Pilot]]="","","Named Pilots:")</f>
        <v/>
      </c>
      <c r="CH46" t="str">
        <f t="shared" si="18"/>
        <v/>
      </c>
      <c r="CI46" s="672" t="s">
        <v>4066</v>
      </c>
      <c r="CJ46" s="672" t="str">
        <f t="shared" si="19"/>
        <v>ATP</v>
      </c>
      <c r="CK46" s="672" t="s">
        <v>4083</v>
      </c>
      <c r="CL46" s="676" t="str">
        <f t="shared" si="20"/>
        <v/>
      </c>
      <c r="CM46" s="672" t="s">
        <v>4074</v>
      </c>
      <c r="CN46" s="676" t="str">
        <f t="shared" si="21"/>
        <v/>
      </c>
      <c r="CO46" s="672" t="s">
        <v>4081</v>
      </c>
      <c r="CP46" s="676" t="str">
        <f t="shared" si="22"/>
        <v/>
      </c>
      <c r="CR46" t="str">
        <f t="shared" si="23"/>
        <v/>
      </c>
      <c r="CS46" s="673" t="s">
        <v>4079</v>
      </c>
      <c r="CT46" t="str">
        <f xml:space="preserve"> CONCATENATE(Table278[[#This Row],[Column2]],Table278[[#This Row],[Column4]],CHAR(10),CHAR(10),Table278[[#This Row],[Column5]],Table278[[#This Row],[Pilot]],CHAR(10),Table278[[#This Row],[Start]],Table278[[#This Row],[Lic]],Table278[[#This Row],[Column7]],TEXT(Table278[[#This Row],[TT]],"#,#0"),Table278[[#This Row],[Column8]],Table278[[#This Row],[Turbine]],Table278[[#This Row],[Column10]],Table278[[#This Row],[MM]],Table278[[#This Row],[Column14]])</f>
        <v xml:space="preserve">As Respects: Single Engine Jet Aircraft
Any Pilot maintaining a ATP or more advanced pilot certificate, with Instrument ratings, who has logged a minimum of  total hours, including  hours in turbojet aircraft, and  hours in the make and model to be flown.  Additionally, the Pilot must be Type Rated in the Make and Model to be flown.  </v>
      </c>
      <c r="CV46" s="331">
        <v>1</v>
      </c>
      <c r="CX46" s="1068"/>
      <c r="CY46" s="1068"/>
      <c r="CZ46" s="1068"/>
      <c r="DA46" s="1068"/>
      <c r="DB46" s="1068"/>
      <c r="DC46" s="1068"/>
      <c r="DD46" s="1068"/>
      <c r="DE46" s="1068"/>
      <c r="DF46" s="1068"/>
      <c r="DG46" s="1068"/>
      <c r="DH46" s="1068"/>
      <c r="DI46" s="1068"/>
      <c r="DJ46" s="1068"/>
      <c r="DK46" s="1068"/>
      <c r="DL46" s="1068"/>
      <c r="DM46" s="1068"/>
      <c r="DN46" s="1068"/>
    </row>
    <row r="47" spans="1:118" ht="15.75">
      <c r="A47" s="2"/>
      <c r="B47" s="1097"/>
      <c r="C47" s="1097"/>
      <c r="D47" s="1097"/>
      <c r="E47" s="1097"/>
      <c r="F47" s="1097"/>
      <c r="G47" s="1097"/>
      <c r="H47" s="1097"/>
      <c r="I47" s="1097"/>
      <c r="J47" s="1097"/>
      <c r="K47" s="1097"/>
      <c r="L47" s="1097"/>
      <c r="M47" s="1097"/>
      <c r="N47" s="1097"/>
      <c r="O47" s="1097"/>
      <c r="P47" s="1097"/>
      <c r="Q47" s="1097"/>
      <c r="R47" s="1097"/>
      <c r="S47" s="1097"/>
      <c r="T47" s="1097"/>
      <c r="U47" s="1097"/>
      <c r="V47" s="1097"/>
      <c r="W47" s="1097"/>
      <c r="X47" s="1097"/>
      <c r="Y47" s="1097"/>
      <c r="Z47" s="1097"/>
      <c r="AA47" s="1097"/>
      <c r="AB47" s="455"/>
      <c r="AC47" s="2"/>
      <c r="AD47" s="2"/>
      <c r="AE47" s="2"/>
      <c r="AF47" s="2"/>
      <c r="AG47" s="2"/>
      <c r="AH47" s="2"/>
      <c r="AI47" s="2"/>
      <c r="AJ47" s="2"/>
      <c r="AK47" s="2"/>
      <c r="AL47" s="2"/>
      <c r="AM47" s="2"/>
      <c r="AN47" s="2"/>
      <c r="AO47" s="2"/>
      <c r="AP47" s="2"/>
      <c r="AQ47" s="2"/>
      <c r="AR47" s="2"/>
      <c r="AS47" s="2"/>
      <c r="AT47" s="2"/>
      <c r="AU47" s="2"/>
      <c r="AV47" s="2"/>
      <c r="AW47" s="2"/>
      <c r="AX47" s="2"/>
      <c r="AY47">
        <v>1</v>
      </c>
      <c r="AZ47" s="118" t="s">
        <v>3275</v>
      </c>
      <c r="BD47" t="s">
        <v>3305</v>
      </c>
      <c r="BE47" s="387" t="str">
        <f>IF(BD18="","",VLOOKUP($BD$18,$BD$34:$BE$43,2))</f>
        <v/>
      </c>
      <c r="BF47" s="387" t="str">
        <f>IF(BD18="","",VLOOKUP($BD$18,$BD$34:$BF$43,3))</f>
        <v/>
      </c>
      <c r="BG47" s="387" t="str">
        <f>IF(BD18="","",VLOOKUP($BD$18,$BD$34:$BG$43,4))</f>
        <v/>
      </c>
      <c r="BH47" s="387" t="str">
        <f>IF(BD18="","",VLOOKUP($BD$18,$BD$34:$BH$43,5))</f>
        <v/>
      </c>
      <c r="BI47" s="387" t="str">
        <f>IF(BD18="","",VLOOKUP($BD$18,$BD$34:$BI$43,6))</f>
        <v/>
      </c>
      <c r="BK47">
        <v>1</v>
      </c>
      <c r="BL47" s="331" t="str">
        <f>CONCATENATE(BO34,IF(BO34="","",CHAR(10)),BM34,IF(BM34="","",CHAR(10)&amp;CHAR(10)),BO35,IF(BO35="","",CHAR(10)),BM35,IF(BM35="","",CHAR(10)&amp;CHAR(10)),BO36,IF(BO36="","",CHAR(10)),BM36,IF(BM36="","",CHAR(10)&amp;CHAR(10)),BO37,IF(BO37="","",CHAR(10)),BM37,IF(BM37="","",CHAR(10)&amp;CHAR(10)),BO38,IF(BO38="","",CHAR(10)),BM38,IF(BM38="","",CHAR(10)&amp;CHAR(10)),BO39,IF(BO39="","",CHAR(10)),BM39,IF(BM39="","",CHAR(10)),BO40,IF(BO40="","",CHAR(10)),BM40,IF(BM40="","",CHAR(10)&amp;CHAR(10)),BO41,IF(BO41="","",CHAR(10)),BM41,IF(BM41="","",CHAR(10)&amp;CHAR(10)))</f>
        <v/>
      </c>
      <c r="BM47" s="331"/>
      <c r="BN47" s="331"/>
      <c r="BO47" s="331"/>
      <c r="BP47" s="331"/>
      <c r="BQ47" s="331"/>
      <c r="BR47" s="331"/>
      <c r="BS47" s="331"/>
      <c r="BT47" s="331"/>
      <c r="BU47" s="331"/>
      <c r="BV47" s="331"/>
      <c r="BW47" s="331"/>
      <c r="BX47" s="331"/>
      <c r="BY47" s="331"/>
      <c r="BZ47" s="331"/>
      <c r="CA47" s="331"/>
      <c r="CB47">
        <v>7</v>
      </c>
      <c r="CC47" t="s">
        <v>4049</v>
      </c>
      <c r="CE47" s="672" t="str">
        <f>IF(Table278[[#This Row],[N'#s]]=""," Jet Aircraft Requiring Only One (1) Crewmember",Table278[[#This Row],[N'#s]])</f>
        <v xml:space="preserve"> Jet Aircraft Requiring Only One (1) Crewmember</v>
      </c>
      <c r="CF47" t="str">
        <f t="shared" si="17"/>
        <v/>
      </c>
      <c r="CG47" t="str">
        <f>IF(Table278[[#This Row],[Pilot]]="","","Named Pilots:")</f>
        <v/>
      </c>
      <c r="CH47" t="str">
        <f t="shared" si="18"/>
        <v/>
      </c>
      <c r="CI47" s="672" t="s">
        <v>4066</v>
      </c>
      <c r="CJ47" s="672" t="str">
        <f t="shared" si="19"/>
        <v>ATP</v>
      </c>
      <c r="CK47" s="672" t="s">
        <v>4075</v>
      </c>
      <c r="CL47" s="676" t="str">
        <f t="shared" si="20"/>
        <v/>
      </c>
      <c r="CM47" s="672" t="s">
        <v>4074</v>
      </c>
      <c r="CN47" s="676" t="str">
        <f t="shared" si="21"/>
        <v/>
      </c>
      <c r="CO47" s="672" t="s">
        <v>4087</v>
      </c>
      <c r="CP47" s="676" t="str">
        <f t="shared" si="22"/>
        <v/>
      </c>
      <c r="CQ47" s="672" t="s">
        <v>4081</v>
      </c>
      <c r="CR47" t="str">
        <f t="shared" si="23"/>
        <v/>
      </c>
      <c r="CS47" s="672" t="s">
        <v>4086</v>
      </c>
      <c r="CT47" t="str">
        <f xml:space="preserve"> CONCATENATE(Table278[[#This Row],[Column2]],Table278[[#This Row],[Column4]],CHAR(10),CHAR(10),Table278[[#This Row],[Column5]],Table278[[#This Row],[Pilot]],CHAR(10),Table278[[#This Row],[Start]],Table278[[#This Row],[Lic]],Table278[[#This Row],[Column7]],TEXT(Table278[[#This Row],[TT]],"#,#0"),Table278[[#This Row],[Column8]],TEXT(Table278[[#This Row],[ME/RG/RW]],"#,#0"),Table278[[#This Row],[Column10]],Table278[[#This Row],[Turbine]],Table278[[#This Row],[Column12]],Table278[[#This Row],[MM]],Table278[[#This Row],[Column14]])</f>
        <v xml:space="preserve">As Respects: Jet Aircraft Requiring Only One (1) Crewmember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47">
        <v>1</v>
      </c>
      <c r="CX47" s="1068"/>
      <c r="CY47" s="1068"/>
      <c r="CZ47" s="1068"/>
      <c r="DA47" s="1068"/>
      <c r="DB47" s="1068"/>
      <c r="DC47" s="1068"/>
      <c r="DD47" s="1068"/>
      <c r="DE47" s="1068"/>
      <c r="DF47" s="1068"/>
      <c r="DG47" s="1068"/>
      <c r="DH47" s="1068"/>
      <c r="DI47" s="1068"/>
      <c r="DJ47" s="1068"/>
      <c r="DK47" s="1068"/>
      <c r="DL47" s="1068"/>
      <c r="DM47" s="1068"/>
      <c r="DN47" s="1068"/>
    </row>
    <row r="48" spans="1:118" ht="15.75">
      <c r="A48" s="2"/>
      <c r="B48" s="1097"/>
      <c r="C48" s="1097"/>
      <c r="D48" s="1097"/>
      <c r="E48" s="1097"/>
      <c r="F48" s="1097"/>
      <c r="G48" s="1097"/>
      <c r="H48" s="1097"/>
      <c r="I48" s="1097"/>
      <c r="J48" s="1097"/>
      <c r="K48" s="1097"/>
      <c r="L48" s="1097"/>
      <c r="M48" s="1097"/>
      <c r="N48" s="1097"/>
      <c r="O48" s="1097"/>
      <c r="P48" s="1097"/>
      <c r="Q48" s="1097"/>
      <c r="R48" s="1097"/>
      <c r="S48" s="1097"/>
      <c r="T48" s="1097"/>
      <c r="U48" s="1097"/>
      <c r="V48" s="1097"/>
      <c r="W48" s="1097"/>
      <c r="X48" s="1097"/>
      <c r="Y48" s="1097"/>
      <c r="Z48" s="1097"/>
      <c r="AA48" s="1097"/>
      <c r="AB48" s="455"/>
      <c r="AC48" s="2"/>
      <c r="AD48" s="2"/>
      <c r="AE48" s="2"/>
      <c r="AF48" s="2"/>
      <c r="AG48" s="2"/>
      <c r="AH48" s="2"/>
      <c r="AI48" s="2"/>
      <c r="AJ48" s="2"/>
      <c r="AK48" s="2"/>
      <c r="AL48" s="2"/>
      <c r="AM48" s="2"/>
      <c r="AN48" s="2"/>
      <c r="AO48" s="2"/>
      <c r="AP48" s="2"/>
      <c r="AQ48" s="2"/>
      <c r="AR48" s="2"/>
      <c r="AS48" s="2"/>
      <c r="AT48" s="2"/>
      <c r="AU48" s="2"/>
      <c r="AV48" s="2"/>
      <c r="AW48" s="2"/>
      <c r="AX48" s="2"/>
      <c r="AY48">
        <v>2</v>
      </c>
      <c r="AZ48" t="s">
        <v>3280</v>
      </c>
      <c r="BD48" t="s">
        <v>3306</v>
      </c>
      <c r="BE48" s="387" t="str">
        <f>IF(BD19="","",VLOOKUP($BD$19,$BD$34:$BE$43,2))</f>
        <v/>
      </c>
      <c r="BF48" s="387" t="str">
        <f>IF(BD19="","",VLOOKUP($BD$19,$BD$34:$BF$43,3))</f>
        <v/>
      </c>
      <c r="BG48" s="387" t="str">
        <f>IF(BD19="","",VLOOKUP($BD$19,$BD$34:$BG$43,4))</f>
        <v/>
      </c>
      <c r="BH48" s="387" t="str">
        <f>IF(BD19="","",VLOOKUP($BD$19,$BD$34:$BH$43,5))</f>
        <v/>
      </c>
      <c r="BI48" s="387" t="str">
        <f>IF(BD19="","",VLOOKUP($BD$19,$BD$34:$BI$43,6))</f>
        <v/>
      </c>
      <c r="BK48">
        <v>2</v>
      </c>
      <c r="BL48" t="str">
        <f>CONCATENATE(BO42,IF(BO42="","",CHAR(10)),BM42,IF(BM42="","",CHAR(10)&amp;CHAR(10)),BO43,IF(BO43="","",CHAR(10)),BM43,IF(BM43="","",CHAR(10)&amp;CHAR(10)),AZ62,IF(AZ62="","",CHAR(10)),AZ63,IF(AZ63="","",CHAR(10)),AZ64,IF(AZ64="","",CHAR(10)),AZ65,IF(BO44="","",CHAR(10)),BO44,IF(BM44="","",CHAR(10)&amp;CHAR(10)),BM44,IF(BO45="","",CHAR(10)&amp;CHAR(10)),BO45,IF(BM45="","",CHAR(10)&amp;CHAR(10)),BM45)</f>
        <v xml:space="preserve">
</v>
      </c>
      <c r="CB48">
        <v>8</v>
      </c>
      <c r="CC48" t="s">
        <v>4049</v>
      </c>
      <c r="CE48" s="672" t="str">
        <f>IF(Table278[[#This Row],[N'#s]]=""," The Pilot-In-Command of Jet Aircraft Requiring Two (2) Crewmembers",Table278[[#This Row],[N'#s]])</f>
        <v xml:space="preserve"> The Pilot-In-Command of Jet Aircraft Requiring Two (2) Crewmembers</v>
      </c>
      <c r="CF48" t="str">
        <f t="shared" si="17"/>
        <v/>
      </c>
      <c r="CG48" t="str">
        <f>IF(Table278[[#This Row],[Pilot]]="","","Named Pilots:")</f>
        <v/>
      </c>
      <c r="CH48" t="str">
        <f t="shared" si="18"/>
        <v/>
      </c>
      <c r="CI48" s="672" t="s">
        <v>4066</v>
      </c>
      <c r="CJ48" s="672" t="str">
        <f t="shared" si="19"/>
        <v>ATP</v>
      </c>
      <c r="CK48" s="672" t="s">
        <v>4075</v>
      </c>
      <c r="CL48" s="676" t="str">
        <f t="shared" si="20"/>
        <v/>
      </c>
      <c r="CM48" s="672" t="s">
        <v>4074</v>
      </c>
      <c r="CN48" s="676" t="str">
        <f t="shared" si="21"/>
        <v/>
      </c>
      <c r="CO48" s="672" t="s">
        <v>4087</v>
      </c>
      <c r="CP48" s="676" t="str">
        <f t="shared" si="22"/>
        <v/>
      </c>
      <c r="CQ48" s="672" t="s">
        <v>4081</v>
      </c>
      <c r="CR48" t="str">
        <f t="shared" si="23"/>
        <v/>
      </c>
      <c r="CS48" s="672" t="s">
        <v>4088</v>
      </c>
      <c r="CT48" t="str">
        <f xml:space="preserve"> CONCATENATE(Table278[[#This Row],[Column2]],Table278[[#This Row],[Column4]],CHAR(10),CHAR(10),Table278[[#This Row],[Column5]],Table278[[#This Row],[Pilot]],CHAR(10),Table278[[#This Row],[Start]],Table278[[#This Row],[Lic]],Table278[[#This Row],[Column7]],TEXT(Table278[[#This Row],[TT]],"#,#0"),Table278[[#This Row],[Column8]],TEXT(Table278[[#This Row],[ME/RG/RW]],"#,#0"),Table278[[#This Row],[Column10]],Table278[[#This Row],[Turbine]],Table278[[#This Row],[Column12]],Table278[[#This Row],[MM]],Table278[[#This Row],[Column14]])</f>
        <v xml:space="preserve">As Respects: The Pilot-In-Command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48" s="331">
        <v>1</v>
      </c>
      <c r="CX48" s="1068"/>
      <c r="CY48" s="1068"/>
      <c r="CZ48" s="1068"/>
      <c r="DA48" s="1068"/>
      <c r="DB48" s="1068"/>
      <c r="DC48" s="1068"/>
      <c r="DD48" s="1068"/>
      <c r="DE48" s="1068"/>
      <c r="DF48" s="1068"/>
      <c r="DG48" s="1068"/>
      <c r="DH48" s="1068"/>
      <c r="DI48" s="1068"/>
      <c r="DJ48" s="1068"/>
      <c r="DK48" s="1068"/>
      <c r="DL48" s="1068"/>
      <c r="DM48" s="1068"/>
      <c r="DN48" s="1068"/>
    </row>
    <row r="49" spans="1:118" ht="15.75">
      <c r="A49" s="2"/>
      <c r="B49" s="1097"/>
      <c r="C49" s="1097"/>
      <c r="D49" s="1097"/>
      <c r="E49" s="1097"/>
      <c r="F49" s="1097"/>
      <c r="G49" s="1097"/>
      <c r="H49" s="1097"/>
      <c r="I49" s="1097"/>
      <c r="J49" s="1097"/>
      <c r="K49" s="1097"/>
      <c r="L49" s="1097"/>
      <c r="M49" s="1097"/>
      <c r="N49" s="1097"/>
      <c r="O49" s="1097"/>
      <c r="P49" s="1097"/>
      <c r="Q49" s="1097"/>
      <c r="R49" s="1097"/>
      <c r="S49" s="1097"/>
      <c r="T49" s="1097"/>
      <c r="U49" s="1097"/>
      <c r="V49" s="1097"/>
      <c r="W49" s="1097"/>
      <c r="X49" s="1097"/>
      <c r="Y49" s="1097"/>
      <c r="Z49" s="1097"/>
      <c r="AA49" s="1097"/>
      <c r="AB49" s="455"/>
      <c r="AC49" s="2"/>
      <c r="AD49" s="2"/>
      <c r="AE49" s="2"/>
      <c r="AF49" s="2"/>
      <c r="AG49" s="2"/>
      <c r="AH49" s="2"/>
      <c r="AI49" s="2"/>
      <c r="AJ49" s="2"/>
      <c r="AK49" s="2"/>
      <c r="AL49" s="2"/>
      <c r="AM49" s="2"/>
      <c r="AN49" s="2"/>
      <c r="AO49" s="2"/>
      <c r="AP49" s="2"/>
      <c r="AQ49" s="2"/>
      <c r="AR49" s="2"/>
      <c r="AS49" s="2"/>
      <c r="AT49" s="2"/>
      <c r="AU49" s="2"/>
      <c r="AV49" s="2"/>
      <c r="AW49" s="2"/>
      <c r="AX49" s="2"/>
      <c r="AY49">
        <v>3</v>
      </c>
      <c r="AZ49" t="s">
        <v>3282</v>
      </c>
      <c r="BD49" t="s">
        <v>3307</v>
      </c>
      <c r="BE49" s="387" t="str">
        <f>IF(BD20="","",VLOOKUP($BD$20,$BD$34:$BE$43,2))</f>
        <v/>
      </c>
      <c r="BF49" s="387" t="str">
        <f>IF(BD20="","",VLOOKUP($BD$20,$BD$34:$BF$43,3))</f>
        <v/>
      </c>
      <c r="BG49" s="387" t="str">
        <f>IF(BD20="","",VLOOKUP($BD$20,$BD$34:$BG$43,4))</f>
        <v/>
      </c>
      <c r="BH49" s="387" t="str">
        <f>IF(BD20="","",VLOOKUP($BD$20,$BD$34:$BH$43,5))</f>
        <v/>
      </c>
      <c r="BI49" s="387" t="str">
        <f>IF(BD20="","",VLOOKUP($BD$20,$BD$34:$BI$43,6))</f>
        <v/>
      </c>
      <c r="CB49">
        <v>9</v>
      </c>
      <c r="CC49" t="s">
        <v>4049</v>
      </c>
      <c r="CE49" s="672" t="str">
        <f>IF(Table278[[#This Row],[N'#s]]=""," As Respects the Second in Command of Jet Aircraft Requiring Two (2) Crewmembers",Table278[[#This Row],[N'#s]])</f>
        <v xml:space="preserve"> As Respects the Second in Command of Jet Aircraft Requiring Two (2) Crewmembers</v>
      </c>
      <c r="CF49" t="str">
        <f t="shared" si="17"/>
        <v/>
      </c>
      <c r="CG49" t="str">
        <f>IF(Table278[[#This Row],[Pilot]]="","","Named Pilots:")</f>
        <v/>
      </c>
      <c r="CH49" t="str">
        <f t="shared" si="18"/>
        <v/>
      </c>
      <c r="CI49" s="672" t="s">
        <v>4066</v>
      </c>
      <c r="CJ49" s="672" t="str">
        <f t="shared" si="19"/>
        <v>ATP</v>
      </c>
      <c r="CK49" s="672" t="s">
        <v>4075</v>
      </c>
      <c r="CL49" s="676" t="str">
        <f t="shared" si="20"/>
        <v/>
      </c>
      <c r="CM49" s="672" t="s">
        <v>4074</v>
      </c>
      <c r="CN49" s="676" t="str">
        <f t="shared" si="21"/>
        <v/>
      </c>
      <c r="CO49" s="672" t="s">
        <v>4078</v>
      </c>
      <c r="CP49" s="676" t="str">
        <f t="shared" si="22"/>
        <v/>
      </c>
      <c r="CQ49" s="672" t="s">
        <v>4081</v>
      </c>
      <c r="CR49" t="str">
        <f t="shared" si="23"/>
        <v/>
      </c>
      <c r="CS49" s="673" t="s">
        <v>4077</v>
      </c>
      <c r="CT49" t="str">
        <f xml:space="preserve"> CONCATENATE(Table278[[#This Row],[Column2]],Table278[[#This Row],[Column4]],CHAR(10),CHAR(10),Table278[[#This Row],[Column5]],Table278[[#This Row],[Pilot]],CHAR(10),Table278[[#This Row],[Start]],Table278[[#This Row],[Lic]],Table278[[#This Row],[Column7]],TEXT(Table278[[#This Row],[TT]],"#,#0"),Table278[[#This Row],[Column8]],TEXT(Table278[[#This Row],[ME/RG/RW]],"#,#0"),Table278[[#This Row],[Column10]],Table278[[#This Row],[Turbine]],Table278[[#This Row],[Column12]],Table278[[#This Row],[MM]],Table278[[#This Row],[Column14]])</f>
        <v xml:space="preserve">As Respects: As Respects the Second in 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v>
      </c>
      <c r="CV49">
        <v>1</v>
      </c>
      <c r="CX49" s="1068"/>
      <c r="CY49" s="1068"/>
      <c r="CZ49" s="1068"/>
      <c r="DA49" s="1068"/>
      <c r="DB49" s="1068"/>
      <c r="DC49" s="1068"/>
      <c r="DD49" s="1068"/>
      <c r="DE49" s="1068"/>
      <c r="DF49" s="1068"/>
      <c r="DG49" s="1068"/>
      <c r="DH49" s="1068"/>
      <c r="DI49" s="1068"/>
      <c r="DJ49" s="1068"/>
      <c r="DK49" s="1068"/>
      <c r="DL49" s="1068"/>
      <c r="DM49" s="1068"/>
      <c r="DN49" s="1068"/>
    </row>
    <row r="50" spans="1:118" ht="15.75">
      <c r="A50" s="2" t="str">
        <f>IF(B23=$AZ$27,$AZ$27,"")</f>
        <v/>
      </c>
      <c r="B50" s="2"/>
      <c r="C50" s="2"/>
      <c r="D50" s="2"/>
      <c r="E50" s="2"/>
      <c r="F50" s="2"/>
      <c r="G50" s="2"/>
      <c r="H50" s="2"/>
      <c r="I50" s="2"/>
      <c r="J50" s="2"/>
      <c r="K50" s="2"/>
      <c r="L50" s="2"/>
      <c r="M50" s="2"/>
      <c r="N50" s="2"/>
      <c r="O50" s="2"/>
      <c r="P50" s="2"/>
      <c r="Q50" s="2"/>
      <c r="R50" s="2"/>
      <c r="S50" s="2"/>
      <c r="T50" s="2"/>
      <c r="U50" s="2"/>
      <c r="V50" s="2"/>
      <c r="W50" s="2"/>
      <c r="X50" s="2"/>
      <c r="Y50" s="2"/>
      <c r="Z50" s="2"/>
      <c r="AA50" s="2"/>
      <c r="AB50" s="455"/>
      <c r="AC50" s="2"/>
      <c r="AD50" s="2"/>
      <c r="AE50" s="2"/>
      <c r="AF50" s="2"/>
      <c r="AG50" s="2"/>
      <c r="AH50" s="2"/>
      <c r="AI50" s="2"/>
      <c r="AJ50" s="2"/>
      <c r="AK50" s="2"/>
      <c r="AL50" s="2"/>
      <c r="AM50" s="2"/>
      <c r="AN50" s="2"/>
      <c r="AO50" s="2"/>
      <c r="AP50" s="2"/>
      <c r="AQ50" s="2"/>
      <c r="AR50" s="2"/>
      <c r="AS50" s="2"/>
      <c r="AT50" s="2"/>
      <c r="AU50" s="2"/>
      <c r="AV50" s="2"/>
      <c r="AW50" s="2"/>
      <c r="AX50" s="2"/>
      <c r="AY50">
        <v>4</v>
      </c>
      <c r="AZ50" t="s">
        <v>3284</v>
      </c>
      <c r="BD50" t="s">
        <v>3308</v>
      </c>
      <c r="BE50" s="125" t="s">
        <v>3271</v>
      </c>
      <c r="BF50" s="125" t="s">
        <v>3309</v>
      </c>
      <c r="BG50" s="125" t="s">
        <v>3310</v>
      </c>
      <c r="BH50" s="125" t="s">
        <v>3311</v>
      </c>
      <c r="BI50" s="125" t="s">
        <v>1846</v>
      </c>
      <c r="CB50">
        <v>10</v>
      </c>
      <c r="CC50" t="s">
        <v>4049</v>
      </c>
      <c r="CE50" s="672" t="str">
        <f>IF(Table278[[#This Row],[N'#s]]=""," Turbine Rotorwing Aircraft",Table278[[#This Row],[N'#s]])</f>
        <v xml:space="preserve"> Turbine Rotorwing Aircraft</v>
      </c>
      <c r="CF50" t="str">
        <f t="shared" si="17"/>
        <v/>
      </c>
      <c r="CG50" t="str">
        <f>IF(Table278[[#This Row],[Pilot]]="","","Named Pilots:")</f>
        <v/>
      </c>
      <c r="CH50" t="str">
        <f t="shared" si="18"/>
        <v/>
      </c>
      <c r="CI50" s="672" t="s">
        <v>4066</v>
      </c>
      <c r="CJ50" s="672" t="str">
        <f t="shared" si="19"/>
        <v>ATP</v>
      </c>
      <c r="CK50" s="672" t="s">
        <v>4084</v>
      </c>
      <c r="CL50" s="676" t="str">
        <f t="shared" si="20"/>
        <v/>
      </c>
      <c r="CM50" s="672" t="s">
        <v>4074</v>
      </c>
      <c r="CN50" s="676" t="str">
        <f t="shared" si="21"/>
        <v/>
      </c>
      <c r="CO50" s="672" t="s">
        <v>4082</v>
      </c>
      <c r="CP50" s="676" t="str">
        <f t="shared" si="22"/>
        <v/>
      </c>
      <c r="CQ50" s="673" t="s">
        <v>4080</v>
      </c>
      <c r="CR50" t="str">
        <f t="shared" si="23"/>
        <v/>
      </c>
      <c r="CT50" t="str">
        <f xml:space="preserve"> CONCATENATE(Table278[[#This Row],[Column2]],IF(AH50="",Table278[[#This Row],[Column4]],AH50),CHAR(10),CHAR(10),Table278[[#This Row],[Column5]],IF(Table278[[#This Row],[Pilot]]="","",Table278[[#This Row],[Pilot]]),CHAR(10),Table278[[#This Row],[Start]],Table278[[#This Row],[Lic]],Table278[[#This Row],[Column7]],TEXT(Table278[[#This Row],[TT]],"#,#0"),Table278[[#This Row],[Column8]],Table278[[#This Row],[MM]],Table278[[#This Row],[Column10]],Table278[[#This Row],[Turbine]],Table278[[#This Row],[Column12]])</f>
        <v xml:space="preserve">As Respects: Turbine Rotorwing Aircraft
Any Pilot maintaining a ATP or more advanced pilot certificate, with Rotorwing and Instrument ratings, who has logged a minimum of  total hours, including  hours in the make and model to be flown, and  hours in turbine rotorwing aircraft.  </v>
      </c>
      <c r="CV50" s="331">
        <v>1</v>
      </c>
      <c r="CX50" s="1068"/>
      <c r="CY50" s="1068"/>
      <c r="CZ50" s="1068"/>
      <c r="DA50" s="1068"/>
      <c r="DB50" s="1068"/>
      <c r="DC50" s="1068"/>
      <c r="DD50" s="1068"/>
      <c r="DE50" s="1068"/>
      <c r="DF50" s="1068"/>
      <c r="DG50" s="1068"/>
      <c r="DH50" s="1068"/>
      <c r="DI50" s="1068"/>
      <c r="DJ50" s="1068"/>
      <c r="DK50" s="1068"/>
      <c r="DL50" s="1068"/>
      <c r="DM50" s="1068"/>
      <c r="DN50" s="1068"/>
    </row>
    <row r="51" spans="1:118" ht="15.75">
      <c r="A51" s="2" t="str">
        <f>IF($A$50&gt;"",3,"")</f>
        <v/>
      </c>
      <c r="B51" s="1097"/>
      <c r="C51" s="1097"/>
      <c r="D51" s="1097"/>
      <c r="E51" s="1097"/>
      <c r="F51" s="1097"/>
      <c r="G51" s="1097"/>
      <c r="H51" s="1097"/>
      <c r="I51" s="1097"/>
      <c r="J51" s="1097"/>
      <c r="K51" s="1097"/>
      <c r="L51" s="1097"/>
      <c r="M51" s="1097"/>
      <c r="N51" s="1097"/>
      <c r="O51" s="1097"/>
      <c r="P51" s="1097"/>
      <c r="Q51" s="1097"/>
      <c r="R51" s="1097"/>
      <c r="S51" s="1097"/>
      <c r="T51" s="1097"/>
      <c r="U51" s="1097"/>
      <c r="V51" s="1097"/>
      <c r="W51" s="1097"/>
      <c r="X51" s="1097"/>
      <c r="Y51" s="1097"/>
      <c r="Z51" s="1097"/>
      <c r="AA51" s="1097"/>
      <c r="AB51" s="455"/>
      <c r="AC51" s="2"/>
      <c r="AD51" s="2"/>
      <c r="AE51" s="2"/>
      <c r="AF51" s="2"/>
      <c r="AG51" s="2"/>
      <c r="AH51" s="2"/>
      <c r="AI51" s="2"/>
      <c r="AJ51" s="2"/>
      <c r="AK51" s="2"/>
      <c r="AL51" s="2"/>
      <c r="AM51" s="2"/>
      <c r="AN51" s="2"/>
      <c r="AO51" s="2"/>
      <c r="AP51" s="2"/>
      <c r="AQ51" s="2"/>
      <c r="AR51" s="2"/>
      <c r="AS51" s="2"/>
      <c r="AT51" s="2"/>
      <c r="AU51" s="2"/>
      <c r="AV51" s="2"/>
      <c r="AW51" s="2"/>
      <c r="AX51" s="2"/>
      <c r="AY51">
        <v>5</v>
      </c>
      <c r="AZ51" t="s">
        <v>3286</v>
      </c>
      <c r="BD51" s="124" t="s">
        <v>3267</v>
      </c>
      <c r="BE51" s="123" t="str">
        <f t="shared" ref="BE51:BI54" si="24">IF(BE46=0,"",BE46)</f>
        <v/>
      </c>
      <c r="BF51" s="123" t="str">
        <f t="shared" si="24"/>
        <v/>
      </c>
      <c r="BG51" s="123" t="str">
        <f t="shared" si="24"/>
        <v/>
      </c>
      <c r="BH51" s="123" t="str">
        <f t="shared" si="24"/>
        <v/>
      </c>
      <c r="BI51" s="123" t="str">
        <f t="shared" si="24"/>
        <v/>
      </c>
      <c r="BJ51" s="123"/>
      <c r="BK51" s="121"/>
      <c r="CB51">
        <v>11</v>
      </c>
      <c r="CC51" t="s">
        <v>4049</v>
      </c>
      <c r="CE51" s="672" t="str">
        <f>IF(Table278[[#This Row],[N'#s]]=""," All Single Crew Aircraft",Table278[[#This Row],[N'#s]])</f>
        <v xml:space="preserve"> All Single Crew Aircraft</v>
      </c>
      <c r="CF51" t="str">
        <f t="shared" si="17"/>
        <v/>
      </c>
      <c r="CG51" t="str">
        <f>IF(Table278[[#This Row],[Pilot]]="","","Named Pilots:")</f>
        <v/>
      </c>
      <c r="CH51" t="str">
        <f t="shared" si="18"/>
        <v/>
      </c>
      <c r="CI51" s="675" t="s">
        <v>4064</v>
      </c>
      <c r="CJ51" s="675" t="str">
        <f t="shared" si="19"/>
        <v>ATP</v>
      </c>
      <c r="CK51" s="674"/>
      <c r="CT51" t="str">
        <f xml:space="preserve"> CONCATENATE(Table278[[#This Row],[Column2]],Table278[[#This Row],[Column4]],CHAR(10),CHAR(10),Table278[[#This Row],[Column5]],Table278[[#This Row],[Pilot]],CHAR(10),Table278[[#This Row],[Start]])</f>
        <v>As Respects: All Single Crew Aircraft
Any pilot as approved by the chief pilot of the named insured or his/her designee.</v>
      </c>
      <c r="CV51">
        <v>1</v>
      </c>
      <c r="CX51" s="1068"/>
      <c r="CY51" s="1068"/>
      <c r="CZ51" s="1068"/>
      <c r="DA51" s="1068"/>
      <c r="DB51" s="1068"/>
      <c r="DC51" s="1068"/>
      <c r="DD51" s="1068"/>
      <c r="DE51" s="1068"/>
      <c r="DF51" s="1068"/>
      <c r="DG51" s="1068"/>
      <c r="DH51" s="1068"/>
      <c r="DI51" s="1068"/>
      <c r="DJ51" s="1068"/>
      <c r="DK51" s="1068"/>
      <c r="DL51" s="1068"/>
      <c r="DM51" s="1068"/>
      <c r="DN51" s="1068"/>
    </row>
    <row r="52" spans="1:118" ht="15.75">
      <c r="A52" s="2"/>
      <c r="B52" s="1097"/>
      <c r="C52" s="1097"/>
      <c r="D52" s="1097"/>
      <c r="E52" s="1097"/>
      <c r="F52" s="1097"/>
      <c r="G52" s="1097"/>
      <c r="H52" s="1097"/>
      <c r="I52" s="1097"/>
      <c r="J52" s="1097"/>
      <c r="K52" s="1097"/>
      <c r="L52" s="1097"/>
      <c r="M52" s="1097"/>
      <c r="N52" s="1097"/>
      <c r="O52" s="1097"/>
      <c r="P52" s="1097"/>
      <c r="Q52" s="1097"/>
      <c r="R52" s="1097"/>
      <c r="S52" s="1097"/>
      <c r="T52" s="1097"/>
      <c r="U52" s="1097"/>
      <c r="V52" s="1097"/>
      <c r="W52" s="1097"/>
      <c r="X52" s="1097"/>
      <c r="Y52" s="1097"/>
      <c r="Z52" s="1097"/>
      <c r="AA52" s="1097"/>
      <c r="AB52" s="455"/>
      <c r="AC52" s="2"/>
      <c r="AD52" s="2"/>
      <c r="AE52" s="2"/>
      <c r="AF52" s="2"/>
      <c r="AG52" s="2"/>
      <c r="AH52" s="2"/>
      <c r="AI52" s="2"/>
      <c r="AJ52" s="2"/>
      <c r="AK52" s="2"/>
      <c r="AL52" s="2"/>
      <c r="AM52" s="2"/>
      <c r="AN52" s="2"/>
      <c r="AO52" s="2"/>
      <c r="AP52" s="2"/>
      <c r="AQ52" s="2"/>
      <c r="AR52" s="2"/>
      <c r="AS52" s="2"/>
      <c r="AT52" s="2"/>
      <c r="AU52" s="2"/>
      <c r="AV52" s="2"/>
      <c r="AW52" s="2"/>
      <c r="AX52" s="2"/>
      <c r="AY52">
        <v>6</v>
      </c>
      <c r="AZ52" t="s">
        <v>3289</v>
      </c>
      <c r="BD52" s="124" t="s">
        <v>3268</v>
      </c>
      <c r="BE52" s="123" t="str">
        <f t="shared" si="24"/>
        <v/>
      </c>
      <c r="BF52" s="123" t="str">
        <f t="shared" si="24"/>
        <v/>
      </c>
      <c r="BG52" s="123" t="str">
        <f t="shared" si="24"/>
        <v/>
      </c>
      <c r="BH52" s="123" t="str">
        <f t="shared" si="24"/>
        <v/>
      </c>
      <c r="BI52" s="123" t="str">
        <f t="shared" si="24"/>
        <v/>
      </c>
      <c r="BJ52" s="122"/>
      <c r="BK52" s="121"/>
      <c r="CB52">
        <v>12</v>
      </c>
      <c r="CC52" t="s">
        <v>4049</v>
      </c>
      <c r="CE52" s="672" t="str">
        <f>IF(Table278[[#This Row],[N'#s]]=""," All Dual Crew Aircraft",Table278[[#This Row],[N'#s]])</f>
        <v xml:space="preserve"> All Dual Crew Aircraft</v>
      </c>
      <c r="CF52" t="str">
        <f t="shared" si="17"/>
        <v/>
      </c>
      <c r="CG52" t="str">
        <f>IF(Table278[[#This Row],[Pilot]]="","","Named Pilots:")</f>
        <v/>
      </c>
      <c r="CH52" t="str">
        <f t="shared" si="18"/>
        <v/>
      </c>
      <c r="CI52" s="675" t="s">
        <v>4065</v>
      </c>
      <c r="CJ52" s="675" t="str">
        <f t="shared" si="19"/>
        <v>ATP</v>
      </c>
      <c r="CK52" s="674"/>
      <c r="CT52" t="str">
        <f xml:space="preserve"> CONCATENATE(Table278[[#This Row],[Column2]],Table278[[#This Row],[Column4]],CHAR(10),CHAR(10),Table278[[#This Row],[Column5]],Table278[[#This Row],[Pilot]],CHAR(10),Table278[[#This Row],[Start]])</f>
        <v>As Respects: All Dual Crew Aircraft
Any two-person crew as approved by the chief pilot of the named insured or his/her designee.</v>
      </c>
      <c r="CV52" s="331">
        <v>1</v>
      </c>
      <c r="CX52" s="1068"/>
      <c r="CY52" s="1068"/>
      <c r="CZ52" s="1068"/>
      <c r="DA52" s="1068"/>
      <c r="DB52" s="1068"/>
      <c r="DC52" s="1068"/>
      <c r="DD52" s="1068"/>
      <c r="DE52" s="1068"/>
      <c r="DF52" s="1068"/>
      <c r="DG52" s="1068"/>
      <c r="DH52" s="1068"/>
      <c r="DI52" s="1068"/>
      <c r="DJ52" s="1068"/>
      <c r="DK52" s="1068"/>
      <c r="DL52" s="1068"/>
      <c r="DM52" s="1068"/>
      <c r="DN52" s="1068"/>
    </row>
    <row r="53" spans="1:118" ht="15.75">
      <c r="A53" s="2"/>
      <c r="B53" s="1097"/>
      <c r="C53" s="1097"/>
      <c r="D53" s="1097"/>
      <c r="E53" s="1097"/>
      <c r="F53" s="1097"/>
      <c r="G53" s="1097"/>
      <c r="H53" s="1097"/>
      <c r="I53" s="1097"/>
      <c r="J53" s="1097"/>
      <c r="K53" s="1097"/>
      <c r="L53" s="1097"/>
      <c r="M53" s="1097"/>
      <c r="N53" s="1097"/>
      <c r="O53" s="1097"/>
      <c r="P53" s="1097"/>
      <c r="Q53" s="1097"/>
      <c r="R53" s="1097"/>
      <c r="S53" s="1097"/>
      <c r="T53" s="1097"/>
      <c r="U53" s="1097"/>
      <c r="V53" s="1097"/>
      <c r="W53" s="1097"/>
      <c r="X53" s="1097"/>
      <c r="Y53" s="1097"/>
      <c r="Z53" s="1097"/>
      <c r="AA53" s="1097"/>
      <c r="AB53" s="455"/>
      <c r="AC53" s="2"/>
      <c r="AD53" s="2"/>
      <c r="AE53" s="2"/>
      <c r="AF53" s="2"/>
      <c r="AG53" s="2"/>
      <c r="AH53" s="2"/>
      <c r="AI53" s="2"/>
      <c r="AJ53" s="2"/>
      <c r="AK53" s="2"/>
      <c r="AL53" s="2"/>
      <c r="AM53" s="2"/>
      <c r="AN53" s="2"/>
      <c r="AO53" s="2"/>
      <c r="AP53" s="2"/>
      <c r="AQ53" s="2"/>
      <c r="AR53" s="2"/>
      <c r="AS53" s="2"/>
      <c r="AT53" s="2"/>
      <c r="AU53" s="2"/>
      <c r="AV53" s="2"/>
      <c r="AW53" s="2"/>
      <c r="AX53" s="2"/>
      <c r="AY53">
        <v>7</v>
      </c>
      <c r="AZ53" t="s">
        <v>3291</v>
      </c>
      <c r="BD53" s="124" t="s">
        <v>3269</v>
      </c>
      <c r="BE53" s="123" t="str">
        <f t="shared" si="24"/>
        <v/>
      </c>
      <c r="BF53" s="123" t="str">
        <f t="shared" si="24"/>
        <v/>
      </c>
      <c r="BG53" s="123" t="str">
        <f t="shared" si="24"/>
        <v/>
      </c>
      <c r="BH53" s="123" t="str">
        <f t="shared" si="24"/>
        <v/>
      </c>
      <c r="BI53" s="123" t="str">
        <f t="shared" si="24"/>
        <v/>
      </c>
      <c r="BJ53" s="122"/>
      <c r="BK53" s="121"/>
      <c r="CB53">
        <v>13</v>
      </c>
      <c r="CC53" t="s">
        <v>4049</v>
      </c>
      <c r="CE53" s="672" t="str">
        <f>IF(Table278[[#This Row],[N'#s]]=""," The Second-In-Command of any Dual Crew Aircraft",Table278[[#This Row],[N'#s]])</f>
        <v xml:space="preserve"> The Second-In-Command of any Dual Crew Aircraft</v>
      </c>
      <c r="CF53" t="str">
        <f t="shared" si="17"/>
        <v/>
      </c>
      <c r="CG53" t="str">
        <f>IF(Table278[[#This Row],[Pilot]]="","","Named Pilots:")</f>
        <v/>
      </c>
      <c r="CH53" t="str">
        <f t="shared" si="18"/>
        <v/>
      </c>
      <c r="CI53" s="675" t="s">
        <v>4064</v>
      </c>
      <c r="CJ53" s="675" t="str">
        <f t="shared" si="19"/>
        <v>ATP</v>
      </c>
      <c r="CK53" s="674"/>
      <c r="CT53" t="str">
        <f xml:space="preserve"> CONCATENATE(Table278[[#This Row],[Column2]],Table278[[#This Row],[Column4]],CHAR(10),CHAR(10),Table278[[#This Row],[Column5]],Table278[[#This Row],[Pilot]],CHAR(10),Table278[[#This Row],[Start]])</f>
        <v>As Respects: The Second-In-Command of any Dual Crew Aircraft
Any pilot as approved by the chief pilot of the named insured or his/her designee.</v>
      </c>
      <c r="CV53">
        <v>1</v>
      </c>
      <c r="CX53" s="1068"/>
      <c r="CY53" s="1068"/>
      <c r="CZ53" s="1068"/>
      <c r="DA53" s="1068"/>
      <c r="DB53" s="1068"/>
      <c r="DC53" s="1068"/>
      <c r="DD53" s="1068"/>
      <c r="DE53" s="1068"/>
      <c r="DF53" s="1068"/>
      <c r="DG53" s="1068"/>
      <c r="DH53" s="1068"/>
      <c r="DI53" s="1068"/>
      <c r="DJ53" s="1068"/>
      <c r="DK53" s="1068"/>
      <c r="DL53" s="1068"/>
      <c r="DM53" s="1068"/>
      <c r="DN53" s="1068"/>
    </row>
    <row r="54" spans="1:118" ht="15.75">
      <c r="A54" s="2"/>
      <c r="B54" s="1097"/>
      <c r="C54" s="1097"/>
      <c r="D54" s="1097"/>
      <c r="E54" s="1097"/>
      <c r="F54" s="1097"/>
      <c r="G54" s="1097"/>
      <c r="H54" s="1097"/>
      <c r="I54" s="1097"/>
      <c r="J54" s="1097"/>
      <c r="K54" s="1097"/>
      <c r="L54" s="1097"/>
      <c r="M54" s="1097"/>
      <c r="N54" s="1097"/>
      <c r="O54" s="1097"/>
      <c r="P54" s="1097"/>
      <c r="Q54" s="1097"/>
      <c r="R54" s="1097"/>
      <c r="S54" s="1097"/>
      <c r="T54" s="1097"/>
      <c r="U54" s="1097"/>
      <c r="V54" s="1097"/>
      <c r="W54" s="1097"/>
      <c r="X54" s="1097"/>
      <c r="Y54" s="1097"/>
      <c r="Z54" s="1097"/>
      <c r="AA54" s="1097"/>
      <c r="AB54" s="455"/>
      <c r="AC54" s="2"/>
      <c r="AD54" s="2"/>
      <c r="AE54" s="2"/>
      <c r="AF54" s="2"/>
      <c r="AG54" s="2"/>
      <c r="AH54" s="2"/>
      <c r="AI54" s="2"/>
      <c r="AJ54" s="2"/>
      <c r="AK54" s="2"/>
      <c r="AL54" s="2"/>
      <c r="AM54" s="2"/>
      <c r="AN54" s="2"/>
      <c r="AO54" s="2"/>
      <c r="AP54" s="2"/>
      <c r="AQ54" s="2"/>
      <c r="AR54" s="2"/>
      <c r="AS54" s="2"/>
      <c r="AT54" s="2"/>
      <c r="AU54" s="2"/>
      <c r="AV54" s="2"/>
      <c r="AW54" s="2"/>
      <c r="AX54" s="2"/>
      <c r="AY54">
        <v>8</v>
      </c>
      <c r="AZ54" t="s">
        <v>3294</v>
      </c>
      <c r="BD54" s="124" t="s">
        <v>3270</v>
      </c>
      <c r="BE54" s="123" t="str">
        <f t="shared" si="24"/>
        <v/>
      </c>
      <c r="BF54" s="123" t="str">
        <f t="shared" si="24"/>
        <v/>
      </c>
      <c r="BG54" s="123" t="str">
        <f t="shared" si="24"/>
        <v/>
      </c>
      <c r="BH54" s="123" t="str">
        <f t="shared" si="24"/>
        <v/>
      </c>
      <c r="BI54" s="123" t="str">
        <f t="shared" si="24"/>
        <v/>
      </c>
      <c r="BJ54" s="122"/>
      <c r="BK54" s="121"/>
      <c r="CB54">
        <v>14</v>
      </c>
      <c r="CC54" t="s">
        <v>4049</v>
      </c>
      <c r="CE54" s="672" t="s">
        <v>4089</v>
      </c>
      <c r="CF54" t="str">
        <f t="shared" si="17"/>
        <v/>
      </c>
      <c r="CG54" t="str">
        <f>IF(Table278[[#This Row],[Pilot]]="","","Named Pilots:")</f>
        <v/>
      </c>
      <c r="CH54" t="str">
        <f t="shared" si="18"/>
        <v/>
      </c>
      <c r="CI54" s="675" t="s">
        <v>4064</v>
      </c>
      <c r="CJ54" s="675" t="str">
        <f t="shared" si="19"/>
        <v>ATP</v>
      </c>
      <c r="CK54" s="674"/>
      <c r="CT54" t="str">
        <f xml:space="preserve"> CONCATENATE(Table278[[#This Row],[Column2]],Table278[[#This Row],[Column4]],CHAR(10),CHAR(10),Table278[[#This Row],[Column5]],Table278[[#This Row],[Pilot]],CHAR(10),Table278[[#This Row],[Start]])</f>
        <v>As Respects: Any Aircraft
Any pilot as approved by the chief pilot of the named insured or his/her designee.</v>
      </c>
      <c r="CV54" s="331">
        <v>1</v>
      </c>
      <c r="CX54" s="1068"/>
      <c r="CY54" s="1068"/>
      <c r="CZ54" s="1068"/>
      <c r="DA54" s="1068"/>
      <c r="DB54" s="1068"/>
      <c r="DC54" s="1068"/>
      <c r="DD54" s="1068"/>
      <c r="DE54" s="1068"/>
      <c r="DF54" s="1068"/>
      <c r="DG54" s="1068"/>
      <c r="DH54" s="1068"/>
      <c r="DI54" s="1068"/>
      <c r="DJ54" s="1068"/>
      <c r="DK54" s="1068"/>
      <c r="DL54" s="1068"/>
      <c r="DM54" s="1068"/>
      <c r="DN54" s="1068"/>
    </row>
    <row r="55" spans="1:118">
      <c r="A55" s="2"/>
      <c r="B55" s="1097"/>
      <c r="C55" s="1097"/>
      <c r="D55" s="1097"/>
      <c r="E55" s="1097"/>
      <c r="F55" s="1097"/>
      <c r="G55" s="1097"/>
      <c r="H55" s="1097"/>
      <c r="I55" s="1097"/>
      <c r="J55" s="1097"/>
      <c r="K55" s="1097"/>
      <c r="L55" s="1097"/>
      <c r="M55" s="1097"/>
      <c r="N55" s="1097"/>
      <c r="O55" s="1097"/>
      <c r="P55" s="1097"/>
      <c r="Q55" s="1097"/>
      <c r="R55" s="1097"/>
      <c r="S55" s="1097"/>
      <c r="T55" s="1097"/>
      <c r="U55" s="1097"/>
      <c r="V55" s="1097"/>
      <c r="W55" s="1097"/>
      <c r="X55" s="1097"/>
      <c r="Y55" s="1097"/>
      <c r="Z55" s="1097"/>
      <c r="AA55" s="1097"/>
      <c r="AB55" s="455"/>
      <c r="AC55" s="2"/>
      <c r="AD55" s="2"/>
      <c r="AE55" s="2"/>
      <c r="AF55" s="2"/>
      <c r="AG55" s="2"/>
      <c r="AH55" s="2"/>
      <c r="AI55" s="2"/>
      <c r="AJ55" s="2"/>
      <c r="AK55" s="2"/>
      <c r="AL55" s="2"/>
      <c r="AM55" s="2"/>
      <c r="AN55" s="2"/>
      <c r="AO55" s="2"/>
      <c r="AP55" s="2"/>
      <c r="AQ55" s="2"/>
      <c r="AR55" s="2"/>
      <c r="AS55" s="2"/>
      <c r="AT55" s="2"/>
      <c r="AU55" s="2"/>
      <c r="AV55" s="2"/>
      <c r="AW55" s="2"/>
      <c r="AX55" s="2"/>
      <c r="AY55">
        <v>9</v>
      </c>
      <c r="AZ55" t="s">
        <v>3296</v>
      </c>
      <c r="BD55" t="s">
        <v>3308</v>
      </c>
      <c r="CB55">
        <v>15</v>
      </c>
      <c r="CF55" t="str">
        <f t="shared" ref="CF55" si="25">IF($AH$12="","",$AH$12)</f>
        <v/>
      </c>
      <c r="CG55" t="str">
        <f>IF(Table278[[#This Row],[Pilot]]="","","Named Pilots:")</f>
        <v/>
      </c>
      <c r="CH55" t="str">
        <f t="shared" si="18"/>
        <v/>
      </c>
      <c r="CJ55" t="str">
        <f t="shared" si="19"/>
        <v>ATP</v>
      </c>
      <c r="CT55" t="str">
        <f>IFERROR(VLOOKUP(MATCH(AE18,$AY$1:$AY$14,0),Pilot3,19),"")</f>
        <v/>
      </c>
      <c r="CX55" s="1068"/>
      <c r="CY55" s="1068"/>
      <c r="CZ55" s="1068"/>
      <c r="DA55" s="1068"/>
      <c r="DB55" s="1068"/>
      <c r="DC55" s="1068"/>
      <c r="DD55" s="1068"/>
      <c r="DE55" s="1068"/>
      <c r="DF55" s="1068"/>
      <c r="DG55" s="1068"/>
      <c r="DH55" s="1068"/>
      <c r="DI55" s="1068"/>
      <c r="DJ55" s="1068"/>
      <c r="DK55" s="1068"/>
      <c r="DL55" s="1068"/>
      <c r="DM55" s="1068"/>
      <c r="DN55" s="1068"/>
    </row>
    <row r="56" spans="1:118">
      <c r="A56" s="2"/>
      <c r="B56" s="1097"/>
      <c r="C56" s="1097"/>
      <c r="D56" s="1097"/>
      <c r="E56" s="1097"/>
      <c r="F56" s="1097"/>
      <c r="G56" s="1097"/>
      <c r="H56" s="1097"/>
      <c r="I56" s="1097"/>
      <c r="J56" s="1097"/>
      <c r="K56" s="1097"/>
      <c r="L56" s="1097"/>
      <c r="M56" s="1097"/>
      <c r="N56" s="1097"/>
      <c r="O56" s="1097"/>
      <c r="P56" s="1097"/>
      <c r="Q56" s="1097"/>
      <c r="R56" s="1097"/>
      <c r="S56" s="1097"/>
      <c r="T56" s="1097"/>
      <c r="U56" s="1097"/>
      <c r="V56" s="1097"/>
      <c r="W56" s="1097"/>
      <c r="X56" s="1097"/>
      <c r="Y56" s="1097"/>
      <c r="Z56" s="1097"/>
      <c r="AA56" s="1097"/>
      <c r="AB56" s="455"/>
      <c r="AC56" s="2"/>
      <c r="AD56" s="2"/>
      <c r="AE56" s="2"/>
      <c r="AF56" s="2"/>
      <c r="AG56" s="2"/>
      <c r="AH56" s="2"/>
      <c r="AI56" s="2"/>
      <c r="AJ56" s="2"/>
      <c r="AK56" s="2"/>
      <c r="AL56" s="2"/>
      <c r="AM56" s="2"/>
      <c r="AN56" s="2"/>
      <c r="AO56" s="2"/>
      <c r="AP56" s="2"/>
      <c r="AQ56" s="2"/>
      <c r="AR56" s="2"/>
      <c r="AS56" s="2"/>
      <c r="AT56" s="2"/>
      <c r="AU56" s="2"/>
      <c r="AV56" s="2"/>
      <c r="AW56" s="2"/>
      <c r="AX56" s="2"/>
      <c r="AY56">
        <v>10</v>
      </c>
      <c r="AZ56" s="118" t="s">
        <v>3298</v>
      </c>
      <c r="BD56" t="s">
        <v>3308</v>
      </c>
    </row>
    <row r="57" spans="1:118">
      <c r="A57" s="2" t="str">
        <f>IF(B29=$AZ$27,$AZ$27,"")</f>
        <v/>
      </c>
      <c r="B57" s="2"/>
      <c r="C57" s="2"/>
      <c r="D57" s="2"/>
      <c r="E57" s="2"/>
      <c r="F57" s="2"/>
      <c r="G57" s="2"/>
      <c r="H57" s="2"/>
      <c r="I57" s="2"/>
      <c r="J57" s="2"/>
      <c r="K57" s="2"/>
      <c r="L57" s="2"/>
      <c r="M57" s="2"/>
      <c r="N57" s="2"/>
      <c r="O57" s="2"/>
      <c r="P57" s="2"/>
      <c r="Q57" s="2"/>
      <c r="R57" s="2"/>
      <c r="S57" s="2"/>
      <c r="T57" s="2"/>
      <c r="U57" s="2"/>
      <c r="V57" s="2"/>
      <c r="W57" s="2"/>
      <c r="X57" s="2"/>
      <c r="Y57" s="2"/>
      <c r="Z57" s="2"/>
      <c r="AA57" s="2"/>
      <c r="AB57" s="455"/>
      <c r="AC57" s="2"/>
      <c r="AD57" s="2"/>
      <c r="AE57" s="2"/>
      <c r="AF57" s="2"/>
      <c r="AG57" s="2"/>
      <c r="AH57" s="2"/>
      <c r="AI57" s="2"/>
      <c r="AJ57" s="2"/>
      <c r="AK57" s="2"/>
      <c r="AL57" s="2"/>
      <c r="AM57" s="2"/>
      <c r="AN57" s="2"/>
      <c r="AO57" s="2"/>
      <c r="AP57" s="2"/>
      <c r="AQ57" s="2"/>
      <c r="AR57" s="2"/>
      <c r="AS57" s="2"/>
      <c r="AT57" s="2"/>
      <c r="AU57" s="2"/>
      <c r="AV57" s="2"/>
      <c r="AW57" s="2"/>
      <c r="AX57" s="2"/>
      <c r="AY57">
        <v>11</v>
      </c>
      <c r="AZ57" s="118"/>
      <c r="CB57" t="s">
        <v>4090</v>
      </c>
    </row>
    <row r="58" spans="1:118" hidden="1">
      <c r="A58" s="2" t="str">
        <f>IF($A$57&gt;"",4,"")</f>
        <v/>
      </c>
      <c r="B58" s="1097"/>
      <c r="C58" s="1097"/>
      <c r="D58" s="1097"/>
      <c r="E58" s="1097"/>
      <c r="F58" s="1097"/>
      <c r="G58" s="1097"/>
      <c r="H58" s="1097"/>
      <c r="I58" s="1097"/>
      <c r="J58" s="1097"/>
      <c r="K58" s="1097"/>
      <c r="L58" s="1097"/>
      <c r="M58" s="1097"/>
      <c r="N58" s="1097"/>
      <c r="O58" s="1097"/>
      <c r="P58" s="1097"/>
      <c r="Q58" s="1097"/>
      <c r="R58" s="1097"/>
      <c r="S58" s="1097"/>
      <c r="T58" s="1097"/>
      <c r="U58" s="1097"/>
      <c r="V58" s="1097"/>
      <c r="W58" s="1097"/>
      <c r="X58" s="1097"/>
      <c r="Y58" s="1097"/>
      <c r="Z58" s="1097"/>
      <c r="AA58" s="1097"/>
      <c r="AB58" s="455"/>
      <c r="AC58" s="2"/>
      <c r="AD58" s="2"/>
      <c r="AE58" s="2"/>
      <c r="AF58" s="2"/>
      <c r="AG58" s="2"/>
      <c r="AH58" s="2"/>
      <c r="AI58" s="2"/>
      <c r="AJ58" s="2"/>
      <c r="AK58" s="2"/>
      <c r="AL58" s="2"/>
      <c r="AM58" s="2"/>
      <c r="AN58" s="2"/>
      <c r="AO58" s="2"/>
      <c r="AP58" s="2"/>
      <c r="AQ58" s="2"/>
      <c r="AR58" s="2"/>
      <c r="AS58" s="2"/>
      <c r="AT58" s="2"/>
      <c r="AU58" s="2"/>
      <c r="AV58" s="2"/>
      <c r="AW58" s="2"/>
      <c r="AX58" s="2"/>
      <c r="AY58" t="s">
        <v>3312</v>
      </c>
      <c r="AZ58" s="120" t="str">
        <f>IF($B$11="","",IF($G$12&gt;"",CONCATENATE("AS RESPECTS: ",$G$12),VLOOKUP($BD$17,$AY$47:$AZ$57,2)))</f>
        <v/>
      </c>
      <c r="BA58" s="120" t="str">
        <f>IF(B17="","",IF(G18&gt;"",CONCATENATE("AS RESPECTS: ",G18),VLOOKUP(BD18,$AY$47:$AZ$57,2)))</f>
        <v/>
      </c>
      <c r="BB58" s="120" t="str">
        <f>IF(B23="","",IF(G24&gt;"",CONCATENATE("AS RESPECTS: ",G24),VLOOKUP(BD19,$AY$47:$AZ$57,2)))</f>
        <v/>
      </c>
      <c r="BC58" s="120" t="str">
        <f>IF(B29="","",IF(G30&gt;"",CONCATENATE("AS RESPECTS: ",G30),VLOOKUP(BD20,$AY$47:$AZ$57,2)))</f>
        <v/>
      </c>
      <c r="BD58" t="s">
        <v>3308</v>
      </c>
      <c r="CB58" t="s">
        <v>4051</v>
      </c>
      <c r="CC58" t="s">
        <v>4052</v>
      </c>
      <c r="CD58" t="s">
        <v>4053</v>
      </c>
      <c r="CE58" t="s">
        <v>4054</v>
      </c>
      <c r="CF58" t="s">
        <v>4072</v>
      </c>
      <c r="CG58" t="s">
        <v>4055</v>
      </c>
      <c r="CH58" t="s">
        <v>3319</v>
      </c>
      <c r="CI58" t="s">
        <v>4071</v>
      </c>
      <c r="CJ58" t="s">
        <v>4043</v>
      </c>
      <c r="CK58" t="s">
        <v>4056</v>
      </c>
      <c r="CL58" t="s">
        <v>3231</v>
      </c>
      <c r="CM58" t="s">
        <v>4057</v>
      </c>
      <c r="CN58" t="s">
        <v>3540</v>
      </c>
      <c r="CO58" t="s">
        <v>4058</v>
      </c>
      <c r="CP58" t="s">
        <v>4046</v>
      </c>
      <c r="CQ58" t="s">
        <v>4059</v>
      </c>
      <c r="CR58" t="s">
        <v>3233</v>
      </c>
      <c r="CS58" t="s">
        <v>4060</v>
      </c>
      <c r="CT58" t="s">
        <v>4061</v>
      </c>
      <c r="CU58" s="331"/>
      <c r="CV58" s="331"/>
    </row>
    <row r="59" spans="1:118" ht="14.25" hidden="1" customHeight="1">
      <c r="A59" s="2"/>
      <c r="B59" s="1097"/>
      <c r="C59" s="1097"/>
      <c r="D59" s="1097"/>
      <c r="E59" s="1097"/>
      <c r="F59" s="1097"/>
      <c r="G59" s="1097"/>
      <c r="H59" s="1097"/>
      <c r="I59" s="1097"/>
      <c r="J59" s="1097"/>
      <c r="K59" s="1097"/>
      <c r="L59" s="1097"/>
      <c r="M59" s="1097"/>
      <c r="N59" s="1097"/>
      <c r="O59" s="1097"/>
      <c r="P59" s="1097"/>
      <c r="Q59" s="1097"/>
      <c r="R59" s="1097"/>
      <c r="S59" s="1097"/>
      <c r="T59" s="1097"/>
      <c r="U59" s="1097"/>
      <c r="V59" s="1097"/>
      <c r="W59" s="1097"/>
      <c r="X59" s="1097"/>
      <c r="Y59" s="1097"/>
      <c r="Z59" s="1097"/>
      <c r="AA59" s="1097"/>
      <c r="AB59" s="455"/>
      <c r="AC59" s="2"/>
      <c r="AD59" s="2"/>
      <c r="AE59" s="2"/>
      <c r="AF59" s="2"/>
      <c r="AG59" s="2"/>
      <c r="AH59" s="2"/>
      <c r="AI59" s="2"/>
      <c r="AJ59" s="2"/>
      <c r="AK59" s="2"/>
      <c r="AL59" s="2"/>
      <c r="AM59" s="2"/>
      <c r="AN59" s="2"/>
      <c r="AO59" s="2"/>
      <c r="AP59" s="2"/>
      <c r="AQ59" s="2"/>
      <c r="AR59" s="2"/>
      <c r="AS59" s="2"/>
      <c r="AT59" s="2"/>
      <c r="AU59" s="2"/>
      <c r="AV59" s="2"/>
      <c r="AW59" s="2"/>
      <c r="AX59" s="2"/>
      <c r="BZ59">
        <f>IF(AND($AE$25&lt;&gt;$AY$1,$AH$27&gt;""),CONCATENATE($AH$27," or"),IF(AND($AE$25&lt;&gt;$AY$1,$AH$27=""),$AH$27,IF($AH$27=""," NEED PILOT NAMME NO VALID COVERAGE",$AH$27)))</f>
        <v>0</v>
      </c>
      <c r="CB59">
        <v>1</v>
      </c>
      <c r="CC59" t="s">
        <v>4049</v>
      </c>
      <c r="CE59" t="str">
        <f>IF($AH$19=""," Enter N# terms are not valid",Table27810[[#This Row],[N'#s]])</f>
        <v xml:space="preserve"> Enter N# terms are not valid</v>
      </c>
      <c r="CF59" t="str">
        <f>IF($AH$26="","",$AH$26)</f>
        <v/>
      </c>
      <c r="CG59" t="str">
        <f>IF(Table27810[[#This Row],[Pilot]]="","","Named Pilots: ")</f>
        <v/>
      </c>
      <c r="CH59" t="str">
        <f>IF($BZ$59=0,"",$BZ$59)</f>
        <v/>
      </c>
      <c r="CI59" t="s">
        <v>3242</v>
      </c>
      <c r="CJ59" t="str">
        <f>IF($AK$25="Com","Commercial","ATP")</f>
        <v>ATP</v>
      </c>
      <c r="CT59" t="str">
        <f>CONCATENATE(Table27810[[#This Row],[Column2]],Table27810[[#This Row],[Column4]],CHAR(10),CHAR(10),Table27810[[#This Row],[Column5]],Table27810[[#This Row],[Pilot]],CHAR(10),Table27810[[#This Row],[Start]])</f>
        <v>As Respects: Enter N# terms are not valid
Named Pilots Only</v>
      </c>
      <c r="CV59">
        <v>1</v>
      </c>
      <c r="CX59" s="1068" t="str">
        <f>CT73</f>
        <v/>
      </c>
      <c r="CY59" s="1068"/>
      <c r="CZ59" s="1068"/>
      <c r="DA59" s="1068"/>
      <c r="DB59" s="1068"/>
      <c r="DC59" s="1068"/>
      <c r="DD59" s="1068"/>
      <c r="DE59" s="1068"/>
      <c r="DF59" s="1068"/>
      <c r="DG59" s="1068"/>
      <c r="DH59" s="1068"/>
      <c r="DI59" s="1068"/>
      <c r="DJ59" s="1068"/>
      <c r="DK59" s="1068"/>
      <c r="DL59" s="1068"/>
      <c r="DM59" s="1068"/>
      <c r="DN59" s="1068"/>
    </row>
    <row r="60" spans="1:118" ht="15.75" hidden="1">
      <c r="A60" s="2"/>
      <c r="B60" s="1097"/>
      <c r="C60" s="1097"/>
      <c r="D60" s="1097"/>
      <c r="E60" s="1097"/>
      <c r="F60" s="1097"/>
      <c r="G60" s="1097"/>
      <c r="H60" s="1097"/>
      <c r="I60" s="1097"/>
      <c r="J60" s="1097"/>
      <c r="K60" s="1097"/>
      <c r="L60" s="1097"/>
      <c r="M60" s="1097"/>
      <c r="N60" s="1097"/>
      <c r="O60" s="1097"/>
      <c r="P60" s="1097"/>
      <c r="Q60" s="1097"/>
      <c r="R60" s="1097"/>
      <c r="S60" s="1097"/>
      <c r="T60" s="1097"/>
      <c r="U60" s="1097"/>
      <c r="V60" s="1097"/>
      <c r="W60" s="1097"/>
      <c r="X60" s="1097"/>
      <c r="Y60" s="1097"/>
      <c r="Z60" s="1097"/>
      <c r="AA60" s="1097"/>
      <c r="AB60" s="455"/>
      <c r="AC60" s="2"/>
      <c r="AD60" s="2"/>
      <c r="AE60" s="2"/>
      <c r="AF60" s="2"/>
      <c r="AG60" s="2"/>
      <c r="AH60" s="2"/>
      <c r="AI60" s="2"/>
      <c r="AJ60" s="2"/>
      <c r="AK60" s="2"/>
      <c r="AL60" s="2"/>
      <c r="AM60" s="2"/>
      <c r="AN60" s="2"/>
      <c r="AO60" s="2"/>
      <c r="AP60" s="2"/>
      <c r="AQ60" s="2"/>
      <c r="AR60" s="2"/>
      <c r="AS60" s="2"/>
      <c r="AT60" s="2"/>
      <c r="AU60" s="2"/>
      <c r="AV60" s="2"/>
      <c r="AW60" s="2"/>
      <c r="AX60" s="2"/>
      <c r="CB60">
        <v>2</v>
      </c>
      <c r="CC60" t="s">
        <v>4049</v>
      </c>
      <c r="CE60" s="672" t="str">
        <f>IF(Table27810[[#This Row],[N'#s]]=""," Single Engine Turboprop Aircraft",Table27810[[#This Row],[N'#s]])</f>
        <v xml:space="preserve"> Single Engine Turboprop Aircraft</v>
      </c>
      <c r="CF60" t="str">
        <f t="shared" ref="CF60:CF72" si="26">IF($AH$26="","",$AH$26)</f>
        <v/>
      </c>
      <c r="CG60" t="str">
        <f>IF(Table27810[[#This Row],[Pilot]]="","","Named Pilots:")</f>
        <v/>
      </c>
      <c r="CH60" t="str">
        <f>IF(BZ60=0,"",BZ60)</f>
        <v/>
      </c>
      <c r="CI60" s="672" t="s">
        <v>4066</v>
      </c>
      <c r="CJ60" s="672" t="str">
        <f t="shared" ref="CJ60:CJ73" si="27">IF($AK$25="Com","Commercial","ATP")</f>
        <v>ATP</v>
      </c>
      <c r="CK60" s="672" t="s">
        <v>4068</v>
      </c>
      <c r="CL60" s="676" t="str">
        <f>$AM$25</f>
        <v/>
      </c>
      <c r="CM60" s="672" t="s">
        <v>4067</v>
      </c>
      <c r="CN60" s="676" t="str">
        <f>$AO$25</f>
        <v/>
      </c>
      <c r="CO60" s="672" t="s">
        <v>4069</v>
      </c>
      <c r="CP60" s="676" t="str">
        <f>$AQ$25</f>
        <v/>
      </c>
      <c r="CQ60" s="672" t="s">
        <v>4070</v>
      </c>
      <c r="CR60" s="8" t="str">
        <f>$AS$25</f>
        <v/>
      </c>
      <c r="CS60" s="672"/>
      <c r="CT60" t="str">
        <f>CONCATENATE(Table27810[[#This Row],[Column2]],Table27810[[#This Row],[Column4]],CHAR(10),CHAR(10),Table27810[[#This Row],[Column5]],Table27810[[#This Row],[Pilot]],CHAR(10),Table27810[[#This Row],[Start]],Table27810[[#This Row],[Lic]],Table27810[[#This Row],[Column7]],TEXT(Table27810[[#This Row],[TT]],"#,##0"),Table27810[[#This Row],[Column8]],TEXT(Table27810[[#This Row],[ME/RG/RW]],"#,##0"),Table27810[[#This Row],[Column10]],Table27810[[#This Row],[MM]],Table27810[[#This Row],[Column12]])</f>
        <v xml:space="preserve">As Respects: Single Engine Turboprop Aircraft
Any Pilot maintaining a ATP or more advanced pilot certificate, with an Instrument rating, who has logged a minimum of  total hours, including 500 hours in Turboprop aircraft,  hours in aircraft with retractable gear and  hours in the make and model to be flown. </v>
      </c>
      <c r="CU60" s="331"/>
      <c r="CV60" s="331">
        <v>1</v>
      </c>
      <c r="CX60" s="1068"/>
      <c r="CY60" s="1068"/>
      <c r="CZ60" s="1068"/>
      <c r="DA60" s="1068"/>
      <c r="DB60" s="1068"/>
      <c r="DC60" s="1068"/>
      <c r="DD60" s="1068"/>
      <c r="DE60" s="1068"/>
      <c r="DF60" s="1068"/>
      <c r="DG60" s="1068"/>
      <c r="DH60" s="1068"/>
      <c r="DI60" s="1068"/>
      <c r="DJ60" s="1068"/>
      <c r="DK60" s="1068"/>
      <c r="DL60" s="1068"/>
      <c r="DM60" s="1068"/>
      <c r="DN60" s="1068"/>
    </row>
    <row r="61" spans="1:118" ht="12.75" hidden="1" customHeight="1">
      <c r="A61" s="2"/>
      <c r="B61" s="1097"/>
      <c r="C61" s="1097"/>
      <c r="D61" s="1097"/>
      <c r="E61" s="1097"/>
      <c r="F61" s="1097"/>
      <c r="G61" s="1097"/>
      <c r="H61" s="1097"/>
      <c r="I61" s="1097"/>
      <c r="J61" s="1097"/>
      <c r="K61" s="1097"/>
      <c r="L61" s="1097"/>
      <c r="M61" s="1097"/>
      <c r="N61" s="1097"/>
      <c r="O61" s="1097"/>
      <c r="P61" s="1097"/>
      <c r="Q61" s="1097"/>
      <c r="R61" s="1097"/>
      <c r="S61" s="1097"/>
      <c r="T61" s="1097"/>
      <c r="U61" s="1097"/>
      <c r="V61" s="1097"/>
      <c r="W61" s="1097"/>
      <c r="X61" s="1097"/>
      <c r="Y61" s="1097"/>
      <c r="Z61" s="1097"/>
      <c r="AA61" s="1097"/>
      <c r="AB61" s="455"/>
      <c r="AC61" s="2"/>
      <c r="AD61" s="2"/>
      <c r="AE61" s="2"/>
      <c r="AF61" s="2"/>
      <c r="AG61" s="2"/>
      <c r="AH61" s="2"/>
      <c r="AI61" s="2"/>
      <c r="AJ61" s="2"/>
      <c r="AK61" s="2"/>
      <c r="AL61" s="2"/>
      <c r="AM61" s="2"/>
      <c r="AN61" s="2"/>
      <c r="AO61" s="2"/>
      <c r="AP61" s="2"/>
      <c r="AQ61" s="2"/>
      <c r="AR61" s="2"/>
      <c r="AS61" s="2"/>
      <c r="AT61" s="2"/>
      <c r="AU61" s="2"/>
      <c r="AV61" s="2"/>
      <c r="AW61" s="2"/>
      <c r="AX61" s="2"/>
      <c r="AY61" t="s">
        <v>3313</v>
      </c>
      <c r="CB61">
        <v>3</v>
      </c>
      <c r="CC61" t="s">
        <v>4049</v>
      </c>
      <c r="CE61" s="672" t="str">
        <f>IF(Table27810[[#This Row],[N'#s]]=""," Multiengine Turboprop Aircraft Requiring Only One (1) Crewmember",Table27810[[#This Row],[N'#s]])</f>
        <v xml:space="preserve"> Multiengine Turboprop Aircraft Requiring Only One (1) Crewmember</v>
      </c>
      <c r="CF61" t="str">
        <f t="shared" si="26"/>
        <v/>
      </c>
      <c r="CG61" t="str">
        <f>IF(Table27810[[#This Row],[Pilot]]="","","Named Pilots:")</f>
        <v/>
      </c>
      <c r="CH61" t="str">
        <f t="shared" ref="CH61:CH73" si="28">IF(BZ61=0,"",BZ61)</f>
        <v/>
      </c>
      <c r="CI61" s="672" t="s">
        <v>4066</v>
      </c>
      <c r="CJ61" s="672" t="str">
        <f t="shared" si="27"/>
        <v>ATP</v>
      </c>
      <c r="CK61" s="672" t="s">
        <v>4075</v>
      </c>
      <c r="CL61" s="676" t="str">
        <f t="shared" ref="CL61:CL68" si="29">$AM$25</f>
        <v/>
      </c>
      <c r="CM61" s="672" t="s">
        <v>4074</v>
      </c>
      <c r="CN61" s="676" t="str">
        <f t="shared" ref="CN61:CN68" si="30">$AO$25</f>
        <v/>
      </c>
      <c r="CO61" s="672" t="s">
        <v>4078</v>
      </c>
      <c r="CP61" s="676" t="str">
        <f t="shared" ref="CP61:CP68" si="31">$AQ$25</f>
        <v/>
      </c>
      <c r="CQ61" s="672" t="s">
        <v>4076</v>
      </c>
      <c r="CR61" t="str">
        <f t="shared" ref="CR61:CR68" si="32">$AS$25</f>
        <v/>
      </c>
      <c r="CS61" s="673" t="s">
        <v>4077</v>
      </c>
      <c r="CT61" t="str">
        <f>CONCATENATE(Table27810[[#This Row],[Column2]],Table27810[[#This Row],[Column4]],CHAR(10),CHAR(10),Table27810[[#This Row],[Column5]],Table27810[[#This Row],[Pilot]],CHAR(10),Table27810[[#This Row],[Start]],Table27810[[#This Row],[Lic]],Table27810[[#This Row],[Column7]],TEXT(Table27810[[#This Row],[TT]],"#,##0"),Table27810[[#This Row],[Column8]],TEXT(Table27810[[#This Row],[ME/RG/RW]],"#,##0"),Table27810[[#This Row],[Column10]],Table27810[[#This Row],[Turbine]],Table27810[[#This Row],[Column12]],Table27810[[#This Row],[MM]],Table27810[[#This Row],[Column14]])</f>
        <v xml:space="preserve">As Respects: Multiengine Turboprop Aircraft Requiring Only One (1) Crewmember
Any Pilot maintaining a ATP or more advanced pilot certificate, with Multiengine and Instrument ratings, who has logged a minimum of  total hours, including  hours in multiengine aircraft,  hours in Turboprop aircraft, and  hours in the make and model to be flown.  </v>
      </c>
      <c r="CV61">
        <v>1</v>
      </c>
      <c r="CX61" s="1068"/>
      <c r="CY61" s="1068"/>
      <c r="CZ61" s="1068"/>
      <c r="DA61" s="1068"/>
      <c r="DB61" s="1068"/>
      <c r="DC61" s="1068"/>
      <c r="DD61" s="1068"/>
      <c r="DE61" s="1068"/>
      <c r="DF61" s="1068"/>
      <c r="DG61" s="1068"/>
      <c r="DH61" s="1068"/>
      <c r="DI61" s="1068"/>
      <c r="DJ61" s="1068"/>
      <c r="DK61" s="1068"/>
      <c r="DL61" s="1068"/>
      <c r="DM61" s="1068"/>
      <c r="DN61" s="1068"/>
    </row>
    <row r="62" spans="1:118" ht="15.75" hidden="1">
      <c r="A62" s="2"/>
      <c r="B62" s="1097"/>
      <c r="C62" s="1097"/>
      <c r="D62" s="1097"/>
      <c r="E62" s="1097"/>
      <c r="F62" s="1097"/>
      <c r="G62" s="1097"/>
      <c r="H62" s="1097"/>
      <c r="I62" s="1097"/>
      <c r="J62" s="1097"/>
      <c r="K62" s="1097"/>
      <c r="L62" s="1097"/>
      <c r="M62" s="1097"/>
      <c r="N62" s="1097"/>
      <c r="O62" s="1097"/>
      <c r="P62" s="1097"/>
      <c r="Q62" s="1097"/>
      <c r="R62" s="1097"/>
      <c r="S62" s="1097"/>
      <c r="T62" s="1097"/>
      <c r="U62" s="1097"/>
      <c r="V62" s="1097"/>
      <c r="W62" s="1097"/>
      <c r="X62" s="1097"/>
      <c r="Y62" s="1097"/>
      <c r="Z62" s="1097"/>
      <c r="AA62" s="1097"/>
      <c r="AB62" s="455"/>
      <c r="AC62" s="2"/>
      <c r="AD62" s="2"/>
      <c r="AE62" s="2"/>
      <c r="AF62" s="2"/>
      <c r="AG62" s="2"/>
      <c r="AH62" s="2"/>
      <c r="AI62" s="2"/>
      <c r="AJ62" s="2"/>
      <c r="AK62" s="2"/>
      <c r="AL62" s="2"/>
      <c r="AM62" s="2"/>
      <c r="AN62" s="2"/>
      <c r="AO62" s="2"/>
      <c r="AP62" s="2"/>
      <c r="AQ62" s="2"/>
      <c r="AR62" s="2"/>
      <c r="AS62" s="2"/>
      <c r="AT62" s="2"/>
      <c r="AU62" s="2"/>
      <c r="AV62" s="2"/>
      <c r="AW62" s="2"/>
      <c r="AX62" s="2"/>
      <c r="AY62" t="s">
        <v>3314</v>
      </c>
      <c r="AZ62" t="str">
        <f>CONCATENATE(AZ58,CHAR(10),G13,AZ28,CHAR(10),AZ46)</f>
        <v xml:space="preserve">
</v>
      </c>
      <c r="CB62">
        <v>4</v>
      </c>
      <c r="CC62" t="s">
        <v>4049</v>
      </c>
      <c r="CE62" s="672" t="str">
        <f>IF(Table27810[[#This Row],[N'#s]]=""," The Pilot-In-Command of Multiengine Turboprop Aircraft Requiring Two (2) Crewmembers",Table27810[[#This Row],[N'#s]])</f>
        <v xml:space="preserve"> The Pilot-In-Command of Multiengine Turboprop Aircraft Requiring Two (2) Crewmembers</v>
      </c>
      <c r="CF62" t="str">
        <f t="shared" si="26"/>
        <v/>
      </c>
      <c r="CG62" t="str">
        <f>IF(Table27810[[#This Row],[Pilot]]="","","Named Pilots:")</f>
        <v/>
      </c>
      <c r="CH62" t="str">
        <f t="shared" si="28"/>
        <v/>
      </c>
      <c r="CI62" s="672" t="s">
        <v>4066</v>
      </c>
      <c r="CJ62" s="672" t="str">
        <f t="shared" si="27"/>
        <v>ATP</v>
      </c>
      <c r="CK62" s="672" t="s">
        <v>4073</v>
      </c>
      <c r="CL62" s="676" t="str">
        <f t="shared" si="29"/>
        <v/>
      </c>
      <c r="CM62" s="672" t="s">
        <v>4074</v>
      </c>
      <c r="CN62" s="676" t="str">
        <f t="shared" si="30"/>
        <v/>
      </c>
      <c r="CO62" s="672" t="s">
        <v>4078</v>
      </c>
      <c r="CP62" s="676" t="str">
        <f t="shared" si="31"/>
        <v/>
      </c>
      <c r="CQ62" s="672" t="s">
        <v>4076</v>
      </c>
      <c r="CR62" t="str">
        <f t="shared" si="32"/>
        <v/>
      </c>
      <c r="CS62" s="672" t="s">
        <v>4077</v>
      </c>
      <c r="CT62" t="str">
        <f>CONCATENATE(Table27810[[#This Row],[Column2]],Table27810[[#This Row],[Column4]],CHAR(10),CHAR(10),Table27810[[#This Row],[Column5]],Table27810[[#This Row],[Pilot]],CHAR(10),Table27810[[#This Row],[Start]],Table27810[[#This Row],[Lic]],Table27810[[#This Row],[Column7]],TEXT(Table27810[[#This Row],[TT]],"#,#0"),Table27810[[#This Row],[Column8]],TEXT(Table27810[[#This Row],[ME/RG/RW]],"#,#0"),Table27810[[#This Row],[Column10]],Table27810[[#This Row],[Turbine]],Table27810[[#This Row],[Column12]],Table27810[[#This Row],[MM]],Table27810[[#This Row],[Column14]])</f>
        <v xml:space="preserve">As Respects: The Pilot-In-Command of Multiengine Turboprop Aircraft Requiring Two (2) Crewmembers
Any Pilot maintaining a ATPor more advanced pilot certificate, with Multiengine and Instrument ratings, who has logged a minimum of  total hours, including  hours in multiengine aircraft,  hours in Turboprop aircraft, and  hours in the make and model to be flown.  </v>
      </c>
      <c r="CV62" s="331">
        <v>1</v>
      </c>
      <c r="CX62" s="1068"/>
      <c r="CY62" s="1068"/>
      <c r="CZ62" s="1068"/>
      <c r="DA62" s="1068"/>
      <c r="DB62" s="1068"/>
      <c r="DC62" s="1068"/>
      <c r="DD62" s="1068"/>
      <c r="DE62" s="1068"/>
      <c r="DF62" s="1068"/>
      <c r="DG62" s="1068"/>
      <c r="DH62" s="1068"/>
      <c r="DI62" s="1068"/>
      <c r="DJ62" s="1068"/>
      <c r="DK62" s="1068"/>
      <c r="DL62" s="1068"/>
      <c r="DM62" s="1068"/>
      <c r="DN62" s="1068"/>
    </row>
    <row r="63" spans="1:118" ht="15.75" hidden="1">
      <c r="A63" s="2"/>
      <c r="B63" s="1097"/>
      <c r="C63" s="1097"/>
      <c r="D63" s="1097"/>
      <c r="E63" s="1097"/>
      <c r="F63" s="1097"/>
      <c r="G63" s="1097"/>
      <c r="H63" s="1097"/>
      <c r="I63" s="1097"/>
      <c r="J63" s="1097"/>
      <c r="K63" s="1097"/>
      <c r="L63" s="1097"/>
      <c r="M63" s="1097"/>
      <c r="N63" s="1097"/>
      <c r="O63" s="1097"/>
      <c r="P63" s="1097"/>
      <c r="Q63" s="1097"/>
      <c r="R63" s="1097"/>
      <c r="S63" s="1097"/>
      <c r="T63" s="1097"/>
      <c r="U63" s="1097"/>
      <c r="V63" s="1097"/>
      <c r="W63" s="1097"/>
      <c r="X63" s="1097"/>
      <c r="Y63" s="1097"/>
      <c r="Z63" s="1097"/>
      <c r="AA63" s="1097"/>
      <c r="AB63" s="455"/>
      <c r="AC63" s="2"/>
      <c r="AD63" s="2"/>
      <c r="AE63" s="2"/>
      <c r="AF63" s="2"/>
      <c r="AG63" s="2"/>
      <c r="AH63" s="2"/>
      <c r="AI63" s="2"/>
      <c r="AJ63" s="2"/>
      <c r="AK63" s="2"/>
      <c r="AL63" s="2"/>
      <c r="AM63" s="2"/>
      <c r="AN63" s="2"/>
      <c r="AO63" s="2"/>
      <c r="AP63" s="2"/>
      <c r="AQ63" s="2"/>
      <c r="AR63" s="2"/>
      <c r="AS63" s="2"/>
      <c r="AT63" s="2"/>
      <c r="AU63" s="2"/>
      <c r="AV63" s="2"/>
      <c r="AW63" s="2"/>
      <c r="AX63" s="2"/>
      <c r="AY63" t="s">
        <v>3315</v>
      </c>
      <c r="AZ63" t="str">
        <f>CONCATENATE(BA58,CHAR(10),G19,AZ29,CHAR(10),BA46)</f>
        <v xml:space="preserve">
</v>
      </c>
      <c r="CB63">
        <v>5</v>
      </c>
      <c r="CC63" t="s">
        <v>4049</v>
      </c>
      <c r="CE63" s="672" t="str">
        <f>IF(Table27810[[#This Row],[N'#s]]=""," The Second in Command of Multiengine Turboprop Aircraft Requiring Two (2) Crewmembers",Table27810[[#This Row],[N'#s]])</f>
        <v xml:space="preserve"> The Second in Command of Multiengine Turboprop Aircraft Requiring Two (2) Crewmembers</v>
      </c>
      <c r="CF63" t="str">
        <f t="shared" si="26"/>
        <v/>
      </c>
      <c r="CG63" t="str">
        <f>IF(Table27810[[#This Row],[Pilot]]="","","Named Pilots:")</f>
        <v/>
      </c>
      <c r="CH63" t="str">
        <f t="shared" si="28"/>
        <v/>
      </c>
      <c r="CI63" s="672" t="s">
        <v>4066</v>
      </c>
      <c r="CJ63" s="672" t="str">
        <f t="shared" si="27"/>
        <v>ATP</v>
      </c>
      <c r="CK63" s="672" t="s">
        <v>4075</v>
      </c>
      <c r="CL63" s="676" t="str">
        <f t="shared" si="29"/>
        <v/>
      </c>
      <c r="CM63" s="672" t="s">
        <v>4074</v>
      </c>
      <c r="CN63" s="676" t="str">
        <f t="shared" si="30"/>
        <v/>
      </c>
      <c r="CO63" s="672" t="s">
        <v>4078</v>
      </c>
      <c r="CP63" s="676" t="str">
        <f t="shared" si="31"/>
        <v/>
      </c>
      <c r="CQ63" t="s">
        <v>4085</v>
      </c>
      <c r="CR63" t="str">
        <f t="shared" si="32"/>
        <v/>
      </c>
      <c r="CS63" s="672"/>
      <c r="CT63" t="str">
        <f xml:space="preserve"> CONCATENATE(Table27810[[#This Row],[Column2]],Table27810[[#This Row],[Column4]],CHAR(10),CHAR(10),Table27810[[#This Row],[Column5]],Table27810[[#This Row],[Pilot]],CHAR(10),Table27810[[#This Row],[Start]],Table27810[[#This Row],[Lic]],Table27810[[#This Row],[Column7]],TEXT(Table27810[[#This Row],[TT]],"#,#0"),Table27810[[#This Row],[Column8]],TEXT(Table27810[[#This Row],[ME/RG/RW]],"#,#0"),Table27810[[#This Row],[Column10]],Table27810[[#This Row],[Turbine]],Table27810[[#This Row],[Column12]])</f>
        <v>As Respects: The Second in Command of Multiengine Turboprop Aircraft Requiring Two (2) Crewmembers
Any Pilot maintaining a ATP or more advanced pilot certificate, with Multiengine and Instrument ratings, who has logged a minimum of  total hours, including  hours in multiengine aircraft,  hours in Turboprop aircraft.</v>
      </c>
      <c r="CV63">
        <v>1</v>
      </c>
      <c r="CX63" s="1068"/>
      <c r="CY63" s="1068"/>
      <c r="CZ63" s="1068"/>
      <c r="DA63" s="1068"/>
      <c r="DB63" s="1068"/>
      <c r="DC63" s="1068"/>
      <c r="DD63" s="1068"/>
      <c r="DE63" s="1068"/>
      <c r="DF63" s="1068"/>
      <c r="DG63" s="1068"/>
      <c r="DH63" s="1068"/>
      <c r="DI63" s="1068"/>
      <c r="DJ63" s="1068"/>
      <c r="DK63" s="1068"/>
      <c r="DL63" s="1068"/>
      <c r="DM63" s="1068"/>
      <c r="DN63" s="1068"/>
    </row>
    <row r="64" spans="1:118" ht="15.75" hidden="1">
      <c r="A64" s="2"/>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455"/>
      <c r="AC64" s="2"/>
      <c r="AD64" s="2"/>
      <c r="AE64" s="2"/>
      <c r="AF64" s="2"/>
      <c r="AG64" s="2"/>
      <c r="AH64" s="2"/>
      <c r="AI64" s="2"/>
      <c r="AJ64" s="2"/>
      <c r="AK64" s="2"/>
      <c r="AL64" s="2"/>
      <c r="AM64" s="2"/>
      <c r="AN64" s="2"/>
      <c r="AO64" s="2"/>
      <c r="AP64" s="2"/>
      <c r="AQ64" s="2"/>
      <c r="AR64" s="2"/>
      <c r="AS64" s="2"/>
      <c r="AT64" s="2"/>
      <c r="AU64" s="2"/>
      <c r="AV64" s="2"/>
      <c r="AW64" s="2"/>
      <c r="AX64" s="2"/>
      <c r="AY64" t="s">
        <v>3316</v>
      </c>
      <c r="AZ64" t="str">
        <f>CONCATENATE(BB58, CHAR(10),G25,AZ30,CHAR(10),BB46)</f>
        <v xml:space="preserve">
</v>
      </c>
      <c r="CB64">
        <v>6</v>
      </c>
      <c r="CC64" t="s">
        <v>4049</v>
      </c>
      <c r="CE64" s="672" t="str">
        <f>IF(Table27810[[#This Row],[N'#s]]=""," Single Engine Jet Aircraft",Table27810[[#This Row],[N'#s]])</f>
        <v xml:space="preserve"> Single Engine Jet Aircraft</v>
      </c>
      <c r="CF64" t="str">
        <f t="shared" si="26"/>
        <v/>
      </c>
      <c r="CG64" t="str">
        <f>IF(Table27810[[#This Row],[Pilot]]="","","Named Pilots:")</f>
        <v/>
      </c>
      <c r="CH64" t="str">
        <f t="shared" si="28"/>
        <v/>
      </c>
      <c r="CI64" s="672" t="s">
        <v>4066</v>
      </c>
      <c r="CJ64" s="672" t="str">
        <f t="shared" si="27"/>
        <v>ATP</v>
      </c>
      <c r="CK64" s="672" t="s">
        <v>4083</v>
      </c>
      <c r="CL64" s="676" t="str">
        <f t="shared" si="29"/>
        <v/>
      </c>
      <c r="CM64" s="672" t="s">
        <v>4074</v>
      </c>
      <c r="CN64" s="676" t="str">
        <f t="shared" si="30"/>
        <v/>
      </c>
      <c r="CO64" s="672" t="s">
        <v>4081</v>
      </c>
      <c r="CP64" s="676" t="str">
        <f t="shared" si="31"/>
        <v/>
      </c>
      <c r="CR64" t="str">
        <f t="shared" si="32"/>
        <v/>
      </c>
      <c r="CS64" s="673" t="s">
        <v>4079</v>
      </c>
      <c r="CT64" t="str">
        <f xml:space="preserve"> CONCATENATE(Table27810[[#This Row],[Column2]],Table27810[[#This Row],[Column4]],CHAR(10),CHAR(10),Table27810[[#This Row],[Column5]],Table27810[[#This Row],[Pilot]],CHAR(10),Table27810[[#This Row],[Start]],Table27810[[#This Row],[Lic]],Table27810[[#This Row],[Column7]],TEXT(Table27810[[#This Row],[TT]],"#,#0"),Table27810[[#This Row],[Column8]],Table27810[[#This Row],[Turbine]],Table27810[[#This Row],[Column10]],Table27810[[#This Row],[MM]],Table27810[[#This Row],[Column14]])</f>
        <v xml:space="preserve">As Respects: Single Engine Jet Aircraft
Any Pilot maintaining a ATP or more advanced pilot certificate, with Instrument ratings, who has logged a minimum of  total hours, including  hours in turbojet aircraft, and  hours in the make and model to be flown.  Additionally, the Pilot must be Type Rated in the Make and Model to be flown.  </v>
      </c>
      <c r="CV64" s="331">
        <v>1</v>
      </c>
      <c r="CX64" s="1068"/>
      <c r="CY64" s="1068"/>
      <c r="CZ64" s="1068"/>
      <c r="DA64" s="1068"/>
      <c r="DB64" s="1068"/>
      <c r="DC64" s="1068"/>
      <c r="DD64" s="1068"/>
      <c r="DE64" s="1068"/>
      <c r="DF64" s="1068"/>
      <c r="DG64" s="1068"/>
      <c r="DH64" s="1068"/>
      <c r="DI64" s="1068"/>
      <c r="DJ64" s="1068"/>
      <c r="DK64" s="1068"/>
      <c r="DL64" s="1068"/>
      <c r="DM64" s="1068"/>
      <c r="DN64" s="1068"/>
    </row>
    <row r="65" spans="1:118" ht="15.75" hidden="1">
      <c r="A65" s="2"/>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455"/>
      <c r="AC65" s="2"/>
      <c r="AD65" s="2"/>
      <c r="AE65" s="2"/>
      <c r="AF65" s="2"/>
      <c r="AG65" s="2"/>
      <c r="AH65" s="2"/>
      <c r="AI65" s="2"/>
      <c r="AJ65" s="2"/>
      <c r="AK65" s="2"/>
      <c r="AL65" s="2"/>
      <c r="AM65" s="2"/>
      <c r="AN65" s="2"/>
      <c r="AO65" s="2"/>
      <c r="AP65" s="2"/>
      <c r="AQ65" s="2"/>
      <c r="AR65" s="2"/>
      <c r="AS65" s="2"/>
      <c r="AT65" s="2"/>
      <c r="AU65" s="2"/>
      <c r="AV65" s="2"/>
      <c r="AW65" s="2"/>
      <c r="AX65" s="2"/>
      <c r="AY65" t="s">
        <v>3317</v>
      </c>
      <c r="AZ65" t="str">
        <f>CONCATENATE(BC58,CHAR(10),G31,AZ31,CHAR(10),BC46)</f>
        <v xml:space="preserve">
</v>
      </c>
      <c r="BZ65" s="331"/>
      <c r="CA65" s="331"/>
      <c r="CB65">
        <v>7</v>
      </c>
      <c r="CC65" t="s">
        <v>4049</v>
      </c>
      <c r="CE65" s="672" t="str">
        <f>IF(Table27810[[#This Row],[N'#s]]=""," Jet Aircraft Requiring Only One (1) Crewmember",Table27810[[#This Row],[N'#s]])</f>
        <v xml:space="preserve"> Jet Aircraft Requiring Only One (1) Crewmember</v>
      </c>
      <c r="CF65" t="str">
        <f t="shared" si="26"/>
        <v/>
      </c>
      <c r="CG65" t="str">
        <f>IF(Table27810[[#This Row],[Pilot]]="","","Named Pilots:")</f>
        <v/>
      </c>
      <c r="CH65" t="str">
        <f t="shared" si="28"/>
        <v/>
      </c>
      <c r="CI65" s="672" t="s">
        <v>4066</v>
      </c>
      <c r="CJ65" s="672" t="str">
        <f t="shared" si="27"/>
        <v>ATP</v>
      </c>
      <c r="CK65" s="672" t="s">
        <v>4075</v>
      </c>
      <c r="CL65" s="676" t="str">
        <f t="shared" si="29"/>
        <v/>
      </c>
      <c r="CM65" s="672" t="s">
        <v>4074</v>
      </c>
      <c r="CN65" s="676" t="str">
        <f t="shared" si="30"/>
        <v/>
      </c>
      <c r="CO65" s="672" t="s">
        <v>4087</v>
      </c>
      <c r="CP65" s="676" t="str">
        <f t="shared" si="31"/>
        <v/>
      </c>
      <c r="CQ65" s="672" t="s">
        <v>4081</v>
      </c>
      <c r="CR65" t="str">
        <f t="shared" si="32"/>
        <v/>
      </c>
      <c r="CS65" s="672" t="s">
        <v>4086</v>
      </c>
      <c r="CT65" t="str">
        <f xml:space="preserve"> CONCATENATE(Table27810[[#This Row],[Column2]],Table27810[[#This Row],[Column4]],CHAR(10),CHAR(10),Table27810[[#This Row],[Column5]],Table27810[[#This Row],[Pilot]],CHAR(10),Table27810[[#This Row],[Start]],Table27810[[#This Row],[Lic]],Table27810[[#This Row],[Column7]],TEXT(Table27810[[#This Row],[TT]],"#,#0"),Table27810[[#This Row],[Column8]],TEXT(Table27810[[#This Row],[ME/RG/RW]],"#,#0"),Table27810[[#This Row],[Column10]],Table27810[[#This Row],[Turbine]],Table27810[[#This Row],[Column12]],Table27810[[#This Row],[MM]],Table27810[[#This Row],[Column14]])</f>
        <v xml:space="preserve">As Respects: Jet Aircraft Requiring Only One (1) Crewmember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65">
        <v>1</v>
      </c>
      <c r="CX65" s="1068"/>
      <c r="CY65" s="1068"/>
      <c r="CZ65" s="1068"/>
      <c r="DA65" s="1068"/>
      <c r="DB65" s="1068"/>
      <c r="DC65" s="1068"/>
      <c r="DD65" s="1068"/>
      <c r="DE65" s="1068"/>
      <c r="DF65" s="1068"/>
      <c r="DG65" s="1068"/>
      <c r="DH65" s="1068"/>
      <c r="DI65" s="1068"/>
      <c r="DJ65" s="1068"/>
      <c r="DK65" s="1068"/>
      <c r="DL65" s="1068"/>
      <c r="DM65" s="1068"/>
      <c r="DN65" s="1068"/>
    </row>
    <row r="66" spans="1:118" ht="15.75" hidden="1">
      <c r="A66" s="2"/>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455"/>
      <c r="AC66" s="2"/>
      <c r="AD66" s="2"/>
      <c r="AE66" s="2"/>
      <c r="AF66" s="2"/>
      <c r="AG66" s="2"/>
      <c r="AH66" s="2"/>
      <c r="AI66" s="2"/>
      <c r="AJ66" s="2"/>
      <c r="AK66" s="2"/>
      <c r="AL66" s="2"/>
      <c r="AM66" s="2"/>
      <c r="AN66" s="2"/>
      <c r="AO66" s="2"/>
      <c r="AP66" s="2"/>
      <c r="AQ66" s="2"/>
      <c r="AR66" s="2"/>
      <c r="AS66" s="2"/>
      <c r="AT66" s="2"/>
      <c r="AU66" s="2"/>
      <c r="AV66" s="2"/>
      <c r="AW66" s="2"/>
      <c r="AX66" s="2"/>
      <c r="CB66">
        <v>8</v>
      </c>
      <c r="CC66" t="s">
        <v>4049</v>
      </c>
      <c r="CE66" s="672" t="str">
        <f>IF(Table27810[[#This Row],[N'#s]]=""," The Pilot-In-Command of Jet Aircraft Requiring Two (2) Crewmembers",Table27810[[#This Row],[N'#s]])</f>
        <v xml:space="preserve"> The Pilot-In-Command of Jet Aircraft Requiring Two (2) Crewmembers</v>
      </c>
      <c r="CF66" t="str">
        <f t="shared" si="26"/>
        <v/>
      </c>
      <c r="CG66" t="str">
        <f>IF(Table27810[[#This Row],[Pilot]]="","","Named Pilots:")</f>
        <v/>
      </c>
      <c r="CH66" t="str">
        <f t="shared" si="28"/>
        <v/>
      </c>
      <c r="CI66" s="672" t="s">
        <v>4066</v>
      </c>
      <c r="CJ66" s="672" t="str">
        <f t="shared" si="27"/>
        <v>ATP</v>
      </c>
      <c r="CK66" s="672" t="s">
        <v>4075</v>
      </c>
      <c r="CL66" s="676" t="str">
        <f t="shared" si="29"/>
        <v/>
      </c>
      <c r="CM66" s="672" t="s">
        <v>4074</v>
      </c>
      <c r="CN66" s="676" t="str">
        <f t="shared" si="30"/>
        <v/>
      </c>
      <c r="CO66" s="672" t="s">
        <v>4087</v>
      </c>
      <c r="CP66" s="676" t="str">
        <f t="shared" si="31"/>
        <v/>
      </c>
      <c r="CQ66" s="672" t="s">
        <v>4081</v>
      </c>
      <c r="CR66" t="str">
        <f t="shared" si="32"/>
        <v/>
      </c>
      <c r="CS66" s="672" t="s">
        <v>4088</v>
      </c>
      <c r="CT66" t="str">
        <f xml:space="preserve"> CONCATENATE(Table27810[[#This Row],[Column2]],Table27810[[#This Row],[Column4]],CHAR(10),CHAR(10),Table27810[[#This Row],[Column5]],Table27810[[#This Row],[Pilot]],CHAR(10),Table27810[[#This Row],[Start]],Table27810[[#This Row],[Lic]],Table27810[[#This Row],[Column7]],TEXT(Table27810[[#This Row],[TT]],"#,#0"),Table27810[[#This Row],[Column8]],TEXT(Table27810[[#This Row],[ME/RG/RW]],"#,#0"),Table27810[[#This Row],[Column10]],Table27810[[#This Row],[Turbine]],Table27810[[#This Row],[Column12]],Table27810[[#This Row],[MM]],Table27810[[#This Row],[Column14]])</f>
        <v xml:space="preserve">As Respects: The Pilot-In-Command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Additionally, the Pilot must be Type Rated in the Make and Model to be flown.  </v>
      </c>
      <c r="CV66" s="331">
        <v>1</v>
      </c>
      <c r="CX66" s="1068"/>
      <c r="CY66" s="1068"/>
      <c r="CZ66" s="1068"/>
      <c r="DA66" s="1068"/>
      <c r="DB66" s="1068"/>
      <c r="DC66" s="1068"/>
      <c r="DD66" s="1068"/>
      <c r="DE66" s="1068"/>
      <c r="DF66" s="1068"/>
      <c r="DG66" s="1068"/>
      <c r="DH66" s="1068"/>
      <c r="DI66" s="1068"/>
      <c r="DJ66" s="1068"/>
      <c r="DK66" s="1068"/>
      <c r="DL66" s="1068"/>
      <c r="DM66" s="1068"/>
      <c r="DN66" s="1068"/>
    </row>
    <row r="67" spans="1:118" ht="15.75" hidden="1">
      <c r="A67" s="2" t="s">
        <v>3321</v>
      </c>
      <c r="B67" s="2"/>
      <c r="C67" s="2"/>
      <c r="D67" s="2"/>
      <c r="E67" s="2"/>
      <c r="F67" s="2"/>
      <c r="G67" s="2"/>
      <c r="H67" s="2"/>
      <c r="I67" s="2"/>
      <c r="J67" s="2"/>
      <c r="K67" s="2"/>
      <c r="L67" s="2"/>
      <c r="M67" s="2"/>
      <c r="N67" s="2"/>
      <c r="O67" s="2"/>
      <c r="P67" s="2"/>
      <c r="Q67" s="2"/>
      <c r="R67" s="2"/>
      <c r="S67" s="2"/>
      <c r="T67" s="2"/>
      <c r="U67" s="2"/>
      <c r="V67" s="2"/>
      <c r="W67" s="2"/>
      <c r="X67" s="2"/>
      <c r="Y67" s="2"/>
      <c r="Z67" s="2"/>
      <c r="AA67" s="2"/>
      <c r="AB67" s="455"/>
      <c r="AC67" s="2"/>
      <c r="AD67" s="2"/>
      <c r="AE67" s="2"/>
      <c r="AF67" s="2"/>
      <c r="AG67" s="2"/>
      <c r="AH67" s="2"/>
      <c r="AI67" s="2"/>
      <c r="AJ67" s="2"/>
      <c r="AK67" s="2"/>
      <c r="AL67" s="2"/>
      <c r="AM67" s="2"/>
      <c r="AN67" s="2"/>
      <c r="AO67" s="2"/>
      <c r="AP67" s="2"/>
      <c r="AQ67" s="2"/>
      <c r="AR67" s="2"/>
      <c r="AS67" s="2"/>
      <c r="AT67" s="2"/>
      <c r="AU67" s="2"/>
      <c r="AV67" s="2"/>
      <c r="AW67" s="2"/>
      <c r="AX67" s="2"/>
      <c r="AY67" s="933" t="s">
        <v>3259</v>
      </c>
      <c r="AZ67" s="933"/>
      <c r="BA67" s="933"/>
      <c r="BB67" s="933"/>
      <c r="BC67" s="933"/>
      <c r="BD67" s="933"/>
      <c r="BE67" s="933"/>
      <c r="BF67" s="933"/>
      <c r="BG67" s="933"/>
      <c r="BH67" s="933"/>
      <c r="BI67" s="933"/>
      <c r="BJ67" s="933"/>
      <c r="BK67" s="933"/>
      <c r="CB67">
        <v>9</v>
      </c>
      <c r="CC67" t="s">
        <v>4049</v>
      </c>
      <c r="CE67" s="672" t="str">
        <f>IF(Table27810[[#This Row],[N'#s]]=""," As Respects the Second in Command of Jet Aircraft Requiring Two (2) Crewmembers",Table27810[[#This Row],[N'#s]])</f>
        <v xml:space="preserve"> As Respects the Second in Command of Jet Aircraft Requiring Two (2) Crewmembers</v>
      </c>
      <c r="CF67" t="str">
        <f t="shared" si="26"/>
        <v/>
      </c>
      <c r="CG67" t="str">
        <f>IF(Table27810[[#This Row],[Pilot]]="","","Named Pilots:")</f>
        <v/>
      </c>
      <c r="CH67" t="str">
        <f t="shared" si="28"/>
        <v/>
      </c>
      <c r="CI67" s="672" t="s">
        <v>4066</v>
      </c>
      <c r="CJ67" s="672" t="str">
        <f t="shared" si="27"/>
        <v>ATP</v>
      </c>
      <c r="CK67" s="672" t="s">
        <v>4075</v>
      </c>
      <c r="CL67" s="676" t="str">
        <f t="shared" si="29"/>
        <v/>
      </c>
      <c r="CM67" s="672" t="s">
        <v>4074</v>
      </c>
      <c r="CN67" s="676" t="str">
        <f t="shared" si="30"/>
        <v/>
      </c>
      <c r="CO67" s="672" t="s">
        <v>4078</v>
      </c>
      <c r="CP67" s="676" t="str">
        <f t="shared" si="31"/>
        <v/>
      </c>
      <c r="CQ67" s="672" t="s">
        <v>4081</v>
      </c>
      <c r="CR67" t="str">
        <f t="shared" si="32"/>
        <v/>
      </c>
      <c r="CS67" s="673" t="s">
        <v>4077</v>
      </c>
      <c r="CT67" t="str">
        <f xml:space="preserve"> CONCATENATE(Table27810[[#This Row],[Column2]],Table27810[[#This Row],[Column4]],CHAR(10),CHAR(10),Table27810[[#This Row],[Column5]],Table27810[[#This Row],[Pilot]],CHAR(10),Table27810[[#This Row],[Start]],Table27810[[#This Row],[Lic]],Table27810[[#This Row],[Column7]],TEXT(Table27810[[#This Row],[TT]],"#,#0"),Table27810[[#This Row],[Column8]],TEXT(Table27810[[#This Row],[ME/RG/RW]],"#,#0"),Table27810[[#This Row],[Column10]],Table27810[[#This Row],[Turbine]],Table27810[[#This Row],[Column12]],Table27810[[#This Row],[MM]],Table27810[[#This Row],[Column14]])</f>
        <v xml:space="preserve">As Respects: As Respects the Second in Command of Jet Aircraft Requiring Two (2) Crewmembers
Any Pilot maintaining a ATP or more advanced pilot certificate, with Multiengine and Instrument ratings, who has logged a minimum of  total hours, including  hours in multiengine aircraft,  hours in turbojet aircraft, and  hours in the make and model to be flown.  </v>
      </c>
      <c r="CV67">
        <v>1</v>
      </c>
      <c r="CX67" s="1068"/>
      <c r="CY67" s="1068"/>
      <c r="CZ67" s="1068"/>
      <c r="DA67" s="1068"/>
      <c r="DB67" s="1068"/>
      <c r="DC67" s="1068"/>
      <c r="DD67" s="1068"/>
      <c r="DE67" s="1068"/>
      <c r="DF67" s="1068"/>
      <c r="DG67" s="1068"/>
      <c r="DH67" s="1068"/>
      <c r="DI67" s="1068"/>
      <c r="DJ67" s="1068"/>
      <c r="DK67" s="1068"/>
      <c r="DL67" s="1068"/>
      <c r="DM67" s="1068"/>
      <c r="DN67" s="1068"/>
    </row>
    <row r="68" spans="1:118" ht="15.75" hidden="1">
      <c r="A68" s="1112" t="s">
        <v>3274</v>
      </c>
      <c r="B68" s="1113"/>
      <c r="C68" s="1113"/>
      <c r="D68" s="1113"/>
      <c r="E68" s="1113"/>
      <c r="F68" s="1113"/>
      <c r="G68" s="1113"/>
      <c r="H68" s="1113"/>
      <c r="I68" s="1113"/>
      <c r="J68" s="1113"/>
      <c r="K68" s="1113"/>
      <c r="L68" s="1113"/>
      <c r="M68" s="1113"/>
      <c r="N68" s="1113"/>
      <c r="O68" s="1113"/>
      <c r="P68" s="1113"/>
      <c r="Q68" s="1113"/>
      <c r="R68" s="1113"/>
      <c r="S68" s="1113"/>
      <c r="T68" s="1113"/>
      <c r="U68" s="1113"/>
      <c r="V68" s="1113"/>
      <c r="W68" s="1113"/>
      <c r="X68" s="1114"/>
      <c r="Y68" s="2"/>
      <c r="Z68" s="2"/>
      <c r="AA68" s="2"/>
      <c r="AB68" s="455"/>
      <c r="AC68" s="2"/>
      <c r="AD68" s="2"/>
      <c r="AE68" s="2"/>
      <c r="AF68" s="2"/>
      <c r="AG68" s="2"/>
      <c r="AH68" s="2"/>
      <c r="AI68" s="2"/>
      <c r="AJ68" s="2"/>
      <c r="AK68" s="2"/>
      <c r="AL68" s="2"/>
      <c r="AM68" s="2"/>
      <c r="AN68" s="2"/>
      <c r="AO68" s="2"/>
      <c r="AP68" s="2"/>
      <c r="AQ68" s="2"/>
      <c r="AR68" s="2"/>
      <c r="AS68" s="2"/>
      <c r="AT68" s="2"/>
      <c r="AU68" s="2"/>
      <c r="AV68" s="2"/>
      <c r="AW68" s="2"/>
      <c r="AX68" s="2"/>
      <c r="AY68" s="2"/>
      <c r="AZ68" t="s">
        <v>35</v>
      </c>
      <c r="BB68" t="s">
        <v>52</v>
      </c>
      <c r="BD68" t="s">
        <v>3318</v>
      </c>
      <c r="BH68" t="s">
        <v>3319</v>
      </c>
      <c r="CB68">
        <v>10</v>
      </c>
      <c r="CC68" t="s">
        <v>4049</v>
      </c>
      <c r="CE68" s="672" t="str">
        <f>IF(Table27810[[#This Row],[N'#s]]=""," Turbine Rotorwing Aircraft",Table27810[[#This Row],[N'#s]])</f>
        <v xml:space="preserve"> Turbine Rotorwing Aircraft</v>
      </c>
      <c r="CF68" t="str">
        <f t="shared" si="26"/>
        <v/>
      </c>
      <c r="CG68" t="str">
        <f>IF(Table27810[[#This Row],[Pilot]]="","","Named Pilots:")</f>
        <v/>
      </c>
      <c r="CH68" t="str">
        <f t="shared" si="28"/>
        <v/>
      </c>
      <c r="CI68" s="672" t="s">
        <v>4066</v>
      </c>
      <c r="CJ68" s="672" t="str">
        <f t="shared" si="27"/>
        <v>ATP</v>
      </c>
      <c r="CK68" s="672" t="s">
        <v>4084</v>
      </c>
      <c r="CL68" s="676" t="str">
        <f t="shared" si="29"/>
        <v/>
      </c>
      <c r="CM68" s="672" t="s">
        <v>4074</v>
      </c>
      <c r="CN68" s="676" t="str">
        <f t="shared" si="30"/>
        <v/>
      </c>
      <c r="CO68" s="672" t="s">
        <v>4082</v>
      </c>
      <c r="CP68" s="676" t="str">
        <f t="shared" si="31"/>
        <v/>
      </c>
      <c r="CQ68" s="673" t="s">
        <v>4080</v>
      </c>
      <c r="CR68" t="str">
        <f t="shared" si="32"/>
        <v/>
      </c>
      <c r="CT68" t="str">
        <f xml:space="preserve"> CONCATENATE(Table27810[[#This Row],[Column2]],IF(AH68="",Table27810[[#This Row],[Column4]],AH68),CHAR(10),CHAR(10),Table27810[[#This Row],[Column5]],IF(Table27810[[#This Row],[Pilot]]="","",Table27810[[#This Row],[Pilot]]),CHAR(10),Table27810[[#This Row],[Start]],Table27810[[#This Row],[Lic]],Table27810[[#This Row],[Column7]],TEXT(Table27810[[#This Row],[TT]],"#,#0"),Table27810[[#This Row],[Column8]],Table27810[[#This Row],[MM]],Table27810[[#This Row],[Column10]],Table27810[[#This Row],[Turbine]],Table27810[[#This Row],[Column12]])</f>
        <v xml:space="preserve">As Respects: Turbine Rotorwing Aircraft
Any Pilot maintaining a ATP or more advanced pilot certificate, with Rotorwing and Instrument ratings, who has logged a minimum of  total hours, including  hours in the make and model to be flown, and  hours in turbine rotorwing aircraft.  </v>
      </c>
      <c r="CV68" s="331">
        <v>1</v>
      </c>
      <c r="CX68" s="1068"/>
      <c r="CY68" s="1068"/>
      <c r="CZ68" s="1068"/>
      <c r="DA68" s="1068"/>
      <c r="DB68" s="1068"/>
      <c r="DC68" s="1068"/>
      <c r="DD68" s="1068"/>
      <c r="DE68" s="1068"/>
      <c r="DF68" s="1068"/>
      <c r="DG68" s="1068"/>
      <c r="DH68" s="1068"/>
      <c r="DI68" s="1068"/>
      <c r="DJ68" s="1068"/>
      <c r="DK68" s="1068"/>
      <c r="DL68" s="1068"/>
      <c r="DM68" s="1068"/>
      <c r="DN68" s="1068"/>
    </row>
    <row r="69" spans="1:118" ht="15.75" hidden="1">
      <c r="A69" s="1118"/>
      <c r="B69" s="1119"/>
      <c r="C69" s="1119"/>
      <c r="D69" s="1119"/>
      <c r="E69" s="1119"/>
      <c r="F69" s="1119"/>
      <c r="G69" s="1119"/>
      <c r="H69" s="1119"/>
      <c r="I69" s="1119"/>
      <c r="J69" s="1119"/>
      <c r="K69" s="1119"/>
      <c r="L69" s="1119"/>
      <c r="M69" s="1119"/>
      <c r="N69" s="1119"/>
      <c r="O69" s="1119"/>
      <c r="P69" s="1119"/>
      <c r="Q69" s="1119"/>
      <c r="R69" s="1119"/>
      <c r="S69" s="1119"/>
      <c r="T69" s="1119"/>
      <c r="U69" s="1119"/>
      <c r="V69" s="1119"/>
      <c r="W69" s="1119"/>
      <c r="X69" s="1120"/>
      <c r="Y69" s="2"/>
      <c r="Z69" s="2"/>
      <c r="AA69" s="2"/>
      <c r="AB69" s="455"/>
      <c r="AC69" s="2"/>
      <c r="AD69" s="2"/>
      <c r="AE69" s="2"/>
      <c r="AF69" s="2"/>
      <c r="AG69" s="2"/>
      <c r="AH69" s="2"/>
      <c r="AI69" s="2"/>
      <c r="AJ69" s="2"/>
      <c r="AK69" s="2"/>
      <c r="AL69" s="2"/>
      <c r="AM69" s="2"/>
      <c r="AN69" s="2"/>
      <c r="AO69" s="2"/>
      <c r="AP69" s="2"/>
      <c r="AQ69" s="2"/>
      <c r="AR69" s="2"/>
      <c r="AS69" s="2"/>
      <c r="AT69" s="2"/>
      <c r="AU69" s="2"/>
      <c r="AV69" s="2"/>
      <c r="AW69" s="2"/>
      <c r="AX69" s="2"/>
      <c r="AY69" s="2">
        <v>1</v>
      </c>
      <c r="AZ69" t="str">
        <f>'Turbine Owner-Com'!B13</f>
        <v/>
      </c>
      <c r="BA69">
        <v>1</v>
      </c>
      <c r="BB69" t="str">
        <f>'Turbine Owner-Com'!D13</f>
        <v/>
      </c>
      <c r="BC69">
        <v>1</v>
      </c>
      <c r="BD69" s="497" t="str">
        <f>CONCATENATE(AZ69,"-",BB69)</f>
        <v>-</v>
      </c>
      <c r="BE69" s="497"/>
      <c r="BG69">
        <v>1</v>
      </c>
      <c r="BH69" t="str">
        <f>IFERROR(IF(AO35="","",IF(AI35="Std Training",CONCATENATE("*Prior to operating ",VLOOKUP(MATCH(AO35,$BD$69:$BD$73,0),$BA$69:$BB$73,2)," ",VLOOKUP(MATCH(AO35,$BD$69:$BD$73,0),$AY$69:$AZ$73,2)," as Second-In-Command, ",AD35," must successfully complete factory approved simulator-based ground and flight training or its equivalent as approved by the Aviation Managers for the ",BB69,".",CHAR(10),CHAR(10),"*Prior to acting as Pilot-In-Command, ",AD35," is required to have logged a minimum of ",AL35," hours in a ",VLOOKUP(MATCH(AO35,$BD$69:$BD$73,0),$BA$69:$BB$73,2),"."),CONCATENATE("*Prior to operating ",VLOOKUP(MATCH(AO35,$BD$69:$BD$73,0),$BA$69:$BB$73,2)," ",VLOOKUP(MATCH(AO35,$BD$69:$BD$73,0),$AY$69:$AZ$73,2),", ",AD35," must successfully complete factory approved simulator-based ground and flight training or its equivalent as approved by the Aviation Managers for the ",VLOOKUP(MATCH(AO35,$BD$69:$BD$73,0),$BA$69:$BB$73,2),"."))),"")</f>
        <v/>
      </c>
      <c r="CB69">
        <v>11</v>
      </c>
      <c r="CC69" t="s">
        <v>4049</v>
      </c>
      <c r="CE69" s="672" t="str">
        <f>IF(Table27810[[#This Row],[N'#s]]=""," All Single Crew Aircraft",Table27810[[#This Row],[N'#s]])</f>
        <v xml:space="preserve"> All Single Crew Aircraft</v>
      </c>
      <c r="CF69" t="str">
        <f t="shared" si="26"/>
        <v/>
      </c>
      <c r="CG69" t="str">
        <f>IF(Table27810[[#This Row],[Pilot]]="","","Named Pilots:")</f>
        <v/>
      </c>
      <c r="CH69" t="str">
        <f t="shared" si="28"/>
        <v/>
      </c>
      <c r="CI69" s="675" t="s">
        <v>4064</v>
      </c>
      <c r="CJ69" s="675" t="str">
        <f t="shared" si="27"/>
        <v>ATP</v>
      </c>
      <c r="CK69" s="674"/>
      <c r="CT69" t="str">
        <f xml:space="preserve"> CONCATENATE(Table27810[[#This Row],[Column2]],Table27810[[#This Row],[Column4]],CHAR(10),CHAR(10),Table27810[[#This Row],[Column5]],Table27810[[#This Row],[Pilot]],CHAR(10),Table27810[[#This Row],[Start]])</f>
        <v>As Respects: All Single Crew Aircraft
Any pilot as approved by the chief pilot of the named insured or his/her designee.</v>
      </c>
      <c r="CV69">
        <v>1</v>
      </c>
      <c r="CX69" s="1068"/>
      <c r="CY69" s="1068"/>
      <c r="CZ69" s="1068"/>
      <c r="DA69" s="1068"/>
      <c r="DB69" s="1068"/>
      <c r="DC69" s="1068"/>
      <c r="DD69" s="1068"/>
      <c r="DE69" s="1068"/>
      <c r="DF69" s="1068"/>
      <c r="DG69" s="1068"/>
      <c r="DH69" s="1068"/>
      <c r="DI69" s="1068"/>
      <c r="DJ69" s="1068"/>
      <c r="DK69" s="1068"/>
      <c r="DL69" s="1068"/>
      <c r="DM69" s="1068"/>
      <c r="DN69" s="1068"/>
    </row>
    <row r="70" spans="1:118" ht="25.5" hidden="1">
      <c r="A70" s="397" t="s">
        <v>3322</v>
      </c>
      <c r="B70" s="397"/>
      <c r="C70" s="397"/>
      <c r="D70" s="397"/>
      <c r="E70" s="397"/>
      <c r="F70" s="397"/>
      <c r="G70" s="397"/>
      <c r="H70" s="397"/>
      <c r="I70" s="397"/>
      <c r="J70" s="397"/>
      <c r="K70" s="397"/>
      <c r="L70" s="397"/>
      <c r="M70" s="397"/>
      <c r="N70" s="397"/>
      <c r="O70" s="397"/>
      <c r="P70" s="397"/>
      <c r="Q70" s="397"/>
      <c r="R70" s="397"/>
      <c r="S70" s="397"/>
      <c r="T70" s="397"/>
      <c r="U70" s="397"/>
      <c r="V70" s="397"/>
      <c r="W70" s="397"/>
      <c r="X70" s="397"/>
      <c r="Y70" s="2"/>
      <c r="Z70" s="2"/>
      <c r="AA70" s="2"/>
      <c r="AB70" s="455"/>
      <c r="AC70" s="2"/>
      <c r="AD70" s="2"/>
      <c r="AE70" s="2"/>
      <c r="AF70" s="2"/>
      <c r="AG70" s="2"/>
      <c r="AH70" s="2"/>
      <c r="AI70" s="2"/>
      <c r="AJ70" s="2"/>
      <c r="AK70" s="2"/>
      <c r="AL70" s="2"/>
      <c r="AM70" s="2"/>
      <c r="AN70" s="2"/>
      <c r="AO70" s="2"/>
      <c r="AP70" s="2"/>
      <c r="AQ70" s="2"/>
      <c r="AR70" s="2"/>
      <c r="AS70" s="2"/>
      <c r="AT70" s="2"/>
      <c r="AU70" s="2"/>
      <c r="AV70" s="2"/>
      <c r="AW70" s="2"/>
      <c r="AX70" s="2"/>
      <c r="AY70" s="2">
        <v>2</v>
      </c>
      <c r="AZ70" t="str">
        <f>'Turbine Owner-Com'!B14</f>
        <v/>
      </c>
      <c r="BA70">
        <v>2</v>
      </c>
      <c r="BB70" t="str">
        <f>'Turbine Owner-Com'!D14</f>
        <v/>
      </c>
      <c r="BC70">
        <v>2</v>
      </c>
      <c r="BD70" t="str">
        <f>CONCATENATE(AZ70,"-",BB70)</f>
        <v>-</v>
      </c>
      <c r="BG70">
        <v>2</v>
      </c>
      <c r="BH70" t="str">
        <f>IFERROR(IF(AO36="","",IF(AI36="Std Training",CONCATENATE("*Prior to operating ",VLOOKUP(MATCH(AO36,$BD$69:$BD$73,0),$BA$69:$BB$73,2)," ",VLOOKUP(MATCH(AO36,$BD$69:$BD$73,0),$AY$69:$AZ$73,2)," as Second-In-Command, ",AD36," must successfully complete factory approved simulator-based ground and flight training or its equivalent as approved by the Aviation Managers for the ",BB70,".",CHAR(10),CHAR(10),"*Prior to acting as Pilot-In-Command, ",AD36," is required to have logged a minimum of ",AL36," hours in a ",VLOOKUP(MATCH(AO36,$BD$69:$BD$73,0),$BA$69:$BB$73,2),"."),CONCATENATE("*Prior to operating ",VLOOKUP(MATCH(AO36,$BD$69:$BD$73,0),$BA$69:$BB$73,2)," ",VLOOKUP(MATCH(AO36,$BD$69:$BD$73,0),$AY$69:$AZ$73,2),", ",AD36," must successfully complete factory approved simulator-based ground and flight training or its equivalent as approved by the Aviation Managers for the ",VLOOKUP(MATCH(AO36,$BD$69:$BD$73,0),$BA$69:$BB$73,2),"."))),"")</f>
        <v/>
      </c>
      <c r="CB70">
        <v>12</v>
      </c>
      <c r="CC70" t="s">
        <v>4049</v>
      </c>
      <c r="CE70" s="672" t="str">
        <f>IF(Table27810[[#This Row],[N'#s]]=""," All Dual Crew Aircraft",Table27810[[#This Row],[N'#s]])</f>
        <v xml:space="preserve"> All Dual Crew Aircraft</v>
      </c>
      <c r="CF70" t="str">
        <f t="shared" si="26"/>
        <v/>
      </c>
      <c r="CG70" t="str">
        <f>IF(Table27810[[#This Row],[Pilot]]="","","Named Pilots:")</f>
        <v/>
      </c>
      <c r="CH70" t="str">
        <f t="shared" si="28"/>
        <v/>
      </c>
      <c r="CI70" s="675" t="s">
        <v>4065</v>
      </c>
      <c r="CJ70" s="675" t="str">
        <f t="shared" si="27"/>
        <v>ATP</v>
      </c>
      <c r="CK70" s="674"/>
      <c r="CT70" t="str">
        <f xml:space="preserve"> CONCATENATE(Table27810[[#This Row],[Column2]],Table27810[[#This Row],[Column4]],CHAR(10),CHAR(10),Table27810[[#This Row],[Column5]],Table27810[[#This Row],[Pilot]],CHAR(10),Table27810[[#This Row],[Start]])</f>
        <v>As Respects: All Dual Crew Aircraft
Any two-person crew as approved by the chief pilot of the named insured or his/her designee.</v>
      </c>
      <c r="CV70" s="331">
        <v>1</v>
      </c>
      <c r="CX70" s="1068"/>
      <c r="CY70" s="1068"/>
      <c r="CZ70" s="1068"/>
      <c r="DA70" s="1068"/>
      <c r="DB70" s="1068"/>
      <c r="DC70" s="1068"/>
      <c r="DD70" s="1068"/>
      <c r="DE70" s="1068"/>
      <c r="DF70" s="1068"/>
      <c r="DG70" s="1068"/>
      <c r="DH70" s="1068"/>
      <c r="DI70" s="1068"/>
      <c r="DJ70" s="1068"/>
      <c r="DK70" s="1068"/>
      <c r="DL70" s="1068"/>
      <c r="DM70" s="1068"/>
      <c r="DN70" s="1068"/>
    </row>
    <row r="71" spans="1:118" ht="15.75" hidden="1">
      <c r="A71" s="1142" t="s">
        <v>3323</v>
      </c>
      <c r="B71" s="1143"/>
      <c r="C71" s="1143"/>
      <c r="D71" s="1143"/>
      <c r="E71" s="1143"/>
      <c r="F71" s="1143"/>
      <c r="G71" s="1143"/>
      <c r="H71" s="1143"/>
      <c r="I71" s="1143"/>
      <c r="J71" s="1143"/>
      <c r="K71" s="1143"/>
      <c r="L71" s="1143"/>
      <c r="M71" s="1143"/>
      <c r="N71" s="1143"/>
      <c r="O71" s="1143"/>
      <c r="P71" s="1143"/>
      <c r="Q71" s="1143"/>
      <c r="R71" s="1143"/>
      <c r="S71" s="1143"/>
      <c r="T71" s="1143"/>
      <c r="U71" s="1143"/>
      <c r="V71" s="1143"/>
      <c r="W71" s="1143"/>
      <c r="X71" s="1144"/>
      <c r="Y71" s="2"/>
      <c r="Z71" s="2"/>
      <c r="AA71" s="2"/>
      <c r="AB71" s="455"/>
      <c r="AC71" s="2"/>
      <c r="AD71" s="2"/>
      <c r="AE71" s="2"/>
      <c r="AF71" s="2"/>
      <c r="AG71" s="2"/>
      <c r="AH71" s="2"/>
      <c r="AI71" s="2"/>
      <c r="AJ71" s="2"/>
      <c r="AK71" s="2"/>
      <c r="AL71" s="2"/>
      <c r="AM71" s="2"/>
      <c r="AN71" s="2"/>
      <c r="AO71" s="2"/>
      <c r="AP71" s="2"/>
      <c r="AQ71" s="2"/>
      <c r="AR71" s="2"/>
      <c r="AS71" s="2"/>
      <c r="AT71" s="2"/>
      <c r="AU71" s="2"/>
      <c r="AV71" s="2"/>
      <c r="AW71" s="2"/>
      <c r="AX71" s="2"/>
      <c r="AY71" s="2">
        <v>3</v>
      </c>
      <c r="AZ71" t="str">
        <f>'Turbine Owner-Com'!B15</f>
        <v/>
      </c>
      <c r="BA71">
        <v>3</v>
      </c>
      <c r="BB71" t="str">
        <f>'Turbine Owner-Com'!D15</f>
        <v/>
      </c>
      <c r="BC71">
        <v>3</v>
      </c>
      <c r="BD71" t="str">
        <f>CONCATENATE(AZ71,"-",BB71)</f>
        <v>-</v>
      </c>
      <c r="BG71">
        <v>3</v>
      </c>
      <c r="BH71" t="str">
        <f>IFERROR(IF(AO37="","",IF(AI37="Std Training",CONCATENATE("*Prior to operating ",VLOOKUP(MATCH(AO37,$BD$69:$BD$73,0),$BA$69:$BB$73,2)," ",VLOOKUP(MATCH(AO37,$BD$69:$BD$73,0),$AY$69:$AZ$73,2)," as Second-In-Command, ",AD37," must successfully complete factory approved simulator-based ground and flight training or its equivalent as approved by the Aviation Managers for the ",BB71,".",CHAR(10),CHAR(10),"*Prior to acting as Pilot-In-Command, ",AD37," is required to have logged a minimum of ",AL37," hours in a ",VLOOKUP(MATCH(AO37,$BD$69:$BD$73,0),$BA$69:$BB$73,2),"."),CONCATENATE("*Prior to operating ",VLOOKUP(MATCH(AO37,$BD$69:$BD$73,0),$BA$69:$BB$73,2)," ",VLOOKUP(MATCH(AO37,$BD$69:$BD$73,0),$AY$69:$AZ$73,2),", ",AD37," must successfully complete factory approved simulator-based ground and flight training or its equivalent as approved by the Aviation Managers for the ",VLOOKUP(MATCH(AO37,$BD$69:$BD$73,0),$BA$69:$BB$73,2),"."))),"")</f>
        <v/>
      </c>
      <c r="CB71">
        <v>13</v>
      </c>
      <c r="CC71" t="s">
        <v>4049</v>
      </c>
      <c r="CE71" s="672" t="str">
        <f>IF(Table27810[[#This Row],[N'#s]]=""," The Second-In-Command of any Dual Crew Aircraft",Table27810[[#This Row],[N'#s]])</f>
        <v xml:space="preserve"> The Second-In-Command of any Dual Crew Aircraft</v>
      </c>
      <c r="CF71" t="str">
        <f t="shared" si="26"/>
        <v/>
      </c>
      <c r="CG71" t="str">
        <f>IF(Table27810[[#This Row],[Pilot]]="","","Named Pilots:")</f>
        <v/>
      </c>
      <c r="CH71" t="str">
        <f t="shared" si="28"/>
        <v/>
      </c>
      <c r="CI71" s="675" t="s">
        <v>4064</v>
      </c>
      <c r="CJ71" s="675" t="str">
        <f t="shared" si="27"/>
        <v>ATP</v>
      </c>
      <c r="CK71" s="674"/>
      <c r="CT71" t="str">
        <f xml:space="preserve"> CONCATENATE(Table27810[[#This Row],[Column2]],Table27810[[#This Row],[Column4]],CHAR(10),CHAR(10),Table27810[[#This Row],[Column5]],Table27810[[#This Row],[Pilot]],CHAR(10),Table27810[[#This Row],[Start]])</f>
        <v>As Respects: The Second-In-Command of any Dual Crew Aircraft
Any pilot as approved by the chief pilot of the named insured or his/her designee.</v>
      </c>
      <c r="CV71">
        <v>1</v>
      </c>
      <c r="CX71" s="1068"/>
      <c r="CY71" s="1068"/>
      <c r="CZ71" s="1068"/>
      <c r="DA71" s="1068"/>
      <c r="DB71" s="1068"/>
      <c r="DC71" s="1068"/>
      <c r="DD71" s="1068"/>
      <c r="DE71" s="1068"/>
      <c r="DF71" s="1068"/>
      <c r="DG71" s="1068"/>
      <c r="DH71" s="1068"/>
      <c r="DI71" s="1068"/>
      <c r="DJ71" s="1068"/>
      <c r="DK71" s="1068"/>
      <c r="DL71" s="1068"/>
      <c r="DM71" s="1068"/>
      <c r="DN71" s="1068"/>
    </row>
    <row r="72" spans="1:118" ht="15.75" hidden="1">
      <c r="A72" s="1145"/>
      <c r="B72" s="1146"/>
      <c r="C72" s="1146"/>
      <c r="D72" s="1146"/>
      <c r="E72" s="1146"/>
      <c r="F72" s="1146"/>
      <c r="G72" s="1146"/>
      <c r="H72" s="1146"/>
      <c r="I72" s="1146"/>
      <c r="J72" s="1146"/>
      <c r="K72" s="1146"/>
      <c r="L72" s="1146"/>
      <c r="M72" s="1146"/>
      <c r="N72" s="1146"/>
      <c r="O72" s="1146"/>
      <c r="P72" s="1146"/>
      <c r="Q72" s="1146"/>
      <c r="R72" s="1146"/>
      <c r="S72" s="1146"/>
      <c r="T72" s="1146"/>
      <c r="U72" s="1146"/>
      <c r="V72" s="1146"/>
      <c r="W72" s="1146"/>
      <c r="X72" s="1147"/>
      <c r="Y72" s="2"/>
      <c r="Z72" s="2"/>
      <c r="AA72" s="2"/>
      <c r="AB72" s="455"/>
      <c r="AC72" s="2"/>
      <c r="AD72" s="2"/>
      <c r="AE72" s="2"/>
      <c r="AF72" s="2"/>
      <c r="AG72" s="2"/>
      <c r="AH72" s="2"/>
      <c r="AI72" s="2"/>
      <c r="AJ72" s="2"/>
      <c r="AK72" s="2"/>
      <c r="AL72" s="2"/>
      <c r="AM72" s="2"/>
      <c r="AN72" s="2"/>
      <c r="AO72" s="2"/>
      <c r="AP72" s="2"/>
      <c r="AQ72" s="2"/>
      <c r="AR72" s="2"/>
      <c r="AS72" s="2"/>
      <c r="AT72" s="2"/>
      <c r="AU72" s="2"/>
      <c r="AV72" s="2"/>
      <c r="AW72" s="2"/>
      <c r="AX72" s="2"/>
      <c r="AY72" s="2">
        <v>4</v>
      </c>
      <c r="AZ72" t="str">
        <f>'Turbine Owner-Com'!B16</f>
        <v/>
      </c>
      <c r="BA72">
        <v>4</v>
      </c>
      <c r="BB72" t="str">
        <f>'Turbine Owner-Com'!D16</f>
        <v/>
      </c>
      <c r="BC72">
        <v>4</v>
      </c>
      <c r="BD72" t="str">
        <f>CONCATENATE(AZ72,"-",BB72)</f>
        <v>-</v>
      </c>
      <c r="BG72">
        <v>4</v>
      </c>
      <c r="BH72" t="str">
        <f>IFERROR(IF(AO38="","",IF(AI38="Std Training",CONCATENATE("*Prior to operating ",VLOOKUP(MATCH(AO38,$BD$69:$BD$73,0),$BA$69:$BB$73,2)," ",VLOOKUP(MATCH(AO38,$BD$69:$BD$73,0),$AY$69:$AZ$73,2)," as Second-In-Command, ",AD38," must successfully complete factory approved simulator-based ground and flight training or its equivalent as approved by the Aviation Managers for the ",BB72,".",CHAR(10),CHAR(10),"*Prior to acting as Pilot-In-Command, ",AD38," is required to have logged a minimum of ",AL38," hours in a ",VLOOKUP(MATCH(AO38,$BD$69:$BD$73,0),$BA$69:$BB$73,2),"."),CONCATENATE("*Prior to operating ",VLOOKUP(MATCH(AO38,$BD$69:$BD$73,0),$BA$69:$BB$73,2)," ",VLOOKUP(MATCH(AO38,$BD$69:$BD$73,0),$AY$69:$AZ$73,2),", ",AD38," must successfully complete factory approved simulator-based ground and flight training or its equivalent as approved by the Aviation Managers for the ",VLOOKUP(MATCH(AO38,$BD$69:$BD$73,0),$BA$69:$BB$73,2),"."))),"")</f>
        <v/>
      </c>
      <c r="CB72">
        <v>14</v>
      </c>
      <c r="CC72" t="s">
        <v>4049</v>
      </c>
      <c r="CE72" s="672" t="s">
        <v>4089</v>
      </c>
      <c r="CF72" t="str">
        <f t="shared" si="26"/>
        <v/>
      </c>
      <c r="CG72" t="str">
        <f>IF(Table27810[[#This Row],[Pilot]]="","","Named Pilots:")</f>
        <v/>
      </c>
      <c r="CH72" t="str">
        <f t="shared" si="28"/>
        <v/>
      </c>
      <c r="CI72" s="675" t="s">
        <v>4064</v>
      </c>
      <c r="CJ72" s="675" t="str">
        <f t="shared" si="27"/>
        <v>ATP</v>
      </c>
      <c r="CK72" s="674"/>
      <c r="CT72" t="str">
        <f xml:space="preserve"> CONCATENATE(Table27810[[#This Row],[Column2]],Table27810[[#This Row],[Column4]],CHAR(10),CHAR(10),Table27810[[#This Row],[Column5]],Table27810[[#This Row],[Pilot]],CHAR(10),Table27810[[#This Row],[Start]])</f>
        <v>As Respects: Any Aircraft
Any pilot as approved by the chief pilot of the named insured or his/her designee.</v>
      </c>
      <c r="CV72" s="331">
        <v>1</v>
      </c>
      <c r="CX72" s="1068"/>
      <c r="CY72" s="1068"/>
      <c r="CZ72" s="1068"/>
      <c r="DA72" s="1068"/>
      <c r="DB72" s="1068"/>
      <c r="DC72" s="1068"/>
      <c r="DD72" s="1068"/>
      <c r="DE72" s="1068"/>
      <c r="DF72" s="1068"/>
      <c r="DG72" s="1068"/>
      <c r="DH72" s="1068"/>
      <c r="DI72" s="1068"/>
      <c r="DJ72" s="1068"/>
      <c r="DK72" s="1068"/>
      <c r="DL72" s="1068"/>
      <c r="DM72" s="1068"/>
      <c r="DN72" s="1068"/>
    </row>
    <row r="73" spans="1:118" hidden="1">
      <c r="A73" s="1145"/>
      <c r="B73" s="1146"/>
      <c r="C73" s="1146"/>
      <c r="D73" s="1146"/>
      <c r="E73" s="1146"/>
      <c r="F73" s="1146"/>
      <c r="G73" s="1146"/>
      <c r="H73" s="1146"/>
      <c r="I73" s="1146"/>
      <c r="J73" s="1146"/>
      <c r="K73" s="1146"/>
      <c r="L73" s="1146"/>
      <c r="M73" s="1146"/>
      <c r="N73" s="1146"/>
      <c r="O73" s="1146"/>
      <c r="P73" s="1146"/>
      <c r="Q73" s="1146"/>
      <c r="R73" s="1146"/>
      <c r="S73" s="1146"/>
      <c r="T73" s="1146"/>
      <c r="U73" s="1146"/>
      <c r="V73" s="1146"/>
      <c r="W73" s="1146"/>
      <c r="X73" s="1147"/>
      <c r="Y73" s="2"/>
      <c r="Z73" s="2"/>
      <c r="AA73" s="2"/>
      <c r="AB73" s="455"/>
      <c r="AC73" s="2"/>
      <c r="AD73" s="2"/>
      <c r="AE73" s="2"/>
      <c r="AF73" s="2"/>
      <c r="AG73" s="2"/>
      <c r="AH73" s="2"/>
      <c r="AI73" s="2"/>
      <c r="AJ73" s="2"/>
      <c r="AK73" s="2"/>
      <c r="AL73" s="2"/>
      <c r="AM73" s="2"/>
      <c r="AN73" s="2"/>
      <c r="AO73" s="2"/>
      <c r="AP73" s="2"/>
      <c r="AQ73" s="2"/>
      <c r="AR73" s="2"/>
      <c r="AS73" s="2"/>
      <c r="AT73" s="2"/>
      <c r="AU73" s="2"/>
      <c r="AV73" s="2"/>
      <c r="AW73" s="2"/>
      <c r="AX73" s="2"/>
      <c r="AY73" s="2">
        <v>5</v>
      </c>
      <c r="AZ73" t="str">
        <f>'Turbine Owner-Com'!B17</f>
        <v/>
      </c>
      <c r="BA73">
        <v>5</v>
      </c>
      <c r="BB73" t="str">
        <f>'Turbine Owner-Com'!D17</f>
        <v/>
      </c>
      <c r="BC73">
        <v>5</v>
      </c>
      <c r="BD73" t="str">
        <f>CONCATENATE(AZ73,"-",BB73)</f>
        <v>-</v>
      </c>
      <c r="BG73" t="s">
        <v>3320</v>
      </c>
      <c r="BH73" t="str">
        <f>IF(AD35="","",CHAR(10)&amp;CHAR(10)&amp;CHAR(10)&amp;"INDIVIDUAL PILOT TRAINING REQUIREMENTS:"&amp;CHAR(10)&amp;CHAR(10)&amp;BH69&amp;CHAR(10)&amp;CHAR(10)&amp;BH70&amp;CHAR(10)&amp;CHAR(10)&amp;BH71&amp;CHAR(10)&amp;CHAR(10)&amp;BH72)</f>
        <v/>
      </c>
      <c r="CB73">
        <v>15</v>
      </c>
      <c r="CF73" t="str">
        <f t="shared" ref="CF73" si="33">IF($AH$12="","",$AH$12)</f>
        <v/>
      </c>
      <c r="CG73" t="str">
        <f>IF(Table27810[[#This Row],[Pilot]]="","","Named Pilots:")</f>
        <v/>
      </c>
      <c r="CH73" t="str">
        <f t="shared" si="28"/>
        <v/>
      </c>
      <c r="CJ73" t="str">
        <f t="shared" si="27"/>
        <v>ATP</v>
      </c>
      <c r="CT73" t="str">
        <f>IFERROR(VLOOKUP(MATCH(AE25,$AY$1:$AY$14,0),Pilot4,19),"")</f>
        <v/>
      </c>
      <c r="CX73" s="1068"/>
      <c r="CY73" s="1068"/>
      <c r="CZ73" s="1068"/>
      <c r="DA73" s="1068"/>
      <c r="DB73" s="1068"/>
      <c r="DC73" s="1068"/>
      <c r="DD73" s="1068"/>
      <c r="DE73" s="1068"/>
      <c r="DF73" s="1068"/>
      <c r="DG73" s="1068"/>
      <c r="DH73" s="1068"/>
      <c r="DI73" s="1068"/>
      <c r="DJ73" s="1068"/>
      <c r="DK73" s="1068"/>
      <c r="DL73" s="1068"/>
      <c r="DM73" s="1068"/>
      <c r="DN73" s="1068"/>
    </row>
    <row r="74" spans="1:118" hidden="1">
      <c r="A74" s="1145"/>
      <c r="B74" s="1146"/>
      <c r="C74" s="1146"/>
      <c r="D74" s="1146"/>
      <c r="E74" s="1146"/>
      <c r="F74" s="1146"/>
      <c r="G74" s="1146"/>
      <c r="H74" s="1146"/>
      <c r="I74" s="1146"/>
      <c r="J74" s="1146"/>
      <c r="K74" s="1146"/>
      <c r="L74" s="1146"/>
      <c r="M74" s="1146"/>
      <c r="N74" s="1146"/>
      <c r="O74" s="1146"/>
      <c r="P74" s="1146"/>
      <c r="Q74" s="1146"/>
      <c r="R74" s="1146"/>
      <c r="S74" s="1146"/>
      <c r="T74" s="1146"/>
      <c r="U74" s="1146"/>
      <c r="V74" s="1146"/>
      <c r="W74" s="1146"/>
      <c r="X74" s="1147"/>
      <c r="Y74" s="2"/>
      <c r="Z74" s="2"/>
      <c r="AA74" s="2"/>
      <c r="AB74" s="455"/>
      <c r="AC74" s="2"/>
      <c r="AD74" s="2"/>
      <c r="AE74" s="2"/>
      <c r="AF74" s="2"/>
      <c r="AG74" s="2"/>
      <c r="AH74" s="2"/>
      <c r="AI74" s="2"/>
      <c r="AJ74" s="2"/>
      <c r="AK74" s="2"/>
      <c r="AL74" s="2"/>
      <c r="AM74" s="2"/>
      <c r="AN74" s="2"/>
      <c r="AO74" s="2"/>
      <c r="AP74" s="2"/>
      <c r="AQ74" s="2"/>
      <c r="AR74" s="2"/>
      <c r="AS74" s="2"/>
      <c r="AT74" s="2"/>
      <c r="AU74" s="2"/>
      <c r="AV74" s="2"/>
      <c r="AW74" s="2"/>
      <c r="AX74" s="2"/>
    </row>
    <row r="75" spans="1:118" ht="12.75" hidden="1" customHeight="1">
      <c r="A75" s="1145"/>
      <c r="B75" s="1146"/>
      <c r="C75" s="1146"/>
      <c r="D75" s="1146"/>
      <c r="E75" s="1146"/>
      <c r="F75" s="1146"/>
      <c r="G75" s="1146"/>
      <c r="H75" s="1146"/>
      <c r="I75" s="1146"/>
      <c r="J75" s="1146"/>
      <c r="K75" s="1146"/>
      <c r="L75" s="1146"/>
      <c r="M75" s="1146"/>
      <c r="N75" s="1146"/>
      <c r="O75" s="1146"/>
      <c r="P75" s="1146"/>
      <c r="Q75" s="1146"/>
      <c r="R75" s="1146"/>
      <c r="S75" s="1146"/>
      <c r="T75" s="1146"/>
      <c r="U75" s="1146"/>
      <c r="V75" s="1146"/>
      <c r="W75" s="1146"/>
      <c r="X75" s="1147"/>
      <c r="Y75" s="2"/>
      <c r="Z75" s="2"/>
      <c r="AA75" s="2"/>
      <c r="AB75" s="455"/>
      <c r="AC75" s="2"/>
      <c r="AD75" s="2"/>
      <c r="AE75" s="2"/>
      <c r="AF75" s="2"/>
      <c r="AG75" s="2"/>
      <c r="AH75" s="2"/>
      <c r="AI75" s="2"/>
      <c r="AJ75" s="2"/>
      <c r="AK75" s="2"/>
      <c r="AL75" s="2"/>
      <c r="AM75" s="2"/>
      <c r="AN75" s="2"/>
      <c r="AO75" s="2"/>
      <c r="AP75" s="2"/>
      <c r="AQ75" s="2"/>
      <c r="AR75" s="2"/>
      <c r="AS75" s="2"/>
      <c r="AT75" s="2"/>
      <c r="AU75" s="2"/>
      <c r="AV75" s="2"/>
      <c r="AW75" s="2"/>
      <c r="AX75" s="2"/>
    </row>
    <row r="76" spans="1:118" ht="12.75" hidden="1" customHeight="1">
      <c r="A76" s="1145"/>
      <c r="B76" s="1146"/>
      <c r="C76" s="1146"/>
      <c r="D76" s="1146"/>
      <c r="E76" s="1146"/>
      <c r="F76" s="1146"/>
      <c r="G76" s="1146"/>
      <c r="H76" s="1146"/>
      <c r="I76" s="1146"/>
      <c r="J76" s="1146"/>
      <c r="K76" s="1146"/>
      <c r="L76" s="1146"/>
      <c r="M76" s="1146"/>
      <c r="N76" s="1146"/>
      <c r="O76" s="1146"/>
      <c r="P76" s="1146"/>
      <c r="Q76" s="1146"/>
      <c r="R76" s="1146"/>
      <c r="S76" s="1146"/>
      <c r="T76" s="1146"/>
      <c r="U76" s="1146"/>
      <c r="V76" s="1146"/>
      <c r="W76" s="1146"/>
      <c r="X76" s="1147"/>
      <c r="Y76" s="2"/>
      <c r="Z76" s="2"/>
      <c r="AA76" s="2"/>
      <c r="AB76" s="455"/>
      <c r="AC76" s="2"/>
      <c r="AD76" s="2"/>
      <c r="AE76" s="2"/>
      <c r="AF76" s="2"/>
      <c r="AG76" s="2"/>
      <c r="AH76" s="2"/>
      <c r="AI76" s="2"/>
      <c r="AJ76" s="2"/>
      <c r="AK76" s="2"/>
      <c r="AL76" s="2"/>
      <c r="AM76" s="2"/>
      <c r="AN76" s="2"/>
      <c r="AO76" s="2"/>
      <c r="AP76" s="2"/>
      <c r="AQ76" s="2"/>
      <c r="AR76" s="2"/>
      <c r="AS76" s="2"/>
      <c r="AT76" s="2"/>
      <c r="AU76" s="2"/>
      <c r="AV76" s="2"/>
      <c r="AW76" s="2"/>
      <c r="AX76" s="2"/>
      <c r="CB76" t="s">
        <v>4095</v>
      </c>
      <c r="CC76" t="str">
        <f>IF(AJ8="","",CONCATENATE(CHAR(10),CHAR(10),VLOOKUP(MATCH(AJ8,$BH$78:$BH$79,0),SchoolWording,3)))</f>
        <v xml:space="preserve">
All pilots, whether named or meeting the open pilot clause above, shall have completed a manufacturer’s approved ground and flight training course, or its equivalent course approved by the company, within the 12 months preceding any flight in the insured aircraft, and annually thereafter.</v>
      </c>
    </row>
    <row r="77" spans="1:118" ht="60" hidden="1" customHeight="1">
      <c r="A77" s="1145"/>
      <c r="B77" s="1146"/>
      <c r="C77" s="1146"/>
      <c r="D77" s="1146"/>
      <c r="E77" s="1146"/>
      <c r="F77" s="1146"/>
      <c r="G77" s="1146"/>
      <c r="H77" s="1146"/>
      <c r="I77" s="1146"/>
      <c r="J77" s="1146"/>
      <c r="K77" s="1146"/>
      <c r="L77" s="1146"/>
      <c r="M77" s="1146"/>
      <c r="N77" s="1146"/>
      <c r="O77" s="1146"/>
      <c r="P77" s="1146"/>
      <c r="Q77" s="1146"/>
      <c r="R77" s="1146"/>
      <c r="S77" s="1146"/>
      <c r="T77" s="1146"/>
      <c r="U77" s="1146"/>
      <c r="V77" s="1146"/>
      <c r="W77" s="1146"/>
      <c r="X77" s="1147"/>
      <c r="Y77" s="2"/>
      <c r="Z77" s="2"/>
      <c r="AA77" s="2"/>
      <c r="AB77" s="455"/>
      <c r="AC77" s="2"/>
      <c r="AD77" s="2"/>
      <c r="AE77" s="2"/>
      <c r="AF77" s="2"/>
      <c r="AG77" s="2"/>
      <c r="AH77" s="2"/>
      <c r="AI77" s="2"/>
      <c r="AJ77" s="2"/>
      <c r="AK77" s="2"/>
      <c r="AL77" s="2"/>
      <c r="AM77" s="2"/>
      <c r="AN77" s="2"/>
      <c r="AO77" s="2"/>
      <c r="AP77" s="2"/>
      <c r="AQ77" s="2"/>
      <c r="AR77" s="2"/>
      <c r="AS77" s="2"/>
      <c r="AT77" s="2"/>
      <c r="AU77" s="2"/>
      <c r="AV77" s="2"/>
      <c r="AW77" s="2"/>
      <c r="AX77" s="2"/>
      <c r="BH77" s="83" t="s">
        <v>4091</v>
      </c>
      <c r="CB77" t="s">
        <v>4096</v>
      </c>
      <c r="CC77" t="str">
        <f>IF(AJ15="","",CONCATENATE(CHAR(10),CHAR(10),VLOOKUP(MATCH(AJ15,$BH$78:$BH$79,0),SchoolWording,3)))</f>
        <v/>
      </c>
    </row>
    <row r="78" spans="1:118" ht="15.75" hidden="1">
      <c r="A78" s="1145"/>
      <c r="B78" s="1146"/>
      <c r="C78" s="1146"/>
      <c r="D78" s="1146"/>
      <c r="E78" s="1146"/>
      <c r="F78" s="1146"/>
      <c r="G78" s="1146"/>
      <c r="H78" s="1146"/>
      <c r="I78" s="1146"/>
      <c r="J78" s="1146"/>
      <c r="K78" s="1146"/>
      <c r="L78" s="1146"/>
      <c r="M78" s="1146"/>
      <c r="N78" s="1146"/>
      <c r="O78" s="1146"/>
      <c r="P78" s="1146"/>
      <c r="Q78" s="1146"/>
      <c r="R78" s="1146"/>
      <c r="S78" s="1146"/>
      <c r="T78" s="1146"/>
      <c r="U78" s="1146"/>
      <c r="V78" s="1146"/>
      <c r="W78" s="1146"/>
      <c r="X78" s="1147"/>
      <c r="Y78" s="2"/>
      <c r="Z78" s="2"/>
      <c r="AA78" s="2"/>
      <c r="AB78" s="455"/>
      <c r="AC78" s="2"/>
      <c r="AD78" s="2"/>
      <c r="AE78" s="2"/>
      <c r="AF78" s="2"/>
      <c r="AG78" s="2"/>
      <c r="AH78" s="2"/>
      <c r="AI78" s="2"/>
      <c r="AJ78" s="2"/>
      <c r="AK78" s="2"/>
      <c r="AL78" s="2"/>
      <c r="AM78" s="2"/>
      <c r="AN78" s="2"/>
      <c r="AO78" s="2"/>
      <c r="AP78" s="2"/>
      <c r="AQ78" s="2"/>
      <c r="AR78" s="2"/>
      <c r="AS78" s="2"/>
      <c r="AT78" s="2"/>
      <c r="AU78" s="2"/>
      <c r="AV78" s="2"/>
      <c r="AW78" s="2"/>
      <c r="AX78" s="2"/>
      <c r="BG78">
        <v>1</v>
      </c>
      <c r="BH78" t="s">
        <v>4099</v>
      </c>
      <c r="BI78" s="674" t="s">
        <v>4092</v>
      </c>
      <c r="CB78" t="s">
        <v>4097</v>
      </c>
      <c r="CC78" t="str">
        <f>IF(AJ22="","",CONCATENATE(CHAR(10),CHAR(10),VLOOKUP(MATCH(AJ22,$BH$78:$BH$79,0),SchoolWording,3)))</f>
        <v/>
      </c>
    </row>
    <row r="79" spans="1:118" ht="15.75" hidden="1">
      <c r="A79" s="1145"/>
      <c r="B79" s="1146"/>
      <c r="C79" s="1146"/>
      <c r="D79" s="1146"/>
      <c r="E79" s="1146"/>
      <c r="F79" s="1146"/>
      <c r="G79" s="1146"/>
      <c r="H79" s="1146"/>
      <c r="I79" s="1146"/>
      <c r="J79" s="1146"/>
      <c r="K79" s="1146"/>
      <c r="L79" s="1146"/>
      <c r="M79" s="1146"/>
      <c r="N79" s="1146"/>
      <c r="O79" s="1146"/>
      <c r="P79" s="1146"/>
      <c r="Q79" s="1146"/>
      <c r="R79" s="1146"/>
      <c r="S79" s="1146"/>
      <c r="T79" s="1146"/>
      <c r="U79" s="1146"/>
      <c r="V79" s="1146"/>
      <c r="W79" s="1146"/>
      <c r="X79" s="1147"/>
      <c r="Y79" s="2"/>
      <c r="Z79" s="2"/>
      <c r="AA79" s="2"/>
      <c r="AB79" s="455"/>
      <c r="AC79" s="2"/>
      <c r="AD79" s="2"/>
      <c r="AE79" s="2"/>
      <c r="AF79" s="2"/>
      <c r="AG79" s="2"/>
      <c r="AH79" s="2"/>
      <c r="AI79" s="2"/>
      <c r="AJ79" s="2"/>
      <c r="AK79" s="2"/>
      <c r="AL79" s="2"/>
      <c r="AM79" s="2"/>
      <c r="AN79" s="2"/>
      <c r="AO79" s="2"/>
      <c r="AP79" s="2"/>
      <c r="AQ79" s="2"/>
      <c r="AR79" s="2"/>
      <c r="AS79" s="2"/>
      <c r="AT79" s="2"/>
      <c r="AU79" s="2"/>
      <c r="AV79" s="2"/>
      <c r="AW79" s="2"/>
      <c r="AX79" s="2"/>
      <c r="BG79">
        <v>2</v>
      </c>
      <c r="BH79" t="s">
        <v>4094</v>
      </c>
      <c r="BI79" s="674" t="s">
        <v>3254</v>
      </c>
      <c r="CB79" t="s">
        <v>4098</v>
      </c>
      <c r="CC79" t="str">
        <f>IF(AJ29="","",CONCATENATE(CHAR(10),CHAR(10),VLOOKUP(MATCH(AJ29,$BH$78:$BH$79,0),SchoolWording,3)))</f>
        <v/>
      </c>
    </row>
    <row r="80" spans="1:118" hidden="1">
      <c r="A80" s="1148"/>
      <c r="B80" s="1149"/>
      <c r="C80" s="1149"/>
      <c r="D80" s="1149"/>
      <c r="E80" s="1149"/>
      <c r="F80" s="1149"/>
      <c r="G80" s="1149"/>
      <c r="H80" s="1149"/>
      <c r="I80" s="1149"/>
      <c r="J80" s="1149"/>
      <c r="K80" s="1149"/>
      <c r="L80" s="1149"/>
      <c r="M80" s="1149"/>
      <c r="N80" s="1149"/>
      <c r="O80" s="1149"/>
      <c r="P80" s="1149"/>
      <c r="Q80" s="1149"/>
      <c r="R80" s="1149"/>
      <c r="S80" s="1149"/>
      <c r="T80" s="1149"/>
      <c r="U80" s="1149"/>
      <c r="V80" s="1149"/>
      <c r="W80" s="1149"/>
      <c r="X80" s="1150"/>
      <c r="Y80" s="2"/>
      <c r="Z80" s="2"/>
      <c r="AA80" s="2"/>
      <c r="AB80" s="455"/>
      <c r="AC80" s="2"/>
      <c r="AD80" s="2"/>
      <c r="AE80" s="2"/>
      <c r="AF80" s="2"/>
      <c r="AG80" s="2"/>
      <c r="AH80" s="2"/>
      <c r="AI80" s="2"/>
      <c r="AJ80" s="2"/>
      <c r="AK80" s="2"/>
      <c r="AL80" s="2"/>
      <c r="AM80" s="2"/>
      <c r="AN80" s="2"/>
      <c r="AO80" s="2"/>
      <c r="AP80" s="2"/>
      <c r="AQ80" s="2"/>
      <c r="AR80" s="2"/>
      <c r="AS80" s="2"/>
      <c r="AT80" s="2"/>
      <c r="AU80" s="2"/>
      <c r="AV80" s="2"/>
      <c r="AW80" s="2"/>
      <c r="AX80" s="2"/>
    </row>
    <row r="81" spans="1:89" ht="15" hidden="1" thickBot="1">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455"/>
      <c r="AC81" s="2"/>
      <c r="AD81" s="2"/>
      <c r="AE81" s="2"/>
      <c r="AF81" s="2"/>
      <c r="AG81" s="2"/>
      <c r="AH81" s="2"/>
      <c r="AI81" s="2"/>
      <c r="AJ81" s="2"/>
      <c r="AK81" s="2"/>
      <c r="AL81" s="2"/>
      <c r="AM81" s="2"/>
      <c r="AN81" s="2"/>
      <c r="AO81" s="2"/>
      <c r="AP81" s="2"/>
      <c r="AQ81" s="2"/>
      <c r="AR81" s="2"/>
      <c r="AS81" s="2"/>
      <c r="AT81" s="2"/>
      <c r="AU81" s="2"/>
      <c r="AV81" s="2"/>
      <c r="AW81" s="2"/>
      <c r="AX81" s="2"/>
      <c r="CB81" t="s">
        <v>4100</v>
      </c>
    </row>
    <row r="82" spans="1:89" ht="12.75" hidden="1" customHeight="1">
      <c r="A82" s="2" t="s">
        <v>3324</v>
      </c>
      <c r="B82" s="2"/>
      <c r="C82" s="2"/>
      <c r="D82" s="2"/>
      <c r="E82" s="2"/>
      <c r="F82" s="2"/>
      <c r="G82" s="2"/>
      <c r="H82" s="2"/>
      <c r="I82" s="2"/>
      <c r="J82" s="2"/>
      <c r="K82" s="2"/>
      <c r="L82" s="2"/>
      <c r="M82" s="2"/>
      <c r="N82" s="2"/>
      <c r="O82" s="2"/>
      <c r="P82" s="2"/>
      <c r="Q82" s="2"/>
      <c r="R82" s="2"/>
      <c r="S82" s="2"/>
      <c r="T82" s="2"/>
      <c r="U82" s="2"/>
      <c r="V82" s="2"/>
      <c r="W82" s="2"/>
      <c r="X82" s="2"/>
      <c r="Y82" s="2"/>
      <c r="Z82" s="2"/>
      <c r="AA82" s="2"/>
      <c r="AB82" s="455"/>
      <c r="AC82" s="2"/>
      <c r="AD82" s="2"/>
      <c r="AE82" s="2"/>
      <c r="AF82" s="2"/>
      <c r="AG82" s="2"/>
      <c r="AH82" s="2"/>
      <c r="AI82" s="2"/>
      <c r="AJ82" s="2"/>
      <c r="AK82" s="2"/>
      <c r="AL82" s="2"/>
      <c r="AM82" s="2"/>
      <c r="AN82" s="2"/>
      <c r="AO82" s="2"/>
      <c r="AP82" s="2"/>
      <c r="AQ82" s="2"/>
      <c r="AR82" s="2"/>
      <c r="AS82" s="2"/>
      <c r="AT82" s="2"/>
      <c r="AU82" s="2"/>
      <c r="AV82" s="2"/>
      <c r="AW82" s="2"/>
      <c r="AX82" s="2"/>
      <c r="CB82" s="1064" t="str">
        <f>CONCATENATE(CT18,CC76,CT37,CC77,CT55,CC78,CT73,CC79,BH73)</f>
        <v xml:space="preserve">
All pilots, whether named or meeting the open pilot clause above, shall have completed a manufacturer’s approved ground and flight training course, or its equivalent course approved by the company, within the 12 months preceding any flight in the insured aircraft, and annually thereafter.</v>
      </c>
      <c r="CC82" s="1065"/>
      <c r="CD82" s="1065"/>
      <c r="CE82" s="1065"/>
      <c r="CF82" s="1065"/>
      <c r="CG82" s="1065"/>
      <c r="CH82" s="1065"/>
      <c r="CI82" s="1065"/>
      <c r="CJ82" s="1065"/>
      <c r="CK82" s="1066"/>
    </row>
    <row r="83" spans="1:89" ht="12.75" hidden="1" customHeight="1">
      <c r="A83" s="1138" t="s">
        <v>3325</v>
      </c>
      <c r="B83" s="1139"/>
      <c r="C83" s="1139"/>
      <c r="D83" s="1139"/>
      <c r="E83" s="1139"/>
      <c r="F83" s="1139"/>
      <c r="G83" s="1139"/>
      <c r="H83" s="1139"/>
      <c r="I83" s="1139"/>
      <c r="J83" s="1139"/>
      <c r="K83" s="1139"/>
      <c r="L83" s="1139"/>
      <c r="M83" s="1139"/>
      <c r="N83" s="1139"/>
      <c r="O83" s="1139"/>
      <c r="P83" s="1139"/>
      <c r="Q83" s="1139"/>
      <c r="R83" s="1139"/>
      <c r="S83" s="1139"/>
      <c r="T83" s="1139"/>
      <c r="U83" s="1139"/>
      <c r="V83" s="1139"/>
      <c r="W83" s="1139"/>
      <c r="X83" s="1140"/>
      <c r="Y83" s="2"/>
      <c r="Z83" s="2"/>
      <c r="AA83" s="2"/>
      <c r="AB83" s="455"/>
      <c r="AC83" s="2"/>
      <c r="AD83" s="2"/>
      <c r="AE83" s="2"/>
      <c r="AF83" s="2"/>
      <c r="AG83" s="2"/>
      <c r="AH83" s="2"/>
      <c r="AI83" s="2"/>
      <c r="AJ83" s="2"/>
      <c r="AK83" s="2"/>
      <c r="AL83" s="2"/>
      <c r="AM83" s="2"/>
      <c r="AN83" s="2"/>
      <c r="AO83" s="2"/>
      <c r="AP83" s="2"/>
      <c r="AQ83" s="2"/>
      <c r="AR83" s="2"/>
      <c r="AS83" s="2"/>
      <c r="AT83" s="2"/>
      <c r="AU83" s="2"/>
      <c r="AV83" s="2"/>
      <c r="AW83" s="2"/>
      <c r="AX83" s="2"/>
      <c r="CB83" s="1067"/>
      <c r="CC83" s="1068"/>
      <c r="CD83" s="1068"/>
      <c r="CE83" s="1068"/>
      <c r="CF83" s="1068"/>
      <c r="CG83" s="1068"/>
      <c r="CH83" s="1068"/>
      <c r="CI83" s="1068"/>
      <c r="CJ83" s="1068"/>
      <c r="CK83" s="1069"/>
    </row>
    <row r="84" spans="1:89" hidden="1">
      <c r="A84" s="396"/>
      <c r="B84" s="397"/>
      <c r="C84" s="397"/>
      <c r="D84" s="397"/>
      <c r="E84" s="397"/>
      <c r="F84" s="397"/>
      <c r="G84" s="397"/>
      <c r="H84" s="397"/>
      <c r="I84" s="397"/>
      <c r="J84" s="397"/>
      <c r="K84" s="397"/>
      <c r="L84" s="397"/>
      <c r="M84" s="397"/>
      <c r="N84" s="397"/>
      <c r="O84" s="397"/>
      <c r="P84" s="397"/>
      <c r="Q84" s="397"/>
      <c r="R84" s="397"/>
      <c r="S84" s="397"/>
      <c r="T84" s="397"/>
      <c r="U84" s="397"/>
      <c r="V84" s="397"/>
      <c r="W84" s="397"/>
      <c r="X84" s="398"/>
      <c r="Y84" s="2"/>
      <c r="Z84" s="2"/>
      <c r="AA84" s="2"/>
      <c r="AB84" s="455"/>
      <c r="AC84" s="2"/>
      <c r="AD84" s="2"/>
      <c r="AE84" s="2"/>
      <c r="AF84" s="2"/>
      <c r="AG84" s="2"/>
      <c r="AH84" s="2"/>
      <c r="AI84" s="2"/>
      <c r="AJ84" s="2"/>
      <c r="AK84" s="2"/>
      <c r="AL84" s="2"/>
      <c r="AM84" s="2"/>
      <c r="AN84" s="2"/>
      <c r="AO84" s="2"/>
      <c r="AP84" s="2"/>
      <c r="AQ84" s="2"/>
      <c r="AR84" s="2"/>
      <c r="AS84" s="2"/>
      <c r="AT84" s="2"/>
      <c r="AU84" s="2"/>
      <c r="AV84" s="2"/>
      <c r="AW84" s="2"/>
      <c r="AX84" s="2"/>
      <c r="CB84" s="1067"/>
      <c r="CC84" s="1068"/>
      <c r="CD84" s="1068"/>
      <c r="CE84" s="1068"/>
      <c r="CF84" s="1068"/>
      <c r="CG84" s="1068"/>
      <c r="CH84" s="1068"/>
      <c r="CI84" s="1068"/>
      <c r="CJ84" s="1068"/>
      <c r="CK84" s="1069"/>
    </row>
    <row r="85" spans="1:89" hidden="1">
      <c r="A85" s="1121" t="s">
        <v>3326</v>
      </c>
      <c r="B85" s="1122"/>
      <c r="C85" s="1122"/>
      <c r="D85" s="1122"/>
      <c r="E85" s="1122"/>
      <c r="F85" s="1122"/>
      <c r="G85" s="1122"/>
      <c r="H85" s="1122"/>
      <c r="I85" s="1122"/>
      <c r="J85" s="1122"/>
      <c r="K85" s="397">
        <f>K11</f>
        <v>0</v>
      </c>
      <c r="L85" s="1123" t="s">
        <v>3327</v>
      </c>
      <c r="M85" s="1123"/>
      <c r="N85" s="1123"/>
      <c r="O85" s="1123"/>
      <c r="P85" s="1123"/>
      <c r="Q85" s="1123"/>
      <c r="R85" s="1123"/>
      <c r="S85" s="2">
        <f>W11</f>
        <v>0</v>
      </c>
      <c r="T85" s="2"/>
      <c r="U85" s="2"/>
      <c r="V85" s="2"/>
      <c r="W85" s="2"/>
      <c r="X85" s="136"/>
      <c r="Y85" s="2"/>
      <c r="Z85" s="2"/>
      <c r="AA85" s="2"/>
      <c r="AB85" s="455"/>
      <c r="AC85" s="2"/>
      <c r="AD85" s="2"/>
      <c r="AE85" s="2"/>
      <c r="AF85" s="2"/>
      <c r="AG85" s="2"/>
      <c r="AH85" s="2"/>
      <c r="AI85" s="2"/>
      <c r="AJ85" s="2"/>
      <c r="AK85" s="2"/>
      <c r="AL85" s="2"/>
      <c r="AM85" s="2"/>
      <c r="AN85" s="2"/>
      <c r="AO85" s="2"/>
      <c r="AP85" s="2"/>
      <c r="AQ85" s="2"/>
      <c r="AR85" s="2"/>
      <c r="AS85" s="2"/>
      <c r="AT85" s="2"/>
      <c r="AU85" s="2"/>
      <c r="AV85" s="2"/>
      <c r="AW85" s="2"/>
      <c r="AX85" s="2"/>
      <c r="CB85" s="1067"/>
      <c r="CC85" s="1068"/>
      <c r="CD85" s="1068"/>
      <c r="CE85" s="1068"/>
      <c r="CF85" s="1068"/>
      <c r="CG85" s="1068"/>
      <c r="CH85" s="1068"/>
      <c r="CI85" s="1068"/>
      <c r="CJ85" s="1068"/>
      <c r="CK85" s="1069"/>
    </row>
    <row r="86" spans="1:89" hidden="1">
      <c r="A86" s="396"/>
      <c r="B86" s="397"/>
      <c r="C86" s="1123" t="s">
        <v>3328</v>
      </c>
      <c r="D86" s="1123"/>
      <c r="E86" s="1123"/>
      <c r="F86" s="1123"/>
      <c r="G86" s="1123"/>
      <c r="H86" s="1123"/>
      <c r="I86" s="1123"/>
      <c r="J86" s="1123"/>
      <c r="K86" s="1123"/>
      <c r="L86" s="1123"/>
      <c r="M86" s="1123"/>
      <c r="N86" s="1123"/>
      <c r="O86" s="1123"/>
      <c r="P86" s="1123"/>
      <c r="Q86" s="1123"/>
      <c r="R86" s="1123"/>
      <c r="S86" s="1123"/>
      <c r="T86" s="1123"/>
      <c r="U86" s="1123"/>
      <c r="V86" s="1123"/>
      <c r="W86" s="2"/>
      <c r="X86" s="136"/>
      <c r="Y86" s="2"/>
      <c r="Z86" s="2"/>
      <c r="AA86" s="2"/>
      <c r="AB86" s="455"/>
      <c r="AC86" s="2"/>
      <c r="AD86" s="2"/>
      <c r="AE86" s="2"/>
      <c r="AF86" s="2"/>
      <c r="AG86" s="2"/>
      <c r="AH86" s="2"/>
      <c r="AI86" s="2"/>
      <c r="AJ86" s="2"/>
      <c r="AK86" s="2"/>
      <c r="AL86" s="2"/>
      <c r="AM86" s="2"/>
      <c r="AN86" s="2"/>
      <c r="AO86" s="2"/>
      <c r="AP86" s="2"/>
      <c r="AQ86" s="2"/>
      <c r="AR86" s="2"/>
      <c r="AS86" s="2"/>
      <c r="AT86" s="2"/>
      <c r="AU86" s="2"/>
      <c r="AV86" s="2"/>
      <c r="AW86" s="2"/>
      <c r="AX86" s="2"/>
      <c r="CB86" s="1067"/>
      <c r="CC86" s="1068"/>
      <c r="CD86" s="1068"/>
      <c r="CE86" s="1068"/>
      <c r="CF86" s="1068"/>
      <c r="CG86" s="1068"/>
      <c r="CH86" s="1068"/>
      <c r="CI86" s="1068"/>
      <c r="CJ86" s="1068"/>
      <c r="CK86" s="1069"/>
    </row>
    <row r="87" spans="1:89" hidden="1">
      <c r="A87" s="137"/>
      <c r="B87" s="138"/>
      <c r="C87" s="1141"/>
      <c r="D87" s="1141"/>
      <c r="E87" s="1141"/>
      <c r="F87" s="1141"/>
      <c r="G87" s="1141"/>
      <c r="H87" s="1141"/>
      <c r="I87" s="1141"/>
      <c r="J87" s="1141"/>
      <c r="K87" s="1141"/>
      <c r="L87" s="1141"/>
      <c r="M87" s="1141"/>
      <c r="N87" s="1141"/>
      <c r="O87" s="1141"/>
      <c r="P87" s="1141"/>
      <c r="Q87" s="1141"/>
      <c r="R87" s="1141"/>
      <c r="S87" s="1141"/>
      <c r="T87" s="1141"/>
      <c r="U87" s="1141"/>
      <c r="V87" s="1141"/>
      <c r="W87" s="138"/>
      <c r="X87" s="139"/>
      <c r="Y87" s="2"/>
      <c r="Z87" s="2"/>
      <c r="AA87" s="2"/>
      <c r="AB87" s="455"/>
      <c r="AC87" s="2"/>
      <c r="AD87" s="2"/>
      <c r="AE87" s="2"/>
      <c r="AF87" s="2"/>
      <c r="AG87" s="2"/>
      <c r="AH87" s="2"/>
      <c r="AI87" s="2"/>
      <c r="AJ87" s="2"/>
      <c r="AK87" s="2"/>
      <c r="AL87" s="2"/>
      <c r="AM87" s="2"/>
      <c r="AN87" s="2"/>
      <c r="AO87" s="2"/>
      <c r="AP87" s="2"/>
      <c r="AQ87" s="2"/>
      <c r="AR87" s="2"/>
      <c r="AS87" s="2"/>
      <c r="AT87" s="2"/>
      <c r="AU87" s="2"/>
      <c r="AV87" s="2"/>
      <c r="AW87" s="2"/>
      <c r="AX87" s="2"/>
      <c r="CB87" s="1067"/>
      <c r="CC87" s="1068"/>
      <c r="CD87" s="1068"/>
      <c r="CE87" s="1068"/>
      <c r="CF87" s="1068"/>
      <c r="CG87" s="1068"/>
      <c r="CH87" s="1068"/>
      <c r="CI87" s="1068"/>
      <c r="CJ87" s="1068"/>
      <c r="CK87" s="1069"/>
    </row>
    <row r="88" spans="1:89" hidden="1">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455"/>
      <c r="AC88" s="2"/>
      <c r="AD88" s="2"/>
      <c r="AE88" s="2"/>
      <c r="AF88" s="2"/>
      <c r="AG88" s="2"/>
      <c r="AH88" s="2"/>
      <c r="AI88" s="2"/>
      <c r="AJ88" s="2"/>
      <c r="AK88" s="2"/>
      <c r="AL88" s="2"/>
      <c r="AM88" s="2"/>
      <c r="AN88" s="2"/>
      <c r="AO88" s="2"/>
      <c r="AP88" s="2"/>
      <c r="AQ88" s="2"/>
      <c r="AR88" s="2"/>
      <c r="AS88" s="2"/>
      <c r="AT88" s="2"/>
      <c r="AU88" s="2"/>
      <c r="AV88" s="2"/>
      <c r="AW88" s="2"/>
      <c r="AX88" s="2"/>
      <c r="CB88" s="1067"/>
      <c r="CC88" s="1068"/>
      <c r="CD88" s="1068"/>
      <c r="CE88" s="1068"/>
      <c r="CF88" s="1068"/>
      <c r="CG88" s="1068"/>
      <c r="CH88" s="1068"/>
      <c r="CI88" s="1068"/>
      <c r="CJ88" s="1068"/>
      <c r="CK88" s="1069"/>
    </row>
    <row r="89" spans="1:89" hidden="1">
      <c r="A89" s="140" t="s">
        <v>3329</v>
      </c>
      <c r="B89" s="141"/>
      <c r="C89" s="141"/>
      <c r="D89" s="141"/>
      <c r="E89" s="141"/>
      <c r="F89" s="141"/>
      <c r="G89" s="141"/>
      <c r="H89" s="141"/>
      <c r="I89" s="141"/>
      <c r="J89" s="141"/>
      <c r="K89" s="141"/>
      <c r="L89" s="141"/>
      <c r="M89" s="141"/>
      <c r="N89" s="141"/>
      <c r="O89" s="141"/>
      <c r="P89" s="141"/>
      <c r="Q89" s="141"/>
      <c r="R89" s="141"/>
      <c r="S89" s="141"/>
      <c r="T89" s="141"/>
      <c r="U89" s="141"/>
      <c r="V89" s="141"/>
      <c r="W89" s="141"/>
      <c r="X89" s="142"/>
      <c r="Y89" s="2"/>
      <c r="Z89" s="2"/>
      <c r="AA89" s="2"/>
      <c r="AB89" s="455"/>
      <c r="AC89" s="2"/>
      <c r="AD89" s="2"/>
      <c r="AE89" s="2"/>
      <c r="AF89" s="2"/>
      <c r="AG89" s="2"/>
      <c r="AH89" s="2"/>
      <c r="AI89" s="2"/>
      <c r="AJ89" s="2"/>
      <c r="AK89" s="2"/>
      <c r="AL89" s="2"/>
      <c r="AM89" s="2"/>
      <c r="AN89" s="2"/>
      <c r="AO89" s="2"/>
      <c r="AP89" s="2"/>
      <c r="AQ89" s="2"/>
      <c r="AR89" s="2"/>
      <c r="AS89" s="2"/>
      <c r="AT89" s="2"/>
      <c r="AU89" s="2"/>
      <c r="AV89" s="2"/>
      <c r="AW89" s="2"/>
      <c r="AX89" s="2"/>
      <c r="CB89" s="1067"/>
      <c r="CC89" s="1068"/>
      <c r="CD89" s="1068"/>
      <c r="CE89" s="1068"/>
      <c r="CF89" s="1068"/>
      <c r="CG89" s="1068"/>
      <c r="CH89" s="1068"/>
      <c r="CI89" s="1068"/>
      <c r="CJ89" s="1068"/>
      <c r="CK89" s="1069"/>
    </row>
    <row r="90" spans="1:89" hidden="1">
      <c r="A90" s="1132" t="s">
        <v>3284</v>
      </c>
      <c r="B90" s="1126"/>
      <c r="C90" s="1126"/>
      <c r="D90" s="1126"/>
      <c r="E90" s="1126"/>
      <c r="F90" s="1126"/>
      <c r="G90" s="1126"/>
      <c r="H90" s="1126"/>
      <c r="I90" s="1126"/>
      <c r="J90" s="1126"/>
      <c r="K90" s="1126"/>
      <c r="L90" s="1126"/>
      <c r="M90" s="1126"/>
      <c r="N90" s="1126"/>
      <c r="O90" s="1126"/>
      <c r="P90" s="1126"/>
      <c r="Q90" s="1126"/>
      <c r="R90" s="1126"/>
      <c r="S90" s="1126"/>
      <c r="T90" s="1126"/>
      <c r="U90" s="1126"/>
      <c r="V90" s="1126"/>
      <c r="W90" s="1126"/>
      <c r="X90" s="1133"/>
      <c r="Y90" s="2"/>
      <c r="Z90" s="2"/>
      <c r="AA90" s="2"/>
      <c r="AB90" s="455"/>
      <c r="AC90" s="2"/>
      <c r="AD90" s="2"/>
      <c r="AE90" s="2"/>
      <c r="AF90" s="2"/>
      <c r="AG90" s="2"/>
      <c r="AH90" s="2"/>
      <c r="AI90" s="2"/>
      <c r="AJ90" s="2"/>
      <c r="AK90" s="2"/>
      <c r="AL90" s="2"/>
      <c r="AM90" s="2"/>
      <c r="AN90" s="2"/>
      <c r="AO90" s="2"/>
      <c r="AP90" s="2"/>
      <c r="AQ90" s="2"/>
      <c r="AR90" s="2"/>
      <c r="AS90" s="2"/>
      <c r="AT90" s="2"/>
      <c r="AU90" s="2"/>
      <c r="AV90" s="2"/>
      <c r="AW90" s="2"/>
      <c r="AX90" s="2"/>
      <c r="CB90" s="1067"/>
      <c r="CC90" s="1068"/>
      <c r="CD90" s="1068"/>
      <c r="CE90" s="1068"/>
      <c r="CF90" s="1068"/>
      <c r="CG90" s="1068"/>
      <c r="CH90" s="1068"/>
      <c r="CI90" s="1068"/>
      <c r="CJ90" s="1068"/>
      <c r="CK90" s="1069"/>
    </row>
    <row r="91" spans="1:89" hidden="1">
      <c r="A91" s="1132"/>
      <c r="B91" s="1126"/>
      <c r="C91" s="1126"/>
      <c r="D91" s="1126"/>
      <c r="E91" s="1126"/>
      <c r="F91" s="1126"/>
      <c r="G91" s="1126"/>
      <c r="H91" s="1126"/>
      <c r="I91" s="1126"/>
      <c r="J91" s="1126"/>
      <c r="K91" s="1126"/>
      <c r="L91" s="1126"/>
      <c r="M91" s="1126"/>
      <c r="N91" s="1126"/>
      <c r="O91" s="1126"/>
      <c r="P91" s="1126"/>
      <c r="Q91" s="1126"/>
      <c r="R91" s="1126"/>
      <c r="S91" s="1126"/>
      <c r="T91" s="1126"/>
      <c r="U91" s="1126"/>
      <c r="V91" s="1126"/>
      <c r="W91" s="1126"/>
      <c r="X91" s="1133"/>
      <c r="Y91" s="2"/>
      <c r="Z91" s="2"/>
      <c r="AA91" s="2"/>
      <c r="AB91" s="455"/>
      <c r="AC91" s="2"/>
      <c r="AD91" s="2"/>
      <c r="AE91" s="2"/>
      <c r="AF91" s="2"/>
      <c r="AG91" s="2"/>
      <c r="AH91" s="2"/>
      <c r="AI91" s="2"/>
      <c r="AJ91" s="2"/>
      <c r="AK91" s="2"/>
      <c r="AL91" s="2"/>
      <c r="AM91" s="2"/>
      <c r="AN91" s="2"/>
      <c r="AO91" s="2"/>
      <c r="AP91" s="2"/>
      <c r="AQ91" s="2"/>
      <c r="AR91" s="2"/>
      <c r="AS91" s="2"/>
      <c r="AT91" s="2"/>
      <c r="AU91" s="2"/>
      <c r="AV91" s="2"/>
      <c r="AW91" s="2"/>
      <c r="AX91" s="2"/>
      <c r="CB91" s="1067"/>
      <c r="CC91" s="1068"/>
      <c r="CD91" s="1068"/>
      <c r="CE91" s="1068"/>
      <c r="CF91" s="1068"/>
      <c r="CG91" s="1068"/>
      <c r="CH91" s="1068"/>
      <c r="CI91" s="1068"/>
      <c r="CJ91" s="1068"/>
      <c r="CK91" s="1069"/>
    </row>
    <row r="92" spans="1:89" ht="12.75" hidden="1" customHeight="1">
      <c r="A92" s="1134" t="s">
        <v>3326</v>
      </c>
      <c r="B92" s="1135"/>
      <c r="C92" s="1135"/>
      <c r="D92" s="1135"/>
      <c r="E92" s="1135"/>
      <c r="F92" s="1135"/>
      <c r="G92" s="1135"/>
      <c r="H92" s="1135"/>
      <c r="I92" s="1135"/>
      <c r="J92" s="1135"/>
      <c r="K92" s="1135"/>
      <c r="L92" s="1135"/>
      <c r="M92" s="2">
        <f>K11</f>
        <v>0</v>
      </c>
      <c r="N92" s="2"/>
      <c r="O92" s="2"/>
      <c r="P92" s="2"/>
      <c r="Q92" s="2"/>
      <c r="R92" s="2"/>
      <c r="S92" s="2"/>
      <c r="T92" s="2"/>
      <c r="U92" s="2"/>
      <c r="V92" s="2"/>
      <c r="W92" s="2"/>
      <c r="X92" s="136"/>
      <c r="Y92" s="2"/>
      <c r="Z92" s="2"/>
      <c r="AA92" s="2"/>
      <c r="AB92" s="455"/>
      <c r="AC92" s="2"/>
      <c r="AD92" s="2"/>
      <c r="AE92" s="2"/>
      <c r="AF92" s="2"/>
      <c r="AG92" s="2"/>
      <c r="AH92" s="2"/>
      <c r="AI92" s="2"/>
      <c r="AJ92" s="2"/>
      <c r="AK92" s="2"/>
      <c r="AL92" s="2"/>
      <c r="AM92" s="2"/>
      <c r="AN92" s="2"/>
      <c r="AO92" s="2"/>
      <c r="AP92" s="2"/>
      <c r="AQ92" s="2"/>
      <c r="AR92" s="2"/>
      <c r="AS92" s="2"/>
      <c r="AT92" s="2"/>
      <c r="AU92" s="2"/>
      <c r="AV92" s="2"/>
      <c r="AW92" s="2"/>
      <c r="AX92" s="2"/>
      <c r="CB92" s="1067"/>
      <c r="CC92" s="1068"/>
      <c r="CD92" s="1068"/>
      <c r="CE92" s="1068"/>
      <c r="CF92" s="1068"/>
      <c r="CG92" s="1068"/>
      <c r="CH92" s="1068"/>
      <c r="CI92" s="1068"/>
      <c r="CJ92" s="1068"/>
      <c r="CK92" s="1069"/>
    </row>
    <row r="93" spans="1:89" hidden="1">
      <c r="A93" s="1132" t="s">
        <v>3330</v>
      </c>
      <c r="B93" s="1126"/>
      <c r="C93" s="1126"/>
      <c r="D93" s="1126"/>
      <c r="E93" s="1126"/>
      <c r="F93" s="1126"/>
      <c r="G93" s="1126"/>
      <c r="H93" s="1126"/>
      <c r="I93" s="1126"/>
      <c r="J93" s="1126"/>
      <c r="K93" s="1126"/>
      <c r="L93" s="1126"/>
      <c r="M93" s="1126"/>
      <c r="N93" s="1126"/>
      <c r="O93" s="1126"/>
      <c r="P93" s="1126"/>
      <c r="Q93" s="1126"/>
      <c r="R93" s="1126"/>
      <c r="S93" s="1126"/>
      <c r="T93" s="1126"/>
      <c r="U93" s="1126"/>
      <c r="V93" s="1126"/>
      <c r="W93" s="2"/>
      <c r="X93" s="136"/>
      <c r="Y93" s="2"/>
      <c r="Z93" s="2"/>
      <c r="AA93" s="2"/>
      <c r="AB93" s="455"/>
      <c r="AC93" s="2"/>
      <c r="AD93" s="2"/>
      <c r="AE93" s="2"/>
      <c r="AF93" s="2"/>
      <c r="AG93" s="2"/>
      <c r="AH93" s="2"/>
      <c r="AI93" s="2"/>
      <c r="AJ93" s="2"/>
      <c r="AK93" s="2"/>
      <c r="AL93" s="2"/>
      <c r="AM93" s="2"/>
      <c r="AN93" s="2"/>
      <c r="AO93" s="2"/>
      <c r="AP93" s="2"/>
      <c r="AQ93" s="2"/>
      <c r="AR93" s="2"/>
      <c r="AS93" s="2"/>
      <c r="AT93" s="2"/>
      <c r="AU93" s="2"/>
      <c r="AV93" s="2"/>
      <c r="AW93" s="2"/>
      <c r="AX93" s="2"/>
      <c r="CB93" s="1067"/>
      <c r="CC93" s="1068"/>
      <c r="CD93" s="1068"/>
      <c r="CE93" s="1068"/>
      <c r="CF93" s="1068"/>
      <c r="CG93" s="1068"/>
      <c r="CH93" s="1068"/>
      <c r="CI93" s="1068"/>
      <c r="CJ93" s="1068"/>
      <c r="CK93" s="1069"/>
    </row>
    <row r="94" spans="1:89" hidden="1">
      <c r="A94" s="1132"/>
      <c r="B94" s="1126"/>
      <c r="C94" s="1126"/>
      <c r="D94" s="1126"/>
      <c r="E94" s="1126"/>
      <c r="F94" s="1126"/>
      <c r="G94" s="1126"/>
      <c r="H94" s="1126"/>
      <c r="I94" s="1126"/>
      <c r="J94" s="1126"/>
      <c r="K94" s="1126"/>
      <c r="L94" s="1126"/>
      <c r="M94" s="1126"/>
      <c r="N94" s="1126"/>
      <c r="O94" s="1126"/>
      <c r="P94" s="1126"/>
      <c r="Q94" s="1126"/>
      <c r="R94" s="1126"/>
      <c r="S94" s="1126"/>
      <c r="T94" s="1126"/>
      <c r="U94" s="1126"/>
      <c r="V94" s="1126"/>
      <c r="W94" s="2"/>
      <c r="X94" s="136"/>
      <c r="Y94" s="2"/>
      <c r="Z94" s="2"/>
      <c r="AA94" s="2"/>
      <c r="AB94" s="455"/>
      <c r="AC94" s="2"/>
      <c r="AD94" s="2"/>
      <c r="AE94" s="2"/>
      <c r="AF94" s="2"/>
      <c r="AG94" s="2"/>
      <c r="AH94" s="2"/>
      <c r="AI94" s="2"/>
      <c r="AJ94" s="2"/>
      <c r="AK94" s="2"/>
      <c r="AL94" s="2"/>
      <c r="AM94" s="2"/>
      <c r="AN94" s="2"/>
      <c r="AO94" s="2"/>
      <c r="AP94" s="2"/>
      <c r="AQ94" s="2"/>
      <c r="AR94" s="2"/>
      <c r="AS94" s="2"/>
      <c r="AT94" s="2"/>
      <c r="AU94" s="2"/>
      <c r="AV94" s="2"/>
      <c r="AW94" s="2"/>
      <c r="AX94" s="2"/>
      <c r="CB94" s="1067"/>
      <c r="CC94" s="1068"/>
      <c r="CD94" s="1068"/>
      <c r="CE94" s="1068"/>
      <c r="CF94" s="1068"/>
      <c r="CG94" s="1068"/>
      <c r="CH94" s="1068"/>
      <c r="CI94" s="1068"/>
      <c r="CJ94" s="1068"/>
      <c r="CK94" s="1069"/>
    </row>
    <row r="95" spans="1:89" hidden="1">
      <c r="A95" s="1127" t="s">
        <v>3331</v>
      </c>
      <c r="B95" s="1128"/>
      <c r="C95" s="1128"/>
      <c r="D95" s="1128"/>
      <c r="E95" s="1128"/>
      <c r="F95" s="1128"/>
      <c r="G95" s="2">
        <f>W11</f>
        <v>0</v>
      </c>
      <c r="H95" s="143" t="s">
        <v>3332</v>
      </c>
      <c r="I95" s="2"/>
      <c r="J95" s="2"/>
      <c r="K95" s="2"/>
      <c r="L95" s="2"/>
      <c r="M95" s="2"/>
      <c r="N95" s="2"/>
      <c r="O95" s="2"/>
      <c r="P95" s="2"/>
      <c r="Q95" s="2"/>
      <c r="R95" s="2"/>
      <c r="S95" s="2"/>
      <c r="T95" s="2"/>
      <c r="U95" s="2"/>
      <c r="V95" s="2"/>
      <c r="W95" s="2"/>
      <c r="X95" s="136"/>
      <c r="Y95" s="2"/>
      <c r="Z95" s="2"/>
      <c r="AA95" s="2"/>
      <c r="AB95" s="455"/>
      <c r="AC95" s="2"/>
      <c r="AD95" s="2"/>
      <c r="AE95" s="2"/>
      <c r="AF95" s="2"/>
      <c r="AG95" s="2"/>
      <c r="AH95" s="2"/>
      <c r="AI95" s="2"/>
      <c r="AJ95" s="2"/>
      <c r="AK95" s="2"/>
      <c r="AL95" s="2"/>
      <c r="AM95" s="2"/>
      <c r="AN95" s="2"/>
      <c r="AO95" s="2"/>
      <c r="AP95" s="2"/>
      <c r="AQ95" s="2"/>
      <c r="AR95" s="2"/>
      <c r="AS95" s="2"/>
      <c r="AT95" s="2"/>
      <c r="AU95" s="2"/>
      <c r="AV95" s="2"/>
      <c r="AW95" s="2"/>
      <c r="AX95" s="2"/>
      <c r="CB95" s="1067"/>
      <c r="CC95" s="1068"/>
      <c r="CD95" s="1068"/>
      <c r="CE95" s="1068"/>
      <c r="CF95" s="1068"/>
      <c r="CG95" s="1068"/>
      <c r="CH95" s="1068"/>
      <c r="CI95" s="1068"/>
      <c r="CJ95" s="1068"/>
      <c r="CK95" s="1069"/>
    </row>
    <row r="96" spans="1:89" hidden="1">
      <c r="A96" s="144" t="s">
        <v>3333</v>
      </c>
      <c r="B96" s="138"/>
      <c r="C96" s="138"/>
      <c r="D96" s="138"/>
      <c r="E96" s="138">
        <f>Z11</f>
        <v>0</v>
      </c>
      <c r="F96" s="1136" t="s">
        <v>3334</v>
      </c>
      <c r="G96" s="1136"/>
      <c r="H96" s="1136"/>
      <c r="I96" s="1136"/>
      <c r="J96" s="1136"/>
      <c r="K96" s="1136"/>
      <c r="L96" s="1136"/>
      <c r="M96" s="1136"/>
      <c r="N96" s="1136"/>
      <c r="O96" s="1136"/>
      <c r="P96" s="1136"/>
      <c r="Q96" s="1136"/>
      <c r="R96" s="1136"/>
      <c r="S96" s="1136"/>
      <c r="T96" s="1136"/>
      <c r="U96" s="1136"/>
      <c r="V96" s="138"/>
      <c r="W96" s="138"/>
      <c r="X96" s="139"/>
      <c r="Y96" s="2"/>
      <c r="Z96" s="2"/>
      <c r="AA96" s="2"/>
      <c r="AB96" s="455"/>
      <c r="AC96" s="2"/>
      <c r="AD96" s="2"/>
      <c r="AE96" s="2"/>
      <c r="AF96" s="2"/>
      <c r="AG96" s="2"/>
      <c r="AH96" s="2"/>
      <c r="AI96" s="2"/>
      <c r="AJ96" s="2"/>
      <c r="AK96" s="2"/>
      <c r="AL96" s="2"/>
      <c r="AM96" s="2"/>
      <c r="AN96" s="2"/>
      <c r="AO96" s="2"/>
      <c r="AP96" s="2"/>
      <c r="AQ96" s="2"/>
      <c r="AR96" s="2"/>
      <c r="AS96" s="2"/>
      <c r="AT96" s="2"/>
      <c r="AU96" s="2"/>
      <c r="AV96" s="2"/>
      <c r="AW96" s="2"/>
      <c r="AX96" s="2"/>
      <c r="CB96" s="1067"/>
      <c r="CC96" s="1068"/>
      <c r="CD96" s="1068"/>
      <c r="CE96" s="1068"/>
      <c r="CF96" s="1068"/>
      <c r="CG96" s="1068"/>
      <c r="CH96" s="1068"/>
      <c r="CI96" s="1068"/>
      <c r="CJ96" s="1068"/>
      <c r="CK96" s="1069"/>
    </row>
    <row r="97" spans="1:89" hidden="1">
      <c r="A97" s="2"/>
      <c r="B97" s="2"/>
      <c r="C97" s="2"/>
      <c r="D97" s="2"/>
      <c r="E97" s="2"/>
      <c r="F97" s="397"/>
      <c r="G97" s="397"/>
      <c r="H97" s="397"/>
      <c r="I97" s="397"/>
      <c r="J97" s="397"/>
      <c r="K97" s="397"/>
      <c r="L97" s="397"/>
      <c r="M97" s="397"/>
      <c r="N97" s="397"/>
      <c r="O97" s="397"/>
      <c r="P97" s="397"/>
      <c r="Q97" s="397"/>
      <c r="R97" s="397"/>
      <c r="S97" s="397"/>
      <c r="T97" s="397"/>
      <c r="U97" s="397"/>
      <c r="V97" s="2"/>
      <c r="W97" s="2"/>
      <c r="X97" s="2"/>
      <c r="Y97" s="2"/>
      <c r="Z97" s="2"/>
      <c r="AA97" s="2"/>
      <c r="AB97" s="455"/>
      <c r="AC97" s="2"/>
      <c r="AD97" s="2"/>
      <c r="AE97" s="2"/>
      <c r="AF97" s="2"/>
      <c r="AG97" s="2"/>
      <c r="AH97" s="2"/>
      <c r="AI97" s="2"/>
      <c r="AJ97" s="2"/>
      <c r="AK97" s="2"/>
      <c r="AL97" s="2"/>
      <c r="AM97" s="2"/>
      <c r="AN97" s="2"/>
      <c r="AO97" s="2"/>
      <c r="AP97" s="2"/>
      <c r="AQ97" s="2"/>
      <c r="AR97" s="2"/>
      <c r="AS97" s="2"/>
      <c r="AT97" s="2"/>
      <c r="AU97" s="2"/>
      <c r="AV97" s="2"/>
      <c r="AW97" s="2"/>
      <c r="AX97" s="2"/>
      <c r="CB97" s="1067"/>
      <c r="CC97" s="1068"/>
      <c r="CD97" s="1068"/>
      <c r="CE97" s="1068"/>
      <c r="CF97" s="1068"/>
      <c r="CG97" s="1068"/>
      <c r="CH97" s="1068"/>
      <c r="CI97" s="1068"/>
      <c r="CJ97" s="1068"/>
      <c r="CK97" s="1069"/>
    </row>
    <row r="98" spans="1:89" hidden="1">
      <c r="A98" s="2">
        <v>5</v>
      </c>
      <c r="B98" s="2"/>
      <c r="C98" s="2"/>
      <c r="D98" s="2"/>
      <c r="E98" s="2"/>
      <c r="F98" s="2"/>
      <c r="G98" s="2"/>
      <c r="H98" s="2"/>
      <c r="I98" s="2"/>
      <c r="J98" s="2"/>
      <c r="K98" s="2"/>
      <c r="L98" s="2"/>
      <c r="M98" s="2"/>
      <c r="N98" s="2"/>
      <c r="O98" s="2"/>
      <c r="P98" s="2"/>
      <c r="Q98" s="2"/>
      <c r="R98" s="2"/>
      <c r="S98" s="2"/>
      <c r="T98" s="2"/>
      <c r="U98" s="2"/>
      <c r="V98" s="2"/>
      <c r="W98" s="2"/>
      <c r="X98" s="2"/>
      <c r="Y98" s="2"/>
      <c r="Z98" s="2"/>
      <c r="AA98" s="2"/>
      <c r="AB98" s="455"/>
      <c r="AC98" s="2"/>
      <c r="AD98" s="2"/>
      <c r="AE98" s="2"/>
      <c r="AF98" s="2"/>
      <c r="AG98" s="2"/>
      <c r="AH98" s="2"/>
      <c r="AI98" s="2"/>
      <c r="AJ98" s="2"/>
      <c r="AK98" s="2"/>
      <c r="AL98" s="2"/>
      <c r="AM98" s="2"/>
      <c r="AN98" s="2"/>
      <c r="AO98" s="2"/>
      <c r="AP98" s="2"/>
      <c r="AQ98" s="2"/>
      <c r="AR98" s="2"/>
      <c r="AS98" s="2"/>
      <c r="AT98" s="2"/>
      <c r="AU98" s="2"/>
      <c r="AV98" s="2"/>
      <c r="AW98" s="2"/>
      <c r="AX98" s="2"/>
      <c r="CB98" s="1067"/>
      <c r="CC98" s="1068"/>
      <c r="CD98" s="1068"/>
      <c r="CE98" s="1068"/>
      <c r="CF98" s="1068"/>
      <c r="CG98" s="1068"/>
      <c r="CH98" s="1068"/>
      <c r="CI98" s="1068"/>
      <c r="CJ98" s="1068"/>
      <c r="CK98" s="1069"/>
    </row>
    <row r="99" spans="1:89" hidden="1">
      <c r="A99" s="1116" t="s">
        <v>3286</v>
      </c>
      <c r="B99" s="1116"/>
      <c r="C99" s="1116"/>
      <c r="D99" s="1116"/>
      <c r="E99" s="1116"/>
      <c r="F99" s="1116"/>
      <c r="G99" s="1116"/>
      <c r="H99" s="1116"/>
      <c r="I99" s="1116"/>
      <c r="J99" s="1116"/>
      <c r="K99" s="1116"/>
      <c r="L99" s="1116"/>
      <c r="M99" s="1116"/>
      <c r="N99" s="1116"/>
      <c r="O99" s="1116"/>
      <c r="P99" s="1116"/>
      <c r="Q99" s="1116"/>
      <c r="R99" s="1116"/>
      <c r="S99" s="1116"/>
      <c r="T99" s="1116"/>
      <c r="U99" s="1116"/>
      <c r="V99" s="1116"/>
      <c r="W99" s="1116"/>
      <c r="X99" s="1116"/>
      <c r="Y99" s="2"/>
      <c r="Z99" s="2"/>
      <c r="AA99" s="2"/>
      <c r="AB99" s="455"/>
      <c r="AC99" s="2"/>
      <c r="AD99" s="2"/>
      <c r="AE99" s="2"/>
      <c r="AF99" s="2"/>
      <c r="AG99" s="2"/>
      <c r="AH99" s="2"/>
      <c r="AI99" s="2"/>
      <c r="AJ99" s="2"/>
      <c r="AK99" s="2"/>
      <c r="AL99" s="2"/>
      <c r="AM99" s="2"/>
      <c r="AN99" s="2"/>
      <c r="AO99" s="2"/>
      <c r="AP99" s="2"/>
      <c r="AQ99" s="2"/>
      <c r="AR99" s="2"/>
      <c r="AS99" s="2"/>
      <c r="AT99" s="2"/>
      <c r="AU99" s="2"/>
      <c r="AV99" s="2"/>
      <c r="AW99" s="2"/>
      <c r="AX99" s="2"/>
      <c r="CB99" s="1067"/>
      <c r="CC99" s="1068"/>
      <c r="CD99" s="1068"/>
      <c r="CE99" s="1068"/>
      <c r="CF99" s="1068"/>
      <c r="CG99" s="1068"/>
      <c r="CH99" s="1068"/>
      <c r="CI99" s="1068"/>
      <c r="CJ99" s="1068"/>
      <c r="CK99" s="1069"/>
    </row>
    <row r="100" spans="1:89" hidden="1">
      <c r="A100" s="1116"/>
      <c r="B100" s="1116"/>
      <c r="C100" s="1116"/>
      <c r="D100" s="1116"/>
      <c r="E100" s="1116"/>
      <c r="F100" s="1116"/>
      <c r="G100" s="1116"/>
      <c r="H100" s="1116"/>
      <c r="I100" s="1116"/>
      <c r="J100" s="1116"/>
      <c r="K100" s="1116"/>
      <c r="L100" s="1116"/>
      <c r="M100" s="1116"/>
      <c r="N100" s="1116"/>
      <c r="O100" s="1116"/>
      <c r="P100" s="1116"/>
      <c r="Q100" s="1116"/>
      <c r="R100" s="1116"/>
      <c r="S100" s="1116"/>
      <c r="T100" s="1116"/>
      <c r="U100" s="1116"/>
      <c r="V100" s="1116"/>
      <c r="W100" s="1116"/>
      <c r="X100" s="1116"/>
      <c r="Y100" s="2"/>
      <c r="Z100" s="2"/>
      <c r="AA100" s="2"/>
      <c r="AB100" s="455"/>
      <c r="AC100" s="2"/>
      <c r="AD100" s="2"/>
      <c r="AE100" s="2"/>
      <c r="AF100" s="2"/>
      <c r="AG100" s="2"/>
      <c r="AH100" s="2"/>
      <c r="AI100" s="2"/>
      <c r="AJ100" s="2"/>
      <c r="AK100" s="2"/>
      <c r="AL100" s="2"/>
      <c r="AM100" s="2"/>
      <c r="AN100" s="2"/>
      <c r="AO100" s="2"/>
      <c r="AP100" s="2"/>
      <c r="AQ100" s="2"/>
      <c r="AR100" s="2"/>
      <c r="AS100" s="2"/>
      <c r="AT100" s="2"/>
      <c r="AU100" s="2"/>
      <c r="AV100" s="2"/>
      <c r="AW100" s="2"/>
      <c r="AX100" s="2"/>
      <c r="CB100" s="1067"/>
      <c r="CC100" s="1068"/>
      <c r="CD100" s="1068"/>
      <c r="CE100" s="1068"/>
      <c r="CF100" s="1068"/>
      <c r="CG100" s="1068"/>
      <c r="CH100" s="1068"/>
      <c r="CI100" s="1068"/>
      <c r="CJ100" s="1068"/>
      <c r="CK100" s="1069"/>
    </row>
    <row r="101" spans="1:89" hidden="1">
      <c r="A101" s="1126" t="s">
        <v>3335</v>
      </c>
      <c r="B101" s="1126"/>
      <c r="C101" s="1126"/>
      <c r="D101" s="1126"/>
      <c r="E101" s="1126"/>
      <c r="F101" s="1126"/>
      <c r="G101" s="1126"/>
      <c r="H101" s="1126"/>
      <c r="I101" s="1126"/>
      <c r="J101" s="1126"/>
      <c r="K101" s="1126"/>
      <c r="L101" s="1126"/>
      <c r="M101" s="1126"/>
      <c r="N101" s="1126"/>
      <c r="O101" s="1126"/>
      <c r="P101" s="1126"/>
      <c r="Q101" s="1126"/>
      <c r="R101" s="1126"/>
      <c r="S101" s="1126"/>
      <c r="T101" s="1126"/>
      <c r="U101" s="1126"/>
      <c r="V101" s="1126"/>
      <c r="W101" s="1126"/>
      <c r="X101" s="1126"/>
      <c r="Y101" s="2"/>
      <c r="Z101" s="2"/>
      <c r="AA101" s="2"/>
      <c r="AB101" s="455"/>
      <c r="AC101" s="2"/>
      <c r="AD101" s="2"/>
      <c r="AE101" s="2"/>
      <c r="AF101" s="2"/>
      <c r="AG101" s="2"/>
      <c r="AH101" s="2"/>
      <c r="AI101" s="2"/>
      <c r="AJ101" s="2"/>
      <c r="AK101" s="2"/>
      <c r="AL101" s="2"/>
      <c r="AM101" s="2"/>
      <c r="AN101" s="2"/>
      <c r="AO101" s="2"/>
      <c r="AP101" s="2"/>
      <c r="AQ101" s="2"/>
      <c r="AR101" s="2"/>
      <c r="AS101" s="2"/>
      <c r="AT101" s="2"/>
      <c r="AU101" s="2"/>
      <c r="AV101" s="2"/>
      <c r="AW101" s="2"/>
      <c r="AX101" s="2"/>
      <c r="CB101" s="1067"/>
      <c r="CC101" s="1068"/>
      <c r="CD101" s="1068"/>
      <c r="CE101" s="1068"/>
      <c r="CF101" s="1068"/>
      <c r="CG101" s="1068"/>
      <c r="CH101" s="1068"/>
      <c r="CI101" s="1068"/>
      <c r="CJ101" s="1068"/>
      <c r="CK101" s="1069"/>
    </row>
    <row r="102" spans="1:89" hidden="1">
      <c r="A102" s="1126"/>
      <c r="B102" s="1126"/>
      <c r="C102" s="1126"/>
      <c r="D102" s="1126"/>
      <c r="E102" s="1126"/>
      <c r="F102" s="1126"/>
      <c r="G102" s="1126"/>
      <c r="H102" s="1126"/>
      <c r="I102" s="1126"/>
      <c r="J102" s="1126"/>
      <c r="K102" s="1126"/>
      <c r="L102" s="1126"/>
      <c r="M102" s="1126"/>
      <c r="N102" s="1126"/>
      <c r="O102" s="1126"/>
      <c r="P102" s="1126"/>
      <c r="Q102" s="1126"/>
      <c r="R102" s="1126"/>
      <c r="S102" s="1126"/>
      <c r="T102" s="1126"/>
      <c r="U102" s="1126"/>
      <c r="V102" s="1126"/>
      <c r="W102" s="1126"/>
      <c r="X102" s="1126"/>
      <c r="Y102" s="2"/>
      <c r="Z102" s="2"/>
      <c r="AA102" s="2"/>
      <c r="AB102" s="455"/>
      <c r="AC102" s="2"/>
      <c r="AD102" s="2"/>
      <c r="AE102" s="2"/>
      <c r="AF102" s="2"/>
      <c r="AG102" s="2"/>
      <c r="AH102" s="2"/>
      <c r="AI102" s="2"/>
      <c r="AJ102" s="2"/>
      <c r="AK102" s="2"/>
      <c r="AL102" s="2"/>
      <c r="AM102" s="2"/>
      <c r="AN102" s="2"/>
      <c r="AO102" s="2"/>
      <c r="AP102" s="2"/>
      <c r="AQ102" s="2"/>
      <c r="AR102" s="2"/>
      <c r="AS102" s="2"/>
      <c r="AT102" s="2"/>
      <c r="AU102" s="2"/>
      <c r="AV102" s="2"/>
      <c r="AW102" s="2"/>
      <c r="AX102" s="2"/>
      <c r="CB102" s="1067"/>
      <c r="CC102" s="1068"/>
      <c r="CD102" s="1068"/>
      <c r="CE102" s="1068"/>
      <c r="CF102" s="1068"/>
      <c r="CG102" s="1068"/>
      <c r="CH102" s="1068"/>
      <c r="CI102" s="1068"/>
      <c r="CJ102" s="1068"/>
      <c r="CK102" s="1069"/>
    </row>
    <row r="103" spans="1:89" hidden="1">
      <c r="A103" s="1126"/>
      <c r="B103" s="1126"/>
      <c r="C103" s="1126"/>
      <c r="D103" s="1126"/>
      <c r="E103" s="1126"/>
      <c r="F103" s="1126"/>
      <c r="G103" s="1126"/>
      <c r="H103" s="1126"/>
      <c r="I103" s="1126"/>
      <c r="J103" s="1126"/>
      <c r="K103" s="1126"/>
      <c r="L103" s="1126"/>
      <c r="M103" s="1126"/>
      <c r="N103" s="1126"/>
      <c r="O103" s="1126"/>
      <c r="P103" s="1126"/>
      <c r="Q103" s="1126"/>
      <c r="R103" s="1126"/>
      <c r="S103" s="1126"/>
      <c r="T103" s="1126"/>
      <c r="U103" s="1126"/>
      <c r="V103" s="1126"/>
      <c r="W103" s="1126"/>
      <c r="X103" s="1126"/>
      <c r="Y103" s="2"/>
      <c r="Z103" s="2"/>
      <c r="AA103" s="2"/>
      <c r="AB103" s="455"/>
      <c r="AC103" s="2"/>
      <c r="AD103" s="2"/>
      <c r="AE103" s="2"/>
      <c r="AF103" s="2"/>
      <c r="AG103" s="2"/>
      <c r="AH103" s="2"/>
      <c r="AI103" s="2"/>
      <c r="AJ103" s="2"/>
      <c r="AK103" s="2"/>
      <c r="AL103" s="2"/>
      <c r="AM103" s="2"/>
      <c r="AN103" s="2"/>
      <c r="AO103" s="2"/>
      <c r="AP103" s="2"/>
      <c r="AQ103" s="2"/>
      <c r="AR103" s="2"/>
      <c r="AS103" s="2"/>
      <c r="AT103" s="2"/>
      <c r="AU103" s="2"/>
      <c r="AV103" s="2"/>
      <c r="AW103" s="2"/>
      <c r="AX103" s="2"/>
      <c r="CB103" s="1067"/>
      <c r="CC103" s="1068"/>
      <c r="CD103" s="1068"/>
      <c r="CE103" s="1068"/>
      <c r="CF103" s="1068"/>
      <c r="CG103" s="1068"/>
      <c r="CH103" s="1068"/>
      <c r="CI103" s="1068"/>
      <c r="CJ103" s="1068"/>
      <c r="CK103" s="1069"/>
    </row>
    <row r="104" spans="1:89" ht="12.75" hidden="1" customHeight="1">
      <c r="A104" s="1126"/>
      <c r="B104" s="1126"/>
      <c r="C104" s="1126"/>
      <c r="D104" s="1126"/>
      <c r="E104" s="1126"/>
      <c r="F104" s="1126"/>
      <c r="G104" s="1126"/>
      <c r="H104" s="1126"/>
      <c r="I104" s="1126"/>
      <c r="J104" s="1126"/>
      <c r="K104" s="1126"/>
      <c r="L104" s="1126"/>
      <c r="M104" s="1126"/>
      <c r="N104" s="1126"/>
      <c r="O104" s="1126"/>
      <c r="P104" s="1126"/>
      <c r="Q104" s="1126"/>
      <c r="R104" s="1126"/>
      <c r="S104" s="1126"/>
      <c r="T104" s="1126"/>
      <c r="U104" s="1126"/>
      <c r="V104" s="1126"/>
      <c r="W104" s="1126"/>
      <c r="X104" s="1126"/>
      <c r="Y104" s="2"/>
      <c r="Z104" s="2"/>
      <c r="AA104" s="2"/>
      <c r="AB104" s="455"/>
      <c r="AC104" s="2"/>
      <c r="AD104" s="2"/>
      <c r="AE104" s="2"/>
      <c r="AF104" s="2"/>
      <c r="AG104" s="2"/>
      <c r="AH104" s="2"/>
      <c r="AI104" s="2"/>
      <c r="AJ104" s="2"/>
      <c r="AK104" s="2"/>
      <c r="AL104" s="2"/>
      <c r="AM104" s="2"/>
      <c r="AN104" s="2"/>
      <c r="AO104" s="2"/>
      <c r="AP104" s="2"/>
      <c r="AQ104" s="2"/>
      <c r="AR104" s="2"/>
      <c r="AS104" s="2"/>
      <c r="AT104" s="2"/>
      <c r="AU104" s="2"/>
      <c r="AV104" s="2"/>
      <c r="AW104" s="2"/>
      <c r="AX104" s="2"/>
      <c r="CB104" s="1067"/>
      <c r="CC104" s="1068"/>
      <c r="CD104" s="1068"/>
      <c r="CE104" s="1068"/>
      <c r="CF104" s="1068"/>
      <c r="CG104" s="1068"/>
      <c r="CH104" s="1068"/>
      <c r="CI104" s="1068"/>
      <c r="CJ104" s="1068"/>
      <c r="CK104" s="1069"/>
    </row>
    <row r="105" spans="1:89" hidden="1">
      <c r="A105" s="1126"/>
      <c r="B105" s="1126"/>
      <c r="C105" s="1126"/>
      <c r="D105" s="1126"/>
      <c r="E105" s="1126"/>
      <c r="F105" s="1126"/>
      <c r="G105" s="1126"/>
      <c r="H105" s="1126"/>
      <c r="I105" s="1126"/>
      <c r="J105" s="1126"/>
      <c r="K105" s="1126"/>
      <c r="L105" s="1126"/>
      <c r="M105" s="1126"/>
      <c r="N105" s="1126"/>
      <c r="O105" s="1126"/>
      <c r="P105" s="1126"/>
      <c r="Q105" s="1126"/>
      <c r="R105" s="1126"/>
      <c r="S105" s="1126"/>
      <c r="T105" s="1126"/>
      <c r="U105" s="1126"/>
      <c r="V105" s="1126"/>
      <c r="W105" s="1126"/>
      <c r="X105" s="1126"/>
      <c r="Y105" s="2"/>
      <c r="Z105" s="2"/>
      <c r="AA105" s="2"/>
      <c r="AB105" s="455"/>
      <c r="AC105" s="2"/>
      <c r="AD105" s="2"/>
      <c r="AE105" s="2"/>
      <c r="AF105" s="2"/>
      <c r="AG105" s="2"/>
      <c r="AH105" s="2"/>
      <c r="AI105" s="2"/>
      <c r="AJ105" s="2"/>
      <c r="AK105" s="2"/>
      <c r="AL105" s="2"/>
      <c r="AM105" s="2"/>
      <c r="AN105" s="2"/>
      <c r="AO105" s="2"/>
      <c r="AP105" s="2"/>
      <c r="AQ105" s="2"/>
      <c r="AR105" s="2"/>
      <c r="AS105" s="2"/>
      <c r="AT105" s="2"/>
      <c r="AU105" s="2"/>
      <c r="AV105" s="2"/>
      <c r="AW105" s="2"/>
      <c r="AX105" s="2"/>
      <c r="CB105" s="1067"/>
      <c r="CC105" s="1068"/>
      <c r="CD105" s="1068"/>
      <c r="CE105" s="1068"/>
      <c r="CF105" s="1068"/>
      <c r="CG105" s="1068"/>
      <c r="CH105" s="1068"/>
      <c r="CI105" s="1068"/>
      <c r="CJ105" s="1068"/>
      <c r="CK105" s="1069"/>
    </row>
    <row r="106" spans="1:89" hidden="1">
      <c r="A106" s="1126"/>
      <c r="B106" s="1126"/>
      <c r="C106" s="1126"/>
      <c r="D106" s="1126"/>
      <c r="E106" s="1126"/>
      <c r="F106" s="1126"/>
      <c r="G106" s="1126"/>
      <c r="H106" s="1126"/>
      <c r="I106" s="1126"/>
      <c r="J106" s="1126"/>
      <c r="K106" s="1126"/>
      <c r="L106" s="1126"/>
      <c r="M106" s="1126"/>
      <c r="N106" s="1126"/>
      <c r="O106" s="1126"/>
      <c r="P106" s="1126"/>
      <c r="Q106" s="1126"/>
      <c r="R106" s="1126"/>
      <c r="S106" s="1126"/>
      <c r="T106" s="1126"/>
      <c r="U106" s="1126"/>
      <c r="V106" s="1126"/>
      <c r="W106" s="1126"/>
      <c r="X106" s="1126"/>
      <c r="Y106" s="2"/>
      <c r="Z106" s="2"/>
      <c r="AA106" s="2"/>
      <c r="AB106" s="455"/>
      <c r="AC106" s="2"/>
      <c r="AD106" s="2"/>
      <c r="AE106" s="2"/>
      <c r="AF106" s="2"/>
      <c r="AG106" s="2"/>
      <c r="AH106" s="2"/>
      <c r="AI106" s="2"/>
      <c r="AJ106" s="2"/>
      <c r="AK106" s="2"/>
      <c r="AL106" s="2"/>
      <c r="AM106" s="2"/>
      <c r="AN106" s="2"/>
      <c r="AO106" s="2"/>
      <c r="AP106" s="2"/>
      <c r="AQ106" s="2"/>
      <c r="AR106" s="2"/>
      <c r="AS106" s="2"/>
      <c r="AT106" s="2"/>
      <c r="AU106" s="2"/>
      <c r="AV106" s="2"/>
      <c r="AW106" s="2"/>
      <c r="AX106" s="2"/>
      <c r="CB106" s="1067"/>
      <c r="CC106" s="1068"/>
      <c r="CD106" s="1068"/>
      <c r="CE106" s="1068"/>
      <c r="CF106" s="1068"/>
      <c r="CG106" s="1068"/>
      <c r="CH106" s="1068"/>
      <c r="CI106" s="1068"/>
      <c r="CJ106" s="1068"/>
      <c r="CK106" s="1069"/>
    </row>
    <row r="107" spans="1:89" hidden="1">
      <c r="A107" s="1126"/>
      <c r="B107" s="1126"/>
      <c r="C107" s="1126"/>
      <c r="D107" s="1126"/>
      <c r="E107" s="1126"/>
      <c r="F107" s="1126"/>
      <c r="G107" s="1126"/>
      <c r="H107" s="1126"/>
      <c r="I107" s="1126"/>
      <c r="J107" s="1126"/>
      <c r="K107" s="1126"/>
      <c r="L107" s="1126"/>
      <c r="M107" s="1126"/>
      <c r="N107" s="1126"/>
      <c r="O107" s="1126"/>
      <c r="P107" s="1126"/>
      <c r="Q107" s="1126"/>
      <c r="R107" s="1126"/>
      <c r="S107" s="1126"/>
      <c r="T107" s="1126"/>
      <c r="U107" s="1126"/>
      <c r="V107" s="1126"/>
      <c r="W107" s="1126"/>
      <c r="X107" s="1126"/>
      <c r="Y107" s="2"/>
      <c r="Z107" s="2"/>
      <c r="AA107" s="2"/>
      <c r="AB107" s="455"/>
      <c r="AC107" s="2"/>
      <c r="AD107" s="2"/>
      <c r="AE107" s="2"/>
      <c r="AF107" s="2"/>
      <c r="AG107" s="2"/>
      <c r="AH107" s="2"/>
      <c r="AI107" s="2"/>
      <c r="AJ107" s="2"/>
      <c r="AK107" s="2"/>
      <c r="AL107" s="2"/>
      <c r="AM107" s="2"/>
      <c r="AN107" s="2"/>
      <c r="AO107" s="2"/>
      <c r="AP107" s="2"/>
      <c r="AQ107" s="2"/>
      <c r="AR107" s="2"/>
      <c r="AS107" s="2"/>
      <c r="AT107" s="2"/>
      <c r="AU107" s="2"/>
      <c r="AV107" s="2"/>
      <c r="AW107" s="2"/>
      <c r="AX107" s="2"/>
      <c r="CB107" s="1067"/>
      <c r="CC107" s="1068"/>
      <c r="CD107" s="1068"/>
      <c r="CE107" s="1068"/>
      <c r="CF107" s="1068"/>
      <c r="CG107" s="1068"/>
      <c r="CH107" s="1068"/>
      <c r="CI107" s="1068"/>
      <c r="CJ107" s="1068"/>
      <c r="CK107" s="1069"/>
    </row>
    <row r="108" spans="1:89" hidden="1">
      <c r="A108" s="1126"/>
      <c r="B108" s="1126"/>
      <c r="C108" s="1126"/>
      <c r="D108" s="1126"/>
      <c r="E108" s="1126"/>
      <c r="F108" s="1126"/>
      <c r="G108" s="1126"/>
      <c r="H108" s="1126"/>
      <c r="I108" s="1126"/>
      <c r="J108" s="1126"/>
      <c r="K108" s="1126"/>
      <c r="L108" s="1126"/>
      <c r="M108" s="1126"/>
      <c r="N108" s="1126"/>
      <c r="O108" s="1126"/>
      <c r="P108" s="1126"/>
      <c r="Q108" s="1126"/>
      <c r="R108" s="1126"/>
      <c r="S108" s="1126"/>
      <c r="T108" s="1126"/>
      <c r="U108" s="1126"/>
      <c r="V108" s="1126"/>
      <c r="W108" s="1126"/>
      <c r="X108" s="1126"/>
      <c r="Y108" s="2"/>
      <c r="Z108" s="2"/>
      <c r="AA108" s="2"/>
      <c r="AB108" s="455"/>
      <c r="AC108" s="2"/>
      <c r="AD108" s="2"/>
      <c r="AE108" s="2"/>
      <c r="AF108" s="2"/>
      <c r="AG108" s="2"/>
      <c r="AH108" s="2"/>
      <c r="AI108" s="2"/>
      <c r="AJ108" s="2"/>
      <c r="AK108" s="2"/>
      <c r="AL108" s="2"/>
      <c r="AM108" s="2"/>
      <c r="AN108" s="2"/>
      <c r="AO108" s="2"/>
      <c r="AP108" s="2"/>
      <c r="AQ108" s="2"/>
      <c r="AR108" s="2"/>
      <c r="AS108" s="2"/>
      <c r="AT108" s="2"/>
      <c r="AU108" s="2"/>
      <c r="AV108" s="2"/>
      <c r="AW108" s="2"/>
      <c r="AX108" s="2"/>
      <c r="CB108" s="1067"/>
      <c r="CC108" s="1068"/>
      <c r="CD108" s="1068"/>
      <c r="CE108" s="1068"/>
      <c r="CF108" s="1068"/>
      <c r="CG108" s="1068"/>
      <c r="CH108" s="1068"/>
      <c r="CI108" s="1068"/>
      <c r="CJ108" s="1068"/>
      <c r="CK108" s="1069"/>
    </row>
    <row r="109" spans="1:89" hidden="1">
      <c r="A109" s="145"/>
      <c r="B109" s="145"/>
      <c r="C109" s="145"/>
      <c r="D109" s="145"/>
      <c r="E109" s="145"/>
      <c r="F109" s="145"/>
      <c r="G109" s="145"/>
      <c r="H109" s="145"/>
      <c r="I109" s="145"/>
      <c r="J109" s="145"/>
      <c r="K109" s="145"/>
      <c r="L109" s="145"/>
      <c r="M109" s="145"/>
      <c r="N109" s="145"/>
      <c r="O109" s="145"/>
      <c r="P109" s="145"/>
      <c r="Q109" s="145"/>
      <c r="R109" s="145"/>
      <c r="S109" s="145"/>
      <c r="T109" s="145"/>
      <c r="U109" s="145"/>
      <c r="V109" s="145"/>
      <c r="W109" s="145"/>
      <c r="X109" s="2"/>
      <c r="Y109" s="2"/>
      <c r="Z109" s="2"/>
      <c r="AA109" s="2"/>
      <c r="AB109" s="455"/>
      <c r="AC109" s="2"/>
      <c r="AD109" s="2"/>
      <c r="AE109" s="2"/>
      <c r="AF109" s="2"/>
      <c r="AG109" s="2"/>
      <c r="AH109" s="2"/>
      <c r="AI109" s="2"/>
      <c r="AJ109" s="2"/>
      <c r="AK109" s="2"/>
      <c r="AL109" s="2"/>
      <c r="AM109" s="2"/>
      <c r="AN109" s="2"/>
      <c r="AO109" s="2"/>
      <c r="AP109" s="2"/>
      <c r="AQ109" s="2"/>
      <c r="AR109" s="2"/>
      <c r="AS109" s="2"/>
      <c r="AT109" s="2"/>
      <c r="AU109" s="2"/>
      <c r="AV109" s="2"/>
      <c r="AW109" s="2"/>
      <c r="AX109" s="2"/>
      <c r="CB109" s="1067"/>
      <c r="CC109" s="1068"/>
      <c r="CD109" s="1068"/>
      <c r="CE109" s="1068"/>
      <c r="CF109" s="1068"/>
      <c r="CG109" s="1068"/>
      <c r="CH109" s="1068"/>
      <c r="CI109" s="1068"/>
      <c r="CJ109" s="1068"/>
      <c r="CK109" s="1069"/>
    </row>
    <row r="110" spans="1:89" hidden="1">
      <c r="A110" s="140">
        <v>6</v>
      </c>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2"/>
      <c r="Y110" s="2"/>
      <c r="Z110" s="2"/>
      <c r="AA110" s="2"/>
      <c r="AB110" s="455"/>
      <c r="AC110" s="2"/>
      <c r="AD110" s="2"/>
      <c r="AE110" s="2"/>
      <c r="AF110" s="2"/>
      <c r="AG110" s="2"/>
      <c r="AH110" s="2"/>
      <c r="AI110" s="2"/>
      <c r="AJ110" s="2"/>
      <c r="AK110" s="2"/>
      <c r="AL110" s="2"/>
      <c r="AM110" s="2"/>
      <c r="AN110" s="2"/>
      <c r="AO110" s="2"/>
      <c r="AP110" s="2"/>
      <c r="AQ110" s="2"/>
      <c r="AR110" s="2"/>
      <c r="AS110" s="2"/>
      <c r="AT110" s="2"/>
      <c r="AU110" s="2"/>
      <c r="AV110" s="2"/>
      <c r="AW110" s="2"/>
      <c r="AX110" s="2"/>
      <c r="CB110" s="1067"/>
      <c r="CC110" s="1068"/>
      <c r="CD110" s="1068"/>
      <c r="CE110" s="1068"/>
      <c r="CF110" s="1068"/>
      <c r="CG110" s="1068"/>
      <c r="CH110" s="1068"/>
      <c r="CI110" s="1068"/>
      <c r="CJ110" s="1068"/>
      <c r="CK110" s="1069"/>
    </row>
    <row r="111" spans="1:89" ht="12.75" hidden="1" customHeight="1">
      <c r="A111" s="1115" t="s">
        <v>3289</v>
      </c>
      <c r="B111" s="1116"/>
      <c r="C111" s="1116"/>
      <c r="D111" s="1116"/>
      <c r="E111" s="1116"/>
      <c r="F111" s="1116"/>
      <c r="G111" s="1116"/>
      <c r="H111" s="1116"/>
      <c r="I111" s="1116"/>
      <c r="J111" s="1116"/>
      <c r="K111" s="1116"/>
      <c r="L111" s="1116"/>
      <c r="M111" s="1116"/>
      <c r="N111" s="1116"/>
      <c r="O111" s="1116"/>
      <c r="P111" s="1116"/>
      <c r="Q111" s="1116"/>
      <c r="R111" s="1116"/>
      <c r="S111" s="1116"/>
      <c r="T111" s="1116"/>
      <c r="U111" s="1116"/>
      <c r="V111" s="1116"/>
      <c r="W111" s="1116"/>
      <c r="X111" s="1117"/>
      <c r="Y111" s="2"/>
      <c r="Z111" s="2"/>
      <c r="AA111" s="2"/>
      <c r="AB111" s="455"/>
      <c r="AC111" s="2"/>
      <c r="AD111" s="2"/>
      <c r="AE111" s="2"/>
      <c r="AF111" s="2"/>
      <c r="AG111" s="2"/>
      <c r="AH111" s="2"/>
      <c r="AI111" s="2"/>
      <c r="AJ111" s="2"/>
      <c r="AK111" s="2"/>
      <c r="AL111" s="2"/>
      <c r="AM111" s="2"/>
      <c r="AN111" s="2"/>
      <c r="AO111" s="2"/>
      <c r="AP111" s="2"/>
      <c r="AQ111" s="2"/>
      <c r="AR111" s="2"/>
      <c r="AS111" s="2"/>
      <c r="AT111" s="2"/>
      <c r="AU111" s="2"/>
      <c r="AV111" s="2"/>
      <c r="AW111" s="2"/>
      <c r="AX111" s="2"/>
      <c r="CB111" s="1067"/>
      <c r="CC111" s="1068"/>
      <c r="CD111" s="1068"/>
      <c r="CE111" s="1068"/>
      <c r="CF111" s="1068"/>
      <c r="CG111" s="1068"/>
      <c r="CH111" s="1068"/>
      <c r="CI111" s="1068"/>
      <c r="CJ111" s="1068"/>
      <c r="CK111" s="1069"/>
    </row>
    <row r="112" spans="1:89" ht="12.75" hidden="1" customHeight="1">
      <c r="A112" s="1115"/>
      <c r="B112" s="1116"/>
      <c r="C112" s="1116"/>
      <c r="D112" s="1116"/>
      <c r="E112" s="1116"/>
      <c r="F112" s="1116"/>
      <c r="G112" s="1116"/>
      <c r="H112" s="1116"/>
      <c r="I112" s="1116"/>
      <c r="J112" s="1116"/>
      <c r="K112" s="1116"/>
      <c r="L112" s="1116"/>
      <c r="M112" s="1116"/>
      <c r="N112" s="1116"/>
      <c r="O112" s="1116"/>
      <c r="P112" s="1116"/>
      <c r="Q112" s="1116"/>
      <c r="R112" s="1116"/>
      <c r="S112" s="1116"/>
      <c r="T112" s="1116"/>
      <c r="U112" s="1116"/>
      <c r="V112" s="1116"/>
      <c r="W112" s="1116"/>
      <c r="X112" s="1117"/>
      <c r="Y112" s="2"/>
      <c r="Z112" s="2"/>
      <c r="AA112" s="2"/>
      <c r="AB112" s="455"/>
      <c r="AC112" s="2"/>
      <c r="AD112" s="2"/>
      <c r="AE112" s="2"/>
      <c r="AF112" s="2"/>
      <c r="AG112" s="2"/>
      <c r="AH112" s="2"/>
      <c r="AI112" s="2"/>
      <c r="AJ112" s="2"/>
      <c r="AK112" s="2"/>
      <c r="AL112" s="2"/>
      <c r="AM112" s="2"/>
      <c r="AN112" s="2"/>
      <c r="AO112" s="2"/>
      <c r="AP112" s="2"/>
      <c r="AQ112" s="2"/>
      <c r="AR112" s="2"/>
      <c r="AS112" s="2"/>
      <c r="AT112" s="2"/>
      <c r="AU112" s="2"/>
      <c r="AV112" s="2"/>
      <c r="AW112" s="2"/>
      <c r="AX112" s="2"/>
      <c r="CB112" s="1067"/>
      <c r="CC112" s="1068"/>
      <c r="CD112" s="1068"/>
      <c r="CE112" s="1068"/>
      <c r="CF112" s="1068"/>
      <c r="CG112" s="1068"/>
      <c r="CH112" s="1068"/>
      <c r="CI112" s="1068"/>
      <c r="CJ112" s="1068"/>
      <c r="CK112" s="1069"/>
    </row>
    <row r="113" spans="1:89" ht="12.75" hidden="1" customHeight="1">
      <c r="A113" s="1127" t="s">
        <v>3326</v>
      </c>
      <c r="B113" s="1128"/>
      <c r="C113" s="1128"/>
      <c r="D113" s="1128"/>
      <c r="E113" s="1128"/>
      <c r="F113" s="1128"/>
      <c r="G113" s="1128"/>
      <c r="H113" s="1128"/>
      <c r="I113" s="1128"/>
      <c r="J113" s="1128"/>
      <c r="K113" s="1128"/>
      <c r="L113" s="1128"/>
      <c r="M113" s="1128"/>
      <c r="N113" s="2">
        <f>K11</f>
        <v>0</v>
      </c>
      <c r="O113" s="1129" t="s">
        <v>3330</v>
      </c>
      <c r="P113" s="1130"/>
      <c r="Q113" s="1130"/>
      <c r="R113" s="1130"/>
      <c r="S113" s="1130"/>
      <c r="T113" s="1130"/>
      <c r="U113" s="1130"/>
      <c r="V113" s="1130"/>
      <c r="W113" s="1130"/>
      <c r="X113" s="1131"/>
      <c r="Y113" s="2"/>
      <c r="Z113" s="2"/>
      <c r="AA113" s="2"/>
      <c r="AB113" s="455"/>
      <c r="AC113" s="2"/>
      <c r="AD113" s="2"/>
      <c r="AE113" s="2"/>
      <c r="AF113" s="2"/>
      <c r="AG113" s="2"/>
      <c r="AH113" s="2"/>
      <c r="AI113" s="2"/>
      <c r="AJ113" s="2"/>
      <c r="AK113" s="2"/>
      <c r="AL113" s="2"/>
      <c r="AM113" s="2"/>
      <c r="AN113" s="2"/>
      <c r="AO113" s="2"/>
      <c r="AP113" s="2"/>
      <c r="AQ113" s="2"/>
      <c r="AR113" s="2"/>
      <c r="AS113" s="2"/>
      <c r="AT113" s="2"/>
      <c r="AU113" s="2"/>
      <c r="AV113" s="2"/>
      <c r="AW113" s="2"/>
      <c r="AX113" s="2"/>
      <c r="CB113" s="1067"/>
      <c r="CC113" s="1068"/>
      <c r="CD113" s="1068"/>
      <c r="CE113" s="1068"/>
      <c r="CF113" s="1068"/>
      <c r="CG113" s="1068"/>
      <c r="CH113" s="1068"/>
      <c r="CI113" s="1068"/>
      <c r="CJ113" s="1068"/>
      <c r="CK113" s="1069"/>
    </row>
    <row r="114" spans="1:89" hidden="1">
      <c r="A114" s="35"/>
      <c r="B114" s="2"/>
      <c r="C114" s="2"/>
      <c r="D114" s="2"/>
      <c r="E114" s="2"/>
      <c r="F114" s="2"/>
      <c r="G114" s="2"/>
      <c r="H114" s="2"/>
      <c r="I114" s="2"/>
      <c r="J114" s="2"/>
      <c r="K114" s="2"/>
      <c r="L114" s="2"/>
      <c r="M114" s="2"/>
      <c r="N114" s="2"/>
      <c r="O114" s="1130"/>
      <c r="P114" s="1130"/>
      <c r="Q114" s="1130"/>
      <c r="R114" s="1130"/>
      <c r="S114" s="1130"/>
      <c r="T114" s="1130"/>
      <c r="U114" s="1130"/>
      <c r="V114" s="1130"/>
      <c r="W114" s="1130"/>
      <c r="X114" s="1131"/>
      <c r="Y114" s="2"/>
      <c r="Z114" s="2"/>
      <c r="AA114" s="2"/>
      <c r="AB114" s="455"/>
      <c r="AC114" s="2"/>
      <c r="AD114" s="2"/>
      <c r="AE114" s="2"/>
      <c r="AF114" s="2"/>
      <c r="AG114" s="2"/>
      <c r="AH114" s="2"/>
      <c r="AI114" s="2"/>
      <c r="AJ114" s="2"/>
      <c r="AK114" s="2"/>
      <c r="AL114" s="2"/>
      <c r="AM114" s="2"/>
      <c r="AN114" s="2"/>
      <c r="AO114" s="2"/>
      <c r="AP114" s="2"/>
      <c r="AQ114" s="2"/>
      <c r="AR114" s="2"/>
      <c r="AS114" s="2"/>
      <c r="AT114" s="2"/>
      <c r="AU114" s="2"/>
      <c r="AV114" s="2"/>
      <c r="AW114" s="2"/>
      <c r="AX114" s="2"/>
      <c r="CB114" s="1067"/>
      <c r="CC114" s="1068"/>
      <c r="CD114" s="1068"/>
      <c r="CE114" s="1068"/>
      <c r="CF114" s="1068"/>
      <c r="CG114" s="1068"/>
      <c r="CH114" s="1068"/>
      <c r="CI114" s="1068"/>
      <c r="CJ114" s="1068"/>
      <c r="CK114" s="1069"/>
    </row>
    <row r="115" spans="1:89" hidden="1">
      <c r="A115" s="146" t="s">
        <v>3331</v>
      </c>
      <c r="B115" s="143"/>
      <c r="C115" s="143"/>
      <c r="D115" s="143"/>
      <c r="E115" s="143"/>
      <c r="F115" s="143"/>
      <c r="G115" s="143">
        <f>N11</f>
        <v>0</v>
      </c>
      <c r="H115" s="143" t="s">
        <v>3336</v>
      </c>
      <c r="I115" s="2"/>
      <c r="J115" s="2"/>
      <c r="K115" s="2"/>
      <c r="L115" s="2"/>
      <c r="M115" s="2"/>
      <c r="N115" s="2"/>
      <c r="O115" s="2"/>
      <c r="P115" s="2"/>
      <c r="Q115" s="2"/>
      <c r="R115" s="2"/>
      <c r="S115" s="2"/>
      <c r="T115" s="2"/>
      <c r="U115" s="2"/>
      <c r="V115" s="2"/>
      <c r="W115" s="2"/>
      <c r="X115" s="136"/>
      <c r="Y115" s="2"/>
      <c r="Z115" s="2"/>
      <c r="AA115" s="2"/>
      <c r="AB115" s="455"/>
      <c r="AC115" s="2"/>
      <c r="AD115" s="2"/>
      <c r="AE115" s="2"/>
      <c r="AF115" s="2"/>
      <c r="AG115" s="2"/>
      <c r="AH115" s="2"/>
      <c r="AI115" s="2"/>
      <c r="AJ115" s="2"/>
      <c r="AK115" s="2"/>
      <c r="AL115" s="2"/>
      <c r="AM115" s="2"/>
      <c r="AN115" s="2"/>
      <c r="AO115" s="2"/>
      <c r="AP115" s="2"/>
      <c r="AQ115" s="2"/>
      <c r="AR115" s="2"/>
      <c r="AS115" s="2"/>
      <c r="AT115" s="2"/>
      <c r="AU115" s="2"/>
      <c r="AV115" s="2"/>
      <c r="AW115" s="2"/>
      <c r="AX115" s="2"/>
      <c r="CB115" s="1067"/>
      <c r="CC115" s="1068"/>
      <c r="CD115" s="1068"/>
      <c r="CE115" s="1068"/>
      <c r="CF115" s="1068"/>
      <c r="CG115" s="1068"/>
      <c r="CH115" s="1068"/>
      <c r="CI115" s="1068"/>
      <c r="CJ115" s="1068"/>
      <c r="CK115" s="1069"/>
    </row>
    <row r="116" spans="1:89" hidden="1">
      <c r="A116" s="144" t="s">
        <v>3333</v>
      </c>
      <c r="B116" s="147"/>
      <c r="C116" s="147"/>
      <c r="D116" s="147"/>
      <c r="E116" s="138">
        <f>Z11</f>
        <v>0</v>
      </c>
      <c r="F116" s="1124" t="s">
        <v>3337</v>
      </c>
      <c r="G116" s="1124"/>
      <c r="H116" s="1124"/>
      <c r="I116" s="1124"/>
      <c r="J116" s="1124"/>
      <c r="K116" s="1124"/>
      <c r="L116" s="1124"/>
      <c r="M116" s="1124"/>
      <c r="N116" s="1124"/>
      <c r="O116" s="1124"/>
      <c r="P116" s="1124"/>
      <c r="Q116" s="1124"/>
      <c r="R116" s="1124"/>
      <c r="S116" s="1124"/>
      <c r="T116" s="1124"/>
      <c r="U116" s="1124"/>
      <c r="V116" s="1124"/>
      <c r="W116" s="1124"/>
      <c r="X116" s="1125"/>
      <c r="Y116" s="2"/>
      <c r="Z116" s="2"/>
      <c r="AA116" s="2"/>
      <c r="AB116" s="455"/>
      <c r="AC116" s="2"/>
      <c r="AD116" s="2"/>
      <c r="AE116" s="2"/>
      <c r="AF116" s="2"/>
      <c r="AG116" s="2"/>
      <c r="AH116" s="2"/>
      <c r="AI116" s="2"/>
      <c r="AJ116" s="2"/>
      <c r="AK116" s="2"/>
      <c r="AL116" s="2"/>
      <c r="AM116" s="2"/>
      <c r="AN116" s="2"/>
      <c r="AO116" s="2"/>
      <c r="AP116" s="2"/>
      <c r="AQ116" s="2"/>
      <c r="AR116" s="2"/>
      <c r="AS116" s="2"/>
      <c r="AT116" s="2"/>
      <c r="AU116" s="2"/>
      <c r="AV116" s="2"/>
      <c r="AW116" s="2"/>
      <c r="AX116" s="2"/>
      <c r="CB116" s="1067"/>
      <c r="CC116" s="1068"/>
      <c r="CD116" s="1068"/>
      <c r="CE116" s="1068"/>
      <c r="CF116" s="1068"/>
      <c r="CG116" s="1068"/>
      <c r="CH116" s="1068"/>
      <c r="CI116" s="1068"/>
      <c r="CJ116" s="1068"/>
      <c r="CK116" s="1069"/>
    </row>
    <row r="117" spans="1:89" hidden="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455"/>
      <c r="AC117" s="2"/>
      <c r="AD117" s="2"/>
      <c r="AE117" s="2"/>
      <c r="AF117" s="2"/>
      <c r="AG117" s="2"/>
      <c r="AH117" s="2"/>
      <c r="AI117" s="2"/>
      <c r="AJ117" s="2"/>
      <c r="AK117" s="2"/>
      <c r="AL117" s="2"/>
      <c r="AM117" s="2"/>
      <c r="AN117" s="2"/>
      <c r="AO117" s="2"/>
      <c r="AP117" s="2"/>
      <c r="AQ117" s="2"/>
      <c r="AR117" s="2"/>
      <c r="AS117" s="2"/>
      <c r="AT117" s="2"/>
      <c r="AU117" s="2"/>
      <c r="AV117" s="2"/>
      <c r="AW117" s="2"/>
      <c r="AX117" s="2"/>
      <c r="CB117" s="1067"/>
      <c r="CC117" s="1068"/>
      <c r="CD117" s="1068"/>
      <c r="CE117" s="1068"/>
      <c r="CF117" s="1068"/>
      <c r="CG117" s="1068"/>
      <c r="CH117" s="1068"/>
      <c r="CI117" s="1068"/>
      <c r="CJ117" s="1068"/>
      <c r="CK117" s="1069"/>
    </row>
    <row r="118" spans="1:89" hidden="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455"/>
      <c r="AC118" s="2"/>
      <c r="AD118" s="2"/>
      <c r="AE118" s="2"/>
      <c r="AF118" s="2"/>
      <c r="AG118" s="2"/>
      <c r="AH118" s="2"/>
      <c r="AI118" s="2"/>
      <c r="AJ118" s="2"/>
      <c r="AK118" s="2"/>
      <c r="AL118" s="2"/>
      <c r="AM118" s="2"/>
      <c r="AN118" s="2"/>
      <c r="AO118" s="2"/>
      <c r="AP118" s="2"/>
      <c r="AQ118" s="2"/>
      <c r="AR118" s="2"/>
      <c r="AS118" s="2"/>
      <c r="AT118" s="2"/>
      <c r="AU118" s="2"/>
      <c r="AV118" s="2"/>
      <c r="AW118" s="2"/>
      <c r="AX118" s="2"/>
      <c r="CB118" s="1067"/>
      <c r="CC118" s="1068"/>
      <c r="CD118" s="1068"/>
      <c r="CE118" s="1068"/>
      <c r="CF118" s="1068"/>
      <c r="CG118" s="1068"/>
      <c r="CH118" s="1068"/>
      <c r="CI118" s="1068"/>
      <c r="CJ118" s="1068"/>
      <c r="CK118" s="1069"/>
    </row>
    <row r="119" spans="1:89" hidden="1">
      <c r="A119" s="2">
        <v>7</v>
      </c>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457"/>
      <c r="AC119" s="2"/>
      <c r="AD119" s="2"/>
      <c r="AE119" s="2"/>
      <c r="AF119" s="2"/>
      <c r="AG119" s="2"/>
      <c r="AH119" s="2"/>
      <c r="AI119" s="2"/>
      <c r="AJ119" s="2"/>
      <c r="AK119" s="2"/>
      <c r="AL119" s="2"/>
      <c r="AM119" s="2"/>
      <c r="AN119" s="2"/>
      <c r="AO119" s="2"/>
      <c r="AP119" s="2"/>
      <c r="AQ119" s="2"/>
      <c r="AR119" s="2"/>
      <c r="AS119" s="2"/>
      <c r="AT119" s="2"/>
      <c r="AU119" s="2"/>
      <c r="AV119" s="2"/>
      <c r="AW119" s="2"/>
      <c r="AX119" s="2"/>
      <c r="CB119" s="1067"/>
      <c r="CC119" s="1068"/>
      <c r="CD119" s="1068"/>
      <c r="CE119" s="1068"/>
      <c r="CF119" s="1068"/>
      <c r="CG119" s="1068"/>
      <c r="CH119" s="1068"/>
      <c r="CI119" s="1068"/>
      <c r="CJ119" s="1068"/>
      <c r="CK119" s="1069"/>
    </row>
    <row r="120" spans="1:89" hidden="1">
      <c r="A120" s="1112" t="s">
        <v>3291</v>
      </c>
      <c r="B120" s="1113"/>
      <c r="C120" s="1113"/>
      <c r="D120" s="1113"/>
      <c r="E120" s="1113"/>
      <c r="F120" s="1113"/>
      <c r="G120" s="1113"/>
      <c r="H120" s="1113"/>
      <c r="I120" s="1113"/>
      <c r="J120" s="1113"/>
      <c r="K120" s="1113"/>
      <c r="L120" s="1113"/>
      <c r="M120" s="1113"/>
      <c r="N120" s="1113"/>
      <c r="O120" s="1113"/>
      <c r="P120" s="1113"/>
      <c r="Q120" s="1113"/>
      <c r="R120" s="1113"/>
      <c r="S120" s="1113"/>
      <c r="T120" s="1113"/>
      <c r="U120" s="1113"/>
      <c r="V120" s="1113"/>
      <c r="W120" s="1113"/>
      <c r="X120" s="1113"/>
      <c r="Y120" s="1113"/>
      <c r="Z120" s="1113"/>
      <c r="AA120" s="141"/>
      <c r="AB120" s="458"/>
      <c r="AC120" s="2"/>
      <c r="AD120" s="2"/>
      <c r="AE120" s="2"/>
      <c r="AF120" s="2"/>
      <c r="AG120" s="2"/>
      <c r="AH120" s="2"/>
      <c r="AI120" s="2"/>
      <c r="AJ120" s="2"/>
      <c r="AK120" s="2"/>
      <c r="AL120" s="2"/>
      <c r="AM120" s="2"/>
      <c r="AN120" s="2"/>
      <c r="AO120" s="2"/>
      <c r="AP120" s="2"/>
      <c r="AQ120" s="2"/>
      <c r="AR120" s="2"/>
      <c r="AS120" s="2"/>
      <c r="AT120" s="2"/>
      <c r="AU120" s="2"/>
      <c r="AV120" s="2"/>
      <c r="AW120" s="2"/>
      <c r="AX120" s="2"/>
      <c r="CB120" s="1067"/>
      <c r="CC120" s="1068"/>
      <c r="CD120" s="1068"/>
      <c r="CE120" s="1068"/>
      <c r="CF120" s="1068"/>
      <c r="CG120" s="1068"/>
      <c r="CH120" s="1068"/>
      <c r="CI120" s="1068"/>
      <c r="CJ120" s="1068"/>
      <c r="CK120" s="1069"/>
    </row>
    <row r="121" spans="1:89" hidden="1">
      <c r="A121" s="1115"/>
      <c r="B121" s="1116"/>
      <c r="C121" s="1116"/>
      <c r="D121" s="1116"/>
      <c r="E121" s="1116"/>
      <c r="F121" s="1116"/>
      <c r="G121" s="1116"/>
      <c r="H121" s="1116"/>
      <c r="I121" s="1116"/>
      <c r="J121" s="1116"/>
      <c r="K121" s="1116"/>
      <c r="L121" s="1116"/>
      <c r="M121" s="1116"/>
      <c r="N121" s="1116"/>
      <c r="O121" s="1116"/>
      <c r="P121" s="1116"/>
      <c r="Q121" s="1116"/>
      <c r="R121" s="1116"/>
      <c r="S121" s="1116"/>
      <c r="T121" s="1116"/>
      <c r="U121" s="1116"/>
      <c r="V121" s="1116"/>
      <c r="W121" s="1116"/>
      <c r="X121" s="1116"/>
      <c r="Y121" s="1116"/>
      <c r="Z121" s="1116"/>
      <c r="AA121" s="2"/>
      <c r="AB121" s="458"/>
      <c r="AC121" s="2"/>
      <c r="AD121" s="2"/>
      <c r="AE121" s="2"/>
      <c r="AF121" s="2"/>
      <c r="AG121" s="2"/>
      <c r="AH121" s="2"/>
      <c r="AI121" s="2"/>
      <c r="AJ121" s="2"/>
      <c r="AK121" s="2"/>
      <c r="AL121" s="2"/>
      <c r="AM121" s="2"/>
      <c r="AN121" s="2"/>
      <c r="AO121" s="2"/>
      <c r="AP121" s="2"/>
      <c r="AQ121" s="2"/>
      <c r="AR121" s="2"/>
      <c r="AS121" s="2"/>
      <c r="AT121" s="2"/>
      <c r="AU121" s="2"/>
      <c r="AV121" s="2"/>
      <c r="AW121" s="2"/>
      <c r="AX121" s="2"/>
      <c r="CB121" s="1067"/>
      <c r="CC121" s="1068"/>
      <c r="CD121" s="1068"/>
      <c r="CE121" s="1068"/>
      <c r="CF121" s="1068"/>
      <c r="CG121" s="1068"/>
      <c r="CH121" s="1068"/>
      <c r="CI121" s="1068"/>
      <c r="CJ121" s="1068"/>
      <c r="CK121" s="1069"/>
    </row>
    <row r="122" spans="1:89" ht="12.75" hidden="1" customHeight="1">
      <c r="A122" s="146" t="s">
        <v>3338</v>
      </c>
      <c r="B122" s="2"/>
      <c r="C122" s="2"/>
      <c r="D122" s="2"/>
      <c r="E122" s="2"/>
      <c r="F122" s="2"/>
      <c r="G122" s="2"/>
      <c r="H122" s="2"/>
      <c r="I122" s="2"/>
      <c r="J122" s="2"/>
      <c r="K122" s="2"/>
      <c r="L122" s="2"/>
      <c r="M122" s="2"/>
      <c r="N122" s="2"/>
      <c r="O122" s="2"/>
      <c r="P122" s="2"/>
      <c r="Q122" s="2"/>
      <c r="R122" s="2"/>
      <c r="S122" s="2"/>
      <c r="T122" s="2"/>
      <c r="U122" s="2"/>
      <c r="V122" s="2"/>
      <c r="W122" s="2">
        <f>K11</f>
        <v>0</v>
      </c>
      <c r="X122" s="143" t="s">
        <v>3339</v>
      </c>
      <c r="Y122" s="2"/>
      <c r="Z122" s="2"/>
      <c r="AA122" s="2"/>
      <c r="AB122" s="458"/>
      <c r="AC122" s="2"/>
      <c r="AD122" s="2"/>
      <c r="AE122" s="2"/>
      <c r="AF122" s="2"/>
      <c r="AG122" s="2"/>
      <c r="AH122" s="2"/>
      <c r="AI122" s="2"/>
      <c r="AJ122" s="2"/>
      <c r="AK122" s="2"/>
      <c r="AL122" s="2"/>
      <c r="AM122" s="2"/>
      <c r="AN122" s="2"/>
      <c r="AO122" s="2"/>
      <c r="AP122" s="2"/>
      <c r="AQ122" s="2"/>
      <c r="AR122" s="2"/>
      <c r="AS122" s="2"/>
      <c r="AT122" s="2"/>
      <c r="AU122" s="2"/>
      <c r="AV122" s="2"/>
      <c r="AW122" s="2"/>
      <c r="AX122" s="2"/>
      <c r="CB122" s="1067"/>
      <c r="CC122" s="1068"/>
      <c r="CD122" s="1068"/>
      <c r="CE122" s="1068"/>
      <c r="CF122" s="1068"/>
      <c r="CG122" s="1068"/>
      <c r="CH122" s="1068"/>
      <c r="CI122" s="1068"/>
      <c r="CJ122" s="1068"/>
      <c r="CK122" s="1069"/>
    </row>
    <row r="123" spans="1:89" ht="12.75" hidden="1" customHeight="1">
      <c r="A123" s="35">
        <f>N11</f>
        <v>0</v>
      </c>
      <c r="B123" s="1116" t="s">
        <v>3340</v>
      </c>
      <c r="C123" s="1116"/>
      <c r="D123" s="1116"/>
      <c r="E123" s="1116"/>
      <c r="F123" s="1116"/>
      <c r="G123" s="1116"/>
      <c r="H123" s="1116"/>
      <c r="I123" s="1116"/>
      <c r="J123" s="1116"/>
      <c r="K123" s="1116"/>
      <c r="L123" s="1116"/>
      <c r="M123" s="1116"/>
      <c r="N123" s="1116"/>
      <c r="O123" s="1116"/>
      <c r="P123" s="1116"/>
      <c r="Q123" s="1116"/>
      <c r="R123" s="1116"/>
      <c r="S123" s="1116"/>
      <c r="T123" s="1116"/>
      <c r="U123" s="1116"/>
      <c r="V123" s="1116"/>
      <c r="W123" s="1116"/>
      <c r="X123" s="1116"/>
      <c r="Y123" s="1116"/>
      <c r="Z123" s="1116"/>
      <c r="AA123" s="2"/>
      <c r="AB123" s="458"/>
      <c r="AC123" s="2"/>
      <c r="AD123" s="2"/>
      <c r="AE123" s="2"/>
      <c r="AF123" s="2"/>
      <c r="AG123" s="2"/>
      <c r="AH123" s="2"/>
      <c r="AI123" s="2"/>
      <c r="AJ123" s="2"/>
      <c r="AK123" s="2"/>
      <c r="AL123" s="2"/>
      <c r="AM123" s="2"/>
      <c r="AN123" s="2"/>
      <c r="AO123" s="2"/>
      <c r="AP123" s="2"/>
      <c r="AQ123" s="2"/>
      <c r="AR123" s="2"/>
      <c r="AS123" s="2"/>
      <c r="AT123" s="2"/>
      <c r="AU123" s="2"/>
      <c r="AV123" s="2"/>
      <c r="AW123" s="2"/>
      <c r="AX123" s="2"/>
      <c r="CB123" s="1067"/>
      <c r="CC123" s="1068"/>
      <c r="CD123" s="1068"/>
      <c r="CE123" s="1068"/>
      <c r="CF123" s="1068"/>
      <c r="CG123" s="1068"/>
      <c r="CH123" s="1068"/>
      <c r="CI123" s="1068"/>
      <c r="CJ123" s="1068"/>
      <c r="CK123" s="1069"/>
    </row>
    <row r="124" spans="1:89" hidden="1">
      <c r="A124" s="35"/>
      <c r="B124" s="1116"/>
      <c r="C124" s="1116"/>
      <c r="D124" s="1116"/>
      <c r="E124" s="1116"/>
      <c r="F124" s="1116"/>
      <c r="G124" s="1116"/>
      <c r="H124" s="1116"/>
      <c r="I124" s="1116"/>
      <c r="J124" s="1116"/>
      <c r="K124" s="1116"/>
      <c r="L124" s="1116"/>
      <c r="M124" s="1116"/>
      <c r="N124" s="1116"/>
      <c r="O124" s="1116"/>
      <c r="P124" s="1116"/>
      <c r="Q124" s="1116"/>
      <c r="R124" s="1116"/>
      <c r="S124" s="1116"/>
      <c r="T124" s="1116"/>
      <c r="U124" s="1116"/>
      <c r="V124" s="1116"/>
      <c r="W124" s="1116"/>
      <c r="X124" s="1116"/>
      <c r="Y124" s="1116"/>
      <c r="Z124" s="1116"/>
      <c r="AA124" s="2"/>
      <c r="AB124" s="458"/>
      <c r="AC124" s="2"/>
      <c r="AD124" s="2"/>
      <c r="AE124" s="2"/>
      <c r="AF124" s="2"/>
      <c r="AG124" s="2"/>
      <c r="AH124" s="2"/>
      <c r="AI124" s="2"/>
      <c r="AJ124" s="2"/>
      <c r="AK124" s="2"/>
      <c r="AL124" s="2"/>
      <c r="AM124" s="2"/>
      <c r="AN124" s="2"/>
      <c r="AO124" s="2"/>
      <c r="AP124" s="2"/>
      <c r="AQ124" s="2"/>
      <c r="AR124" s="2"/>
      <c r="AS124" s="2"/>
      <c r="AT124" s="2"/>
      <c r="AU124" s="2"/>
      <c r="AV124" s="2"/>
      <c r="AW124" s="2"/>
      <c r="AX124" s="2"/>
      <c r="CB124" s="1067"/>
      <c r="CC124" s="1068"/>
      <c r="CD124" s="1068"/>
      <c r="CE124" s="1068"/>
      <c r="CF124" s="1068"/>
      <c r="CG124" s="1068"/>
      <c r="CH124" s="1068"/>
      <c r="CI124" s="1068"/>
      <c r="CJ124" s="1068"/>
      <c r="CK124" s="1069"/>
    </row>
    <row r="125" spans="1:89" hidden="1">
      <c r="A125" s="146" t="s">
        <v>3331</v>
      </c>
      <c r="B125" s="2"/>
      <c r="C125" s="2"/>
      <c r="D125" s="2"/>
      <c r="E125" s="2"/>
      <c r="F125" s="2"/>
      <c r="G125" s="2">
        <f>W11</f>
        <v>0</v>
      </c>
      <c r="H125" s="143" t="s">
        <v>3341</v>
      </c>
      <c r="I125" s="2"/>
      <c r="J125" s="2"/>
      <c r="K125" s="2"/>
      <c r="L125" s="2"/>
      <c r="M125" s="2"/>
      <c r="N125" s="2"/>
      <c r="O125" s="2"/>
      <c r="P125" s="2"/>
      <c r="Q125" s="2"/>
      <c r="R125" s="2"/>
      <c r="S125" s="2"/>
      <c r="T125" s="2"/>
      <c r="U125" s="2"/>
      <c r="V125" s="2"/>
      <c r="W125" s="2"/>
      <c r="X125" s="2"/>
      <c r="Y125" s="2"/>
      <c r="Z125" s="2"/>
      <c r="AA125" s="2"/>
      <c r="AB125" s="459"/>
      <c r="AC125" s="2"/>
      <c r="AD125" s="2"/>
      <c r="AE125" s="2"/>
      <c r="AF125" s="2"/>
      <c r="AG125" s="2"/>
      <c r="AH125" s="2"/>
      <c r="AI125" s="2"/>
      <c r="AJ125" s="2"/>
      <c r="AK125" s="2"/>
      <c r="AL125" s="2"/>
      <c r="AM125" s="2"/>
      <c r="AN125" s="2"/>
      <c r="AO125" s="2"/>
      <c r="AP125" s="2"/>
      <c r="AQ125" s="2"/>
      <c r="AR125" s="2"/>
      <c r="AS125" s="2"/>
      <c r="AT125" s="2"/>
      <c r="AU125" s="2"/>
      <c r="AV125" s="2"/>
      <c r="AW125" s="2"/>
      <c r="AX125" s="2"/>
      <c r="CB125" s="1067"/>
      <c r="CC125" s="1068"/>
      <c r="CD125" s="1068"/>
      <c r="CE125" s="1068"/>
      <c r="CF125" s="1068"/>
      <c r="CG125" s="1068"/>
      <c r="CH125" s="1068"/>
      <c r="CI125" s="1068"/>
      <c r="CJ125" s="1068"/>
      <c r="CK125" s="1069"/>
    </row>
    <row r="126" spans="1:89" hidden="1">
      <c r="A126" s="144" t="s">
        <v>3333</v>
      </c>
      <c r="B126" s="138"/>
      <c r="C126" s="138"/>
      <c r="D126" s="138"/>
      <c r="E126" s="138">
        <f>Z11</f>
        <v>0</v>
      </c>
      <c r="F126" s="1137" t="s">
        <v>3334</v>
      </c>
      <c r="G126" s="1137"/>
      <c r="H126" s="1137"/>
      <c r="I126" s="1137"/>
      <c r="J126" s="1137"/>
      <c r="K126" s="1137"/>
      <c r="L126" s="1137"/>
      <c r="M126" s="1137"/>
      <c r="N126" s="1137"/>
      <c r="O126" s="1137"/>
      <c r="P126" s="1137"/>
      <c r="Q126" s="1137"/>
      <c r="R126" s="1137"/>
      <c r="S126" s="1137"/>
      <c r="T126" s="1137"/>
      <c r="U126" s="1137"/>
      <c r="V126" s="1137"/>
      <c r="W126" s="1137"/>
      <c r="X126" s="1137"/>
      <c r="Y126" s="1137"/>
      <c r="Z126" s="138"/>
      <c r="AA126" s="138"/>
      <c r="AB126" s="455"/>
      <c r="AC126" s="2"/>
      <c r="AD126" s="2"/>
      <c r="AE126" s="2"/>
      <c r="AF126" s="2"/>
      <c r="AG126" s="2"/>
      <c r="AH126" s="2"/>
      <c r="AI126" s="2"/>
      <c r="AJ126" s="2"/>
      <c r="AK126" s="2"/>
      <c r="AL126" s="2"/>
      <c r="AM126" s="2"/>
      <c r="AN126" s="2"/>
      <c r="AO126" s="2"/>
      <c r="AP126" s="2"/>
      <c r="AQ126" s="2"/>
      <c r="AR126" s="2"/>
      <c r="AS126" s="2"/>
      <c r="AT126" s="2"/>
      <c r="AU126" s="2"/>
      <c r="AV126" s="2"/>
      <c r="AW126" s="2"/>
      <c r="AX126" s="2"/>
      <c r="CB126" s="1067"/>
      <c r="CC126" s="1068"/>
      <c r="CD126" s="1068"/>
      <c r="CE126" s="1068"/>
      <c r="CF126" s="1068"/>
      <c r="CG126" s="1068"/>
      <c r="CH126" s="1068"/>
      <c r="CI126" s="1068"/>
      <c r="CJ126" s="1068"/>
      <c r="CK126" s="1069"/>
    </row>
    <row r="127" spans="1:89" hidden="1">
      <c r="A127" s="2"/>
      <c r="B127" s="2"/>
      <c r="C127" s="2"/>
      <c r="D127" s="2"/>
      <c r="E127" s="2"/>
      <c r="F127" s="143"/>
      <c r="G127" s="2"/>
      <c r="H127" s="2"/>
      <c r="I127" s="2"/>
      <c r="J127" s="2"/>
      <c r="K127" s="2"/>
      <c r="L127" s="2"/>
      <c r="M127" s="2"/>
      <c r="N127" s="2"/>
      <c r="O127" s="2"/>
      <c r="P127" s="2"/>
      <c r="Q127" s="2"/>
      <c r="R127" s="2"/>
      <c r="S127" s="2"/>
      <c r="T127" s="2"/>
      <c r="U127" s="2"/>
      <c r="V127" s="2"/>
      <c r="W127" s="2"/>
      <c r="X127" s="2"/>
      <c r="Y127" s="2"/>
      <c r="Z127" s="2"/>
      <c r="AA127" s="2"/>
      <c r="AB127" s="455"/>
      <c r="AC127" s="2"/>
      <c r="AD127" s="2"/>
      <c r="AE127" s="2"/>
      <c r="AF127" s="2"/>
      <c r="AG127" s="2"/>
      <c r="AH127" s="2"/>
      <c r="AI127" s="2"/>
      <c r="AJ127" s="2"/>
      <c r="AK127" s="2"/>
      <c r="AL127" s="2"/>
      <c r="AM127" s="2"/>
      <c r="AN127" s="2"/>
      <c r="AO127" s="2"/>
      <c r="AP127" s="2"/>
      <c r="AQ127" s="2"/>
      <c r="AR127" s="2"/>
      <c r="AS127" s="2"/>
      <c r="AT127" s="2"/>
      <c r="AU127" s="2"/>
      <c r="AV127" s="2"/>
      <c r="AW127" s="2"/>
      <c r="AX127" s="2"/>
      <c r="CB127" s="1067"/>
      <c r="CC127" s="1068"/>
      <c r="CD127" s="1068"/>
      <c r="CE127" s="1068"/>
      <c r="CF127" s="1068"/>
      <c r="CG127" s="1068"/>
      <c r="CH127" s="1068"/>
      <c r="CI127" s="1068"/>
      <c r="CJ127" s="1068"/>
      <c r="CK127" s="1069"/>
    </row>
    <row r="128" spans="1:89" hidden="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455"/>
      <c r="AC128" s="2"/>
      <c r="AD128" s="2"/>
      <c r="AE128" s="2"/>
      <c r="AF128" s="2"/>
      <c r="AG128" s="2"/>
      <c r="AH128" s="2"/>
      <c r="AI128" s="2"/>
      <c r="AJ128" s="2"/>
      <c r="AK128" s="2"/>
      <c r="AL128" s="2"/>
      <c r="AM128" s="2"/>
      <c r="AN128" s="2"/>
      <c r="AO128" s="2"/>
      <c r="AP128" s="2"/>
      <c r="AQ128" s="2"/>
      <c r="AR128" s="2"/>
      <c r="AS128" s="2"/>
      <c r="AT128" s="2"/>
      <c r="AU128" s="2"/>
      <c r="AV128" s="2"/>
      <c r="AW128" s="2"/>
      <c r="AX128" s="2"/>
      <c r="CB128" s="1067"/>
      <c r="CC128" s="1068"/>
      <c r="CD128" s="1068"/>
      <c r="CE128" s="1068"/>
      <c r="CF128" s="1068"/>
      <c r="CG128" s="1068"/>
      <c r="CH128" s="1068"/>
      <c r="CI128" s="1068"/>
      <c r="CJ128" s="1068"/>
      <c r="CK128" s="1069"/>
    </row>
    <row r="129" spans="1:89" ht="15" hidden="1" thickBot="1">
      <c r="A129" s="2">
        <v>8</v>
      </c>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460"/>
      <c r="AC129" s="2"/>
      <c r="AD129" s="2"/>
      <c r="AE129" s="2"/>
      <c r="AF129" s="2"/>
      <c r="AG129" s="2"/>
      <c r="AH129" s="2"/>
      <c r="AI129" s="2"/>
      <c r="AJ129" s="2"/>
      <c r="AK129" s="2"/>
      <c r="AL129" s="2"/>
      <c r="AM129" s="2"/>
      <c r="AN129" s="2"/>
      <c r="AO129" s="2"/>
      <c r="AP129" s="2"/>
      <c r="AQ129" s="2"/>
      <c r="AR129" s="2"/>
      <c r="AS129" s="2"/>
      <c r="AT129" s="2"/>
      <c r="AU129" s="2"/>
      <c r="AV129" s="2"/>
      <c r="AW129" s="2"/>
      <c r="AX129" s="2"/>
      <c r="CB129" s="1070"/>
      <c r="CC129" s="1071"/>
      <c r="CD129" s="1071"/>
      <c r="CE129" s="1071"/>
      <c r="CF129" s="1071"/>
      <c r="CG129" s="1071"/>
      <c r="CH129" s="1071"/>
      <c r="CI129" s="1071"/>
      <c r="CJ129" s="1071"/>
      <c r="CK129" s="1072"/>
    </row>
    <row r="130" spans="1:89" ht="12.75" hidden="1" customHeight="1">
      <c r="A130" s="1112" t="s">
        <v>3294</v>
      </c>
      <c r="B130" s="1113"/>
      <c r="C130" s="1113"/>
      <c r="D130" s="1113"/>
      <c r="E130" s="1113"/>
      <c r="F130" s="1113"/>
      <c r="G130" s="1113"/>
      <c r="H130" s="1113"/>
      <c r="I130" s="1113"/>
      <c r="J130" s="1113"/>
      <c r="K130" s="1113"/>
      <c r="L130" s="1113"/>
      <c r="M130" s="1113"/>
      <c r="N130" s="1113"/>
      <c r="O130" s="1113"/>
      <c r="P130" s="1113"/>
      <c r="Q130" s="1113"/>
      <c r="R130" s="1113"/>
      <c r="S130" s="1113"/>
      <c r="T130" s="1113"/>
      <c r="U130" s="1113"/>
      <c r="V130" s="1113"/>
      <c r="W130" s="1113"/>
      <c r="X130" s="1113"/>
      <c r="Y130" s="1113"/>
      <c r="Z130" s="1113"/>
      <c r="AA130" s="1113"/>
      <c r="AB130" s="455"/>
      <c r="AC130" s="2"/>
      <c r="AD130" s="2"/>
      <c r="AE130" s="2"/>
      <c r="AF130" s="2"/>
      <c r="AG130" s="2"/>
      <c r="AH130" s="2"/>
      <c r="AI130" s="2"/>
      <c r="AJ130" s="2"/>
      <c r="AK130" s="2"/>
      <c r="AL130" s="2"/>
      <c r="AM130" s="2"/>
      <c r="AN130" s="2"/>
      <c r="AO130" s="2"/>
      <c r="AP130" s="2"/>
      <c r="AQ130" s="2"/>
      <c r="AR130" s="2"/>
      <c r="AS130" s="2"/>
      <c r="AT130" s="2"/>
      <c r="AU130" s="2"/>
      <c r="AV130" s="2"/>
      <c r="AW130" s="2"/>
      <c r="AX130" s="2"/>
    </row>
    <row r="131" spans="1:89" ht="12.75" hidden="1" customHeight="1">
      <c r="A131" s="1115"/>
      <c r="B131" s="1116"/>
      <c r="C131" s="1116"/>
      <c r="D131" s="1116"/>
      <c r="E131" s="1116"/>
      <c r="F131" s="1116"/>
      <c r="G131" s="1116"/>
      <c r="H131" s="1116"/>
      <c r="I131" s="1116"/>
      <c r="J131" s="1116"/>
      <c r="K131" s="1116"/>
      <c r="L131" s="1116"/>
      <c r="M131" s="1116"/>
      <c r="N131" s="1116"/>
      <c r="O131" s="1116"/>
      <c r="P131" s="1116"/>
      <c r="Q131" s="1116"/>
      <c r="R131" s="1116"/>
      <c r="S131" s="1116"/>
      <c r="T131" s="1116"/>
      <c r="U131" s="1116"/>
      <c r="V131" s="1116"/>
      <c r="W131" s="1116"/>
      <c r="X131" s="1116"/>
      <c r="Y131" s="1116"/>
      <c r="Z131" s="1116"/>
      <c r="AA131" s="1116"/>
      <c r="AB131" s="455"/>
      <c r="AC131" s="2"/>
      <c r="AD131" s="2"/>
      <c r="AE131" s="2"/>
      <c r="AF131" s="2"/>
      <c r="AG131" s="2"/>
      <c r="AH131" s="2"/>
      <c r="AI131" s="2"/>
      <c r="AJ131" s="2"/>
      <c r="AK131" s="2"/>
      <c r="AL131" s="2"/>
      <c r="AM131" s="2"/>
      <c r="AN131" s="2"/>
      <c r="AO131" s="2"/>
      <c r="AP131" s="2"/>
      <c r="AQ131" s="2"/>
      <c r="AR131" s="2"/>
      <c r="AS131" s="2"/>
      <c r="AT131" s="2"/>
      <c r="AU131" s="2"/>
      <c r="AV131" s="2"/>
      <c r="AW131" s="2"/>
      <c r="AX131" s="2"/>
    </row>
    <row r="132" spans="1:89" ht="12.75" hidden="1" customHeight="1">
      <c r="A132" s="146" t="s">
        <v>3342</v>
      </c>
      <c r="B132" s="2"/>
      <c r="C132" s="2"/>
      <c r="D132" s="2"/>
      <c r="E132" s="2"/>
      <c r="F132" s="2"/>
      <c r="G132" s="2"/>
      <c r="H132" s="2"/>
      <c r="I132" s="2"/>
      <c r="J132" s="2"/>
      <c r="K132" s="2"/>
      <c r="L132" s="2"/>
      <c r="M132" s="2"/>
      <c r="N132" s="2"/>
      <c r="O132" s="2">
        <f>K11</f>
        <v>0</v>
      </c>
      <c r="P132" s="143" t="s">
        <v>3339</v>
      </c>
      <c r="Q132" s="2">
        <f>T11</f>
        <v>0</v>
      </c>
      <c r="R132" s="143" t="s">
        <v>3343</v>
      </c>
      <c r="S132" s="2"/>
      <c r="T132" s="2"/>
      <c r="U132" s="2"/>
      <c r="V132" s="2"/>
      <c r="W132" s="2"/>
      <c r="X132" s="2"/>
      <c r="Y132" s="2"/>
      <c r="Z132" s="2"/>
      <c r="AA132" s="2"/>
      <c r="AB132" s="455"/>
      <c r="AC132" s="2"/>
      <c r="AD132" s="2"/>
      <c r="AE132" s="2"/>
      <c r="AF132" s="2"/>
      <c r="AG132" s="2"/>
      <c r="AH132" s="2"/>
      <c r="AI132" s="2"/>
      <c r="AJ132" s="2"/>
      <c r="AK132" s="2"/>
      <c r="AL132" s="2"/>
      <c r="AM132" s="2"/>
      <c r="AN132" s="2"/>
      <c r="AO132" s="2"/>
      <c r="AP132" s="2"/>
      <c r="AQ132" s="2"/>
      <c r="AR132" s="2"/>
      <c r="AS132" s="2"/>
      <c r="AT132" s="2"/>
      <c r="AU132" s="2"/>
      <c r="AV132" s="2"/>
      <c r="AW132" s="2"/>
      <c r="AX132" s="2"/>
    </row>
    <row r="133" spans="1:89" hidden="1">
      <c r="A133" s="146" t="s">
        <v>3331</v>
      </c>
      <c r="B133" s="2"/>
      <c r="C133" s="2"/>
      <c r="D133" s="2"/>
      <c r="E133" s="2"/>
      <c r="F133" s="2"/>
      <c r="G133" s="2">
        <f>W11</f>
        <v>0</v>
      </c>
      <c r="H133" s="143" t="s">
        <v>3344</v>
      </c>
      <c r="I133" s="2"/>
      <c r="J133" s="2"/>
      <c r="K133" s="2"/>
      <c r="L133" s="2"/>
      <c r="M133" s="2"/>
      <c r="N133" s="2"/>
      <c r="O133" s="2"/>
      <c r="P133" s="2"/>
      <c r="Q133" s="2"/>
      <c r="R133" s="2"/>
      <c r="S133" s="2"/>
      <c r="T133" s="2"/>
      <c r="U133" s="2"/>
      <c r="V133" s="2"/>
      <c r="W133" s="2"/>
      <c r="X133" s="2"/>
      <c r="Y133" s="2"/>
      <c r="Z133" s="2"/>
      <c r="AA133" s="2"/>
      <c r="AB133" s="455"/>
      <c r="AC133" s="2"/>
      <c r="AD133" s="2"/>
      <c r="AE133" s="2"/>
      <c r="AF133" s="2"/>
      <c r="AG133" s="2"/>
      <c r="AH133" s="2"/>
      <c r="AI133" s="2"/>
      <c r="AJ133" s="2"/>
      <c r="AK133" s="2"/>
      <c r="AL133" s="2"/>
      <c r="AM133" s="2"/>
      <c r="AN133" s="2"/>
      <c r="AO133" s="2"/>
      <c r="AP133" s="2"/>
      <c r="AQ133" s="2"/>
      <c r="AR133" s="2"/>
      <c r="AS133" s="2"/>
      <c r="AT133" s="2"/>
      <c r="AU133" s="2"/>
      <c r="AV133" s="2"/>
      <c r="AW133" s="2"/>
      <c r="AX133" s="2"/>
    </row>
    <row r="134" spans="1:89" hidden="1">
      <c r="A134" s="146" t="s">
        <v>3345</v>
      </c>
      <c r="B134" s="2"/>
      <c r="C134" s="2"/>
      <c r="D134" s="2"/>
      <c r="E134" s="2"/>
      <c r="F134" s="2"/>
      <c r="G134" s="2">
        <f>Z11</f>
        <v>0</v>
      </c>
      <c r="H134" s="143" t="s">
        <v>3346</v>
      </c>
      <c r="I134" s="2"/>
      <c r="J134" s="2"/>
      <c r="K134" s="2"/>
      <c r="L134" s="2"/>
      <c r="M134" s="2"/>
      <c r="N134" s="2"/>
      <c r="O134" s="2"/>
      <c r="P134" s="2"/>
      <c r="Q134" s="2"/>
      <c r="R134" s="2"/>
      <c r="S134" s="2"/>
      <c r="T134" s="2"/>
      <c r="U134" s="2"/>
      <c r="V134" s="2"/>
      <c r="W134" s="2"/>
      <c r="X134" s="2"/>
      <c r="Y134" s="2"/>
      <c r="Z134" s="2"/>
      <c r="AA134" s="2"/>
      <c r="AB134" s="455"/>
      <c r="AC134" s="2"/>
      <c r="AD134" s="2"/>
      <c r="AE134" s="2"/>
      <c r="AF134" s="2"/>
      <c r="AG134" s="2"/>
      <c r="AH134" s="2"/>
      <c r="AI134" s="2"/>
      <c r="AJ134" s="2"/>
      <c r="AK134" s="2"/>
      <c r="AL134" s="2"/>
      <c r="AM134" s="2"/>
      <c r="AN134" s="2"/>
      <c r="AO134" s="2"/>
      <c r="AP134" s="2"/>
      <c r="AQ134" s="2"/>
      <c r="AR134" s="2"/>
      <c r="AS134" s="2"/>
      <c r="AT134" s="2"/>
      <c r="AU134" s="2"/>
      <c r="AV134" s="2"/>
      <c r="AW134" s="2"/>
      <c r="AX134" s="2"/>
    </row>
    <row r="135" spans="1:89" hidden="1">
      <c r="A135" s="313" t="s">
        <v>3347</v>
      </c>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461"/>
      <c r="AC135" s="2"/>
      <c r="AD135" s="2"/>
      <c r="AE135" s="2"/>
      <c r="AF135" s="2"/>
      <c r="AG135" s="2"/>
      <c r="AH135" s="2"/>
      <c r="AI135" s="2"/>
      <c r="AJ135" s="2"/>
      <c r="AK135" s="2"/>
      <c r="AL135" s="2"/>
      <c r="AM135" s="2"/>
      <c r="AN135" s="2"/>
      <c r="AO135" s="2"/>
      <c r="AP135" s="2"/>
      <c r="AQ135" s="2"/>
      <c r="AR135" s="2"/>
      <c r="AS135" s="2"/>
      <c r="AT135" s="2"/>
      <c r="AU135" s="2"/>
      <c r="AV135" s="2"/>
      <c r="AW135" s="2"/>
      <c r="AX135" s="2"/>
    </row>
    <row r="136" spans="1:89" hidden="1">
      <c r="A136" s="137"/>
      <c r="B136" s="138"/>
      <c r="C136" s="138"/>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455"/>
      <c r="AC136" s="2"/>
      <c r="AD136" s="2"/>
      <c r="AE136" s="2"/>
      <c r="AF136" s="2"/>
      <c r="AG136" s="2"/>
      <c r="AH136" s="2"/>
      <c r="AI136" s="2"/>
      <c r="AJ136" s="2"/>
      <c r="AK136" s="2"/>
      <c r="AL136" s="2"/>
      <c r="AM136" s="2"/>
      <c r="AN136" s="2"/>
      <c r="AO136" s="2"/>
      <c r="AP136" s="2"/>
      <c r="AQ136" s="2"/>
      <c r="AR136" s="2"/>
      <c r="AS136" s="2"/>
      <c r="AT136" s="2"/>
      <c r="AU136" s="2"/>
      <c r="AV136" s="2"/>
      <c r="AW136" s="2"/>
      <c r="AX136" s="2"/>
    </row>
    <row r="137" spans="1:89" hidden="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455"/>
      <c r="AC137" s="2"/>
      <c r="AD137" s="2"/>
      <c r="AE137" s="2"/>
      <c r="AF137" s="2"/>
      <c r="AG137" s="2"/>
      <c r="AH137" s="2"/>
      <c r="AI137" s="2"/>
      <c r="AJ137" s="2"/>
      <c r="AK137" s="2"/>
      <c r="AL137" s="2"/>
      <c r="AM137" s="2"/>
      <c r="AN137" s="2"/>
      <c r="AO137" s="2"/>
      <c r="AP137" s="2"/>
      <c r="AQ137" s="2"/>
      <c r="AR137" s="2"/>
      <c r="AS137" s="2"/>
      <c r="AT137" s="2"/>
      <c r="AU137" s="2"/>
      <c r="AV137" s="2"/>
      <c r="AW137" s="2"/>
      <c r="AX137" s="2"/>
    </row>
    <row r="138" spans="1:89" hidden="1">
      <c r="A138" s="2">
        <v>9</v>
      </c>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455"/>
      <c r="AC138" s="2"/>
      <c r="AD138" s="2"/>
      <c r="AE138" s="2"/>
      <c r="AF138" s="2"/>
      <c r="AG138" s="2"/>
      <c r="AH138" s="2"/>
      <c r="AI138" s="2"/>
      <c r="AJ138" s="2"/>
      <c r="AK138" s="2"/>
      <c r="AL138" s="2"/>
      <c r="AM138" s="2"/>
      <c r="AN138" s="2"/>
      <c r="AO138" s="2"/>
      <c r="AP138" s="2"/>
      <c r="AQ138" s="2"/>
      <c r="AR138" s="2"/>
      <c r="AS138" s="2"/>
      <c r="AT138" s="2"/>
      <c r="AU138" s="2"/>
      <c r="AV138" s="2"/>
      <c r="AW138" s="2"/>
      <c r="AX138" s="2"/>
    </row>
    <row r="139" spans="1:89" ht="12.75" hidden="1" customHeight="1">
      <c r="A139" s="1112" t="s">
        <v>3296</v>
      </c>
      <c r="B139" s="1113"/>
      <c r="C139" s="1113"/>
      <c r="D139" s="1113"/>
      <c r="E139" s="1113"/>
      <c r="F139" s="1113"/>
      <c r="G139" s="1113"/>
      <c r="H139" s="1113"/>
      <c r="I139" s="1113"/>
      <c r="J139" s="1113"/>
      <c r="K139" s="1113"/>
      <c r="L139" s="1113"/>
      <c r="M139" s="1113"/>
      <c r="N139" s="1113"/>
      <c r="O139" s="1113"/>
      <c r="P139" s="1113"/>
      <c r="Q139" s="1113"/>
      <c r="R139" s="1113"/>
      <c r="S139" s="1113"/>
      <c r="T139" s="1113"/>
      <c r="U139" s="1113"/>
      <c r="V139" s="1113"/>
      <c r="W139" s="1113"/>
      <c r="X139" s="1113"/>
      <c r="Y139" s="1113"/>
      <c r="Z139" s="1113"/>
      <c r="AA139" s="1114"/>
      <c r="AB139" s="455"/>
      <c r="AC139" s="2"/>
      <c r="AD139" s="2"/>
      <c r="AE139" s="2"/>
      <c r="AF139" s="2"/>
      <c r="AG139" s="2"/>
      <c r="AH139" s="2"/>
      <c r="AI139" s="2"/>
      <c r="AJ139" s="2"/>
      <c r="AK139" s="2"/>
      <c r="AL139" s="2"/>
      <c r="AM139" s="2"/>
      <c r="AN139" s="2"/>
      <c r="AO139" s="2"/>
      <c r="AP139" s="2"/>
      <c r="AQ139" s="2"/>
      <c r="AR139" s="2"/>
      <c r="AS139" s="2"/>
      <c r="AT139" s="2"/>
      <c r="AU139" s="2"/>
      <c r="AV139" s="2"/>
      <c r="AW139" s="2"/>
      <c r="AX139" s="2"/>
    </row>
    <row r="140" spans="1:89" ht="12.75" hidden="1" customHeight="1">
      <c r="A140" s="1115"/>
      <c r="B140" s="1116"/>
      <c r="C140" s="1116"/>
      <c r="D140" s="1116"/>
      <c r="E140" s="1116"/>
      <c r="F140" s="1116"/>
      <c r="G140" s="1116"/>
      <c r="H140" s="1116"/>
      <c r="I140" s="1116"/>
      <c r="J140" s="1116"/>
      <c r="K140" s="1116"/>
      <c r="L140" s="1116"/>
      <c r="M140" s="1116"/>
      <c r="N140" s="1116"/>
      <c r="O140" s="1116"/>
      <c r="P140" s="1116"/>
      <c r="Q140" s="1116"/>
      <c r="R140" s="1116"/>
      <c r="S140" s="1116"/>
      <c r="T140" s="1116"/>
      <c r="U140" s="1116"/>
      <c r="V140" s="1116"/>
      <c r="W140" s="1116"/>
      <c r="X140" s="1116"/>
      <c r="Y140" s="1116"/>
      <c r="Z140" s="1116"/>
      <c r="AA140" s="1117"/>
      <c r="AB140" s="455"/>
      <c r="AC140" s="2"/>
      <c r="AD140" s="2"/>
      <c r="AE140" s="2"/>
      <c r="AF140" s="2"/>
      <c r="AG140" s="2"/>
      <c r="AH140" s="2"/>
      <c r="AI140" s="2"/>
      <c r="AJ140" s="2"/>
      <c r="AK140" s="2"/>
      <c r="AL140" s="2"/>
      <c r="AM140" s="2"/>
      <c r="AN140" s="2"/>
      <c r="AO140" s="2"/>
      <c r="AP140" s="2"/>
      <c r="AQ140" s="2"/>
      <c r="AR140" s="2"/>
      <c r="AS140" s="2"/>
      <c r="AT140" s="2"/>
      <c r="AU140" s="2"/>
      <c r="AV140" s="2"/>
      <c r="AW140" s="2"/>
      <c r="AX140" s="2"/>
    </row>
    <row r="141" spans="1:89" hidden="1">
      <c r="A141" s="146" t="s">
        <v>3342</v>
      </c>
      <c r="B141" s="2"/>
      <c r="C141" s="2"/>
      <c r="D141" s="2"/>
      <c r="E141" s="2"/>
      <c r="F141" s="2"/>
      <c r="G141" s="2"/>
      <c r="H141" s="2"/>
      <c r="I141" s="2"/>
      <c r="J141" s="2"/>
      <c r="K141" s="2"/>
      <c r="L141" s="2"/>
      <c r="M141" s="2"/>
      <c r="N141" s="2"/>
      <c r="O141" s="2"/>
      <c r="P141" s="2"/>
      <c r="Q141" s="2"/>
      <c r="R141" s="2"/>
      <c r="S141" s="2"/>
      <c r="T141" s="2"/>
      <c r="U141" s="2"/>
      <c r="V141" s="2"/>
      <c r="W141" s="2"/>
      <c r="X141" s="2"/>
      <c r="Y141" s="2">
        <f>K11</f>
        <v>0</v>
      </c>
      <c r="Z141" s="2"/>
      <c r="AA141" s="136"/>
      <c r="AB141" s="455"/>
      <c r="AC141" s="2"/>
      <c r="AD141" s="2"/>
      <c r="AE141" s="2"/>
      <c r="AF141" s="2"/>
      <c r="AG141" s="2"/>
      <c r="AH141" s="2"/>
      <c r="AI141" s="2"/>
      <c r="AJ141" s="2"/>
      <c r="AK141" s="2"/>
      <c r="AL141" s="2"/>
      <c r="AM141" s="2"/>
      <c r="AN141" s="2"/>
      <c r="AO141" s="2"/>
      <c r="AP141" s="2"/>
      <c r="AQ141" s="2"/>
      <c r="AR141" s="2"/>
      <c r="AS141" s="2"/>
      <c r="AT141" s="2"/>
      <c r="AU141" s="2"/>
      <c r="AV141" s="2"/>
      <c r="AW141" s="2"/>
      <c r="AX141" s="2"/>
    </row>
    <row r="142" spans="1:89" hidden="1">
      <c r="A142" s="146" t="s">
        <v>3327</v>
      </c>
      <c r="B142" s="2"/>
      <c r="C142" s="2"/>
      <c r="D142" s="2"/>
      <c r="E142" s="2"/>
      <c r="F142" s="2"/>
      <c r="G142" s="2">
        <f>T11</f>
        <v>0</v>
      </c>
      <c r="H142" s="143" t="s">
        <v>3348</v>
      </c>
      <c r="I142" s="2"/>
      <c r="J142" s="2"/>
      <c r="K142" s="2"/>
      <c r="L142" s="2"/>
      <c r="M142" s="2"/>
      <c r="N142" s="2"/>
      <c r="O142" s="2"/>
      <c r="P142" s="2"/>
      <c r="Q142" s="2"/>
      <c r="R142" s="2"/>
      <c r="S142" s="2"/>
      <c r="T142" s="2"/>
      <c r="U142" s="2"/>
      <c r="V142" s="2"/>
      <c r="W142" s="2"/>
      <c r="X142" s="2"/>
      <c r="Y142" s="2"/>
      <c r="Z142" s="2"/>
      <c r="AA142" s="136"/>
      <c r="AB142" s="455"/>
      <c r="AC142" s="2"/>
      <c r="AD142" s="2"/>
      <c r="AE142" s="2"/>
      <c r="AF142" s="2"/>
      <c r="AG142" s="2"/>
      <c r="AH142" s="2"/>
      <c r="AI142" s="2"/>
      <c r="AJ142" s="2"/>
      <c r="AK142" s="2"/>
      <c r="AL142" s="2"/>
      <c r="AM142" s="2"/>
      <c r="AN142" s="2"/>
      <c r="AO142" s="2"/>
      <c r="AP142" s="2"/>
      <c r="AQ142" s="2"/>
      <c r="AR142" s="2"/>
      <c r="AS142" s="2"/>
      <c r="AT142" s="2"/>
      <c r="AU142" s="2"/>
      <c r="AV142" s="2"/>
      <c r="AW142" s="2"/>
      <c r="AX142" s="2"/>
    </row>
    <row r="143" spans="1:89" hidden="1">
      <c r="A143" s="146" t="s">
        <v>3331</v>
      </c>
      <c r="B143" s="2"/>
      <c r="C143" s="2"/>
      <c r="D143" s="2"/>
      <c r="E143" s="2"/>
      <c r="F143" s="2"/>
      <c r="G143" s="2">
        <f>W11</f>
        <v>0</v>
      </c>
      <c r="H143" s="143" t="s">
        <v>3344</v>
      </c>
      <c r="I143" s="2"/>
      <c r="J143" s="2"/>
      <c r="K143" s="2"/>
      <c r="L143" s="2"/>
      <c r="M143" s="2"/>
      <c r="N143" s="2"/>
      <c r="O143" s="2"/>
      <c r="P143" s="2"/>
      <c r="Q143" s="2"/>
      <c r="R143" s="2"/>
      <c r="S143" s="2"/>
      <c r="T143" s="2"/>
      <c r="U143" s="2"/>
      <c r="V143" s="2"/>
      <c r="W143" s="2"/>
      <c r="X143" s="2"/>
      <c r="Y143" s="2"/>
      <c r="Z143" s="2"/>
      <c r="AA143" s="136"/>
      <c r="AB143" s="455"/>
      <c r="AC143" s="141"/>
      <c r="AD143" s="141"/>
      <c r="AE143" s="141"/>
      <c r="AF143" s="141"/>
      <c r="AG143" s="141"/>
      <c r="AH143" s="141"/>
      <c r="AI143" s="141"/>
      <c r="AJ143" s="141"/>
      <c r="AK143" s="141"/>
      <c r="AL143" s="141"/>
      <c r="AM143" s="141"/>
      <c r="AN143" s="141"/>
      <c r="AO143" s="141"/>
      <c r="AP143" s="2"/>
      <c r="AQ143" s="2"/>
      <c r="AR143" s="2"/>
      <c r="AS143" s="2"/>
      <c r="AT143" s="2"/>
      <c r="AU143" s="2"/>
      <c r="AV143" s="2"/>
      <c r="AW143" s="2"/>
      <c r="AX143" s="2"/>
    </row>
    <row r="144" spans="1:89" ht="12.75" hidden="1" customHeight="1">
      <c r="A144" s="148" t="s">
        <v>3349</v>
      </c>
      <c r="B144" s="147"/>
      <c r="C144" s="147"/>
      <c r="D144" s="147"/>
      <c r="E144" s="147"/>
      <c r="F144" s="147"/>
      <c r="G144" s="147">
        <f>Z11</f>
        <v>0</v>
      </c>
      <c r="H144" s="147" t="s">
        <v>3350</v>
      </c>
      <c r="I144" s="147"/>
      <c r="J144" s="147"/>
      <c r="K144" s="147"/>
      <c r="L144" s="147"/>
      <c r="M144" s="147"/>
      <c r="N144" s="147"/>
      <c r="O144" s="147"/>
      <c r="P144" s="147"/>
      <c r="Q144" s="147"/>
      <c r="R144" s="147"/>
      <c r="S144" s="147"/>
      <c r="T144" s="147"/>
      <c r="U144" s="147"/>
      <c r="V144" s="147"/>
      <c r="W144" s="147"/>
      <c r="X144" s="147"/>
      <c r="Y144" s="138"/>
      <c r="Z144" s="138"/>
      <c r="AA144" s="139"/>
      <c r="AB144" s="455"/>
      <c r="AC144" s="2"/>
      <c r="AD144" s="2"/>
      <c r="AE144" s="2"/>
      <c r="AF144" s="2"/>
      <c r="AG144" s="2"/>
      <c r="AH144" s="2"/>
      <c r="AI144" s="2"/>
      <c r="AJ144" s="2"/>
      <c r="AK144" s="2"/>
      <c r="AL144" s="2"/>
      <c r="AM144" s="2"/>
      <c r="AN144" s="2"/>
      <c r="AO144" s="2"/>
      <c r="AP144" s="2"/>
      <c r="AQ144" s="2"/>
      <c r="AR144" s="2"/>
      <c r="AS144" s="2"/>
      <c r="AT144" s="2"/>
      <c r="AU144" s="2"/>
      <c r="AV144" s="2"/>
      <c r="AW144" s="2"/>
      <c r="AX144" s="2"/>
    </row>
    <row r="145" spans="1:50" hidden="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455"/>
      <c r="AC145" s="2"/>
      <c r="AD145" s="2"/>
      <c r="AE145" s="2"/>
      <c r="AF145" s="2"/>
      <c r="AG145" s="2"/>
      <c r="AH145" s="2"/>
      <c r="AI145" s="2"/>
      <c r="AJ145" s="2"/>
      <c r="AK145" s="2"/>
      <c r="AL145" s="2"/>
      <c r="AM145" s="2"/>
      <c r="AN145" s="2"/>
      <c r="AO145" s="2"/>
      <c r="AP145" s="2"/>
      <c r="AQ145" s="2"/>
      <c r="AR145" s="2"/>
      <c r="AS145" s="2"/>
      <c r="AT145" s="2"/>
      <c r="AU145" s="2"/>
      <c r="AV145" s="2"/>
      <c r="AW145" s="2"/>
      <c r="AX145" s="2"/>
    </row>
    <row r="146" spans="1:50" hidden="1">
      <c r="A146" s="2">
        <v>10</v>
      </c>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455"/>
      <c r="AC146" s="2"/>
      <c r="AD146" s="2"/>
      <c r="AE146" s="2"/>
      <c r="AF146" s="2"/>
      <c r="AG146" s="2"/>
      <c r="AH146" s="2"/>
      <c r="AI146" s="2"/>
      <c r="AJ146" s="2"/>
      <c r="AK146" s="2"/>
      <c r="AL146" s="2"/>
      <c r="AM146" s="2"/>
      <c r="AN146" s="2"/>
      <c r="AO146" s="2"/>
      <c r="AP146" s="2"/>
      <c r="AQ146" s="2"/>
      <c r="AR146" s="2"/>
      <c r="AS146" s="2"/>
      <c r="AT146" s="2"/>
      <c r="AU146" s="2"/>
      <c r="AV146" s="2"/>
      <c r="AW146" s="2"/>
      <c r="AX146" s="2"/>
    </row>
    <row r="147" spans="1:50" hidden="1">
      <c r="A147" s="143" t="s">
        <v>3351</v>
      </c>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455"/>
      <c r="AC147" s="2"/>
      <c r="AD147" s="2"/>
      <c r="AE147" s="2"/>
      <c r="AF147" s="2"/>
      <c r="AG147" s="2"/>
      <c r="AH147" s="2"/>
      <c r="AI147" s="2"/>
      <c r="AJ147" s="2"/>
      <c r="AK147" s="2"/>
      <c r="AL147" s="2"/>
      <c r="AM147" s="2"/>
      <c r="AN147" s="2"/>
      <c r="AO147" s="2"/>
      <c r="AP147" s="2"/>
      <c r="AQ147" s="2"/>
      <c r="AR147" s="2"/>
      <c r="AS147" s="2"/>
      <c r="AT147" s="2"/>
      <c r="AU147" s="2"/>
      <c r="AV147" s="2"/>
      <c r="AW147" s="2"/>
      <c r="AX147" s="2"/>
    </row>
    <row r="148" spans="1:50" hidden="1">
      <c r="A148" s="143" t="s">
        <v>3352</v>
      </c>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455"/>
      <c r="AC148" s="2"/>
      <c r="AD148" s="2"/>
      <c r="AE148" s="2"/>
      <c r="AF148" s="2"/>
      <c r="AG148" s="2"/>
      <c r="AH148" s="2"/>
      <c r="AI148" s="2"/>
      <c r="AJ148" s="2"/>
      <c r="AK148" s="2"/>
      <c r="AL148" s="2"/>
      <c r="AM148" s="2"/>
      <c r="AN148" s="2"/>
      <c r="AO148" s="2"/>
      <c r="AP148" s="2"/>
      <c r="AQ148" s="2"/>
      <c r="AR148" s="2"/>
      <c r="AS148" s="2"/>
      <c r="AT148" s="2"/>
      <c r="AU148" s="2"/>
      <c r="AV148" s="2"/>
      <c r="AW148" s="2"/>
      <c r="AX148" s="2"/>
    </row>
    <row r="149" spans="1:50" hidden="1">
      <c r="A149" s="143" t="s">
        <v>3353</v>
      </c>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455"/>
      <c r="AC149" s="138"/>
      <c r="AD149" s="138"/>
      <c r="AE149" s="138"/>
      <c r="AF149" s="138"/>
      <c r="AG149" s="138"/>
      <c r="AH149" s="138"/>
      <c r="AI149" s="138"/>
      <c r="AJ149" s="138"/>
      <c r="AK149" s="138"/>
      <c r="AL149" s="138"/>
      <c r="AM149" s="138"/>
      <c r="AN149" s="138"/>
      <c r="AO149" s="138"/>
      <c r="AP149" s="2"/>
      <c r="AQ149" s="2"/>
      <c r="AR149" s="2"/>
      <c r="AS149" s="2"/>
      <c r="AT149" s="2"/>
      <c r="AU149" s="2"/>
      <c r="AV149" s="2"/>
      <c r="AW149" s="2"/>
      <c r="AX149" s="2"/>
    </row>
    <row r="150" spans="1:50" hidden="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455"/>
      <c r="AC150" s="2"/>
      <c r="AD150" s="2"/>
      <c r="AE150" s="2"/>
      <c r="AF150" s="2"/>
      <c r="AG150" s="2"/>
      <c r="AH150" s="2"/>
      <c r="AI150" s="2"/>
      <c r="AJ150" s="2"/>
      <c r="AK150" s="2"/>
      <c r="AL150" s="2"/>
      <c r="AM150" s="2"/>
      <c r="AN150" s="2"/>
      <c r="AO150" s="2"/>
      <c r="AP150" s="2"/>
      <c r="AQ150" s="2"/>
      <c r="AR150" s="2"/>
      <c r="AS150" s="2"/>
      <c r="AT150" s="2"/>
      <c r="AU150" s="2"/>
      <c r="AV150" s="2"/>
      <c r="AW150" s="2"/>
      <c r="AX150" s="2"/>
    </row>
    <row r="151" spans="1:50" hidden="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455"/>
      <c r="AC151" s="2"/>
      <c r="AD151" s="2"/>
      <c r="AE151" s="2"/>
      <c r="AF151" s="2"/>
      <c r="AG151" s="2"/>
      <c r="AH151" s="2"/>
      <c r="AI151" s="2"/>
      <c r="AJ151" s="2"/>
      <c r="AK151" s="2"/>
      <c r="AL151" s="2"/>
      <c r="AM151" s="2"/>
      <c r="AN151" s="2"/>
      <c r="AO151" s="2"/>
      <c r="AP151" s="2"/>
      <c r="AQ151" s="2"/>
      <c r="AR151" s="2"/>
      <c r="AS151" s="2"/>
      <c r="AT151" s="2"/>
      <c r="AU151" s="2"/>
      <c r="AV151" s="2"/>
      <c r="AW151" s="2"/>
      <c r="AX151" s="2"/>
    </row>
    <row r="152" spans="1:50" hidden="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455"/>
      <c r="AC152" s="2"/>
      <c r="AD152" s="2"/>
      <c r="AE152" s="2"/>
      <c r="AF152" s="2"/>
      <c r="AG152" s="2"/>
      <c r="AH152" s="2"/>
      <c r="AI152" s="2"/>
      <c r="AJ152" s="2"/>
      <c r="AK152" s="2"/>
      <c r="AL152" s="2"/>
      <c r="AM152" s="2"/>
      <c r="AN152" s="2"/>
      <c r="AO152" s="2"/>
      <c r="AP152" s="2"/>
      <c r="AQ152" s="2"/>
      <c r="AR152" s="2"/>
      <c r="AS152" s="2"/>
      <c r="AT152" s="2"/>
      <c r="AU152" s="2"/>
      <c r="AV152" s="2"/>
      <c r="AW152" s="2"/>
      <c r="AX152" s="2"/>
    </row>
    <row r="153" spans="1:50" hidden="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455"/>
      <c r="AC153" s="2"/>
      <c r="AD153" s="2"/>
      <c r="AE153" s="2"/>
      <c r="AF153" s="2"/>
      <c r="AG153" s="2"/>
      <c r="AH153" s="2"/>
      <c r="AI153" s="2"/>
      <c r="AJ153" s="2"/>
      <c r="AK153" s="2"/>
      <c r="AL153" s="2"/>
      <c r="AM153" s="2"/>
      <c r="AN153" s="2"/>
      <c r="AO153" s="2"/>
      <c r="AP153" s="2"/>
      <c r="AQ153" s="2"/>
      <c r="AR153" s="2"/>
      <c r="AS153" s="2"/>
      <c r="AT153" s="2"/>
      <c r="AU153" s="2"/>
      <c r="AV153" s="2"/>
      <c r="AW153" s="2"/>
      <c r="AX153" s="2"/>
    </row>
    <row r="154" spans="1:50" hidden="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455"/>
      <c r="AC154" s="2"/>
      <c r="AD154" s="2"/>
      <c r="AE154" s="2"/>
      <c r="AF154" s="2"/>
      <c r="AG154" s="2"/>
      <c r="AH154" s="2"/>
      <c r="AI154" s="2"/>
      <c r="AJ154" s="2"/>
      <c r="AK154" s="2"/>
      <c r="AL154" s="2"/>
      <c r="AM154" s="2"/>
      <c r="AN154" s="2"/>
      <c r="AO154" s="2"/>
      <c r="AP154" s="2"/>
      <c r="AQ154" s="2"/>
      <c r="AR154" s="2"/>
      <c r="AS154" s="2"/>
      <c r="AT154" s="2"/>
      <c r="AU154" s="2"/>
      <c r="AV154" s="2"/>
      <c r="AW154" s="2"/>
      <c r="AX154" s="2"/>
    </row>
    <row r="155" spans="1:50" hidden="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455"/>
      <c r="AC155" s="2"/>
      <c r="AD155" s="2"/>
      <c r="AE155" s="2"/>
      <c r="AF155" s="2"/>
      <c r="AG155" s="2"/>
      <c r="AH155" s="2"/>
      <c r="AI155" s="2"/>
      <c r="AJ155" s="2"/>
      <c r="AK155" s="2"/>
      <c r="AL155" s="2"/>
      <c r="AM155" s="2"/>
      <c r="AN155" s="2"/>
      <c r="AO155" s="2"/>
      <c r="AP155" s="2"/>
      <c r="AQ155" s="2"/>
      <c r="AR155" s="2"/>
      <c r="AS155" s="2"/>
      <c r="AT155" s="2"/>
      <c r="AU155" s="2"/>
      <c r="AV155" s="2"/>
      <c r="AW155" s="2"/>
      <c r="AX155" s="2"/>
    </row>
    <row r="156" spans="1:50" hidden="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455"/>
      <c r="AC156" s="2"/>
      <c r="AD156" s="2"/>
      <c r="AE156" s="2"/>
      <c r="AF156" s="2"/>
      <c r="AG156" s="2"/>
      <c r="AH156" s="2"/>
      <c r="AI156" s="2"/>
      <c r="AJ156" s="2"/>
      <c r="AK156" s="2"/>
      <c r="AL156" s="2"/>
      <c r="AM156" s="2"/>
      <c r="AN156" s="2"/>
      <c r="AO156" s="2"/>
      <c r="AP156" s="2"/>
      <c r="AQ156" s="2"/>
      <c r="AR156" s="2"/>
      <c r="AS156" s="2"/>
      <c r="AT156" s="2"/>
      <c r="AU156" s="2"/>
      <c r="AV156" s="2"/>
      <c r="AW156" s="2"/>
      <c r="AX156" s="2"/>
    </row>
    <row r="157" spans="1:50" hidden="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455"/>
      <c r="AC157" s="2"/>
      <c r="AD157" s="2"/>
      <c r="AE157" s="2"/>
      <c r="AF157" s="2"/>
      <c r="AG157" s="2"/>
      <c r="AH157" s="2"/>
      <c r="AI157" s="2"/>
      <c r="AJ157" s="2"/>
      <c r="AK157" s="2"/>
      <c r="AL157" s="2"/>
      <c r="AM157" s="2"/>
      <c r="AN157" s="2"/>
      <c r="AO157" s="2"/>
      <c r="AP157" s="2"/>
      <c r="AQ157" s="2"/>
      <c r="AR157" s="2"/>
      <c r="AS157" s="2"/>
      <c r="AT157" s="2"/>
      <c r="AU157" s="2"/>
      <c r="AV157" s="2"/>
      <c r="AW157" s="2"/>
      <c r="AX157" s="2"/>
    </row>
    <row r="158" spans="1:50" hidden="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455"/>
      <c r="AC158" s="2"/>
      <c r="AD158" s="2"/>
      <c r="AE158" s="2"/>
      <c r="AF158" s="2"/>
      <c r="AG158" s="2"/>
      <c r="AH158" s="2"/>
      <c r="AI158" s="2"/>
      <c r="AJ158" s="2"/>
      <c r="AK158" s="2"/>
      <c r="AL158" s="2"/>
      <c r="AM158" s="2"/>
      <c r="AN158" s="2"/>
      <c r="AO158" s="2"/>
      <c r="AP158" s="2"/>
      <c r="AQ158" s="2"/>
      <c r="AR158" s="2"/>
      <c r="AS158" s="2"/>
      <c r="AT158" s="2"/>
      <c r="AU158" s="2"/>
      <c r="AV158" s="2"/>
      <c r="AW158" s="2"/>
      <c r="AX158" s="2"/>
    </row>
    <row r="159" spans="1:50" hidden="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455"/>
      <c r="AC159" s="2"/>
      <c r="AD159" s="2"/>
      <c r="AE159" s="2"/>
      <c r="AF159" s="2"/>
      <c r="AG159" s="2"/>
      <c r="AH159" s="2"/>
      <c r="AI159" s="2"/>
      <c r="AJ159" s="2"/>
      <c r="AK159" s="2"/>
      <c r="AL159" s="2"/>
      <c r="AM159" s="2"/>
      <c r="AN159" s="2"/>
      <c r="AO159" s="2"/>
      <c r="AP159" s="2"/>
      <c r="AQ159" s="2"/>
      <c r="AR159" s="2"/>
      <c r="AS159" s="2"/>
      <c r="AT159" s="2"/>
      <c r="AU159" s="2"/>
      <c r="AV159" s="2"/>
      <c r="AW159" s="2"/>
      <c r="AX159" s="2"/>
    </row>
    <row r="160" spans="1:50" hidden="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455"/>
      <c r="AC160" s="2"/>
      <c r="AD160" s="2"/>
      <c r="AE160" s="2"/>
      <c r="AF160" s="2"/>
      <c r="AG160" s="2"/>
      <c r="AH160" s="2"/>
      <c r="AI160" s="2"/>
      <c r="AJ160" s="2"/>
      <c r="AK160" s="2"/>
      <c r="AL160" s="2"/>
      <c r="AM160" s="2"/>
      <c r="AN160" s="2"/>
      <c r="AO160" s="2"/>
      <c r="AP160" s="2"/>
      <c r="AQ160" s="2"/>
      <c r="AR160" s="2"/>
      <c r="AS160" s="2"/>
      <c r="AT160" s="2"/>
      <c r="AU160" s="2"/>
      <c r="AV160" s="2"/>
      <c r="AW160" s="2"/>
      <c r="AX160" s="2"/>
    </row>
    <row r="161" spans="1:50" hidden="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455"/>
      <c r="AC161" s="2"/>
      <c r="AD161" s="2"/>
      <c r="AE161" s="2"/>
      <c r="AF161" s="2"/>
      <c r="AG161" s="2"/>
      <c r="AH161" s="2"/>
      <c r="AI161" s="2"/>
      <c r="AJ161" s="2"/>
      <c r="AK161" s="2"/>
      <c r="AL161" s="2"/>
      <c r="AM161" s="2"/>
      <c r="AN161" s="2"/>
      <c r="AO161" s="2"/>
      <c r="AP161" s="2"/>
      <c r="AQ161" s="2"/>
      <c r="AR161" s="2"/>
      <c r="AS161" s="2"/>
      <c r="AT161" s="2"/>
      <c r="AU161" s="2"/>
      <c r="AV161" s="2"/>
      <c r="AW161" s="2"/>
      <c r="AX161" s="2"/>
    </row>
    <row r="162" spans="1:50" hidden="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455"/>
      <c r="AC162" s="2"/>
      <c r="AD162" s="2"/>
      <c r="AE162" s="2"/>
      <c r="AF162" s="2"/>
      <c r="AG162" s="2"/>
      <c r="AH162" s="2"/>
      <c r="AI162" s="2"/>
      <c r="AJ162" s="2"/>
      <c r="AK162" s="2"/>
      <c r="AL162" s="2"/>
      <c r="AM162" s="2"/>
      <c r="AN162" s="2"/>
      <c r="AO162" s="2"/>
      <c r="AP162" s="2"/>
      <c r="AQ162" s="2"/>
      <c r="AR162" s="2"/>
      <c r="AS162" s="2"/>
      <c r="AT162" s="2"/>
      <c r="AU162" s="2"/>
      <c r="AV162" s="2"/>
      <c r="AW162" s="2"/>
      <c r="AX162" s="2"/>
    </row>
    <row r="163" spans="1:50" hidden="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455"/>
      <c r="AC163" s="2"/>
      <c r="AD163" s="2"/>
      <c r="AE163" s="2"/>
      <c r="AF163" s="2"/>
      <c r="AG163" s="2"/>
      <c r="AH163" s="2"/>
      <c r="AI163" s="2"/>
      <c r="AJ163" s="2"/>
      <c r="AK163" s="2"/>
      <c r="AL163" s="2"/>
      <c r="AM163" s="2"/>
      <c r="AN163" s="2"/>
      <c r="AO163" s="2"/>
      <c r="AP163" s="2"/>
      <c r="AQ163" s="2"/>
      <c r="AR163" s="2"/>
      <c r="AS163" s="2"/>
      <c r="AT163" s="2"/>
      <c r="AU163" s="2"/>
      <c r="AV163" s="2"/>
      <c r="AW163" s="2"/>
      <c r="AX163" s="2"/>
    </row>
  </sheetData>
  <sheetProtection algorithmName="SHA-512" hashValue="lB2SOUhodOZIAwexdnZu0rLHHggcD92GwtFiedmSQg25UDOEO9ipgKoE49ssABt6j+c66fhxsL7oyBG1dLq30g==" saltValue="VI2TptOrycgPlRvi/lk0nw==" spinCount="100000" sheet="1" selectLockedCells="1"/>
  <mergeCells count="143">
    <mergeCell ref="AY67:BK67"/>
    <mergeCell ref="AL36:AM36"/>
    <mergeCell ref="AO36:AX36"/>
    <mergeCell ref="AD37:AG37"/>
    <mergeCell ref="AI37:AJ37"/>
    <mergeCell ref="AL37:AM37"/>
    <mergeCell ref="AO37:AX37"/>
    <mergeCell ref="AD38:AG38"/>
    <mergeCell ref="AI38:AJ38"/>
    <mergeCell ref="AL38:AM38"/>
    <mergeCell ref="AO38:AX38"/>
    <mergeCell ref="AE26:AG26"/>
    <mergeCell ref="AH26:AQ26"/>
    <mergeCell ref="AE27:AG27"/>
    <mergeCell ref="AH27:AQ28"/>
    <mergeCell ref="AE17:AI17"/>
    <mergeCell ref="AE18:AI18"/>
    <mergeCell ref="AE19:AG19"/>
    <mergeCell ref="AH19:AQ19"/>
    <mergeCell ref="AE20:AG20"/>
    <mergeCell ref="AH20:AQ21"/>
    <mergeCell ref="AE3:AI3"/>
    <mergeCell ref="AC1:AX2"/>
    <mergeCell ref="AE5:AG5"/>
    <mergeCell ref="AH5:AQ5"/>
    <mergeCell ref="AE6:AG6"/>
    <mergeCell ref="AH6:AQ7"/>
    <mergeCell ref="AE4:AI4"/>
    <mergeCell ref="AE24:AI24"/>
    <mergeCell ref="AE25:AI25"/>
    <mergeCell ref="K17:L17"/>
    <mergeCell ref="Z10:AA10"/>
    <mergeCell ref="Z11:AA11"/>
    <mergeCell ref="G12:X12"/>
    <mergeCell ref="B10:I10"/>
    <mergeCell ref="B44:AA49"/>
    <mergeCell ref="Z29:AA29"/>
    <mergeCell ref="K23:L23"/>
    <mergeCell ref="G18:X18"/>
    <mergeCell ref="T23:U23"/>
    <mergeCell ref="Q10:R10"/>
    <mergeCell ref="T10:U10"/>
    <mergeCell ref="W10:X10"/>
    <mergeCell ref="Q11:R11"/>
    <mergeCell ref="T11:U11"/>
    <mergeCell ref="Z17:AA17"/>
    <mergeCell ref="Z23:AA23"/>
    <mergeCell ref="G31:X32"/>
    <mergeCell ref="B29:I29"/>
    <mergeCell ref="W28:X28"/>
    <mergeCell ref="B31:F31"/>
    <mergeCell ref="B30:F30"/>
    <mergeCell ref="G30:X30"/>
    <mergeCell ref="K28:L28"/>
    <mergeCell ref="A93:V94"/>
    <mergeCell ref="A83:X83"/>
    <mergeCell ref="C86:V87"/>
    <mergeCell ref="A71:X80"/>
    <mergeCell ref="G1:W2"/>
    <mergeCell ref="G13:X14"/>
    <mergeCell ref="G19:X20"/>
    <mergeCell ref="G25:X26"/>
    <mergeCell ref="N17:O17"/>
    <mergeCell ref="K22:L22"/>
    <mergeCell ref="K16:L16"/>
    <mergeCell ref="N10:O10"/>
    <mergeCell ref="N11:O11"/>
    <mergeCell ref="K10:L10"/>
    <mergeCell ref="K11:L11"/>
    <mergeCell ref="W23:X23"/>
    <mergeCell ref="Q23:R23"/>
    <mergeCell ref="Q17:R17"/>
    <mergeCell ref="W17:X17"/>
    <mergeCell ref="T17:U17"/>
    <mergeCell ref="W11:X11"/>
    <mergeCell ref="B11:I11"/>
    <mergeCell ref="B17:I17"/>
    <mergeCell ref="B23:I23"/>
    <mergeCell ref="AD35:AG35"/>
    <mergeCell ref="AI35:AJ35"/>
    <mergeCell ref="AL35:AM35"/>
    <mergeCell ref="AO35:AX35"/>
    <mergeCell ref="AD36:AG36"/>
    <mergeCell ref="AI36:AJ36"/>
    <mergeCell ref="A139:AA140"/>
    <mergeCell ref="A68:X69"/>
    <mergeCell ref="A120:Z121"/>
    <mergeCell ref="B123:Z124"/>
    <mergeCell ref="A85:J85"/>
    <mergeCell ref="L85:R85"/>
    <mergeCell ref="F116:X116"/>
    <mergeCell ref="A101:X108"/>
    <mergeCell ref="A111:X112"/>
    <mergeCell ref="A113:M113"/>
    <mergeCell ref="O113:X114"/>
    <mergeCell ref="A99:X100"/>
    <mergeCell ref="A90:X91"/>
    <mergeCell ref="A92:L92"/>
    <mergeCell ref="F96:U96"/>
    <mergeCell ref="F126:Y126"/>
    <mergeCell ref="A130:AA131"/>
    <mergeCell ref="A95:F95"/>
    <mergeCell ref="Z28:AA28"/>
    <mergeCell ref="N23:O23"/>
    <mergeCell ref="K29:L29"/>
    <mergeCell ref="W29:X29"/>
    <mergeCell ref="N29:O29"/>
    <mergeCell ref="B58:AA63"/>
    <mergeCell ref="B37:AA42"/>
    <mergeCell ref="B28:I28"/>
    <mergeCell ref="Q28:R28"/>
    <mergeCell ref="T28:U28"/>
    <mergeCell ref="Q29:R29"/>
    <mergeCell ref="T29:U29"/>
    <mergeCell ref="B51:AA56"/>
    <mergeCell ref="B25:F25"/>
    <mergeCell ref="B24:F24"/>
    <mergeCell ref="G24:X24"/>
    <mergeCell ref="N28:O28"/>
    <mergeCell ref="CB82:CK129"/>
    <mergeCell ref="CX3:DN17"/>
    <mergeCell ref="CX23:DN37"/>
    <mergeCell ref="CX41:DN55"/>
    <mergeCell ref="AH34:AK34"/>
    <mergeCell ref="AL34:AM34"/>
    <mergeCell ref="AD34:AG34"/>
    <mergeCell ref="CX59:DN73"/>
    <mergeCell ref="AH8:AI8"/>
    <mergeCell ref="AJ8:AQ8"/>
    <mergeCell ref="AH15:AI15"/>
    <mergeCell ref="AJ15:AQ15"/>
    <mergeCell ref="AH22:AI22"/>
    <mergeCell ref="AJ22:AQ22"/>
    <mergeCell ref="AH29:AI29"/>
    <mergeCell ref="AJ29:AQ29"/>
    <mergeCell ref="AE10:AI10"/>
    <mergeCell ref="AE11:AI11"/>
    <mergeCell ref="AE12:AG12"/>
    <mergeCell ref="AH12:AQ12"/>
    <mergeCell ref="AE13:AG13"/>
    <mergeCell ref="AH13:AQ14"/>
    <mergeCell ref="AC31:AX32"/>
    <mergeCell ref="AO34:AX34"/>
  </mergeCells>
  <phoneticPr fontId="55" type="noConversion"/>
  <conditionalFormatting sqref="B37:AA42">
    <cfRule type="expression" dxfId="148" priority="62" stopIfTrue="1">
      <formula>$BD$17=11</formula>
    </cfRule>
  </conditionalFormatting>
  <conditionalFormatting sqref="B44:AA49">
    <cfRule type="expression" dxfId="147" priority="63" stopIfTrue="1">
      <formula>$BD$18=11</formula>
    </cfRule>
  </conditionalFormatting>
  <conditionalFormatting sqref="B51:AA56">
    <cfRule type="expression" dxfId="146" priority="64" stopIfTrue="1">
      <formula>$BD$19=11</formula>
    </cfRule>
  </conditionalFormatting>
  <conditionalFormatting sqref="B58:AA63">
    <cfRule type="expression" dxfId="145" priority="65" stopIfTrue="1">
      <formula>$BD$20=11</formula>
    </cfRule>
  </conditionalFormatting>
  <conditionalFormatting sqref="K11:L11 N11:O11 Q11:R11 T11:U11 W11:X11 K17:L17 N17:O17 Q17:R17 T17:U17 W17:X17 K23:L23 N23:O23 Q23:R23 T23:U23 W23:X23 K29:L29 N29:O29 Q29:R29 T29:U29 W29:X29">
    <cfRule type="expression" dxfId="144" priority="61" stopIfTrue="1">
      <formula>IF($BD$17=OR(3,4,6,7,8,9),TRUE,"")</formula>
    </cfRule>
  </conditionalFormatting>
  <conditionalFormatting sqref="AH8">
    <cfRule type="expression" dxfId="143" priority="22">
      <formula>$AE$29="Named SIC:"</formula>
    </cfRule>
  </conditionalFormatting>
  <conditionalFormatting sqref="AH15">
    <cfRule type="expression" dxfId="142" priority="18">
      <formula>$AE$29="Named SIC:"</formula>
    </cfRule>
  </conditionalFormatting>
  <conditionalFormatting sqref="AH22">
    <cfRule type="expression" dxfId="141" priority="17">
      <formula>$AE$29="Named SIC:"</formula>
    </cfRule>
  </conditionalFormatting>
  <conditionalFormatting sqref="AH29">
    <cfRule type="expression" dxfId="140" priority="16">
      <formula>$AE$29="Named SIC:"</formula>
    </cfRule>
  </conditionalFormatting>
  <conditionalFormatting sqref="AK4">
    <cfRule type="expression" dxfId="139" priority="48" stopIfTrue="1">
      <formula>IF($BD$17=OR(3,4,6,7,8,9),TRUE,"")</formula>
    </cfRule>
  </conditionalFormatting>
  <conditionalFormatting sqref="AK11">
    <cfRule type="expression" dxfId="138" priority="15" stopIfTrue="1">
      <formula>IF($BD$17=OR(3,4,6,7,8,9),TRUE,"")</formula>
    </cfRule>
  </conditionalFormatting>
  <conditionalFormatting sqref="AK18">
    <cfRule type="expression" dxfId="137" priority="14" stopIfTrue="1">
      <formula>IF($BD$17=OR(3,4,6,7,8,9),TRUE,"")</formula>
    </cfRule>
  </conditionalFormatting>
  <conditionalFormatting sqref="AK25">
    <cfRule type="expression" dxfId="136" priority="13" stopIfTrue="1">
      <formula>IF($BD$17=OR(3,4,6,7,8,9),TRUE,"")</formula>
    </cfRule>
  </conditionalFormatting>
  <conditionalFormatting sqref="AM4">
    <cfRule type="expression" dxfId="135" priority="46" stopIfTrue="1">
      <formula>IF($BD$17=OR(3,4,6,7,8,9),TRUE,"")</formula>
    </cfRule>
  </conditionalFormatting>
  <conditionalFormatting sqref="AM11">
    <cfRule type="expression" dxfId="134" priority="12" stopIfTrue="1">
      <formula>IF($BD$17=OR(3,4,6,7,8,9),TRUE,"")</formula>
    </cfRule>
  </conditionalFormatting>
  <conditionalFormatting sqref="AM18">
    <cfRule type="expression" dxfId="133" priority="11" stopIfTrue="1">
      <formula>IF($BD$17=OR(3,4,6,7,8,9),TRUE,"")</formula>
    </cfRule>
  </conditionalFormatting>
  <conditionalFormatting sqref="AM25">
    <cfRule type="expression" dxfId="132" priority="10" stopIfTrue="1">
      <formula>IF($BD$17=OR(3,4,6,7,8,9),TRUE,"")</formula>
    </cfRule>
  </conditionalFormatting>
  <conditionalFormatting sqref="AO4">
    <cfRule type="expression" dxfId="131" priority="45" stopIfTrue="1">
      <formula>IF($BD$17=OR(3,4,6,7,8,9),TRUE,"")</formula>
    </cfRule>
  </conditionalFormatting>
  <conditionalFormatting sqref="AO11">
    <cfRule type="expression" dxfId="130" priority="9" stopIfTrue="1">
      <formula>IF($BD$17=OR(3,4,6,7,8,9),TRUE,"")</formula>
    </cfRule>
  </conditionalFormatting>
  <conditionalFormatting sqref="AO18">
    <cfRule type="expression" dxfId="129" priority="8" stopIfTrue="1">
      <formula>IF($BD$17=OR(3,4,6,7,8,9),TRUE,"")</formula>
    </cfRule>
  </conditionalFormatting>
  <conditionalFormatting sqref="AO25">
    <cfRule type="expression" dxfId="128" priority="7" stopIfTrue="1">
      <formula>IF($BD$17=OR(3,4,6,7,8,9),TRUE,"")</formula>
    </cfRule>
  </conditionalFormatting>
  <conditionalFormatting sqref="AQ4">
    <cfRule type="expression" dxfId="127" priority="44" stopIfTrue="1">
      <formula>IF($BD$17=OR(3,4,6,7,8,9),TRUE,"")</formula>
    </cfRule>
  </conditionalFormatting>
  <conditionalFormatting sqref="AQ11">
    <cfRule type="expression" dxfId="126" priority="6" stopIfTrue="1">
      <formula>IF($BD$17=OR(3,4,6,7,8,9),TRUE,"")</formula>
    </cfRule>
  </conditionalFormatting>
  <conditionalFormatting sqref="AQ18">
    <cfRule type="expression" dxfId="125" priority="5" stopIfTrue="1">
      <formula>IF($BD$17=OR(3,4,6,7,8,9),TRUE,"")</formula>
    </cfRule>
  </conditionalFormatting>
  <conditionalFormatting sqref="AQ25">
    <cfRule type="expression" dxfId="124" priority="4" stopIfTrue="1">
      <formula>IF($BD$17=OR(3,4,6,7,8,9),TRUE,"")</formula>
    </cfRule>
  </conditionalFormatting>
  <conditionalFormatting sqref="AS4">
    <cfRule type="expression" dxfId="123" priority="43" stopIfTrue="1">
      <formula>IF($BD$17=OR(3,4,6,7,8,9),TRUE,"")</formula>
    </cfRule>
  </conditionalFormatting>
  <conditionalFormatting sqref="AS11">
    <cfRule type="expression" dxfId="122" priority="3" stopIfTrue="1">
      <formula>IF($BD$17=OR(3,4,6,7,8,9),TRUE,"")</formula>
    </cfRule>
  </conditionalFormatting>
  <conditionalFormatting sqref="AS18">
    <cfRule type="expression" dxfId="121" priority="2" stopIfTrue="1">
      <formula>IF($BD$17=OR(3,4,6,7,8,9),TRUE,"")</formula>
    </cfRule>
  </conditionalFormatting>
  <conditionalFormatting sqref="AS25">
    <cfRule type="expression" dxfId="120" priority="1" stopIfTrue="1">
      <formula>IF($BD$17=OR(3,4,6,7,8,9),TRUE,"")</formula>
    </cfRule>
  </conditionalFormatting>
  <dataValidations count="8">
    <dataValidation type="list" allowBlank="1" showInputMessage="1" showErrorMessage="1" sqref="B29:I29 B11:I11 B17:I17 B23:I23" xr:uid="{00000000-0002-0000-0A00-000000000000}">
      <formula1>$AZ$16:$AZ$27</formula1>
    </dataValidation>
    <dataValidation type="list" allowBlank="1" showInputMessage="1" showErrorMessage="1" sqref="S3:S8 C3:C8" xr:uid="{00000000-0002-0000-0A00-000001000000}">
      <formula1>"X,x"</formula1>
    </dataValidation>
    <dataValidation type="list" allowBlank="1" showInputMessage="1" showErrorMessage="1" sqref="AO35:AX38" xr:uid="{44043EFB-2CB9-43CB-B0A8-D888B72010AF}">
      <formula1>$BD$69:$BD$73</formula1>
    </dataValidation>
    <dataValidation type="list" allowBlank="1" showInputMessage="1" showErrorMessage="1" sqref="AI35:AJ38" xr:uid="{431CC39A-C7FC-473E-969A-FBC7F3773DCC}">
      <formula1>"Std Training, Std Diff Training"</formula1>
    </dataValidation>
    <dataValidation type="list" allowBlank="1" showInputMessage="1" showErrorMessage="1" sqref="AE4:AI4 AE25:AI25 AE18:AI18 AE11:AI11" xr:uid="{A63E3223-D2CD-40DA-A164-4D8041726ABB}">
      <formula1>$AY$1:$AY$14</formula1>
    </dataValidation>
    <dataValidation type="list" allowBlank="1" showInputMessage="1" showErrorMessage="1" sqref="AK4 AK18 AK11 AK25" xr:uid="{22B02D38-33C0-4766-A3E1-184B70474673}">
      <formula1>"Com, ATP"</formula1>
    </dataValidation>
    <dataValidation type="list" allowBlank="1" showInputMessage="1" showErrorMessage="1" sqref="AJ29:AQ29 AJ22:AQ22 AJ15:AQ15" xr:uid="{47A22BB4-67F6-4C06-91A8-2A8BBFC1D885}">
      <formula1>" ,Sim,Standard"</formula1>
    </dataValidation>
    <dataValidation type="list" allowBlank="1" showInputMessage="1" showErrorMessage="1" sqref="AJ8:AQ8" xr:uid="{636437EE-DE90-4802-B398-55AF5BB30693}">
      <formula1>"Sim,Standard"</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rgb="FF0070C0"/>
    <pageSetUpPr fitToPage="1"/>
  </sheetPr>
  <dimension ref="A1:AF121"/>
  <sheetViews>
    <sheetView showGridLines="0" view="pageBreakPreview" zoomScaleNormal="100" zoomScaleSheetLayoutView="100" workbookViewId="0">
      <selection activeCell="B120" sqref="B120:P121"/>
    </sheetView>
  </sheetViews>
  <sheetFormatPr defaultColWidth="0" defaultRowHeight="39.75" customHeight="1"/>
  <cols>
    <col min="1" max="1" width="8" style="152" customWidth="1"/>
    <col min="2" max="2" width="8" style="154" customWidth="1"/>
    <col min="3" max="3" width="9.25" style="154" customWidth="1"/>
    <col min="4" max="4" width="17.25" style="154" customWidth="1"/>
    <col min="5" max="5" width="8.75" style="154" customWidth="1"/>
    <col min="6" max="6" width="11.75" style="154" customWidth="1"/>
    <col min="7" max="7" width="8.625" style="154" customWidth="1"/>
    <col min="8" max="8" width="18.625" style="154" customWidth="1"/>
    <col min="9" max="9" width="7.75" style="154" customWidth="1"/>
    <col min="10" max="10" width="10.875" style="154" bestFit="1" customWidth="1"/>
    <col min="11" max="11" width="10.625" style="154" customWidth="1"/>
    <col min="12" max="12" width="13.5" style="154" customWidth="1"/>
    <col min="13" max="13" width="10.5" style="154" customWidth="1"/>
    <col min="14" max="14" width="13.125" style="154" customWidth="1"/>
    <col min="15" max="15" width="11.625" style="154" customWidth="1"/>
    <col min="16" max="16" width="11.125" style="152" customWidth="1"/>
    <col min="17" max="17" width="13.625" style="152" customWidth="1"/>
    <col min="18" max="18" width="8" style="152" customWidth="1"/>
    <col min="19" max="19" width="15.5" style="152" customWidth="1"/>
    <col min="20" max="20" width="16.25" style="152" customWidth="1"/>
    <col min="21" max="21" width="10.625" style="152" customWidth="1"/>
    <col min="22" max="23" width="8" style="152" hidden="1" customWidth="1"/>
    <col min="24" max="24" width="9.875" style="152" customWidth="1"/>
    <col min="25" max="25" width="7.375" style="152" customWidth="1"/>
    <col min="26" max="26" width="8.875" style="152" customWidth="1"/>
    <col min="27" max="32" width="8" style="152" customWidth="1"/>
    <col min="33" max="33" width="8" style="152" hidden="1" customWidth="1"/>
    <col min="34" max="16384" width="8" style="152" hidden="1"/>
  </cols>
  <sheetData>
    <row r="1" spans="1:26" s="113" customFormat="1" ht="15" customHeight="1">
      <c r="E1" s="1170" t="s">
        <v>4023</v>
      </c>
      <c r="F1" s="1170"/>
      <c r="G1" s="1170"/>
      <c r="H1" s="1170"/>
      <c r="I1" s="1170"/>
      <c r="J1" s="1170"/>
      <c r="K1" s="1170"/>
      <c r="L1" s="1170"/>
      <c r="M1" s="1170"/>
    </row>
    <row r="2" spans="1:26" s="113" customFormat="1" ht="15" customHeight="1">
      <c r="E2" s="1170"/>
      <c r="F2" s="1170"/>
      <c r="G2" s="1170"/>
      <c r="H2" s="1170"/>
      <c r="I2" s="1170"/>
      <c r="J2" s="1170"/>
      <c r="K2" s="1170"/>
      <c r="L2" s="1170"/>
      <c r="M2" s="1170"/>
    </row>
    <row r="3" spans="1:26" customFormat="1" ht="14.25">
      <c r="B3" s="52"/>
      <c r="C3" s="52"/>
      <c r="D3" s="52"/>
      <c r="E3" s="52"/>
    </row>
    <row r="4" spans="1:26" customFormat="1" ht="14.25">
      <c r="B4" s="52"/>
      <c r="C4" s="52"/>
      <c r="D4" s="52"/>
      <c r="E4" s="52"/>
      <c r="F4" s="1168" t="str">
        <f>IF('Data-UW'!B2="Yes",CONCATENATE("Binder - Policy #: ",'Data-UW'!D2),IF('Data-UW'!D2="",CONCATENATE("Quote for - ",LEFT('Data-UW'!F4,15)),IF(AND('Data-UW'!F1="Yes",'Data-UW'!D2&gt;""),CONCATENATE("Midterm Quote for Policy ",'Data-UW'!D2),CONCATENATE("Renewal Quote for Policy ",'Data-UW'!D2))))</f>
        <v xml:space="preserve">Quote for - </v>
      </c>
      <c r="G4" s="1168"/>
      <c r="H4" s="1168"/>
      <c r="I4" s="1168"/>
      <c r="J4" s="1168"/>
      <c r="K4" s="1168"/>
      <c r="L4" s="1168"/>
      <c r="N4" s="73">
        <f ca="1">TODAY()</f>
        <v>46149</v>
      </c>
    </row>
    <row r="5" spans="1:26" customFormat="1" ht="14.25">
      <c r="B5" s="52"/>
      <c r="C5" s="52"/>
      <c r="D5" s="52"/>
      <c r="E5" s="52"/>
      <c r="F5" s="1168"/>
      <c r="G5" s="1168"/>
      <c r="H5" s="1168"/>
      <c r="I5" s="1168"/>
      <c r="J5" s="1168"/>
      <c r="K5" s="1168"/>
      <c r="L5" s="1168"/>
    </row>
    <row r="6" spans="1:26" customFormat="1" ht="26.25">
      <c r="B6" s="92" t="str">
        <f>CONCATENATE("NAMED INSURED:"," ",'Data-UW'!F4)</f>
        <v xml:space="preserve">NAMED INSURED: </v>
      </c>
      <c r="C6" s="52"/>
      <c r="D6" s="52"/>
      <c r="E6" s="52"/>
      <c r="F6" s="400"/>
      <c r="G6" s="1181" t="str">
        <f>IF('Additional Cov.'!A51="x","Quota Share Lead:","")</f>
        <v/>
      </c>
      <c r="H6" s="1181"/>
      <c r="I6" s="1181"/>
      <c r="J6" s="708" t="str">
        <f>IF('Additional Cov.'!A51&lt;&gt;"X","",'Additional Cov.'!B51)</f>
        <v/>
      </c>
      <c r="K6" s="400"/>
      <c r="L6" s="400"/>
      <c r="N6" s="92" t="str">
        <f>CONCATENATE("AGENCY:"," ",'Data-UW'!F2)</f>
        <v xml:space="preserve">AGENCY: </v>
      </c>
      <c r="O6" s="582"/>
    </row>
    <row r="7" spans="1:26" customFormat="1" ht="15.75">
      <c r="B7" s="154"/>
      <c r="D7" t="str">
        <f>CONCATENATE('Data-UW'!F11,IF(OR('Data-UW'!F11="",'Data-UW'!F12=""),"",", "),'Data-UW'!F12,IF('Data-UW'!F11="","",", "),'Data-UW'!F13,", ",'Data-UW'!I13," ",'Data-UW'!K13)</f>
        <v xml:space="preserve">,  </v>
      </c>
      <c r="N7" s="580" t="str">
        <f>CONCATENATE("Producer:"," ",'Data-UW'!F3)</f>
        <v xml:space="preserve">Producer: </v>
      </c>
      <c r="O7" s="582"/>
    </row>
    <row r="8" spans="1:26" customFormat="1" ht="15.75">
      <c r="N8" s="580" t="str">
        <f>CONCATENATE("Underwriter: ",'Data-UW'!D4)</f>
        <v xml:space="preserve">Underwriter: </v>
      </c>
      <c r="O8" s="583"/>
      <c r="S8" s="949" t="s">
        <v>3354</v>
      </c>
      <c r="T8" s="949"/>
    </row>
    <row r="9" spans="1:26" customFormat="1" ht="21">
      <c r="B9" s="94" t="s">
        <v>851</v>
      </c>
      <c r="C9" s="95"/>
      <c r="D9" s="161" t="str">
        <f>IF('Data-UW'!F10="","",CONCATENATE("Effective:"," ",TEXT('Data-UW'!F10,"MM/DD/YYYY")," To ",TEXT('Data-UW'!I10,"MM/DD/YYYY")))</f>
        <v/>
      </c>
      <c r="E9" s="95"/>
      <c r="F9" s="95"/>
      <c r="G9" s="95"/>
      <c r="H9" s="95"/>
      <c r="I9" s="95"/>
      <c r="J9" s="95"/>
      <c r="K9" s="95"/>
      <c r="L9" s="95"/>
      <c r="M9" s="95"/>
      <c r="N9" s="578" t="s">
        <v>3355</v>
      </c>
      <c r="O9" s="581">
        <f>'Data-UW'!B4</f>
        <v>0.15</v>
      </c>
      <c r="P9" s="95"/>
      <c r="Q9" s="95"/>
      <c r="S9" s="464" t="s">
        <v>3356</v>
      </c>
      <c r="T9" s="464" t="s">
        <v>3357</v>
      </c>
    </row>
    <row r="10" spans="1:26" customFormat="1" ht="48" thickBot="1">
      <c r="B10" s="105" t="s">
        <v>35</v>
      </c>
      <c r="C10" s="96" t="s">
        <v>36</v>
      </c>
      <c r="D10" s="96" t="s">
        <v>3358</v>
      </c>
      <c r="E10" s="591" t="s">
        <v>3359</v>
      </c>
      <c r="F10" s="105" t="s">
        <v>3360</v>
      </c>
      <c r="G10" s="105" t="s">
        <v>3361</v>
      </c>
      <c r="H10" s="105" t="s">
        <v>3362</v>
      </c>
      <c r="I10" s="105" t="s">
        <v>3363</v>
      </c>
      <c r="J10" s="105" t="s">
        <v>3364</v>
      </c>
      <c r="K10" s="105" t="s">
        <v>42</v>
      </c>
      <c r="L10" s="498" t="s">
        <v>3365</v>
      </c>
      <c r="M10" s="105" t="s">
        <v>3366</v>
      </c>
      <c r="N10" s="105" t="s">
        <v>3367</v>
      </c>
      <c r="O10" s="105" t="s">
        <v>3368</v>
      </c>
      <c r="P10" s="105" t="s">
        <v>3369</v>
      </c>
      <c r="Q10" s="105" t="s">
        <v>2149</v>
      </c>
      <c r="S10" s="527"/>
      <c r="T10" s="36">
        <f>IF(OR(S10="",S10=0),0,IFERROR(S10/(Q93*5),"Need A/C"))</f>
        <v>0</v>
      </c>
      <c r="U10" s="96"/>
      <c r="V10" t="s">
        <v>3370</v>
      </c>
      <c r="W10" s="152"/>
      <c r="X10" s="152"/>
      <c r="Y10" s="387"/>
      <c r="Z10" s="387"/>
    </row>
    <row r="11" spans="1:26" customFormat="1" ht="15">
      <c r="A11" s="441">
        <v>1</v>
      </c>
      <c r="B11" s="442" t="str">
        <f>IF(Aircraft!F4="","",Rating!C10)</f>
        <v/>
      </c>
      <c r="C11" s="553" t="str">
        <f>IF(B11="","",Aircraft!H4)</f>
        <v/>
      </c>
      <c r="D11" s="553" t="str">
        <f>IF(B11="","",Rating!E10)</f>
        <v/>
      </c>
      <c r="E11" s="553" t="str">
        <f>IF(V11="","",IF(Aircraft!AG4="NO",CONCATENATE(1,"/",('Com Quote'!V11-1)),IF(Aircraft!AG4="YES",CONCATENATE(2,"/",('Com Quote'!V11-2)),"")))</f>
        <v>1/3</v>
      </c>
      <c r="F11" s="444" t="str">
        <f>IF(D11="","",IF(OR(Aircraft!P4=0,Aircraft!P4=""),0,Aircraft!P4))</f>
        <v/>
      </c>
      <c r="G11" s="445" t="str">
        <f>IF(D11="","",IF(Aircraft!S4="N","F.","G."))</f>
        <v/>
      </c>
      <c r="H11" s="445" t="str">
        <f>IF(Aircraft!W4="","",Aircraft!W4)</f>
        <v>$500,000/EX</v>
      </c>
      <c r="I11" s="445">
        <f>IF(Aircraft!Y4="","",Aircraft!Y4)</f>
        <v>3000</v>
      </c>
      <c r="J11" s="442" t="str">
        <f>IF(D11="","",Rating!H10)</f>
        <v/>
      </c>
      <c r="K11" s="442" t="str">
        <f>IF(Aircraft!U4="","",Aircraft!U4)</f>
        <v/>
      </c>
      <c r="L11" s="442" t="str">
        <f>IF(D11="","",IF(F11=0,"N/A",Aircraft!BH4))</f>
        <v/>
      </c>
      <c r="M11" s="446" t="str">
        <f>IF(D11="","",IF(F11=0,0,PRODUCT(Worksheet_Com!N6,100)))</f>
        <v/>
      </c>
      <c r="N11" s="444">
        <f ca="1">IF(H11="","",Worksheet_Com!P6)</f>
        <v>1541</v>
      </c>
      <c r="O11" s="444">
        <f>IF(I11="","",Worksheet_Com!Q6)</f>
        <v>20</v>
      </c>
      <c r="P11" s="444" t="str">
        <f>IF(F11="","",IF(F11=0,0,Worksheet_Com!O6))</f>
        <v/>
      </c>
      <c r="Q11" s="447" t="str">
        <f>IF(B11="","",SUM(N11:P11))</f>
        <v/>
      </c>
      <c r="U11" s="529"/>
      <c r="V11">
        <f>IF(Aircraft!AI4&gt;0,Aircraft!AI4,Aircraft!AE4)</f>
        <v>4</v>
      </c>
      <c r="W11" s="152"/>
      <c r="X11" s="152"/>
      <c r="Y11" s="100"/>
      <c r="Z11" s="101"/>
    </row>
    <row r="12" spans="1:26" customFormat="1" ht="15.75" thickBot="1">
      <c r="A12" s="441">
        <v>2</v>
      </c>
      <c r="B12" s="448" t="str">
        <f>IF(Aircraft!F5="","",Rating!C11)</f>
        <v/>
      </c>
      <c r="C12" s="448" t="str">
        <f>IF(B12="","",Aircraft!H5)</f>
        <v/>
      </c>
      <c r="D12" s="448" t="str">
        <f>IF(B12="","",Rating!E11)</f>
        <v/>
      </c>
      <c r="E12" s="448" t="str">
        <f>IF(V12="","",IF(Aircraft!AG5="NO",CONCATENATE(1,"/",('Com Quote'!V12-1)),IF(Aircraft!AG5="YES",CONCATENATE(2,"/",('Com Quote'!V12-2)),"")))</f>
        <v>1/4</v>
      </c>
      <c r="F12" s="449" t="str">
        <f>IF(D12="","",IF(OR(Aircraft!P5=0,Aircraft!P5=""),0,Aircraft!P5))</f>
        <v/>
      </c>
      <c r="G12" s="450" t="str">
        <f>IF(D12="","",IF(Aircraft!S5="N","F.","G."))</f>
        <v/>
      </c>
      <c r="H12" s="450" t="str">
        <f>IF(Aircraft!W5="","",Aircraft!W5)</f>
        <v>$500,000/EX</v>
      </c>
      <c r="I12" s="450">
        <f>IF(Aircraft!Y5="","",Aircraft!Y5)</f>
        <v>5000</v>
      </c>
      <c r="J12" s="448" t="str">
        <f>IF(D12="","",Rating!H11)</f>
        <v/>
      </c>
      <c r="K12" s="448" t="str">
        <f>IF(Aircraft!U5="","",Aircraft!U5)</f>
        <v/>
      </c>
      <c r="L12" s="448" t="str">
        <f>IF(D12="","",IF(F12=0,"N/A",Aircraft!BH5))</f>
        <v/>
      </c>
      <c r="M12" s="451" t="str">
        <f>IF(D12="","",IF(F12=0,0,PRODUCT(Worksheet_Com!N7,100)))</f>
        <v/>
      </c>
      <c r="N12" s="449">
        <f ca="1">IF(H12="","",Worksheet_Com!P7)</f>
        <v>2688</v>
      </c>
      <c r="O12" s="449">
        <f>IF(I12="","",Worksheet_Com!Q7)</f>
        <v>51</v>
      </c>
      <c r="P12" s="449" t="str">
        <f>IF(F12="","",IF(F12=0,0,Worksheet_Com!O7))</f>
        <v/>
      </c>
      <c r="Q12" s="452" t="str">
        <f t="shared" ref="Q12:Q38" si="0">IF(B12="","",SUM(N12:P12))</f>
        <v/>
      </c>
      <c r="S12" s="530" t="s">
        <v>3356</v>
      </c>
      <c r="T12" s="531" t="s">
        <v>3371</v>
      </c>
      <c r="V12">
        <f>IF(Aircraft!AI5&gt;0,Aircraft!AI5,Aircraft!AE5)</f>
        <v>5</v>
      </c>
      <c r="W12" s="152"/>
      <c r="X12" s="152"/>
      <c r="Y12" s="100"/>
      <c r="Z12" s="101"/>
    </row>
    <row r="13" spans="1:26" customFormat="1" ht="15">
      <c r="A13" s="441">
        <v>3</v>
      </c>
      <c r="B13" s="442" t="str">
        <f>IF(Aircraft!F6="","",Rating!C12)</f>
        <v/>
      </c>
      <c r="C13" s="442" t="str">
        <f>IF(B13="","",Aircraft!H6)</f>
        <v/>
      </c>
      <c r="D13" s="443" t="str">
        <f>IF(B13="","",Rating!E12)</f>
        <v/>
      </c>
      <c r="E13" s="442" t="str">
        <f>IF(V13="","",IF(Aircraft!AG6="NO",CONCATENATE(1,"/",('Com Quote'!V13-1)),IF(Aircraft!AG6="YES",CONCATENATE(2,"/",('Com Quote'!V13-2)),"")))</f>
        <v>1/2</v>
      </c>
      <c r="F13" s="444" t="str">
        <f>IF(D13="","",IF(OR(Aircraft!P6=0,Aircraft!P6=""),0,Aircraft!P6))</f>
        <v/>
      </c>
      <c r="G13" s="445" t="str">
        <f>IF(D13="","",IF(Aircraft!S6="N","F.","G."))</f>
        <v/>
      </c>
      <c r="H13" s="445" t="str">
        <f>IF(Aircraft!W6="","",Aircraft!W6)</f>
        <v>$500,000/EX</v>
      </c>
      <c r="I13" s="445">
        <f>IF(Aircraft!Y6="","",Aircraft!Y6)</f>
        <v>5000</v>
      </c>
      <c r="J13" s="442" t="str">
        <f>IF(D13="","",Rating!H12)</f>
        <v/>
      </c>
      <c r="K13" s="442" t="str">
        <f>IF(Aircraft!U6="","",Aircraft!U6)</f>
        <v/>
      </c>
      <c r="L13" s="442" t="str">
        <f>IF(D13="","",IF(F13=0,"N/A",Aircraft!BH6))</f>
        <v/>
      </c>
      <c r="M13" s="446" t="str">
        <f>IF(D13="","",IF(F13=0,0,PRODUCT(Worksheet_Com!N8,100)))</f>
        <v/>
      </c>
      <c r="N13" s="444">
        <f ca="1">IF(H13="","",Worksheet_Com!P8)</f>
        <v>1742</v>
      </c>
      <c r="O13" s="444">
        <f>IF(I13="","",Worksheet_Com!Q8)</f>
        <v>31</v>
      </c>
      <c r="P13" s="444" t="str">
        <f>IF(F13="","",IF(F13=0,0,Worksheet_Com!O8))</f>
        <v/>
      </c>
      <c r="Q13" s="447" t="str">
        <f t="shared" si="0"/>
        <v/>
      </c>
      <c r="S13" s="527">
        <v>0</v>
      </c>
      <c r="T13" s="36">
        <f>IF(OR(S13="",S13=0),0,IFERROR(S13/(Q93*3),"Need A/C"))</f>
        <v>0</v>
      </c>
      <c r="U13" s="529"/>
      <c r="V13">
        <f>IF(Aircraft!AI6&gt;0,Aircraft!AI6,Aircraft!AE6)</f>
        <v>3</v>
      </c>
      <c r="W13" s="152"/>
      <c r="X13" s="152"/>
      <c r="Y13" s="100"/>
      <c r="Z13" s="101"/>
    </row>
    <row r="14" spans="1:26" customFormat="1" ht="15.75" thickBot="1">
      <c r="A14" s="441">
        <v>4</v>
      </c>
      <c r="B14" s="448" t="str">
        <f>IF(Aircraft!F7="","",Rating!C13)</f>
        <v/>
      </c>
      <c r="C14" s="448" t="str">
        <f>IF(B14="","",Aircraft!H7)</f>
        <v/>
      </c>
      <c r="D14" s="448" t="str">
        <f>IF(B14="","",Rating!E13)</f>
        <v/>
      </c>
      <c r="E14" s="448" t="str">
        <f>IF(V14="","",IF(Aircraft!AG7="NO",CONCATENATE(1,"/",('Com Quote'!V14-1)),IF(Aircraft!AG7="YES",CONCATENATE(2,"/",('Com Quote'!V14-2)),"")))</f>
        <v>1/6</v>
      </c>
      <c r="F14" s="449" t="str">
        <f>IF(D14="","",IF(OR(Aircraft!P7=0,Aircraft!P7=""),0,Aircraft!P7))</f>
        <v/>
      </c>
      <c r="G14" s="450" t="str">
        <f>IF(D14="","",IF(Aircraft!S7="N","F.","G."))</f>
        <v/>
      </c>
      <c r="H14" s="450" t="str">
        <f>IF(Aircraft!W7="","",Aircraft!W7)</f>
        <v/>
      </c>
      <c r="I14" s="450" t="str">
        <f>IF(Aircraft!Y7="","",Aircraft!Y7)</f>
        <v/>
      </c>
      <c r="J14" s="448" t="str">
        <f>IF(D14="","",Rating!H13)</f>
        <v/>
      </c>
      <c r="K14" s="448" t="str">
        <f>IF(Aircraft!U7="","",Aircraft!U7)</f>
        <v/>
      </c>
      <c r="L14" s="448" t="str">
        <f>IF(D14="","",IF(F14=0,"N/A",Aircraft!BH7))</f>
        <v/>
      </c>
      <c r="M14" s="451" t="str">
        <f>IF(D14="","",IF(F14=0,0,PRODUCT(Worksheet_Com!N9,100)))</f>
        <v/>
      </c>
      <c r="N14" s="449" t="str">
        <f>IF(H14="","",Worksheet_Com!P9)</f>
        <v/>
      </c>
      <c r="O14" s="449" t="str">
        <f>IF(I14="","",Worksheet_Com!Q9)</f>
        <v/>
      </c>
      <c r="P14" s="449" t="str">
        <f>IF(F14="","",IF(F14=0,0,Worksheet_Com!O9))</f>
        <v/>
      </c>
      <c r="Q14" s="452" t="str">
        <f t="shared" si="0"/>
        <v/>
      </c>
      <c r="U14" s="529"/>
      <c r="V14">
        <f>IF(Aircraft!AI7&gt;0,Aircraft!AI7,Aircraft!AE7)</f>
        <v>7</v>
      </c>
      <c r="W14" s="152"/>
      <c r="X14" s="152"/>
      <c r="Y14" s="100"/>
      <c r="Z14" s="101"/>
    </row>
    <row r="15" spans="1:26" customFormat="1" ht="15">
      <c r="A15" s="441">
        <v>5</v>
      </c>
      <c r="B15" s="442" t="str">
        <f>IF(Aircraft!F8="","",Rating!C14)</f>
        <v/>
      </c>
      <c r="C15" s="442" t="str">
        <f>IF(B15="","",Aircraft!H8)</f>
        <v/>
      </c>
      <c r="D15" s="443" t="str">
        <f>IF(B15="","",Rating!E14)</f>
        <v/>
      </c>
      <c r="E15" s="442" t="str">
        <f>IF(V15="","",IF(Aircraft!AG8="NO",CONCATENATE(1,"/",('Com Quote'!V15-1)),IF(Aircraft!AG8="YES",CONCATENATE(2,"/",('Com Quote'!V15-2)),"")))</f>
        <v/>
      </c>
      <c r="F15" s="444" t="str">
        <f>IF(D15="","",IF(OR(Aircraft!P8=0,Aircraft!P8=""),0,Aircraft!P8))</f>
        <v/>
      </c>
      <c r="G15" s="445" t="str">
        <f>IF(D15="","",IF(Aircraft!S8="N","F.","G."))</f>
        <v/>
      </c>
      <c r="H15" s="445" t="str">
        <f>IF(Aircraft!W8="","",Aircraft!W8)</f>
        <v/>
      </c>
      <c r="I15" s="445" t="str">
        <f>IF(Aircraft!Y8="","",Aircraft!Y8)</f>
        <v/>
      </c>
      <c r="J15" s="442" t="str">
        <f>IF(D15="","",Rating!H14)</f>
        <v/>
      </c>
      <c r="K15" s="442" t="str">
        <f>IF(Aircraft!U8="","",Aircraft!U8)</f>
        <v/>
      </c>
      <c r="L15" s="442" t="str">
        <f>IF(D15="","",IF(F15=0,"N/A",Aircraft!BH8))</f>
        <v/>
      </c>
      <c r="M15" s="446" t="str">
        <f>IF(D15="","",IF(F15=0,0,PRODUCT(Worksheet_Com!N10,100)))</f>
        <v/>
      </c>
      <c r="N15" s="444" t="str">
        <f>IF(H15="","",Worksheet_Com!P10)</f>
        <v/>
      </c>
      <c r="O15" s="444" t="str">
        <f>IF(I15="","",Worksheet_Com!Q10)</f>
        <v/>
      </c>
      <c r="P15" s="444" t="str">
        <f>IF(F15="","",IF(F15=0,0,Worksheet_Com!O10))</f>
        <v/>
      </c>
      <c r="Q15" s="447" t="str">
        <f t="shared" si="0"/>
        <v/>
      </c>
      <c r="V15" t="str">
        <f>IF(Aircraft!AI8&gt;0,Aircraft!AI8,Aircraft!AE8)</f>
        <v/>
      </c>
      <c r="W15" s="152"/>
      <c r="X15" s="152"/>
      <c r="Y15" s="100"/>
      <c r="Z15" s="101"/>
    </row>
    <row r="16" spans="1:26" customFormat="1" ht="15" thickBot="1">
      <c r="A16" s="441">
        <v>6</v>
      </c>
      <c r="B16" s="448" t="str">
        <f>IF(Aircraft!F9="","",Rating!C15)</f>
        <v/>
      </c>
      <c r="C16" s="448" t="str">
        <f>IF(B16="","",Aircraft!H9)</f>
        <v/>
      </c>
      <c r="D16" s="448" t="str">
        <f>IF(B16="","",Rating!E15)</f>
        <v/>
      </c>
      <c r="E16" s="448" t="str">
        <f>IF(V16="","",IF(Aircraft!AG9="NO",CONCATENATE(1,"/",('Com Quote'!V16-1)),IF(Aircraft!AG9="YES",CONCATENATE(2,"/",('Com Quote'!V16-2)),"")))</f>
        <v/>
      </c>
      <c r="F16" s="449" t="str">
        <f>IF(D16="","",IF(OR(Aircraft!P9=0,Aircraft!P9=""),0,Aircraft!P9))</f>
        <v/>
      </c>
      <c r="G16" s="450" t="str">
        <f>IF(D16="","",IF(Aircraft!S9="N","F.","G."))</f>
        <v/>
      </c>
      <c r="H16" s="450" t="str">
        <f>IF(Aircraft!W9="","",Aircraft!W9)</f>
        <v/>
      </c>
      <c r="I16" s="450" t="str">
        <f>IF(Aircraft!Y9="","",Aircraft!Y9)</f>
        <v/>
      </c>
      <c r="J16" s="448" t="str">
        <f>IF(D16="","",Rating!H15)</f>
        <v/>
      </c>
      <c r="K16" s="448" t="str">
        <f>IF(Aircraft!U9="","",Aircraft!U9)</f>
        <v/>
      </c>
      <c r="L16" s="448" t="str">
        <f>IF(D16="","",IF(F16=0,"N/A",Aircraft!BH9))</f>
        <v/>
      </c>
      <c r="M16" s="451" t="str">
        <f>IF(D16="","",IF(F16=0,0,PRODUCT(Worksheet_Com!N11,100)))</f>
        <v/>
      </c>
      <c r="N16" s="449" t="str">
        <f>IF(H16="","",Worksheet_Com!P11)</f>
        <v/>
      </c>
      <c r="O16" s="449" t="str">
        <f>IF(I16="","",Worksheet_Com!Q11)</f>
        <v/>
      </c>
      <c r="P16" s="449" t="str">
        <f>IF(F16="","",IF(F16=0,0,Worksheet_Com!O11))</f>
        <v/>
      </c>
      <c r="Q16" s="452" t="str">
        <f t="shared" si="0"/>
        <v/>
      </c>
      <c r="V16" t="str">
        <f>IF(Aircraft!AI9&gt;0,Aircraft!AI9,Aircraft!AE9)</f>
        <v/>
      </c>
      <c r="Y16" s="100"/>
      <c r="Z16" s="101"/>
    </row>
    <row r="17" spans="1:26" customFormat="1" ht="14.25">
      <c r="A17" s="441">
        <v>7</v>
      </c>
      <c r="B17" s="442" t="str">
        <f>IF(Aircraft!F10="","",Rating!C16)</f>
        <v/>
      </c>
      <c r="C17" s="442" t="str">
        <f>IF(B17="","",Aircraft!H10)</f>
        <v/>
      </c>
      <c r="D17" s="443" t="str">
        <f>IF(B17="","",Rating!E16)</f>
        <v/>
      </c>
      <c r="E17" s="442" t="str">
        <f>IF(V17="","",IF(Aircraft!AG10="NO",CONCATENATE(1,"/",('Com Quote'!V17-1)),IF(Aircraft!AG10="YES",CONCATENATE(2,"/",('Com Quote'!V17-2)),"")))</f>
        <v/>
      </c>
      <c r="F17" s="444" t="str">
        <f>IF(D17="","",IF(OR(Aircraft!P10=0,Aircraft!P10=""),0,Aircraft!P10))</f>
        <v/>
      </c>
      <c r="G17" s="445" t="str">
        <f>IF(D17="","",IF(Aircraft!S10="N","F.","G."))</f>
        <v/>
      </c>
      <c r="H17" s="445" t="str">
        <f>IF(Aircraft!W10="","",Aircraft!W10)</f>
        <v/>
      </c>
      <c r="I17" s="445" t="str">
        <f>IF(Aircraft!Y10="","",Aircraft!Y10)</f>
        <v/>
      </c>
      <c r="J17" s="442" t="str">
        <f>IF(D17="","",Rating!H16)</f>
        <v/>
      </c>
      <c r="K17" s="442" t="str">
        <f>IF(Aircraft!U10="","",Aircraft!U10)</f>
        <v/>
      </c>
      <c r="L17" s="442" t="str">
        <f>IF(D17="","",IF(F17=0,"N/A",Aircraft!BH10))</f>
        <v/>
      </c>
      <c r="M17" s="446" t="str">
        <f>IF(D17="","",IF(F17=0,0,PRODUCT(Worksheet_Com!N12,100)))</f>
        <v/>
      </c>
      <c r="N17" s="444" t="str">
        <f>IF(H17="","",Worksheet_Com!P12)</f>
        <v/>
      </c>
      <c r="O17" s="444" t="str">
        <f>IF(I17="","",Worksheet_Com!Q12)</f>
        <v/>
      </c>
      <c r="P17" s="444" t="str">
        <f>IF(F17="","",IF(F17=0,0,Worksheet_Com!O12))</f>
        <v/>
      </c>
      <c r="Q17" s="447" t="str">
        <f t="shared" si="0"/>
        <v/>
      </c>
      <c r="V17" t="str">
        <f>IF(Aircraft!AI10&gt;0,Aircraft!AI10,Aircraft!AE10)</f>
        <v/>
      </c>
      <c r="Y17" s="100"/>
      <c r="Z17" s="101"/>
    </row>
    <row r="18" spans="1:26" customFormat="1" ht="15" thickBot="1">
      <c r="A18" s="441">
        <v>8</v>
      </c>
      <c r="B18" s="448" t="str">
        <f>IF(Aircraft!F11="","",Rating!C17)</f>
        <v/>
      </c>
      <c r="C18" s="448" t="str">
        <f>IF(B18="","",Aircraft!H11)</f>
        <v/>
      </c>
      <c r="D18" s="448" t="str">
        <f>IF(B18="","",Rating!E17)</f>
        <v/>
      </c>
      <c r="E18" s="448" t="str">
        <f>IF(V18="","",IF(Aircraft!AG11="NO",CONCATENATE(1,"/",('Com Quote'!V18-1)),IF(Aircraft!AG11="YES",CONCATENATE(2,"/",('Com Quote'!V18-2)),"")))</f>
        <v/>
      </c>
      <c r="F18" s="449" t="str">
        <f>IF(D18="","",IF(OR(Aircraft!P11=0,Aircraft!P11=""),0,Aircraft!P11))</f>
        <v/>
      </c>
      <c r="G18" s="450" t="str">
        <f>IF(D18="","",IF(Aircraft!S11="N","F.","G."))</f>
        <v/>
      </c>
      <c r="H18" s="450" t="str">
        <f>IF(Aircraft!W11="","",Aircraft!W11)</f>
        <v/>
      </c>
      <c r="I18" s="450" t="str">
        <f>IF(Aircraft!Y11="","",Aircraft!Y11)</f>
        <v/>
      </c>
      <c r="J18" s="448" t="str">
        <f>IF(D18="","",Rating!H17)</f>
        <v/>
      </c>
      <c r="K18" s="448" t="str">
        <f>IF(Aircraft!U11="","",Aircraft!U11)</f>
        <v/>
      </c>
      <c r="L18" s="448" t="str">
        <f>IF(D18="","",IF(F18=0,"N/A",Aircraft!BH11))</f>
        <v/>
      </c>
      <c r="M18" s="451" t="str">
        <f>IF(D18="","",IF(F18=0,0,PRODUCT(Worksheet_Com!N13,100)))</f>
        <v/>
      </c>
      <c r="N18" s="449" t="str">
        <f>IF(H18="","",Worksheet_Com!P13)</f>
        <v/>
      </c>
      <c r="O18" s="449" t="str">
        <f>IF(I18="","",Worksheet_Com!Q13)</f>
        <v/>
      </c>
      <c r="P18" s="449" t="str">
        <f>IF(F18="","",IF(F18=0,0,Worksheet_Com!O13))</f>
        <v/>
      </c>
      <c r="Q18" s="452" t="str">
        <f t="shared" si="0"/>
        <v/>
      </c>
      <c r="V18" t="str">
        <f>IF(Aircraft!AI11&gt;0,Aircraft!AI11,Aircraft!AE11)</f>
        <v/>
      </c>
      <c r="Y18" s="100"/>
      <c r="Z18" s="101"/>
    </row>
    <row r="19" spans="1:26" customFormat="1" ht="14.25">
      <c r="A19" s="441">
        <v>9</v>
      </c>
      <c r="B19" s="442" t="str">
        <f>IF(Aircraft!F12="","",Rating!C18)</f>
        <v/>
      </c>
      <c r="C19" s="442" t="str">
        <f>IF(B19="","",Aircraft!H12)</f>
        <v/>
      </c>
      <c r="D19" s="443" t="str">
        <f>IF(B19="","",Rating!E18)</f>
        <v/>
      </c>
      <c r="E19" s="442" t="str">
        <f>IF(V19="","",IF(Aircraft!AG12="NO",CONCATENATE(1,"/",('Com Quote'!V19-1)),IF(Aircraft!AG12="YES",CONCATENATE(2,"/",('Com Quote'!V19-2)),"")))</f>
        <v/>
      </c>
      <c r="F19" s="444" t="str">
        <f>IF(D19="","",IF(OR(Aircraft!P12=0,Aircraft!P12=""),0,Aircraft!P12))</f>
        <v/>
      </c>
      <c r="G19" s="445" t="str">
        <f>IF(D19="","",IF(Aircraft!S12="N","F.","G."))</f>
        <v/>
      </c>
      <c r="H19" s="445" t="str">
        <f>IF(Aircraft!W12="","",Aircraft!W12)</f>
        <v/>
      </c>
      <c r="I19" s="445" t="str">
        <f>IF(Aircraft!Y12="","",Aircraft!Y12)</f>
        <v/>
      </c>
      <c r="J19" s="442" t="str">
        <f>IF(D19="","",Rating!H18)</f>
        <v/>
      </c>
      <c r="K19" s="442" t="str">
        <f>IF(Aircraft!U12="","",Aircraft!U12)</f>
        <v/>
      </c>
      <c r="L19" s="442" t="str">
        <f>IF(D19="","",IF(F19=0,"N/A",Aircraft!BH12))</f>
        <v/>
      </c>
      <c r="M19" s="446" t="str">
        <f>IF(D19="","",IF(F19=0,0,PRODUCT(Worksheet_Com!N14,100)))</f>
        <v/>
      </c>
      <c r="N19" s="444" t="str">
        <f>IF(H19="","",Worksheet_Com!P14)</f>
        <v/>
      </c>
      <c r="O19" s="444" t="str">
        <f>IF(I19="","",Worksheet_Com!Q14)</f>
        <v/>
      </c>
      <c r="P19" s="444" t="str">
        <f>IF(F19="","",IF(F19=0,0,Worksheet_Com!O14))</f>
        <v/>
      </c>
      <c r="Q19" s="447" t="str">
        <f t="shared" si="0"/>
        <v/>
      </c>
      <c r="V19" t="str">
        <f>IF(Aircraft!AI12&gt;0,Aircraft!AI12,Aircraft!AE12)</f>
        <v/>
      </c>
      <c r="Y19" s="100"/>
      <c r="Z19" s="101"/>
    </row>
    <row r="20" spans="1:26" customFormat="1" ht="15" thickBot="1">
      <c r="A20" s="441">
        <v>10</v>
      </c>
      <c r="B20" s="448" t="str">
        <f>IF(Aircraft!F13="","",Rating!C19)</f>
        <v/>
      </c>
      <c r="C20" s="448" t="str">
        <f>IF(B20="","",Aircraft!H13)</f>
        <v/>
      </c>
      <c r="D20" s="448" t="str">
        <f>IF(B20="","",Rating!E19)</f>
        <v/>
      </c>
      <c r="E20" s="448" t="str">
        <f>IF(V20="","",IF(Aircraft!AG13="NO",CONCATENATE(1,"/",('Com Quote'!V20-1)),IF(Aircraft!AG13="YES",CONCATENATE(2,"/",('Com Quote'!V20-2)),"")))</f>
        <v/>
      </c>
      <c r="F20" s="449" t="str">
        <f>IF(D20="","",IF(OR(Aircraft!P13=0,Aircraft!P13=""),0,Aircraft!P13))</f>
        <v/>
      </c>
      <c r="G20" s="450" t="str">
        <f>IF(D20="","",IF(Aircraft!S13="N","F.","G."))</f>
        <v/>
      </c>
      <c r="H20" s="450" t="str">
        <f>IF(Aircraft!W13="","",Aircraft!W13)</f>
        <v/>
      </c>
      <c r="I20" s="450" t="str">
        <f>IF(Aircraft!Y13="","",Aircraft!Y13)</f>
        <v/>
      </c>
      <c r="J20" s="448" t="str">
        <f>IF(D20="","",Rating!H19)</f>
        <v/>
      </c>
      <c r="K20" s="448" t="str">
        <f>IF(Aircraft!U13="","",Aircraft!U13)</f>
        <v/>
      </c>
      <c r="L20" s="448" t="str">
        <f>IF(D20="","",IF(F20=0,"N/A",Aircraft!BH13))</f>
        <v/>
      </c>
      <c r="M20" s="451" t="str">
        <f>IF(D20="","",IF(F20=0,0,PRODUCT(Worksheet_Com!N15,100)))</f>
        <v/>
      </c>
      <c r="N20" s="449" t="str">
        <f>IF(H20="","",Worksheet_Com!P15)</f>
        <v/>
      </c>
      <c r="O20" s="449" t="str">
        <f>IF(I20="","",Worksheet_Com!Q15)</f>
        <v/>
      </c>
      <c r="P20" s="449" t="str">
        <f>IF(F20="","",IF(F20=0,0,Worksheet_Com!O15))</f>
        <v/>
      </c>
      <c r="Q20" s="452" t="str">
        <f t="shared" si="0"/>
        <v/>
      </c>
      <c r="V20" t="str">
        <f>IF(Aircraft!AI13&gt;0,Aircraft!AI13,Aircraft!AE13)</f>
        <v/>
      </c>
      <c r="Y20" s="100"/>
      <c r="Z20" s="101"/>
    </row>
    <row r="21" spans="1:26" customFormat="1" ht="14.25">
      <c r="A21" s="441">
        <v>11</v>
      </c>
      <c r="B21" s="442" t="str">
        <f>IF(Aircraft!F14="","",Rating!C20)</f>
        <v/>
      </c>
      <c r="C21" s="442" t="str">
        <f>IF(B21="","",Aircraft!H14)</f>
        <v/>
      </c>
      <c r="D21" s="443" t="str">
        <f>IF(B21="","",Rating!E20)</f>
        <v/>
      </c>
      <c r="E21" s="442" t="str">
        <f>IF(V21="","",IF(Aircraft!AG14="NO",CONCATENATE(1,"/",('Com Quote'!V21-1)),IF(Aircraft!AG14="YES",CONCATENATE(2,"/",('Com Quote'!V21-2)),"")))</f>
        <v/>
      </c>
      <c r="F21" s="444" t="str">
        <f>IF(D21="","",IF(OR(Aircraft!P14=0,Aircraft!P14=""),0,Aircraft!P14))</f>
        <v/>
      </c>
      <c r="G21" s="445" t="str">
        <f>IF(D21="","",IF(Aircraft!S14="N","F.","G."))</f>
        <v/>
      </c>
      <c r="H21" s="445" t="str">
        <f>IF(Aircraft!W14="","",Aircraft!W14)</f>
        <v/>
      </c>
      <c r="I21" s="445" t="str">
        <f>IF(Aircraft!Y14="","",Aircraft!Y14)</f>
        <v/>
      </c>
      <c r="J21" s="442" t="str">
        <f>IF(D21="","",Rating!H20)</f>
        <v/>
      </c>
      <c r="K21" s="442" t="str">
        <f>IF(Aircraft!U14="","",Aircraft!U14)</f>
        <v/>
      </c>
      <c r="L21" s="442" t="str">
        <f>IF(D21="","",IF(F21=0,"N/A",Aircraft!BH14))</f>
        <v/>
      </c>
      <c r="M21" s="446" t="str">
        <f>IF(D21="","",IF(F21=0,0,PRODUCT(Worksheet_Com!N16,100)))</f>
        <v/>
      </c>
      <c r="N21" s="444" t="str">
        <f>IF(H21="","",Worksheet_Com!P16)</f>
        <v/>
      </c>
      <c r="O21" s="444" t="str">
        <f>IF(I21="","",Worksheet_Com!Q16)</f>
        <v/>
      </c>
      <c r="P21" s="444" t="str">
        <f>IF(F21="","",IF(F21=0,0,Worksheet_Com!O16))</f>
        <v/>
      </c>
      <c r="Q21" s="447" t="str">
        <f t="shared" si="0"/>
        <v/>
      </c>
      <c r="V21" t="str">
        <f>IF(Aircraft!AI14&gt;0,Aircraft!AI14,Aircraft!AE14)</f>
        <v/>
      </c>
      <c r="Y21" s="100"/>
      <c r="Z21" s="101"/>
    </row>
    <row r="22" spans="1:26" customFormat="1" ht="15" thickBot="1">
      <c r="A22" s="441">
        <v>12</v>
      </c>
      <c r="B22" s="448" t="str">
        <f>IF(Aircraft!F15="","",Rating!C21)</f>
        <v/>
      </c>
      <c r="C22" s="448" t="str">
        <f>IF(B22="","",Aircraft!H15)</f>
        <v/>
      </c>
      <c r="D22" s="448" t="str">
        <f>IF(B22="","",Rating!E21)</f>
        <v/>
      </c>
      <c r="E22" s="448" t="str">
        <f>IF(V22="","",IF(Aircraft!AG15="NO",CONCATENATE(1,"/",('Com Quote'!V22-1)),IF(Aircraft!AG15="YES",CONCATENATE(2,"/",('Com Quote'!V22-2)),"")))</f>
        <v/>
      </c>
      <c r="F22" s="449" t="str">
        <f>IF(D22="","",IF(OR(Aircraft!P15=0,Aircraft!P15=""),0,Aircraft!P15))</f>
        <v/>
      </c>
      <c r="G22" s="450" t="str">
        <f>IF(D22="","",IF(Aircraft!S15="N","F.","G."))</f>
        <v/>
      </c>
      <c r="H22" s="450" t="str">
        <f>IF(Aircraft!W15="","",Aircraft!W15)</f>
        <v/>
      </c>
      <c r="I22" s="450" t="str">
        <f>IF(Aircraft!Y15="","",Aircraft!Y15)</f>
        <v/>
      </c>
      <c r="J22" s="448" t="str">
        <f>IF(D22="","",Rating!H21)</f>
        <v/>
      </c>
      <c r="K22" s="448" t="str">
        <f>IF(Aircraft!U15="","",Aircraft!U15)</f>
        <v/>
      </c>
      <c r="L22" s="448" t="str">
        <f>IF(D22="","",IF(F22=0,"N/A",Aircraft!BH15))</f>
        <v/>
      </c>
      <c r="M22" s="451" t="str">
        <f>IF(D22="","",IF(F22=0,0,PRODUCT(Worksheet_Com!N17,100)))</f>
        <v/>
      </c>
      <c r="N22" s="449" t="str">
        <f>IF(H22="","",Worksheet_Com!P17)</f>
        <v/>
      </c>
      <c r="O22" s="449" t="str">
        <f>IF(I22="","",Worksheet_Com!Q17)</f>
        <v/>
      </c>
      <c r="P22" s="449" t="str">
        <f>IF(F22="","",IF(F22=0,0,Worksheet_Com!O17))</f>
        <v/>
      </c>
      <c r="Q22" s="452" t="str">
        <f t="shared" si="0"/>
        <v/>
      </c>
      <c r="V22" t="str">
        <f>IF(Aircraft!AI15&gt;0,Aircraft!AI15,Aircraft!AE15)</f>
        <v/>
      </c>
      <c r="Y22" s="100"/>
      <c r="Z22" s="101"/>
    </row>
    <row r="23" spans="1:26" customFormat="1" ht="14.25">
      <c r="A23" s="441">
        <v>13</v>
      </c>
      <c r="B23" s="442" t="str">
        <f>IF(Aircraft!F16="","",Rating!C22)</f>
        <v/>
      </c>
      <c r="C23" s="442" t="str">
        <f>IF(B23="","",Aircraft!H16)</f>
        <v/>
      </c>
      <c r="D23" s="443" t="str">
        <f>IF(B23="","",Rating!E22)</f>
        <v/>
      </c>
      <c r="E23" s="442" t="str">
        <f>IF(V23="","",IF(Aircraft!AG16="NO",CONCATENATE(1,"/",('Com Quote'!V23-1)),IF(Aircraft!AG16="YES",CONCATENATE(2,"/",('Com Quote'!V23-2)),"")))</f>
        <v/>
      </c>
      <c r="F23" s="444" t="str">
        <f>IF(D23="","",IF(OR(Aircraft!P16=0,Aircraft!P16=""),0,Aircraft!P16))</f>
        <v/>
      </c>
      <c r="G23" s="445" t="str">
        <f>IF(D23="","",IF(Aircraft!S16="N","F.","G."))</f>
        <v/>
      </c>
      <c r="H23" s="445" t="str">
        <f>IF(Aircraft!W16="","",Aircraft!W16)</f>
        <v/>
      </c>
      <c r="I23" s="445" t="str">
        <f>IF(Aircraft!Y16="","",Aircraft!Y16)</f>
        <v/>
      </c>
      <c r="J23" s="442" t="str">
        <f>IF(D23="","",Rating!H22)</f>
        <v/>
      </c>
      <c r="K23" s="442" t="str">
        <f>IF(Aircraft!U16="","",Aircraft!U16)</f>
        <v/>
      </c>
      <c r="L23" s="442" t="str">
        <f>IF(D23="","",IF(F23=0,"N/A",Aircraft!BH16))</f>
        <v/>
      </c>
      <c r="M23" s="446" t="str">
        <f>IF(D23="","",IF(F23=0,0,PRODUCT(Worksheet_Com!N18,100)))</f>
        <v/>
      </c>
      <c r="N23" s="444" t="str">
        <f>IF(H23="","",Worksheet_Com!P18)</f>
        <v/>
      </c>
      <c r="O23" s="444" t="str">
        <f>IF(I23="","",Worksheet_Com!Q18)</f>
        <v/>
      </c>
      <c r="P23" s="444" t="str">
        <f>IF(F23="","",IF(F23=0,0,Worksheet_Com!O18))</f>
        <v/>
      </c>
      <c r="Q23" s="447" t="str">
        <f t="shared" si="0"/>
        <v/>
      </c>
      <c r="V23" t="str">
        <f>IF(Aircraft!AI16&gt;0,Aircraft!AI16,Aircraft!AE16)</f>
        <v/>
      </c>
      <c r="Y23" s="100"/>
      <c r="Z23" s="101"/>
    </row>
    <row r="24" spans="1:26" customFormat="1" ht="15" thickBot="1">
      <c r="A24" s="441">
        <v>14</v>
      </c>
      <c r="B24" s="448" t="str">
        <f>IF(Aircraft!F17="","",Rating!C23)</f>
        <v/>
      </c>
      <c r="C24" s="448" t="str">
        <f>IF(B24="","",Aircraft!H17)</f>
        <v/>
      </c>
      <c r="D24" s="448" t="str">
        <f>IF(B24="","",Rating!E23)</f>
        <v/>
      </c>
      <c r="E24" s="448" t="str">
        <f>IF(V24="","",IF(Aircraft!AG17="NO",CONCATENATE(1,"/",('Com Quote'!V24-1)),IF(Aircraft!AG17="YES",CONCATENATE(2,"/",('Com Quote'!V24-2)),"")))</f>
        <v/>
      </c>
      <c r="F24" s="449" t="str">
        <f>IF(D24="","",IF(OR(Aircraft!P17=0,Aircraft!P17=""),0,Aircraft!P17))</f>
        <v/>
      </c>
      <c r="G24" s="450" t="str">
        <f>IF(D24="","",IF(Aircraft!S17="N","F.","G."))</f>
        <v/>
      </c>
      <c r="H24" s="450" t="str">
        <f>IF(Aircraft!W17="","",Aircraft!W17)</f>
        <v/>
      </c>
      <c r="I24" s="450" t="str">
        <f>IF(Aircraft!Y17="","",Aircraft!Y17)</f>
        <v/>
      </c>
      <c r="J24" s="448" t="str">
        <f>IF(D24="","",Rating!H23)</f>
        <v/>
      </c>
      <c r="K24" s="448" t="str">
        <f>IF(Aircraft!U17="","",Aircraft!U17)</f>
        <v/>
      </c>
      <c r="L24" s="448" t="str">
        <f>IF(D24="","",IF(F24=0,"N/A",Aircraft!BH17))</f>
        <v/>
      </c>
      <c r="M24" s="451" t="str">
        <f>IF(D24="","",IF(F24=0,0,PRODUCT(Worksheet_Com!N19,100)))</f>
        <v/>
      </c>
      <c r="N24" s="449" t="str">
        <f>IF(H24="","",Worksheet_Com!P19)</f>
        <v/>
      </c>
      <c r="O24" s="449" t="str">
        <f>IF(I24="","",Worksheet_Com!Q19)</f>
        <v/>
      </c>
      <c r="P24" s="449" t="str">
        <f>IF(F24="","",IF(F24=0,0,Worksheet_Com!O19))</f>
        <v/>
      </c>
      <c r="Q24" s="452" t="str">
        <f t="shared" si="0"/>
        <v/>
      </c>
      <c r="V24" t="str">
        <f>IF(Aircraft!AI17&gt;0,Aircraft!AI17,Aircraft!AE17)</f>
        <v/>
      </c>
      <c r="Y24" s="100"/>
      <c r="Z24" s="101"/>
    </row>
    <row r="25" spans="1:26" customFormat="1" ht="14.25">
      <c r="A25" s="441">
        <v>15</v>
      </c>
      <c r="B25" s="442" t="str">
        <f>IF(Aircraft!F18="","",Rating!C24)</f>
        <v/>
      </c>
      <c r="C25" s="442" t="str">
        <f>IF(B25="","",Aircraft!H18)</f>
        <v/>
      </c>
      <c r="D25" s="443" t="str">
        <f>IF(B25="","",Rating!E24)</f>
        <v/>
      </c>
      <c r="E25" s="442" t="str">
        <f>IF(V25="","",IF(Aircraft!AG18="NO",CONCATENATE(1,"/",('Com Quote'!V25-1)),IF(Aircraft!AG18="YES",CONCATENATE(2,"/",('Com Quote'!V25-2)),"")))</f>
        <v/>
      </c>
      <c r="F25" s="444" t="str">
        <f>IF(D25="","",IF(OR(Aircraft!P18=0,Aircraft!P18=""),0,Aircraft!P18))</f>
        <v/>
      </c>
      <c r="G25" s="445" t="str">
        <f>IF(D25="","",IF(Aircraft!S18="N","F.","G."))</f>
        <v/>
      </c>
      <c r="H25" s="445" t="str">
        <f>IF(Aircraft!W18="","",Aircraft!W18)</f>
        <v/>
      </c>
      <c r="I25" s="445" t="str">
        <f>IF(Aircraft!Y18="","",Aircraft!Y18)</f>
        <v/>
      </c>
      <c r="J25" s="442" t="str">
        <f>IF(D25="","",Rating!H24)</f>
        <v/>
      </c>
      <c r="K25" s="442" t="str">
        <f>IF(Aircraft!U18="","",Aircraft!U18)</f>
        <v/>
      </c>
      <c r="L25" s="442" t="str">
        <f>IF(D25="","",IF(F25=0,"N/A",Aircraft!BH18))</f>
        <v/>
      </c>
      <c r="M25" s="446" t="str">
        <f>IF(D25="","",IF(F25=0,0,PRODUCT(Worksheet_Com!N20,100)))</f>
        <v/>
      </c>
      <c r="N25" s="444" t="str">
        <f>IF(H25="","",Worksheet_Com!P20)</f>
        <v/>
      </c>
      <c r="O25" s="444" t="str">
        <f>IF(I25="","",Worksheet_Com!Q20)</f>
        <v/>
      </c>
      <c r="P25" s="444" t="str">
        <f>IF(F25="","",IF(F25=0,0,Worksheet_Com!O20))</f>
        <v/>
      </c>
      <c r="Q25" s="447" t="str">
        <f t="shared" si="0"/>
        <v/>
      </c>
      <c r="V25" t="str">
        <f>IF(Aircraft!AI18&gt;0,Aircraft!AI18,Aircraft!AE18)</f>
        <v/>
      </c>
      <c r="Y25" s="100"/>
      <c r="Z25" s="101"/>
    </row>
    <row r="26" spans="1:26" customFormat="1" ht="15" thickBot="1">
      <c r="A26" s="441">
        <v>16</v>
      </c>
      <c r="B26" s="448" t="str">
        <f>IF(Aircraft!F19="","",Rating!C25)</f>
        <v/>
      </c>
      <c r="C26" s="448" t="str">
        <f>IF(B26="","",Aircraft!H19)</f>
        <v/>
      </c>
      <c r="D26" s="448" t="str">
        <f>IF(B26="","",Rating!E25)</f>
        <v/>
      </c>
      <c r="E26" s="448" t="str">
        <f>IF(V26="","",IF(Aircraft!AG19="NO",CONCATENATE(1,"/",('Com Quote'!V26-1)),IF(Aircraft!AG19="YES",CONCATENATE(2,"/",('Com Quote'!V26-2)),"")))</f>
        <v/>
      </c>
      <c r="F26" s="449" t="str">
        <f>IF(D26="","",IF(OR(Aircraft!P19=0,Aircraft!P19=""),0,Aircraft!P19))</f>
        <v/>
      </c>
      <c r="G26" s="450" t="str">
        <f>IF(D26="","",IF(Aircraft!S19="N","F.","G."))</f>
        <v/>
      </c>
      <c r="H26" s="450" t="str">
        <f>IF(Aircraft!W19="","",Aircraft!W19)</f>
        <v/>
      </c>
      <c r="I26" s="450" t="str">
        <f>IF(Aircraft!Y19="","",Aircraft!Y19)</f>
        <v/>
      </c>
      <c r="J26" s="448" t="str">
        <f>IF(D26="","",Rating!H25)</f>
        <v/>
      </c>
      <c r="K26" s="448" t="str">
        <f>IF(Aircraft!U19="","",Aircraft!U19)</f>
        <v/>
      </c>
      <c r="L26" s="448" t="str">
        <f>IF(D26="","",IF(F26=0,"N/A",Aircraft!BH19))</f>
        <v/>
      </c>
      <c r="M26" s="451" t="str">
        <f>IF(D26="","",IF(F26=0,0,PRODUCT(Worksheet_Com!N21,100)))</f>
        <v/>
      </c>
      <c r="N26" s="449" t="str">
        <f>IF(H26="","",Worksheet_Com!P21)</f>
        <v/>
      </c>
      <c r="O26" s="449" t="str">
        <f>IF(I26="","",Worksheet_Com!Q21)</f>
        <v/>
      </c>
      <c r="P26" s="449" t="str">
        <f>IF(F26="","",IF(F26=0,0,Worksheet_Com!O21))</f>
        <v/>
      </c>
      <c r="Q26" s="452" t="str">
        <f t="shared" si="0"/>
        <v/>
      </c>
      <c r="V26" t="str">
        <f>IF(Aircraft!AI19&gt;0,Aircraft!AI19,Aircraft!AE19)</f>
        <v/>
      </c>
      <c r="Y26" s="100"/>
      <c r="Z26" s="101"/>
    </row>
    <row r="27" spans="1:26" customFormat="1" ht="14.25">
      <c r="A27" s="441">
        <v>17</v>
      </c>
      <c r="B27" s="442" t="str">
        <f>IF(Aircraft!F20="","",Rating!C26)</f>
        <v/>
      </c>
      <c r="C27" s="442" t="str">
        <f>IF(B27="","",Aircraft!H20)</f>
        <v/>
      </c>
      <c r="D27" s="443" t="str">
        <f>IF(B27="","",Rating!E26)</f>
        <v/>
      </c>
      <c r="E27" s="442" t="str">
        <f>IF(V27="","",IF(Aircraft!AG20="NO",CONCATENATE(1,"/",('Com Quote'!V27-1)),IF(Aircraft!AG20="YES",CONCATENATE(2,"/",('Com Quote'!V27-2)),"")))</f>
        <v/>
      </c>
      <c r="F27" s="444" t="str">
        <f>IF(D27="","",IF(OR(Aircraft!P20=0,Aircraft!P20=""),0,Aircraft!P20))</f>
        <v/>
      </c>
      <c r="G27" s="445" t="str">
        <f>IF(D27="","",IF(Aircraft!S20="N","F.","G."))</f>
        <v/>
      </c>
      <c r="H27" s="445" t="str">
        <f>IF(Aircraft!W20="","",Aircraft!W20)</f>
        <v/>
      </c>
      <c r="I27" s="445" t="str">
        <f>IF(Aircraft!Y20="","",Aircraft!Y20)</f>
        <v/>
      </c>
      <c r="J27" s="442" t="str">
        <f>IF(D27="","",Rating!H26)</f>
        <v/>
      </c>
      <c r="K27" s="442" t="str">
        <f>IF(Aircraft!U20="","",Aircraft!U20)</f>
        <v/>
      </c>
      <c r="L27" s="442" t="str">
        <f>IF(D27="","",IF(F27=0,"N/A",Aircraft!BH20))</f>
        <v/>
      </c>
      <c r="M27" s="446" t="str">
        <f>IF(D27="","",IF(F27=0,0,PRODUCT(Worksheet_Com!N22,100)))</f>
        <v/>
      </c>
      <c r="N27" s="444" t="str">
        <f>IF(H27="","",Worksheet_Com!P22)</f>
        <v/>
      </c>
      <c r="O27" s="444" t="str">
        <f>IF(I27="","",Worksheet_Com!Q22)</f>
        <v/>
      </c>
      <c r="P27" s="444" t="str">
        <f>IF(F27="","",IF(F27=0,0,Worksheet_Com!O22))</f>
        <v/>
      </c>
      <c r="Q27" s="447" t="str">
        <f t="shared" si="0"/>
        <v/>
      </c>
      <c r="V27" t="str">
        <f>IF(Aircraft!AI20&gt;0,Aircraft!AI20,Aircraft!AE20)</f>
        <v/>
      </c>
      <c r="Y27" s="100"/>
      <c r="Z27" s="101"/>
    </row>
    <row r="28" spans="1:26" customFormat="1" ht="15" thickBot="1">
      <c r="A28" s="441">
        <v>18</v>
      </c>
      <c r="B28" s="448" t="str">
        <f>IF(Aircraft!F21="","",Rating!C27)</f>
        <v/>
      </c>
      <c r="C28" s="448" t="str">
        <f>IF(B28="","",Aircraft!H21)</f>
        <v/>
      </c>
      <c r="D28" s="448" t="str">
        <f>IF(B28="","",Rating!E27)</f>
        <v/>
      </c>
      <c r="E28" s="448" t="str">
        <f>IF(V28="","",IF(Aircraft!AG21="NO",CONCATENATE(1,"/",('Com Quote'!V28-1)),IF(Aircraft!AG21="YES",CONCATENATE(2,"/",('Com Quote'!V28-2)),"")))</f>
        <v/>
      </c>
      <c r="F28" s="449" t="str">
        <f>IF(D28="","",IF(OR(Aircraft!P21=0,Aircraft!P21=""),0,Aircraft!P21))</f>
        <v/>
      </c>
      <c r="G28" s="450" t="str">
        <f>IF(D28="","",IF(Aircraft!S21="N","F.","G."))</f>
        <v/>
      </c>
      <c r="H28" s="450" t="str">
        <f>IF(Aircraft!W21="","",Aircraft!W21)</f>
        <v/>
      </c>
      <c r="I28" s="450" t="str">
        <f>IF(Aircraft!Y21="","",Aircraft!Y21)</f>
        <v/>
      </c>
      <c r="J28" s="448" t="str">
        <f>IF(D28="","",Rating!H27)</f>
        <v/>
      </c>
      <c r="K28" s="448" t="str">
        <f>IF(Aircraft!U21="","",Aircraft!U21)</f>
        <v/>
      </c>
      <c r="L28" s="448" t="str">
        <f>IF(D28="","",IF(F28=0,"N/A",Aircraft!BH21))</f>
        <v/>
      </c>
      <c r="M28" s="451" t="str">
        <f>IF(D28="","",IF(F28=0,0,PRODUCT(Worksheet_Com!N23,100)))</f>
        <v/>
      </c>
      <c r="N28" s="449" t="str">
        <f>IF(H28="","",Worksheet_Com!P23)</f>
        <v/>
      </c>
      <c r="O28" s="449" t="str">
        <f>IF(I28="","",Worksheet_Com!Q23)</f>
        <v/>
      </c>
      <c r="P28" s="449" t="str">
        <f>IF(F28="","",IF(F28=0,0,Worksheet_Com!O23))</f>
        <v/>
      </c>
      <c r="Q28" s="452" t="str">
        <f t="shared" si="0"/>
        <v/>
      </c>
      <c r="V28" t="str">
        <f>IF(Aircraft!AI21&gt;0,Aircraft!AI21,Aircraft!AE21)</f>
        <v/>
      </c>
      <c r="Y28" s="100"/>
      <c r="Z28" s="101"/>
    </row>
    <row r="29" spans="1:26" customFormat="1" ht="14.25">
      <c r="A29" s="441">
        <v>19</v>
      </c>
      <c r="B29" s="442" t="str">
        <f>IF(Aircraft!F22="","",Rating!C28)</f>
        <v/>
      </c>
      <c r="C29" s="442" t="str">
        <f>IF(B29="","",Aircraft!H22)</f>
        <v/>
      </c>
      <c r="D29" s="443" t="str">
        <f>IF(B29="","",Rating!E28)</f>
        <v/>
      </c>
      <c r="E29" s="442" t="str">
        <f>IF(V29="","",IF(Aircraft!AG22="NO",CONCATENATE(1,"/",('Com Quote'!V29-1)),IF(Aircraft!AG22="YES",CONCATENATE(2,"/",('Com Quote'!V29-2)),"")))</f>
        <v/>
      </c>
      <c r="F29" s="444" t="str">
        <f>IF(D29="","",IF(OR(Aircraft!P22=0,Aircraft!P22=""),0,Aircraft!P22))</f>
        <v/>
      </c>
      <c r="G29" s="445" t="str">
        <f>IF(D29="","",IF(Aircraft!S22="N","F.","G."))</f>
        <v/>
      </c>
      <c r="H29" s="445" t="str">
        <f>IF(Aircraft!W22="","",Aircraft!W22)</f>
        <v/>
      </c>
      <c r="I29" s="445" t="str">
        <f>IF(Aircraft!Y22="","",Aircraft!Y22)</f>
        <v/>
      </c>
      <c r="J29" s="442" t="str">
        <f>IF(D29="","",Rating!H28)</f>
        <v/>
      </c>
      <c r="K29" s="442" t="str">
        <f>IF(Aircraft!U22="","",Aircraft!U22)</f>
        <v/>
      </c>
      <c r="L29" s="442" t="str">
        <f>IF(D29="","",IF(F29=0,"N/A",Aircraft!BH22))</f>
        <v/>
      </c>
      <c r="M29" s="446" t="str">
        <f>IF(D29="","",IF(F29=0,0,PRODUCT(Worksheet_Com!N24,100)))</f>
        <v/>
      </c>
      <c r="N29" s="444" t="str">
        <f>IF(H29="","",Worksheet_Com!P24)</f>
        <v/>
      </c>
      <c r="O29" s="444" t="str">
        <f>IF(I29="","",Worksheet_Com!Q24)</f>
        <v/>
      </c>
      <c r="P29" s="444" t="str">
        <f>IF(F29="","",IF(F29=0,0,Worksheet_Com!O24))</f>
        <v/>
      </c>
      <c r="Q29" s="447" t="str">
        <f t="shared" si="0"/>
        <v/>
      </c>
      <c r="V29" t="str">
        <f>IF(Aircraft!AI22&gt;0,Aircraft!AI22,Aircraft!AE22)</f>
        <v/>
      </c>
      <c r="Y29" s="100"/>
      <c r="Z29" s="101"/>
    </row>
    <row r="30" spans="1:26" customFormat="1" ht="15" thickBot="1">
      <c r="A30" s="441">
        <v>20</v>
      </c>
      <c r="B30" s="448" t="str">
        <f>IF(Aircraft!F23="","",Rating!C29)</f>
        <v/>
      </c>
      <c r="C30" s="448" t="str">
        <f>IF(B30="","",Aircraft!H23)</f>
        <v/>
      </c>
      <c r="D30" s="448" t="str">
        <f>IF(B30="","",Rating!E29)</f>
        <v/>
      </c>
      <c r="E30" s="448" t="str">
        <f>IF(V30="","",IF(Aircraft!AG23="NO",CONCATENATE(1,"/",('Com Quote'!V30-1)),IF(Aircraft!AG23="YES",CONCATENATE(2,"/",('Com Quote'!V30-2)),"")))</f>
        <v/>
      </c>
      <c r="F30" s="449" t="str">
        <f>IF(D30="","",IF(OR(Aircraft!P23=0,Aircraft!P23=""),0,Aircraft!P23))</f>
        <v/>
      </c>
      <c r="G30" s="450" t="str">
        <f>IF(D30="","",IF(Aircraft!S23="N","F.","G."))</f>
        <v/>
      </c>
      <c r="H30" s="450" t="str">
        <f>IF(Aircraft!W23="","",Aircraft!W23)</f>
        <v/>
      </c>
      <c r="I30" s="450" t="str">
        <f>IF(Aircraft!Y23="","",Aircraft!Y23)</f>
        <v/>
      </c>
      <c r="J30" s="448" t="str">
        <f>IF(D30="","",Rating!H29)</f>
        <v/>
      </c>
      <c r="K30" s="448" t="str">
        <f>IF(Aircraft!U23="","",Aircraft!U23)</f>
        <v/>
      </c>
      <c r="L30" s="448" t="str">
        <f>IF(D30="","",IF(F30=0,"N/A",Aircraft!BH23))</f>
        <v/>
      </c>
      <c r="M30" s="451" t="str">
        <f>IF(D30="","",IF(F30=0,0,PRODUCT(Worksheet_Com!N25,100)))</f>
        <v/>
      </c>
      <c r="N30" s="449" t="str">
        <f>IF(H30="","",Worksheet_Com!P25)</f>
        <v/>
      </c>
      <c r="O30" s="449" t="str">
        <f>IF(I30="","",Worksheet_Com!Q25)</f>
        <v/>
      </c>
      <c r="P30" s="449" t="str">
        <f>IF(F30="","",IF(F30=0,0,Worksheet_Com!O25))</f>
        <v/>
      </c>
      <c r="Q30" s="452" t="str">
        <f t="shared" si="0"/>
        <v/>
      </c>
      <c r="V30" t="str">
        <f>IF(Aircraft!AI23&gt;0,Aircraft!AI23,Aircraft!AE23)</f>
        <v/>
      </c>
      <c r="Y30" s="100"/>
      <c r="Z30" s="101"/>
    </row>
    <row r="31" spans="1:26" customFormat="1" ht="14.25" hidden="1">
      <c r="A31" s="441">
        <v>21</v>
      </c>
      <c r="B31" s="442" t="str">
        <f>IF(Aircraft!F24="","",Rating!C30)</f>
        <v/>
      </c>
      <c r="C31" s="442" t="str">
        <f>IF(B31="","",Aircraft!H24)</f>
        <v/>
      </c>
      <c r="D31" s="443" t="str">
        <f>IF(B31="","",Rating!E30)</f>
        <v/>
      </c>
      <c r="E31" s="442" t="str">
        <f>IF(V31="","",IF(Aircraft!AG24="NO",CONCATENATE(1,"/",('Com Quote'!V31-1)),IF(Aircraft!AG24="YES",CONCATENATE(2,"/",('Com Quote'!V31-2)),"")))</f>
        <v/>
      </c>
      <c r="F31" s="444" t="str">
        <f>IF(D31="","",IF(OR(Aircraft!P24=0,Aircraft!P24=""),0,Aircraft!P24))</f>
        <v/>
      </c>
      <c r="G31" s="445" t="str">
        <f>IF(D31="","",IF(Aircraft!S24="N","F.","G."))</f>
        <v/>
      </c>
      <c r="H31" s="445" t="str">
        <f>IF(Aircraft!W24="","",Aircraft!W24)</f>
        <v/>
      </c>
      <c r="I31" s="445" t="str">
        <f>IF(Aircraft!Y24="","",Aircraft!Y24)</f>
        <v/>
      </c>
      <c r="J31" s="442" t="str">
        <f>IF(D31="","",Rating!H30)</f>
        <v/>
      </c>
      <c r="K31" s="442" t="str">
        <f>IF(Aircraft!U24="","",Aircraft!U24)</f>
        <v/>
      </c>
      <c r="L31" s="442" t="str">
        <f>IF(D31="","",IF(F31=0,"N/A",Aircraft!BH24))</f>
        <v/>
      </c>
      <c r="M31" s="446" t="str">
        <f>IF(D31="","",IF(F31=0,0,PRODUCT(Worksheet_Com!N26,100)))</f>
        <v/>
      </c>
      <c r="N31" s="444" t="str">
        <f>IF(H31="","",Worksheet_Com!P26)</f>
        <v/>
      </c>
      <c r="O31" s="444" t="str">
        <f>IF(I31="","",Worksheet_Com!Q26)</f>
        <v/>
      </c>
      <c r="P31" s="444" t="str">
        <f>IF(F31="","",IF(F31=0,0,Worksheet_Com!O26))</f>
        <v/>
      </c>
      <c r="Q31" s="447" t="str">
        <f t="shared" si="0"/>
        <v/>
      </c>
      <c r="V31" t="str">
        <f>IF(Aircraft!AI24&gt;0,Aircraft!AI24,Aircraft!AE24)</f>
        <v/>
      </c>
      <c r="Y31" s="100"/>
      <c r="Z31" s="101"/>
    </row>
    <row r="32" spans="1:26" customFormat="1" ht="15" hidden="1" thickBot="1">
      <c r="A32" s="441">
        <v>22</v>
      </c>
      <c r="B32" s="448" t="str">
        <f>IF(Aircraft!F25="","",Rating!C31)</f>
        <v/>
      </c>
      <c r="C32" s="448" t="str">
        <f>IF(B32="","",Aircraft!H25)</f>
        <v/>
      </c>
      <c r="D32" s="448" t="str">
        <f>IF(B32="","",Rating!E31)</f>
        <v/>
      </c>
      <c r="E32" s="448" t="str">
        <f>IF(V32="","",IF(Aircraft!AG25="NO",CONCATENATE(1,"/",('Com Quote'!V32-1)),IF(Aircraft!AG25="YES",CONCATENATE(2,"/",('Com Quote'!V32-2)),"")))</f>
        <v/>
      </c>
      <c r="F32" s="449" t="str">
        <f>IF(D32="","",IF(OR(Aircraft!P25=0,Aircraft!P25=""),0,Aircraft!P25))</f>
        <v/>
      </c>
      <c r="G32" s="450" t="str">
        <f>IF(D32="","",IF(Aircraft!S25="N","F.","G."))</f>
        <v/>
      </c>
      <c r="H32" s="450" t="str">
        <f>IF(Aircraft!W25="","",Aircraft!W25)</f>
        <v/>
      </c>
      <c r="I32" s="450" t="str">
        <f>IF(Aircraft!Y25="","",Aircraft!Y25)</f>
        <v/>
      </c>
      <c r="J32" s="448" t="str">
        <f>IF(D32="","",Rating!H31)</f>
        <v/>
      </c>
      <c r="K32" s="448" t="str">
        <f>IF(Aircraft!U25="","",Aircraft!U25)</f>
        <v/>
      </c>
      <c r="L32" s="448" t="str">
        <f>IF(D32="","",IF(F32=0,"N/A",Aircraft!BH25))</f>
        <v/>
      </c>
      <c r="M32" s="451" t="str">
        <f>IF(D32="","",IF(F32=0,0,PRODUCT(Worksheet_Com!N27,100)))</f>
        <v/>
      </c>
      <c r="N32" s="449" t="str">
        <f>IF(H32="","",Worksheet_Com!P27)</f>
        <v/>
      </c>
      <c r="O32" s="449" t="str">
        <f>IF(I32="","",Worksheet_Com!Q27)</f>
        <v/>
      </c>
      <c r="P32" s="449" t="str">
        <f>IF(F32="","",IF(F32=0,0,Worksheet_Com!O27))</f>
        <v/>
      </c>
      <c r="Q32" s="452" t="str">
        <f t="shared" si="0"/>
        <v/>
      </c>
      <c r="V32" t="str">
        <f>IF(Aircraft!AI25&gt;0,Aircraft!AI25,Aircraft!AE25)</f>
        <v/>
      </c>
      <c r="Y32" s="100"/>
      <c r="Z32" s="101"/>
    </row>
    <row r="33" spans="1:26" customFormat="1" ht="14.25" hidden="1">
      <c r="A33" s="441">
        <v>23</v>
      </c>
      <c r="B33" s="442" t="str">
        <f>IF(Aircraft!F26="","",Rating!C32)</f>
        <v/>
      </c>
      <c r="C33" s="442" t="str">
        <f>IF(B33="","",Aircraft!H26)</f>
        <v/>
      </c>
      <c r="D33" s="443" t="str">
        <f>IF(B33="","",Rating!E32)</f>
        <v/>
      </c>
      <c r="E33" s="442" t="str">
        <f>IF(V33="","",IF(Aircraft!AG26="NO",CONCATENATE(1,"/",('Com Quote'!V33-1)),IF(Aircraft!AG26="YES",CONCATENATE(2,"/",('Com Quote'!V33-2)),"")))</f>
        <v/>
      </c>
      <c r="F33" s="444" t="str">
        <f>IF(D33="","",IF(OR(Aircraft!P26=0,Aircraft!P26=""),0,Aircraft!P26))</f>
        <v/>
      </c>
      <c r="G33" s="445" t="str">
        <f>IF(D33="","",IF(Aircraft!S26="N","F.","G."))</f>
        <v/>
      </c>
      <c r="H33" s="445" t="str">
        <f>IF(Aircraft!W26="","",Aircraft!W26)</f>
        <v/>
      </c>
      <c r="I33" s="445" t="str">
        <f>IF(Aircraft!Y26="","",Aircraft!Y26)</f>
        <v/>
      </c>
      <c r="J33" s="442" t="str">
        <f>IF(D33="","",Rating!H32)</f>
        <v/>
      </c>
      <c r="K33" s="442" t="str">
        <f>IF(Aircraft!U26="","",Aircraft!U26)</f>
        <v/>
      </c>
      <c r="L33" s="442" t="str">
        <f>IF(D33="","",IF(F33=0,"N/A",Aircraft!BH26))</f>
        <v/>
      </c>
      <c r="M33" s="446" t="str">
        <f>IF(D33="","",IF(F33=0,0,PRODUCT(Worksheet_Com!N28,100)))</f>
        <v/>
      </c>
      <c r="N33" s="444" t="str">
        <f>IF(H33="","",Worksheet_Com!P28)</f>
        <v/>
      </c>
      <c r="O33" s="444" t="str">
        <f>IF(I33="","",Worksheet_Com!Q28)</f>
        <v/>
      </c>
      <c r="P33" s="444" t="str">
        <f>IF(F33="","",IF(F33=0,0,Worksheet_Com!O28))</f>
        <v/>
      </c>
      <c r="Q33" s="447" t="str">
        <f t="shared" si="0"/>
        <v/>
      </c>
      <c r="V33" t="str">
        <f>IF(Aircraft!AI26&gt;0,Aircraft!AI26,Aircraft!AE26)</f>
        <v/>
      </c>
      <c r="Y33" s="100"/>
      <c r="Z33" s="101"/>
    </row>
    <row r="34" spans="1:26" customFormat="1" ht="15" hidden="1" thickBot="1">
      <c r="A34" s="441">
        <v>24</v>
      </c>
      <c r="B34" s="448" t="str">
        <f>IF(Aircraft!F27="","",Rating!C33)</f>
        <v/>
      </c>
      <c r="C34" s="448" t="str">
        <f>IF(B34="","",Aircraft!H27)</f>
        <v/>
      </c>
      <c r="D34" s="448" t="str">
        <f>IF(B34="","",Rating!E33)</f>
        <v/>
      </c>
      <c r="E34" s="448" t="str">
        <f>IF(V34="","",IF(Aircraft!AG27="NO",CONCATENATE(1,"/",('Com Quote'!V34-1)),IF(Aircraft!AG27="YES",CONCATENATE(2,"/",('Com Quote'!V34-2)),"")))</f>
        <v/>
      </c>
      <c r="F34" s="449" t="str">
        <f>IF(D34="","",IF(OR(Aircraft!P27=0,Aircraft!P27=""),0,Aircraft!P27))</f>
        <v/>
      </c>
      <c r="G34" s="450" t="str">
        <f>IF(D34="","",IF(Aircraft!S27="N","F.","G."))</f>
        <v/>
      </c>
      <c r="H34" s="450" t="str">
        <f>IF(Aircraft!W27="","",Aircraft!W27)</f>
        <v/>
      </c>
      <c r="I34" s="450" t="str">
        <f>IF(Aircraft!Y27="","",Aircraft!Y27)</f>
        <v/>
      </c>
      <c r="J34" s="448" t="str">
        <f>IF(D34="","",Rating!H33)</f>
        <v/>
      </c>
      <c r="K34" s="448" t="str">
        <f>IF(Aircraft!U27="","",Aircraft!U27)</f>
        <v/>
      </c>
      <c r="L34" s="448" t="str">
        <f>IF(D34="","",IF(F34=0,"N/A",Aircraft!BH27))</f>
        <v/>
      </c>
      <c r="M34" s="451" t="str">
        <f>IF(D34="","",IF(F34=0,0,PRODUCT(Worksheet_Com!N29,100)))</f>
        <v/>
      </c>
      <c r="N34" s="449" t="str">
        <f>IF(H34="","",Worksheet_Com!P29)</f>
        <v/>
      </c>
      <c r="O34" s="449" t="str">
        <f>IF(I34="","",Worksheet_Com!Q29)</f>
        <v/>
      </c>
      <c r="P34" s="449" t="str">
        <f>IF(F34="","",IF(F34=0,0,Worksheet_Com!O29))</f>
        <v/>
      </c>
      <c r="Q34" s="452" t="str">
        <f t="shared" si="0"/>
        <v/>
      </c>
      <c r="V34" t="str">
        <f>IF(Aircraft!AI27&gt;0,Aircraft!AI27,Aircraft!AE27)</f>
        <v/>
      </c>
      <c r="Y34" s="100"/>
      <c r="Z34" s="101"/>
    </row>
    <row r="35" spans="1:26" customFormat="1" ht="14.25" hidden="1">
      <c r="A35" s="441">
        <v>25</v>
      </c>
      <c r="B35" s="442" t="str">
        <f>IF(Aircraft!F28="","",Rating!C34)</f>
        <v/>
      </c>
      <c r="C35" s="442" t="str">
        <f>IF(B35="","",Aircraft!H28)</f>
        <v/>
      </c>
      <c r="D35" s="443" t="str">
        <f>IF(B35="","",Rating!E34)</f>
        <v/>
      </c>
      <c r="E35" s="442" t="str">
        <f>IF(V35="","",IF(Aircraft!AG28="NO",CONCATENATE(1,"/",('Com Quote'!V35-1)),IF(Aircraft!AG28="YES",CONCATENATE(2,"/",('Com Quote'!V35-2)),"")))</f>
        <v/>
      </c>
      <c r="F35" s="444" t="str">
        <f>IF(D35="","",IF(OR(Aircraft!P28=0,Aircraft!P28=""),0,Aircraft!P28))</f>
        <v/>
      </c>
      <c r="G35" s="445" t="str">
        <f>IF(D35="","",IF(Aircraft!S28="N","F.","G."))</f>
        <v/>
      </c>
      <c r="H35" s="445" t="str">
        <f>IF(Aircraft!W28="","",Aircraft!W28)</f>
        <v/>
      </c>
      <c r="I35" s="445" t="str">
        <f>IF(Aircraft!Y28="","",Aircraft!Y28)</f>
        <v/>
      </c>
      <c r="J35" s="442" t="str">
        <f>IF(D35="","",Rating!H34)</f>
        <v/>
      </c>
      <c r="K35" s="442" t="str">
        <f>IF(Aircraft!U28="","",Aircraft!U28)</f>
        <v/>
      </c>
      <c r="L35" s="442" t="str">
        <f>IF(D35="","",IF(F35=0,"N/A",Aircraft!BH28))</f>
        <v/>
      </c>
      <c r="M35" s="446" t="str">
        <f>IF(D35="","",IF(F35=0,0,PRODUCT(Worksheet_Com!N30,100)))</f>
        <v/>
      </c>
      <c r="N35" s="444" t="str">
        <f>IF(H35="","",Worksheet_Com!P30)</f>
        <v/>
      </c>
      <c r="O35" s="444" t="str">
        <f>IF(I35="","",Worksheet_Com!Q30)</f>
        <v/>
      </c>
      <c r="P35" s="444" t="str">
        <f>IF(F35="","",IF(F35=0,0,Worksheet_Com!O30))</f>
        <v/>
      </c>
      <c r="Q35" s="447" t="str">
        <f t="shared" si="0"/>
        <v/>
      </c>
      <c r="V35" t="str">
        <f>IF(Aircraft!AI28&gt;0,Aircraft!AI28,Aircraft!AE28)</f>
        <v/>
      </c>
      <c r="Y35" s="100"/>
      <c r="Z35" s="101"/>
    </row>
    <row r="36" spans="1:26" customFormat="1" ht="15" hidden="1" thickBot="1">
      <c r="A36" s="441">
        <v>26</v>
      </c>
      <c r="B36" s="448" t="str">
        <f>IF(Aircraft!F29="","",Rating!C35)</f>
        <v/>
      </c>
      <c r="C36" s="448" t="str">
        <f>IF(B36="","",Aircraft!H29)</f>
        <v/>
      </c>
      <c r="D36" s="448" t="str">
        <f>IF(B36="","",Rating!E35)</f>
        <v/>
      </c>
      <c r="E36" s="448" t="str">
        <f>IF(V36="","",IF(Aircraft!AG29="NO",CONCATENATE(1,"/",('Com Quote'!V36-1)),IF(Aircraft!AG29="YES",CONCATENATE(2,"/",('Com Quote'!V36-2)),"")))</f>
        <v/>
      </c>
      <c r="F36" s="449" t="str">
        <f>IF(D36="","",IF(OR(Aircraft!P29=0,Aircraft!P29=""),0,Aircraft!P29))</f>
        <v/>
      </c>
      <c r="G36" s="450" t="str">
        <f>IF(D36="","",IF(Aircraft!S29="N","F.","G."))</f>
        <v/>
      </c>
      <c r="H36" s="450" t="str">
        <f>IF(Aircraft!W29="","",Aircraft!W29)</f>
        <v/>
      </c>
      <c r="I36" s="450" t="str">
        <f>IF(Aircraft!Y29="","",Aircraft!Y29)</f>
        <v/>
      </c>
      <c r="J36" s="448" t="str">
        <f>IF(D36="","",Rating!H35)</f>
        <v/>
      </c>
      <c r="K36" s="448" t="str">
        <f>IF(Aircraft!U29="","",Aircraft!U29)</f>
        <v/>
      </c>
      <c r="L36" s="448" t="str">
        <f>IF(D36="","",IF(F36=0,"N/A",Aircraft!BH29))</f>
        <v/>
      </c>
      <c r="M36" s="451" t="str">
        <f>IF(D36="","",IF(F36=0,0,PRODUCT(Worksheet_Com!N31,100)))</f>
        <v/>
      </c>
      <c r="N36" s="449" t="str">
        <f>IF(H36="","",Worksheet_Com!P31)</f>
        <v/>
      </c>
      <c r="O36" s="449" t="str">
        <f>IF(I36="","",Worksheet_Com!Q31)</f>
        <v/>
      </c>
      <c r="P36" s="449" t="str">
        <f>IF(F36="","",IF(F36=0,0,Worksheet_Com!O31))</f>
        <v/>
      </c>
      <c r="Q36" s="452" t="str">
        <f t="shared" si="0"/>
        <v/>
      </c>
      <c r="V36" t="str">
        <f>IF(Aircraft!AI29&gt;0,Aircraft!AI29,Aircraft!AE29)</f>
        <v/>
      </c>
      <c r="Y36" s="100"/>
      <c r="Z36" s="101"/>
    </row>
    <row r="37" spans="1:26" customFormat="1" ht="14.25" hidden="1">
      <c r="A37" s="441">
        <v>27</v>
      </c>
      <c r="B37" s="442" t="str">
        <f>IF(Aircraft!F30="","",Rating!C36)</f>
        <v/>
      </c>
      <c r="C37" s="442" t="str">
        <f>IF(B37="","",Aircraft!H30)</f>
        <v/>
      </c>
      <c r="D37" s="443" t="str">
        <f>IF(B37="","",Rating!E36)</f>
        <v/>
      </c>
      <c r="E37" s="442" t="str">
        <f>IF(V37="","",IF(Aircraft!AG30="NO",CONCATENATE(1,"/",('Com Quote'!V37-1)),IF(Aircraft!AG30="YES",CONCATENATE(2,"/",('Com Quote'!V37-2)),"")))</f>
        <v/>
      </c>
      <c r="F37" s="444" t="str">
        <f>IF(D37="","",IF(OR(Aircraft!P30=0,Aircraft!P30=""),0,Aircraft!P30))</f>
        <v/>
      </c>
      <c r="G37" s="445" t="str">
        <f>IF(D37="","",IF(Aircraft!S30="N","F.","G."))</f>
        <v/>
      </c>
      <c r="H37" s="445" t="str">
        <f>IF(Aircraft!W30="","",Aircraft!W30)</f>
        <v/>
      </c>
      <c r="I37" s="445" t="str">
        <f>IF(Aircraft!Y30="","",Aircraft!Y30)</f>
        <v/>
      </c>
      <c r="J37" s="442" t="str">
        <f>IF(D37="","",Rating!H36)</f>
        <v/>
      </c>
      <c r="K37" s="442" t="str">
        <f>IF(Aircraft!U30="","",Aircraft!U30)</f>
        <v/>
      </c>
      <c r="L37" s="442" t="str">
        <f>IF(D37="","",IF(F37=0,"N/A",Aircraft!BH30))</f>
        <v/>
      </c>
      <c r="M37" s="446" t="str">
        <f>IF(D37="","",IF(F37=0,0,PRODUCT(Worksheet_Com!N32,100)))</f>
        <v/>
      </c>
      <c r="N37" s="444" t="str">
        <f>IF(H37="","",Worksheet_Com!P32)</f>
        <v/>
      </c>
      <c r="O37" s="444" t="str">
        <f>IF(I37="","",Worksheet_Com!Q32)</f>
        <v/>
      </c>
      <c r="P37" s="444" t="str">
        <f>IF(F37="","",IF(F37=0,0,Worksheet_Com!O32))</f>
        <v/>
      </c>
      <c r="Q37" s="447" t="str">
        <f t="shared" si="0"/>
        <v/>
      </c>
      <c r="V37" t="str">
        <f>IF(Aircraft!AI30&gt;0,Aircraft!AI30,Aircraft!AE30)</f>
        <v/>
      </c>
      <c r="Y37" s="100"/>
      <c r="Z37" s="101"/>
    </row>
    <row r="38" spans="1:26" customFormat="1" ht="14.25" hidden="1" customHeight="1" thickBot="1">
      <c r="A38" s="441">
        <v>28</v>
      </c>
      <c r="B38" s="448" t="str">
        <f>IF(Aircraft!F31="","",Rating!C37)</f>
        <v/>
      </c>
      <c r="C38" s="448" t="str">
        <f>IF(B38="","",Aircraft!H31)</f>
        <v/>
      </c>
      <c r="D38" s="448" t="str">
        <f>IF(B38="","",Rating!E37)</f>
        <v/>
      </c>
      <c r="E38" s="448" t="str">
        <f>IF(V38="","",IF(Aircraft!AG31="NO",CONCATENATE(1,"/",('Com Quote'!V38-1)),IF(Aircraft!AG31="YES",CONCATENATE(2,"/",('Com Quote'!V38-2)),"")))</f>
        <v/>
      </c>
      <c r="F38" s="449" t="str">
        <f>IF(D38="","",IF(OR(Aircraft!P31=0,Aircraft!P31=""),0,Aircraft!P31))</f>
        <v/>
      </c>
      <c r="G38" s="450" t="str">
        <f>IF(D38="","",IF(Aircraft!S31="N","F.","G."))</f>
        <v/>
      </c>
      <c r="H38" s="450" t="str">
        <f>IF(Aircraft!W31="","",Aircraft!W31)</f>
        <v/>
      </c>
      <c r="I38" s="450" t="str">
        <f>IF(Aircraft!Y31="","",Aircraft!Y31)</f>
        <v/>
      </c>
      <c r="J38" s="448" t="str">
        <f>IF(D38="","",Rating!H37)</f>
        <v/>
      </c>
      <c r="K38" s="448" t="str">
        <f>IF(Aircraft!U31="","",Aircraft!U31)</f>
        <v/>
      </c>
      <c r="L38" s="448" t="str">
        <f>IF(D38="","",IF(F38=0,"N/A",Aircraft!BH31))</f>
        <v/>
      </c>
      <c r="M38" s="451" t="str">
        <f>IF(D38="","",IF(F38=0,0,PRODUCT(Worksheet_Com!N33,100)))</f>
        <v/>
      </c>
      <c r="N38" s="449" t="str">
        <f>IF(H38="","",Worksheet_Com!P33)</f>
        <v/>
      </c>
      <c r="O38" s="449" t="str">
        <f>IF(I38="","",Worksheet_Com!Q33)</f>
        <v/>
      </c>
      <c r="P38" s="449" t="str">
        <f>IF(F38="","",IF(F38=0,0,Worksheet_Com!O33))</f>
        <v/>
      </c>
      <c r="Q38" s="452" t="str">
        <f t="shared" si="0"/>
        <v/>
      </c>
      <c r="V38" t="str">
        <f>IF(Aircraft!AI31&gt;0,Aircraft!AI31,Aircraft!AE31)</f>
        <v/>
      </c>
      <c r="Y38" s="100"/>
      <c r="Z38" s="101"/>
    </row>
    <row r="39" spans="1:26" customFormat="1" ht="14.25" hidden="1">
      <c r="A39" s="441">
        <v>29</v>
      </c>
      <c r="B39" s="594" t="str">
        <f>IF(Aircraft!F32="","",Rating!C38)</f>
        <v/>
      </c>
      <c r="C39" s="594" t="str">
        <f>IF(B39="","",Aircraft!H32)</f>
        <v/>
      </c>
      <c r="D39" s="595" t="str">
        <f>IF(B39="","",Rating!E38)</f>
        <v/>
      </c>
      <c r="E39" s="594" t="str">
        <f>IF(V39="","",IF(Aircraft!AG32="NO",CONCATENATE(1,"/",('Com Quote'!V39-1)),IF(Aircraft!AG32="YES",CONCATENATE(2,"/",('Com Quote'!V39-2)),"")))</f>
        <v/>
      </c>
      <c r="F39" s="596" t="str">
        <f>IF(D39="","",IF(OR(Aircraft!P32=0,Aircraft!P32=""),0,Aircraft!P32))</f>
        <v/>
      </c>
      <c r="G39" s="597" t="str">
        <f>IF(D39="","",IF(Aircraft!S32="N","F.","G."))</f>
        <v/>
      </c>
      <c r="H39" s="597" t="str">
        <f>IF(Aircraft!W32="","",Aircraft!W32)</f>
        <v/>
      </c>
      <c r="I39" s="597" t="str">
        <f>IF(Aircraft!Y32="","",Aircraft!Y32)</f>
        <v/>
      </c>
      <c r="J39" s="594" t="str">
        <f>IF(D39="","",Rating!H38)</f>
        <v/>
      </c>
      <c r="K39" s="594" t="str">
        <f>IF(Aircraft!U32="","",Aircraft!U32)</f>
        <v/>
      </c>
      <c r="L39" s="594" t="str">
        <f>IF(D39="","",IF(F39=0,"N/A",Aircraft!BH32))</f>
        <v/>
      </c>
      <c r="M39" s="598" t="str">
        <f>IF(D39="","",IF(F39=0,0,PRODUCT(Worksheet_Com!N34,100)))</f>
        <v/>
      </c>
      <c r="N39" s="596" t="str">
        <f>IF(H39="","",Worksheet_Com!P34)</f>
        <v/>
      </c>
      <c r="O39" s="596" t="str">
        <f>IF(I39="","",Worksheet_Com!Q34)</f>
        <v/>
      </c>
      <c r="P39" s="596" t="str">
        <f>IF(F39="","",IF(F39=0,0,Worksheet_Com!O34))</f>
        <v/>
      </c>
      <c r="Q39" s="599" t="str">
        <f t="shared" ref="Q39:Q90" si="1">IF(B39="","",SUM(N39:P39))</f>
        <v/>
      </c>
      <c r="V39" t="str">
        <f>IF(Aircraft!AI32&gt;0,Aircraft!AI32,Aircraft!AE32)</f>
        <v/>
      </c>
      <c r="Y39" s="100"/>
      <c r="Z39" s="101"/>
    </row>
    <row r="40" spans="1:26" customFormat="1" ht="14.25" hidden="1" customHeight="1" thickBot="1">
      <c r="A40" s="441">
        <v>30</v>
      </c>
      <c r="B40" s="448" t="str">
        <f>IF(Aircraft!F33="","",Rating!C39)</f>
        <v/>
      </c>
      <c r="C40" s="448" t="str">
        <f>IF(B40="","",Aircraft!H33)</f>
        <v/>
      </c>
      <c r="D40" s="448" t="str">
        <f>IF(B40="","",Rating!E39)</f>
        <v/>
      </c>
      <c r="E40" s="448" t="str">
        <f>IF(V40="","",IF(Aircraft!AG33="NO",CONCATENATE(1,"/",('Com Quote'!V40-1)),IF(Aircraft!AG33="YES",CONCATENATE(2,"/",('Com Quote'!V40-2)),"")))</f>
        <v/>
      </c>
      <c r="F40" s="449" t="str">
        <f>IF(D40="","",IF(OR(Aircraft!P33=0,Aircraft!P33=""),0,Aircraft!P33))</f>
        <v/>
      </c>
      <c r="G40" s="450" t="str">
        <f>IF(D40="","",IF(Aircraft!S33="N","F.","G."))</f>
        <v/>
      </c>
      <c r="H40" s="450" t="str">
        <f>IF(Aircraft!W33="","",Aircraft!W33)</f>
        <v/>
      </c>
      <c r="I40" s="450" t="str">
        <f>IF(Aircraft!Y33="","",Aircraft!Y33)</f>
        <v/>
      </c>
      <c r="J40" s="448" t="str">
        <f>IF(D40="","",Rating!H39)</f>
        <v/>
      </c>
      <c r="K40" s="448" t="str">
        <f>IF(Aircraft!U33="","",Aircraft!U33)</f>
        <v/>
      </c>
      <c r="L40" s="448" t="str">
        <f>IF(D40="","",IF(F40=0,"N/A",Aircraft!BH33))</f>
        <v/>
      </c>
      <c r="M40" s="451" t="str">
        <f>IF(D40="","",IF(F40=0,0,PRODUCT(Worksheet_Com!N35,100)))</f>
        <v/>
      </c>
      <c r="N40" s="449" t="str">
        <f>IF(H40="","",Worksheet_Com!P35)</f>
        <v/>
      </c>
      <c r="O40" s="449" t="str">
        <f>IF(I40="","",Worksheet_Com!Q35)</f>
        <v/>
      </c>
      <c r="P40" s="449" t="str">
        <f>IF(F40="","",IF(F40=0,0,Worksheet_Com!O35))</f>
        <v/>
      </c>
      <c r="Q40" s="452" t="str">
        <f t="shared" si="1"/>
        <v/>
      </c>
      <c r="V40" t="str">
        <f>IF(Aircraft!AI33&gt;0,Aircraft!AI33,Aircraft!AE33)</f>
        <v/>
      </c>
      <c r="Y40" s="100"/>
      <c r="Z40" s="101"/>
    </row>
    <row r="41" spans="1:26" customFormat="1" ht="14.25" hidden="1">
      <c r="A41" s="441">
        <v>31</v>
      </c>
      <c r="B41" s="594" t="str">
        <f>IF(Aircraft!F34="","",Rating!C40)</f>
        <v/>
      </c>
      <c r="C41" s="594" t="str">
        <f>IF(B41="","",Aircraft!H34)</f>
        <v/>
      </c>
      <c r="D41" s="595" t="str">
        <f>IF(B41="","",Rating!E40)</f>
        <v/>
      </c>
      <c r="E41" s="594" t="str">
        <f>IF(V41="","",IF(Aircraft!AG34="NO",CONCATENATE(1,"/",('Com Quote'!V41-1)),IF(Aircraft!AG34="YES",CONCATENATE(2,"/",('Com Quote'!V41-2)),"")))</f>
        <v/>
      </c>
      <c r="F41" s="596" t="str">
        <f>IF(D41="","",IF(OR(Aircraft!P34=0,Aircraft!P34=""),0,Aircraft!P34))</f>
        <v/>
      </c>
      <c r="G41" s="597" t="str">
        <f>IF(D41="","",IF(Aircraft!S34="N","F.","G."))</f>
        <v/>
      </c>
      <c r="H41" s="597" t="str">
        <f>IF(Aircraft!W34="","",Aircraft!W34)</f>
        <v/>
      </c>
      <c r="I41" s="597" t="str">
        <f>IF(Aircraft!Y34="","",Aircraft!Y34)</f>
        <v/>
      </c>
      <c r="J41" s="594" t="str">
        <f>IF(D41="","",Rating!H40)</f>
        <v/>
      </c>
      <c r="K41" s="594" t="str">
        <f>IF(Aircraft!U34="","",Aircraft!U34)</f>
        <v/>
      </c>
      <c r="L41" s="594" t="str">
        <f>IF(D41="","",IF(F41=0,"N/A",Aircraft!BH34))</f>
        <v/>
      </c>
      <c r="M41" s="598" t="str">
        <f>IF(D41="","",IF(F41=0,0,PRODUCT(Worksheet_Com!N36,100)))</f>
        <v/>
      </c>
      <c r="N41" s="596" t="str">
        <f>IF(H41="","",Worksheet_Com!P36)</f>
        <v/>
      </c>
      <c r="O41" s="596" t="str">
        <f>IF(I41="","",Worksheet_Com!Q36)</f>
        <v/>
      </c>
      <c r="P41" s="596" t="str">
        <f>IF(F41="","",IF(F41=0,0,Worksheet_Com!O36))</f>
        <v/>
      </c>
      <c r="Q41" s="599" t="str">
        <f t="shared" si="1"/>
        <v/>
      </c>
      <c r="V41" t="str">
        <f>IF(Aircraft!AI34&gt;0,Aircraft!AI34,Aircraft!AE34)</f>
        <v/>
      </c>
      <c r="Y41" s="100"/>
      <c r="Z41" s="101"/>
    </row>
    <row r="42" spans="1:26" customFormat="1" ht="14.25" hidden="1" customHeight="1" thickBot="1">
      <c r="A42" s="441">
        <v>32</v>
      </c>
      <c r="B42" s="448" t="str">
        <f>IF(Aircraft!F35="","",Rating!C41)</f>
        <v/>
      </c>
      <c r="C42" s="448" t="str">
        <f>IF(B42="","",Aircraft!H35)</f>
        <v/>
      </c>
      <c r="D42" s="448" t="str">
        <f>IF(B42="","",Rating!E41)</f>
        <v/>
      </c>
      <c r="E42" s="448" t="str">
        <f>IF(V42="","",IF(Aircraft!AG35="NO",CONCATENATE(1,"/",('Com Quote'!V42-1)),IF(Aircraft!AG35="YES",CONCATENATE(2,"/",('Com Quote'!V42-2)),"")))</f>
        <v/>
      </c>
      <c r="F42" s="449" t="str">
        <f>IF(D42="","",IF(OR(Aircraft!P35=0,Aircraft!P35=""),0,Aircraft!P35))</f>
        <v/>
      </c>
      <c r="G42" s="450" t="str">
        <f>IF(D42="","",IF(Aircraft!S35="N","F.","G."))</f>
        <v/>
      </c>
      <c r="H42" s="450" t="str">
        <f>IF(Aircraft!W35="","",Aircraft!W35)</f>
        <v/>
      </c>
      <c r="I42" s="450" t="str">
        <f>IF(Aircraft!Y35="","",Aircraft!Y35)</f>
        <v/>
      </c>
      <c r="J42" s="448" t="str">
        <f>IF(D42="","",Rating!H41)</f>
        <v/>
      </c>
      <c r="K42" s="448" t="str">
        <f>IF(Aircraft!U35="","",Aircraft!U35)</f>
        <v/>
      </c>
      <c r="L42" s="448" t="str">
        <f>IF(D42="","",IF(F42=0,"N/A",Aircraft!BH35))</f>
        <v/>
      </c>
      <c r="M42" s="451" t="str">
        <f>IF(D42="","",IF(F42=0,0,PRODUCT(Worksheet_Com!N37,100)))</f>
        <v/>
      </c>
      <c r="N42" s="449" t="str">
        <f>IF(H42="","",Worksheet_Com!P37)</f>
        <v/>
      </c>
      <c r="O42" s="449" t="str">
        <f>IF(I42="","",Worksheet_Com!Q37)</f>
        <v/>
      </c>
      <c r="P42" s="449" t="str">
        <f>IF(F42="","",IF(F42=0,0,Worksheet_Com!O37))</f>
        <v/>
      </c>
      <c r="Q42" s="452" t="str">
        <f t="shared" si="1"/>
        <v/>
      </c>
      <c r="V42" t="str">
        <f>IF(Aircraft!AI35&gt;0,Aircraft!AI35,Aircraft!AE35)</f>
        <v/>
      </c>
      <c r="Y42" s="100"/>
      <c r="Z42" s="101"/>
    </row>
    <row r="43" spans="1:26" customFormat="1" ht="14.25" hidden="1">
      <c r="A43" s="441">
        <v>33</v>
      </c>
      <c r="B43" s="594" t="str">
        <f>IF(Aircraft!F36="","",Rating!C42)</f>
        <v/>
      </c>
      <c r="C43" s="594" t="str">
        <f>IF(B43="","",Aircraft!H36)</f>
        <v/>
      </c>
      <c r="D43" s="595" t="str">
        <f>IF(B43="","",Rating!E42)</f>
        <v/>
      </c>
      <c r="E43" s="594" t="str">
        <f>IF(V43="","",IF(Aircraft!AG36="NO",CONCATENATE(1,"/",('Com Quote'!V43-1)),IF(Aircraft!AG36="YES",CONCATENATE(2,"/",('Com Quote'!V43-2)),"")))</f>
        <v/>
      </c>
      <c r="F43" s="596" t="str">
        <f>IF(D43="","",IF(OR(Aircraft!P36=0,Aircraft!P36=""),0,Aircraft!P36))</f>
        <v/>
      </c>
      <c r="G43" s="597" t="str">
        <f>IF(D43="","",IF(Aircraft!S36="N","F.","G."))</f>
        <v/>
      </c>
      <c r="H43" s="597" t="str">
        <f>IF(Aircraft!W36="","",Aircraft!W36)</f>
        <v/>
      </c>
      <c r="I43" s="597" t="str">
        <f>IF(Aircraft!Y36="","",Aircraft!Y36)</f>
        <v/>
      </c>
      <c r="J43" s="594" t="str">
        <f>IF(D43="","",Rating!H42)</f>
        <v/>
      </c>
      <c r="K43" s="594" t="str">
        <f>IF(Aircraft!U36="","",Aircraft!U36)</f>
        <v/>
      </c>
      <c r="L43" s="594" t="str">
        <f>IF(D43="","",IF(F43=0,"N/A",Aircraft!BH36))</f>
        <v/>
      </c>
      <c r="M43" s="598" t="str">
        <f>IF(D43="","",IF(F43=0,0,PRODUCT(Worksheet_Com!N38,100)))</f>
        <v/>
      </c>
      <c r="N43" s="596" t="str">
        <f>IF(H43="","",Worksheet_Com!P38)</f>
        <v/>
      </c>
      <c r="O43" s="596" t="str">
        <f>IF(I43="","",Worksheet_Com!Q38)</f>
        <v/>
      </c>
      <c r="P43" s="596" t="str">
        <f>IF(F43="","",IF(F43=0,0,Worksheet_Com!O38))</f>
        <v/>
      </c>
      <c r="Q43" s="599" t="str">
        <f t="shared" si="1"/>
        <v/>
      </c>
      <c r="V43" t="str">
        <f>IF(Aircraft!AI36&gt;0,Aircraft!AI36,Aircraft!AE36)</f>
        <v/>
      </c>
      <c r="Y43" s="100"/>
      <c r="Z43" s="101"/>
    </row>
    <row r="44" spans="1:26" customFormat="1" ht="14.25" hidden="1" customHeight="1" thickBot="1">
      <c r="A44" s="441">
        <v>34</v>
      </c>
      <c r="B44" s="448" t="str">
        <f>IF(Aircraft!F37="","",Rating!C43)</f>
        <v/>
      </c>
      <c r="C44" s="448" t="str">
        <f>IF(B44="","",Aircraft!H37)</f>
        <v/>
      </c>
      <c r="D44" s="448" t="str">
        <f>IF(B44="","",Rating!E43)</f>
        <v/>
      </c>
      <c r="E44" s="448" t="str">
        <f>IF(V44="","",IF(Aircraft!AG37="NO",CONCATENATE(1,"/",('Com Quote'!V44-1)),IF(Aircraft!AG37="YES",CONCATENATE(2,"/",('Com Quote'!V44-2)),"")))</f>
        <v/>
      </c>
      <c r="F44" s="449" t="str">
        <f>IF(D44="","",IF(OR(Aircraft!P37=0,Aircraft!P37=""),0,Aircraft!P37))</f>
        <v/>
      </c>
      <c r="G44" s="450" t="str">
        <f>IF(D44="","",IF(Aircraft!S37="N","F.","G."))</f>
        <v/>
      </c>
      <c r="H44" s="450" t="str">
        <f>IF(Aircraft!W37="","",Aircraft!W37)</f>
        <v/>
      </c>
      <c r="I44" s="450" t="str">
        <f>IF(Aircraft!Y37="","",Aircraft!Y37)</f>
        <v/>
      </c>
      <c r="J44" s="448" t="str">
        <f>IF(D44="","",Rating!H43)</f>
        <v/>
      </c>
      <c r="K44" s="448" t="str">
        <f>IF(Aircraft!U37="","",Aircraft!U37)</f>
        <v/>
      </c>
      <c r="L44" s="448" t="str">
        <f>IF(D44="","",IF(F44=0,"N/A",Aircraft!BH37))</f>
        <v/>
      </c>
      <c r="M44" s="451" t="str">
        <f>IF(D44="","",IF(F44=0,0,PRODUCT(Worksheet_Com!N39,100)))</f>
        <v/>
      </c>
      <c r="N44" s="449" t="str">
        <f>IF(H44="","",Worksheet_Com!P39)</f>
        <v/>
      </c>
      <c r="O44" s="449" t="str">
        <f>IF(I44="","",Worksheet_Com!Q39)</f>
        <v/>
      </c>
      <c r="P44" s="449" t="str">
        <f>IF(F44="","",IF(F44=0,0,Worksheet_Com!O39))</f>
        <v/>
      </c>
      <c r="Q44" s="452" t="str">
        <f t="shared" si="1"/>
        <v/>
      </c>
      <c r="V44" t="str">
        <f>IF(Aircraft!AI37&gt;0,Aircraft!AI37,Aircraft!AE37)</f>
        <v/>
      </c>
      <c r="Y44" s="100"/>
      <c r="Z44" s="101"/>
    </row>
    <row r="45" spans="1:26" customFormat="1" ht="14.25" hidden="1">
      <c r="A45" s="441">
        <v>35</v>
      </c>
      <c r="B45" s="594" t="str">
        <f>IF(Aircraft!F38="","",Rating!C44)</f>
        <v/>
      </c>
      <c r="C45" s="594" t="str">
        <f>IF(B45="","",Aircraft!H38)</f>
        <v/>
      </c>
      <c r="D45" s="595" t="str">
        <f>IF(B45="","",Rating!E44)</f>
        <v/>
      </c>
      <c r="E45" s="594" t="str">
        <f>IF(V45="","",IF(Aircraft!AG38="NO",CONCATENATE(1,"/",('Com Quote'!V45-1)),IF(Aircraft!AG38="YES",CONCATENATE(2,"/",('Com Quote'!V45-2)),"")))</f>
        <v/>
      </c>
      <c r="F45" s="596" t="str">
        <f>IF(D45="","",IF(OR(Aircraft!P38=0,Aircraft!P38=""),0,Aircraft!P38))</f>
        <v/>
      </c>
      <c r="G45" s="597" t="str">
        <f>IF(D45="","",IF(Aircraft!S38="N","F.","G."))</f>
        <v/>
      </c>
      <c r="H45" s="597" t="str">
        <f>IF(Aircraft!W38="","",Aircraft!W38)</f>
        <v/>
      </c>
      <c r="I45" s="597" t="str">
        <f>IF(Aircraft!Y38="","",Aircraft!Y38)</f>
        <v/>
      </c>
      <c r="J45" s="594" t="str">
        <f>IF(D45="","",Rating!H44)</f>
        <v/>
      </c>
      <c r="K45" s="594" t="str">
        <f>IF(Aircraft!U38="","",Aircraft!U38)</f>
        <v/>
      </c>
      <c r="L45" s="594" t="str">
        <f>IF(D45="","",IF(F45=0,"N/A",Aircraft!BH38))</f>
        <v/>
      </c>
      <c r="M45" s="598" t="str">
        <f>IF(D45="","",IF(F45=0,0,PRODUCT(Worksheet_Com!N40,100)))</f>
        <v/>
      </c>
      <c r="N45" s="596" t="str">
        <f>IF(H45="","",Worksheet_Com!P40)</f>
        <v/>
      </c>
      <c r="O45" s="596" t="str">
        <f>IF(I45="","",Worksheet_Com!Q40)</f>
        <v/>
      </c>
      <c r="P45" s="596" t="str">
        <f>IF(F45="","",IF(F45=0,0,Worksheet_Com!O40))</f>
        <v/>
      </c>
      <c r="Q45" s="599" t="str">
        <f t="shared" si="1"/>
        <v/>
      </c>
      <c r="V45" t="str">
        <f>IF(Aircraft!AI38&gt;0,Aircraft!AI38,Aircraft!AE38)</f>
        <v/>
      </c>
      <c r="Y45" s="100"/>
      <c r="Z45" s="101"/>
    </row>
    <row r="46" spans="1:26" customFormat="1" ht="14.25" hidden="1" customHeight="1" thickBot="1">
      <c r="A46" s="441">
        <v>36</v>
      </c>
      <c r="B46" s="448" t="str">
        <f>IF(Aircraft!F39="","",Rating!C45)</f>
        <v/>
      </c>
      <c r="C46" s="448" t="str">
        <f>IF(B46="","",Aircraft!H39)</f>
        <v/>
      </c>
      <c r="D46" s="448" t="str">
        <f>IF(B46="","",Rating!E45)</f>
        <v/>
      </c>
      <c r="E46" s="448" t="str">
        <f>IF(V46="","",IF(Aircraft!AG39="NO",CONCATENATE(1,"/",('Com Quote'!V46-1)),IF(Aircraft!AG39="YES",CONCATENATE(2,"/",('Com Quote'!V46-2)),"")))</f>
        <v/>
      </c>
      <c r="F46" s="449" t="str">
        <f>IF(D46="","",IF(OR(Aircraft!P39=0,Aircraft!P39=""),0,Aircraft!P39))</f>
        <v/>
      </c>
      <c r="G46" s="450" t="str">
        <f>IF(D46="","",IF(Aircraft!S39="N","F.","G."))</f>
        <v/>
      </c>
      <c r="H46" s="450" t="str">
        <f>IF(Aircraft!W39="","",Aircraft!W39)</f>
        <v/>
      </c>
      <c r="I46" s="450" t="str">
        <f>IF(Aircraft!Y39="","",Aircraft!Y39)</f>
        <v/>
      </c>
      <c r="J46" s="448" t="str">
        <f>IF(D46="","",Rating!H45)</f>
        <v/>
      </c>
      <c r="K46" s="448" t="str">
        <f>IF(Aircraft!U39="","",Aircraft!U39)</f>
        <v/>
      </c>
      <c r="L46" s="448" t="str">
        <f>IF(D46="","",IF(F46=0,"N/A",Aircraft!BH39))</f>
        <v/>
      </c>
      <c r="M46" s="451" t="str">
        <f>IF(D46="","",IF(F46=0,0,PRODUCT(Worksheet_Com!N41,100)))</f>
        <v/>
      </c>
      <c r="N46" s="449" t="str">
        <f>IF(H46="","",Worksheet_Com!P41)</f>
        <v/>
      </c>
      <c r="O46" s="449" t="str">
        <f>IF(I46="","",Worksheet_Com!Q41)</f>
        <v/>
      </c>
      <c r="P46" s="449" t="str">
        <f>IF(F46="","",IF(F46=0,0,Worksheet_Com!O41))</f>
        <v/>
      </c>
      <c r="Q46" s="452" t="str">
        <f t="shared" si="1"/>
        <v/>
      </c>
      <c r="V46" t="str">
        <f>IF(Aircraft!AI39&gt;0,Aircraft!AI39,Aircraft!AE39)</f>
        <v/>
      </c>
      <c r="Y46" s="100"/>
      <c r="Z46" s="101"/>
    </row>
    <row r="47" spans="1:26" customFormat="1" ht="14.25" hidden="1">
      <c r="A47" s="441">
        <v>37</v>
      </c>
      <c r="B47" s="594" t="str">
        <f>IF(Aircraft!F40="","",Rating!C46)</f>
        <v/>
      </c>
      <c r="C47" s="594" t="str">
        <f>IF(B47="","",Aircraft!H40)</f>
        <v/>
      </c>
      <c r="D47" s="595" t="str">
        <f>IF(B47="","",Rating!E46)</f>
        <v/>
      </c>
      <c r="E47" s="594" t="str">
        <f>IF(V47="","",IF(Aircraft!AG40="NO",CONCATENATE(1,"/",('Com Quote'!V47-1)),IF(Aircraft!AG40="YES",CONCATENATE(2,"/",('Com Quote'!V47-2)),"")))</f>
        <v/>
      </c>
      <c r="F47" s="596" t="str">
        <f>IF(D47="","",IF(OR(Aircraft!P40=0,Aircraft!P40=""),0,Aircraft!P40))</f>
        <v/>
      </c>
      <c r="G47" s="597" t="str">
        <f>IF(D47="","",IF(Aircraft!S40="N","F.","G."))</f>
        <v/>
      </c>
      <c r="H47" s="597" t="str">
        <f>IF(Aircraft!W40="","",Aircraft!W40)</f>
        <v/>
      </c>
      <c r="I47" s="597" t="str">
        <f>IF(Aircraft!Y40="","",Aircraft!Y40)</f>
        <v/>
      </c>
      <c r="J47" s="594" t="str">
        <f>IF(D47="","",Rating!H46)</f>
        <v/>
      </c>
      <c r="K47" s="594" t="str">
        <f>IF(Aircraft!U40="","",Aircraft!U40)</f>
        <v/>
      </c>
      <c r="L47" s="594" t="str">
        <f>IF(D47="","",IF(F47=0,"N/A",Aircraft!BH40))</f>
        <v/>
      </c>
      <c r="M47" s="598" t="str">
        <f>IF(D47="","",IF(F47=0,0,PRODUCT(Worksheet_Com!N42,100)))</f>
        <v/>
      </c>
      <c r="N47" s="596" t="str">
        <f>IF(H47="","",Worksheet_Com!P42)</f>
        <v/>
      </c>
      <c r="O47" s="596" t="str">
        <f>IF(I47="","",Worksheet_Com!Q42)</f>
        <v/>
      </c>
      <c r="P47" s="596" t="str">
        <f>IF(F47="","",IF(F47=0,0,Worksheet_Com!O42))</f>
        <v/>
      </c>
      <c r="Q47" s="599" t="str">
        <f t="shared" si="1"/>
        <v/>
      </c>
      <c r="V47" t="str">
        <f>IF(Aircraft!AI40&gt;0,Aircraft!AI40,Aircraft!AE40)</f>
        <v/>
      </c>
      <c r="Y47" s="100"/>
      <c r="Z47" s="101"/>
    </row>
    <row r="48" spans="1:26" customFormat="1" ht="14.25" hidden="1" customHeight="1" thickBot="1">
      <c r="A48" s="441">
        <v>38</v>
      </c>
      <c r="B48" s="448" t="str">
        <f>IF(Aircraft!F41="","",Rating!C47)</f>
        <v/>
      </c>
      <c r="C48" s="448" t="str">
        <f>IF(B48="","",Aircraft!H41)</f>
        <v/>
      </c>
      <c r="D48" s="448" t="str">
        <f>IF(B48="","",Rating!E47)</f>
        <v/>
      </c>
      <c r="E48" s="448" t="str">
        <f>IF(V48="","",IF(Aircraft!AG41="NO",CONCATENATE(1,"/",('Com Quote'!V48-1)),IF(Aircraft!AG41="YES",CONCATENATE(2,"/",('Com Quote'!V48-2)),"")))</f>
        <v/>
      </c>
      <c r="F48" s="449" t="str">
        <f>IF(D48="","",IF(OR(Aircraft!P41=0,Aircraft!P41=""),0,Aircraft!P41))</f>
        <v/>
      </c>
      <c r="G48" s="450" t="str">
        <f>IF(D48="","",IF(Aircraft!S41="N","F.","G."))</f>
        <v/>
      </c>
      <c r="H48" s="450" t="str">
        <f>IF(Aircraft!W41="","",Aircraft!W41)</f>
        <v/>
      </c>
      <c r="I48" s="450" t="str">
        <f>IF(Aircraft!Y41="","",Aircraft!Y41)</f>
        <v/>
      </c>
      <c r="J48" s="448" t="str">
        <f>IF(D48="","",Rating!H47)</f>
        <v/>
      </c>
      <c r="K48" s="448" t="str">
        <f>IF(Aircraft!U41="","",Aircraft!U41)</f>
        <v/>
      </c>
      <c r="L48" s="448" t="str">
        <f>IF(D48="","",IF(F48=0,"N/A",Aircraft!BH41))</f>
        <v/>
      </c>
      <c r="M48" s="451" t="str">
        <f>IF(D48="","",IF(F48=0,0,PRODUCT(Worksheet_Com!N43,100)))</f>
        <v/>
      </c>
      <c r="N48" s="449" t="str">
        <f>IF(H48="","",Worksheet_Com!P43)</f>
        <v/>
      </c>
      <c r="O48" s="449" t="str">
        <f>IF(I48="","",Worksheet_Com!Q43)</f>
        <v/>
      </c>
      <c r="P48" s="449" t="str">
        <f>IF(F48="","",IF(F48=0,0,Worksheet_Com!O43))</f>
        <v/>
      </c>
      <c r="Q48" s="452" t="str">
        <f t="shared" si="1"/>
        <v/>
      </c>
      <c r="V48" t="str">
        <f>IF(Aircraft!AI41&gt;0,Aircraft!AI41,Aircraft!AE41)</f>
        <v/>
      </c>
      <c r="Y48" s="100"/>
      <c r="Z48" s="101"/>
    </row>
    <row r="49" spans="1:26" customFormat="1" ht="14.25" hidden="1">
      <c r="A49" s="441">
        <v>39</v>
      </c>
      <c r="B49" s="594" t="str">
        <f>IF(Aircraft!F42="","",Rating!C48)</f>
        <v/>
      </c>
      <c r="C49" s="594" t="str">
        <f>IF(B49="","",Aircraft!H42)</f>
        <v/>
      </c>
      <c r="D49" s="595" t="str">
        <f>IF(B49="","",Rating!E48)</f>
        <v/>
      </c>
      <c r="E49" s="594" t="str">
        <f>IF(V49="","",IF(Aircraft!AG42="NO",CONCATENATE(1,"/",('Com Quote'!V49-1)),IF(Aircraft!AG42="YES",CONCATENATE(2,"/",('Com Quote'!V49-2)),"")))</f>
        <v/>
      </c>
      <c r="F49" s="596" t="str">
        <f>IF(D49="","",IF(OR(Aircraft!P42=0,Aircraft!P42=""),0,Aircraft!P42))</f>
        <v/>
      </c>
      <c r="G49" s="597" t="str">
        <f>IF(D49="","",IF(Aircraft!S42="N","F.","G."))</f>
        <v/>
      </c>
      <c r="H49" s="597" t="str">
        <f>IF(Aircraft!W42="","",Aircraft!W42)</f>
        <v/>
      </c>
      <c r="I49" s="597" t="str">
        <f>IF(Aircraft!Y42="","",Aircraft!Y42)</f>
        <v/>
      </c>
      <c r="J49" s="594" t="str">
        <f>IF(D49="","",Rating!H48)</f>
        <v/>
      </c>
      <c r="K49" s="594" t="str">
        <f>IF(Aircraft!U42="","",Aircraft!U42)</f>
        <v/>
      </c>
      <c r="L49" s="594" t="str">
        <f>IF(D49="","",IF(F49=0,"N/A",Aircraft!BH42))</f>
        <v/>
      </c>
      <c r="M49" s="598" t="str">
        <f>IF(D49="","",IF(F49=0,0,PRODUCT(Worksheet_Com!N44,100)))</f>
        <v/>
      </c>
      <c r="N49" s="596" t="str">
        <f>IF(H49="","",Worksheet_Com!P44)</f>
        <v/>
      </c>
      <c r="O49" s="596" t="str">
        <f>IF(I49="","",Worksheet_Com!Q44)</f>
        <v/>
      </c>
      <c r="P49" s="596" t="str">
        <f>IF(F49="","",IF(F49=0,0,Worksheet_Com!O44))</f>
        <v/>
      </c>
      <c r="Q49" s="599" t="str">
        <f t="shared" si="1"/>
        <v/>
      </c>
      <c r="V49" t="str">
        <f>IF(Aircraft!AI42&gt;0,Aircraft!AI42,Aircraft!AE42)</f>
        <v/>
      </c>
      <c r="Y49" s="100"/>
      <c r="Z49" s="101"/>
    </row>
    <row r="50" spans="1:26" customFormat="1" ht="14.25" hidden="1" customHeight="1" thickBot="1">
      <c r="A50" s="441">
        <v>40</v>
      </c>
      <c r="B50" s="448" t="str">
        <f>IF(Aircraft!F43="","",Rating!C49)</f>
        <v/>
      </c>
      <c r="C50" s="448" t="str">
        <f>IF(B50="","",Aircraft!H43)</f>
        <v/>
      </c>
      <c r="D50" s="448" t="str">
        <f>IF(B50="","",Rating!E49)</f>
        <v/>
      </c>
      <c r="E50" s="448" t="str">
        <f>IF(V50="","",IF(Aircraft!AG43="NO",CONCATENATE(1,"/",('Com Quote'!V50-1)),IF(Aircraft!AG43="YES",CONCATENATE(2,"/",('Com Quote'!V50-2)),"")))</f>
        <v/>
      </c>
      <c r="F50" s="449" t="str">
        <f>IF(D50="","",IF(OR(Aircraft!P43=0,Aircraft!P43=""),0,Aircraft!P43))</f>
        <v/>
      </c>
      <c r="G50" s="450" t="str">
        <f>IF(D50="","",IF(Aircraft!S43="N","F.","G."))</f>
        <v/>
      </c>
      <c r="H50" s="450" t="str">
        <f>IF(Aircraft!W43="","",Aircraft!W43)</f>
        <v/>
      </c>
      <c r="I50" s="450" t="str">
        <f>IF(Aircraft!Y43="","",Aircraft!Y43)</f>
        <v/>
      </c>
      <c r="J50" s="448" t="str">
        <f>IF(D50="","",Rating!H49)</f>
        <v/>
      </c>
      <c r="K50" s="448" t="str">
        <f>IF(Aircraft!U43="","",Aircraft!U43)</f>
        <v/>
      </c>
      <c r="L50" s="448" t="str">
        <f>IF(D50="","",IF(F50=0,"N/A",Aircraft!BH43))</f>
        <v/>
      </c>
      <c r="M50" s="451" t="str">
        <f>IF(D50="","",IF(F50=0,0,PRODUCT(Worksheet_Com!N45,100)))</f>
        <v/>
      </c>
      <c r="N50" s="449" t="str">
        <f>IF(H50="","",Worksheet_Com!P45)</f>
        <v/>
      </c>
      <c r="O50" s="449" t="str">
        <f>IF(I50="","",Worksheet_Com!Q45)</f>
        <v/>
      </c>
      <c r="P50" s="449" t="str">
        <f>IF(F50="","",IF(F50=0,0,Worksheet_Com!O45))</f>
        <v/>
      </c>
      <c r="Q50" s="452" t="str">
        <f t="shared" si="1"/>
        <v/>
      </c>
      <c r="V50" t="str">
        <f>IF(Aircraft!AI43&gt;0,Aircraft!AI43,Aircraft!AE43)</f>
        <v/>
      </c>
      <c r="Y50" s="100"/>
      <c r="Z50" s="101"/>
    </row>
    <row r="51" spans="1:26" customFormat="1" ht="14.25" hidden="1">
      <c r="A51" s="441">
        <v>41</v>
      </c>
      <c r="B51" s="594" t="str">
        <f>IF(Aircraft!F44="","",Rating!C50)</f>
        <v/>
      </c>
      <c r="C51" s="594" t="str">
        <f>IF(B51="","",Aircraft!H44)</f>
        <v/>
      </c>
      <c r="D51" s="595" t="str">
        <f>IF(B51="","",Rating!E50)</f>
        <v/>
      </c>
      <c r="E51" s="594" t="str">
        <f>IF(V51="","",IF(Aircraft!AG44="NO",CONCATENATE(1,"/",('Com Quote'!V51-1)),IF(Aircraft!AG44="YES",CONCATENATE(2,"/",('Com Quote'!V51-2)),"")))</f>
        <v/>
      </c>
      <c r="F51" s="596" t="str">
        <f>IF(D51="","",IF(OR(Aircraft!P44=0,Aircraft!P44=""),0,Aircraft!P44))</f>
        <v/>
      </c>
      <c r="G51" s="597" t="str">
        <f>IF(D51="","",IF(Aircraft!S44="N","F.","G."))</f>
        <v/>
      </c>
      <c r="H51" s="597" t="str">
        <f>IF(Aircraft!W44="","",Aircraft!W44)</f>
        <v/>
      </c>
      <c r="I51" s="597" t="str">
        <f>IF(Aircraft!Y44="","",Aircraft!Y44)</f>
        <v/>
      </c>
      <c r="J51" s="594" t="str">
        <f>IF(D51="","",Rating!H50)</f>
        <v/>
      </c>
      <c r="K51" s="594" t="str">
        <f>IF(Aircraft!U44="","",Aircraft!U44)</f>
        <v/>
      </c>
      <c r="L51" s="594" t="str">
        <f>IF(D51="","",IF(F51=0,"N/A",Aircraft!BH44))</f>
        <v/>
      </c>
      <c r="M51" s="598" t="str">
        <f>IF(D51="","",IF(F51=0,0,PRODUCT(Worksheet_Com!N46,100)))</f>
        <v/>
      </c>
      <c r="N51" s="596" t="str">
        <f>IF(H51="","",Worksheet_Com!P46)</f>
        <v/>
      </c>
      <c r="O51" s="596" t="str">
        <f>IF(I51="","",Worksheet_Com!Q46)</f>
        <v/>
      </c>
      <c r="P51" s="596" t="str">
        <f>IF(F51="","",IF(F51=0,0,Worksheet_Com!O46))</f>
        <v/>
      </c>
      <c r="Q51" s="599" t="str">
        <f t="shared" si="1"/>
        <v/>
      </c>
      <c r="V51" t="str">
        <f>IF(Aircraft!AI44&gt;0,Aircraft!AI44,Aircraft!AE44)</f>
        <v/>
      </c>
      <c r="Y51" s="100"/>
      <c r="Z51" s="101"/>
    </row>
    <row r="52" spans="1:26" customFormat="1" ht="14.25" hidden="1" customHeight="1" thickBot="1">
      <c r="A52" s="441">
        <v>42</v>
      </c>
      <c r="B52" s="448" t="str">
        <f>IF(Aircraft!F45="","",Rating!C51)</f>
        <v/>
      </c>
      <c r="C52" s="448" t="str">
        <f>IF(B52="","",Aircraft!H45)</f>
        <v/>
      </c>
      <c r="D52" s="448" t="str">
        <f>IF(B52="","",Rating!E51)</f>
        <v/>
      </c>
      <c r="E52" s="448" t="str">
        <f>IF(V52="","",IF(Aircraft!AG45="NO",CONCATENATE(1,"/",('Com Quote'!V52-1)),IF(Aircraft!AG45="YES",CONCATENATE(2,"/",('Com Quote'!V52-2)),"")))</f>
        <v/>
      </c>
      <c r="F52" s="449" t="str">
        <f>IF(D52="","",IF(OR(Aircraft!P45=0,Aircraft!P45=""),0,Aircraft!P45))</f>
        <v/>
      </c>
      <c r="G52" s="450" t="str">
        <f>IF(D52="","",IF(Aircraft!S45="N","F.","G."))</f>
        <v/>
      </c>
      <c r="H52" s="450" t="str">
        <f>IF(Aircraft!W45="","",Aircraft!W45)</f>
        <v/>
      </c>
      <c r="I52" s="450" t="str">
        <f>IF(Aircraft!Y45="","",Aircraft!Y45)</f>
        <v/>
      </c>
      <c r="J52" s="448" t="str">
        <f>IF(D52="","",Rating!H51)</f>
        <v/>
      </c>
      <c r="K52" s="448" t="str">
        <f>IF(Aircraft!U45="","",Aircraft!U45)</f>
        <v/>
      </c>
      <c r="L52" s="448" t="str">
        <f>IF(D52="","",IF(F52=0,"N/A",Aircraft!BH45))</f>
        <v/>
      </c>
      <c r="M52" s="451" t="str">
        <f>IF(D52="","",IF(F52=0,0,PRODUCT(Worksheet_Com!N47,100)))</f>
        <v/>
      </c>
      <c r="N52" s="449" t="str">
        <f>IF(H52="","",Worksheet_Com!P47)</f>
        <v/>
      </c>
      <c r="O52" s="449" t="str">
        <f>IF(I52="","",Worksheet_Com!Q47)</f>
        <v/>
      </c>
      <c r="P52" s="449" t="str">
        <f>IF(F52="","",IF(F52=0,0,Worksheet_Com!O47))</f>
        <v/>
      </c>
      <c r="Q52" s="452" t="str">
        <f t="shared" si="1"/>
        <v/>
      </c>
      <c r="V52" t="str">
        <f>IF(Aircraft!AI45&gt;0,Aircraft!AI45,Aircraft!AE45)</f>
        <v/>
      </c>
      <c r="Y52" s="100"/>
      <c r="Z52" s="101"/>
    </row>
    <row r="53" spans="1:26" customFormat="1" ht="14.25" hidden="1">
      <c r="A53" s="441">
        <v>43</v>
      </c>
      <c r="B53" s="594" t="str">
        <f>IF(Aircraft!F46="","",Rating!C52)</f>
        <v/>
      </c>
      <c r="C53" s="594" t="str">
        <f>IF(B53="","",Aircraft!H46)</f>
        <v/>
      </c>
      <c r="D53" s="595" t="str">
        <f>IF(B53="","",Rating!E52)</f>
        <v/>
      </c>
      <c r="E53" s="594" t="str">
        <f>IF(V53="","",IF(Aircraft!AG46="NO",CONCATENATE(1,"/",('Com Quote'!V53-1)),IF(Aircraft!AG46="YES",CONCATENATE(2,"/",('Com Quote'!V53-2)),"")))</f>
        <v/>
      </c>
      <c r="F53" s="596" t="str">
        <f>IF(D53="","",IF(OR(Aircraft!P46=0,Aircraft!P46=""),0,Aircraft!P46))</f>
        <v/>
      </c>
      <c r="G53" s="597" t="str">
        <f>IF(D53="","",IF(Aircraft!S46="N","F.","G."))</f>
        <v/>
      </c>
      <c r="H53" s="597" t="str">
        <f>IF(Aircraft!W46="","",Aircraft!W46)</f>
        <v/>
      </c>
      <c r="I53" s="597" t="str">
        <f>IF(Aircraft!Y46="","",Aircraft!Y46)</f>
        <v/>
      </c>
      <c r="J53" s="594" t="str">
        <f>IF(D53="","",Rating!H52)</f>
        <v/>
      </c>
      <c r="K53" s="594" t="str">
        <f>IF(Aircraft!U46="","",Aircraft!U46)</f>
        <v/>
      </c>
      <c r="L53" s="594" t="str">
        <f>IF(D53="","",IF(F53=0,"N/A",Aircraft!BH46))</f>
        <v/>
      </c>
      <c r="M53" s="598" t="str">
        <f>IF(D53="","",IF(F53=0,0,PRODUCT(Worksheet_Com!N48,100)))</f>
        <v/>
      </c>
      <c r="N53" s="596" t="str">
        <f>IF(H53="","",Worksheet_Com!P48)</f>
        <v/>
      </c>
      <c r="O53" s="596" t="str">
        <f>IF(I53="","",Worksheet_Com!Q48)</f>
        <v/>
      </c>
      <c r="P53" s="596" t="str">
        <f>IF(F53="","",IF(F53=0,0,Worksheet_Com!O48))</f>
        <v/>
      </c>
      <c r="Q53" s="599" t="str">
        <f t="shared" si="1"/>
        <v/>
      </c>
      <c r="V53" t="str">
        <f>IF(Aircraft!AI46&gt;0,Aircraft!AI46,Aircraft!AE46)</f>
        <v/>
      </c>
      <c r="Y53" s="100"/>
      <c r="Z53" s="101"/>
    </row>
    <row r="54" spans="1:26" customFormat="1" ht="14.25" hidden="1" customHeight="1" thickBot="1">
      <c r="A54" s="441">
        <v>44</v>
      </c>
      <c r="B54" s="448" t="str">
        <f>IF(Aircraft!F47="","",Rating!C53)</f>
        <v/>
      </c>
      <c r="C54" s="448" t="str">
        <f>IF(B54="","",Aircraft!H47)</f>
        <v/>
      </c>
      <c r="D54" s="448" t="str">
        <f>IF(B54="","",Rating!E53)</f>
        <v/>
      </c>
      <c r="E54" s="448" t="str">
        <f>IF(V54="","",IF(Aircraft!AG47="NO",CONCATENATE(1,"/",('Com Quote'!V54-1)),IF(Aircraft!AG47="YES",CONCATENATE(2,"/",('Com Quote'!V54-2)),"")))</f>
        <v/>
      </c>
      <c r="F54" s="449" t="str">
        <f>IF(D54="","",IF(OR(Aircraft!P47=0,Aircraft!P47=""),0,Aircraft!P47))</f>
        <v/>
      </c>
      <c r="G54" s="450" t="str">
        <f>IF(D54="","",IF(Aircraft!S47="N","F.","G."))</f>
        <v/>
      </c>
      <c r="H54" s="450" t="str">
        <f>IF(Aircraft!W47="","",Aircraft!W47)</f>
        <v/>
      </c>
      <c r="I54" s="450" t="str">
        <f>IF(Aircraft!Y47="","",Aircraft!Y47)</f>
        <v/>
      </c>
      <c r="J54" s="448" t="str">
        <f>IF(D54="","",Rating!H53)</f>
        <v/>
      </c>
      <c r="K54" s="448" t="str">
        <f>IF(Aircraft!U47="","",Aircraft!U47)</f>
        <v/>
      </c>
      <c r="L54" s="448" t="str">
        <f>IF(D54="","",IF(F54=0,"N/A",Aircraft!BH47))</f>
        <v/>
      </c>
      <c r="M54" s="451" t="str">
        <f>IF(D54="","",IF(F54=0,0,PRODUCT(Worksheet_Com!N49,100)))</f>
        <v/>
      </c>
      <c r="N54" s="449" t="str">
        <f>IF(H54="","",Worksheet_Com!P49)</f>
        <v/>
      </c>
      <c r="O54" s="449" t="str">
        <f>IF(I54="","",Worksheet_Com!Q49)</f>
        <v/>
      </c>
      <c r="P54" s="449" t="str">
        <f>IF(F54="","",IF(F54=0,0,Worksheet_Com!O49))</f>
        <v/>
      </c>
      <c r="Q54" s="452" t="str">
        <f t="shared" si="1"/>
        <v/>
      </c>
      <c r="V54" t="str">
        <f>IF(Aircraft!AI47&gt;0,Aircraft!AI47,Aircraft!AE47)</f>
        <v/>
      </c>
      <c r="Y54" s="100"/>
      <c r="Z54" s="101"/>
    </row>
    <row r="55" spans="1:26" customFormat="1" ht="14.25" hidden="1">
      <c r="A55" s="441">
        <v>45</v>
      </c>
      <c r="B55" s="594" t="str">
        <f>IF(Aircraft!F48="","",Rating!C54)</f>
        <v/>
      </c>
      <c r="C55" s="594" t="str">
        <f>IF(B55="","",Aircraft!H48)</f>
        <v/>
      </c>
      <c r="D55" s="595" t="str">
        <f>IF(B55="","",Rating!E54)</f>
        <v/>
      </c>
      <c r="E55" s="594" t="str">
        <f>IF(V55="","",IF(Aircraft!AG48="NO",CONCATENATE(1,"/",('Com Quote'!V55-1)),IF(Aircraft!AG48="YES",CONCATENATE(2,"/",('Com Quote'!V55-2)),"")))</f>
        <v/>
      </c>
      <c r="F55" s="596" t="str">
        <f>IF(D55="","",IF(OR(Aircraft!P48=0,Aircraft!P48=""),0,Aircraft!P48))</f>
        <v/>
      </c>
      <c r="G55" s="597" t="str">
        <f>IF(D55="","",IF(Aircraft!S48="N","F.","G."))</f>
        <v/>
      </c>
      <c r="H55" s="597" t="str">
        <f>IF(Aircraft!W48="","",Aircraft!W48)</f>
        <v/>
      </c>
      <c r="I55" s="597" t="str">
        <f>IF(Aircraft!Y48="","",Aircraft!Y48)</f>
        <v/>
      </c>
      <c r="J55" s="594" t="str">
        <f>IF(D55="","",Rating!H54)</f>
        <v/>
      </c>
      <c r="K55" s="594" t="str">
        <f>IF(Aircraft!U48="","",Aircraft!U48)</f>
        <v/>
      </c>
      <c r="L55" s="594" t="str">
        <f>IF(D55="","",IF(F55=0,"N/A",Aircraft!BH48))</f>
        <v/>
      </c>
      <c r="M55" s="598" t="str">
        <f>IF(D55="","",IF(F55=0,0,PRODUCT(Worksheet_Com!N50,100)))</f>
        <v/>
      </c>
      <c r="N55" s="596" t="str">
        <f>IF(H55="","",Worksheet_Com!P50)</f>
        <v/>
      </c>
      <c r="O55" s="596" t="str">
        <f>IF(I55="","",Worksheet_Com!Q50)</f>
        <v/>
      </c>
      <c r="P55" s="596" t="str">
        <f>IF(F55="","",IF(F55=0,0,Worksheet_Com!O50))</f>
        <v/>
      </c>
      <c r="Q55" s="599" t="str">
        <f t="shared" si="1"/>
        <v/>
      </c>
      <c r="V55" t="str">
        <f>IF(Aircraft!AI48&gt;0,Aircraft!AI48,Aircraft!AE48)</f>
        <v/>
      </c>
      <c r="Y55" s="100"/>
      <c r="Z55" s="101"/>
    </row>
    <row r="56" spans="1:26" customFormat="1" ht="14.25" hidden="1" customHeight="1" thickBot="1">
      <c r="A56" s="441">
        <v>46</v>
      </c>
      <c r="B56" s="448" t="str">
        <f>IF(Aircraft!F49="","",Rating!C55)</f>
        <v/>
      </c>
      <c r="C56" s="448" t="str">
        <f>IF(B56="","",Aircraft!H49)</f>
        <v/>
      </c>
      <c r="D56" s="448" t="str">
        <f>IF(B56="","",Rating!E55)</f>
        <v/>
      </c>
      <c r="E56" s="448" t="str">
        <f>IF(V56="","",IF(Aircraft!AG49="NO",CONCATENATE(1,"/",('Com Quote'!V56-1)),IF(Aircraft!AG49="YES",CONCATENATE(2,"/",('Com Quote'!V56-2)),"")))</f>
        <v/>
      </c>
      <c r="F56" s="449" t="str">
        <f>IF(D56="","",IF(OR(Aircraft!P49=0,Aircraft!P49=""),0,Aircraft!P49))</f>
        <v/>
      </c>
      <c r="G56" s="450" t="str">
        <f>IF(D56="","",IF(Aircraft!S49="N","F.","G."))</f>
        <v/>
      </c>
      <c r="H56" s="450" t="str">
        <f>IF(Aircraft!W49="","",Aircraft!W49)</f>
        <v/>
      </c>
      <c r="I56" s="450" t="str">
        <f>IF(Aircraft!Y49="","",Aircraft!Y49)</f>
        <v/>
      </c>
      <c r="J56" s="448" t="str">
        <f>IF(D56="","",Rating!H55)</f>
        <v/>
      </c>
      <c r="K56" s="448" t="str">
        <f>IF(Aircraft!U49="","",Aircraft!U49)</f>
        <v/>
      </c>
      <c r="L56" s="448" t="str">
        <f>IF(D56="","",IF(F56=0,"N/A",Aircraft!BH49))</f>
        <v/>
      </c>
      <c r="M56" s="451" t="str">
        <f>IF(D56="","",IF(F56=0,0,PRODUCT(Worksheet_Com!N51,100)))</f>
        <v/>
      </c>
      <c r="N56" s="449" t="str">
        <f>IF(H56="","",Worksheet_Com!P51)</f>
        <v/>
      </c>
      <c r="O56" s="449" t="str">
        <f>IF(I56="","",Worksheet_Com!Q51)</f>
        <v/>
      </c>
      <c r="P56" s="449" t="str">
        <f>IF(F56="","",IF(F56=0,0,Worksheet_Com!O51))</f>
        <v/>
      </c>
      <c r="Q56" s="452" t="str">
        <f t="shared" si="1"/>
        <v/>
      </c>
      <c r="V56" t="str">
        <f>IF(Aircraft!AI49&gt;0,Aircraft!AI49,Aircraft!AE49)</f>
        <v/>
      </c>
      <c r="Y56" s="100"/>
      <c r="Z56" s="101"/>
    </row>
    <row r="57" spans="1:26" customFormat="1" ht="14.25" hidden="1">
      <c r="A57" s="441">
        <v>47</v>
      </c>
      <c r="B57" s="594" t="str">
        <f>IF(Aircraft!F50="","",Rating!C56)</f>
        <v/>
      </c>
      <c r="C57" s="594" t="str">
        <f>IF(B57="","",Aircraft!H50)</f>
        <v/>
      </c>
      <c r="D57" s="595" t="str">
        <f>IF(B57="","",Rating!E56)</f>
        <v/>
      </c>
      <c r="E57" s="594" t="str">
        <f>IF(V57="","",IF(Aircraft!AG50="NO",CONCATENATE(1,"/",('Com Quote'!V57-1)),IF(Aircraft!AG50="YES",CONCATENATE(2,"/",('Com Quote'!V57-2)),"")))</f>
        <v/>
      </c>
      <c r="F57" s="596" t="str">
        <f>IF(D57="","",IF(OR(Aircraft!P50=0,Aircraft!P50=""),0,Aircraft!P50))</f>
        <v/>
      </c>
      <c r="G57" s="597" t="str">
        <f>IF(D57="","",IF(Aircraft!S50="N","F.","G."))</f>
        <v/>
      </c>
      <c r="H57" s="597" t="str">
        <f>IF(Aircraft!W50="","",Aircraft!W50)</f>
        <v/>
      </c>
      <c r="I57" s="597" t="str">
        <f>IF(Aircraft!Y50="","",Aircraft!Y50)</f>
        <v/>
      </c>
      <c r="J57" s="594" t="str">
        <f>IF(D57="","",Rating!H56)</f>
        <v/>
      </c>
      <c r="K57" s="594" t="str">
        <f>IF(Aircraft!U50="","",Aircraft!U50)</f>
        <v/>
      </c>
      <c r="L57" s="594" t="str">
        <f>IF(D57="","",IF(F57=0,"N/A",Aircraft!BH50))</f>
        <v/>
      </c>
      <c r="M57" s="598" t="str">
        <f>IF(D57="","",IF(F57=0,0,PRODUCT(Worksheet_Com!N52,100)))</f>
        <v/>
      </c>
      <c r="N57" s="596" t="str">
        <f>IF(H57="","",Worksheet_Com!P52)</f>
        <v/>
      </c>
      <c r="O57" s="596" t="str">
        <f>IF(I57="","",Worksheet_Com!Q52)</f>
        <v/>
      </c>
      <c r="P57" s="596" t="str">
        <f>IF(F57="","",IF(F57=0,0,Worksheet_Com!O52))</f>
        <v/>
      </c>
      <c r="Q57" s="599" t="str">
        <f t="shared" si="1"/>
        <v/>
      </c>
      <c r="V57" t="str">
        <f>IF(Aircraft!AI50&gt;0,Aircraft!AI50,Aircraft!AE50)</f>
        <v/>
      </c>
      <c r="Y57" s="100"/>
      <c r="Z57" s="101"/>
    </row>
    <row r="58" spans="1:26" customFormat="1" ht="14.25" hidden="1" customHeight="1" thickBot="1">
      <c r="A58" s="441">
        <v>48</v>
      </c>
      <c r="B58" s="448" t="str">
        <f>IF(Aircraft!F51="","",Rating!C57)</f>
        <v/>
      </c>
      <c r="C58" s="448" t="str">
        <f>IF(B58="","",Aircraft!H51)</f>
        <v/>
      </c>
      <c r="D58" s="448" t="str">
        <f>IF(B58="","",Rating!E57)</f>
        <v/>
      </c>
      <c r="E58" s="448" t="str">
        <f>IF(V58="","",IF(Aircraft!AG51="NO",CONCATENATE(1,"/",('Com Quote'!V58-1)),IF(Aircraft!AG51="YES",CONCATENATE(2,"/",('Com Quote'!V58-2)),"")))</f>
        <v/>
      </c>
      <c r="F58" s="449" t="str">
        <f>IF(D58="","",IF(OR(Aircraft!P51=0,Aircraft!P51=""),0,Aircraft!P51))</f>
        <v/>
      </c>
      <c r="G58" s="450" t="str">
        <f>IF(D58="","",IF(Aircraft!S51="N","F.","G."))</f>
        <v/>
      </c>
      <c r="H58" s="450" t="str">
        <f>IF(Aircraft!W51="","",Aircraft!W51)</f>
        <v/>
      </c>
      <c r="I58" s="450" t="str">
        <f>IF(Aircraft!Y51="","",Aircraft!Y51)</f>
        <v/>
      </c>
      <c r="J58" s="448" t="str">
        <f>IF(D58="","",Rating!H57)</f>
        <v/>
      </c>
      <c r="K58" s="448" t="str">
        <f>IF(Aircraft!U51="","",Aircraft!U51)</f>
        <v/>
      </c>
      <c r="L58" s="448" t="str">
        <f>IF(D58="","",IF(F58=0,"N/A",Aircraft!BH51))</f>
        <v/>
      </c>
      <c r="M58" s="451" t="str">
        <f>IF(D58="","",IF(F58=0,0,PRODUCT(Worksheet_Com!N53,100)))</f>
        <v/>
      </c>
      <c r="N58" s="449" t="str">
        <f>IF(H58="","",Worksheet_Com!P53)</f>
        <v/>
      </c>
      <c r="O58" s="449" t="str">
        <f>IF(I58="","",Worksheet_Com!Q53)</f>
        <v/>
      </c>
      <c r="P58" s="449" t="str">
        <f>IF(F58="","",IF(F58=0,0,Worksheet_Com!O53))</f>
        <v/>
      </c>
      <c r="Q58" s="452" t="str">
        <f t="shared" si="1"/>
        <v/>
      </c>
      <c r="V58" t="str">
        <f>IF(Aircraft!AI51&gt;0,Aircraft!AI51,Aircraft!AE51)</f>
        <v/>
      </c>
      <c r="Y58" s="100"/>
      <c r="Z58" s="101"/>
    </row>
    <row r="59" spans="1:26" customFormat="1" ht="14.25" hidden="1">
      <c r="A59" s="441">
        <v>49</v>
      </c>
      <c r="B59" s="594" t="str">
        <f>IF(Aircraft!F52="","",Rating!C58)</f>
        <v/>
      </c>
      <c r="C59" s="594" t="str">
        <f>IF(B59="","",Aircraft!H52)</f>
        <v/>
      </c>
      <c r="D59" s="595" t="str">
        <f>IF(B59="","",Rating!E58)</f>
        <v/>
      </c>
      <c r="E59" s="594" t="str">
        <f>IF(V59="","",IF(Aircraft!AG52="NO",CONCATENATE(1,"/",('Com Quote'!V59-1)),IF(Aircraft!AG52="YES",CONCATENATE(2,"/",('Com Quote'!V59-2)),"")))</f>
        <v/>
      </c>
      <c r="F59" s="596" t="str">
        <f>IF(D59="","",IF(OR(Aircraft!P52=0,Aircraft!P52=""),0,Aircraft!P52))</f>
        <v/>
      </c>
      <c r="G59" s="597" t="str">
        <f>IF(D59="","",IF(Aircraft!S52="N","F.","G."))</f>
        <v/>
      </c>
      <c r="H59" s="597" t="str">
        <f>IF(Aircraft!W52="","",Aircraft!W52)</f>
        <v/>
      </c>
      <c r="I59" s="597" t="str">
        <f>IF(Aircraft!Y52="","",Aircraft!Y52)</f>
        <v/>
      </c>
      <c r="J59" s="594" t="str">
        <f>IF(D59="","",Rating!H58)</f>
        <v/>
      </c>
      <c r="K59" s="594" t="str">
        <f>IF(Aircraft!U52="","",Aircraft!U52)</f>
        <v/>
      </c>
      <c r="L59" s="594" t="str">
        <f>IF(D59="","",IF(F59=0,"N/A",Aircraft!BH52))</f>
        <v/>
      </c>
      <c r="M59" s="598" t="str">
        <f>IF(D59="","",IF(F59=0,0,PRODUCT(Worksheet_Com!N54,100)))</f>
        <v/>
      </c>
      <c r="N59" s="596" t="str">
        <f>IF(H59="","",Worksheet_Com!P54)</f>
        <v/>
      </c>
      <c r="O59" s="596" t="str">
        <f>IF(I59="","",Worksheet_Com!Q54)</f>
        <v/>
      </c>
      <c r="P59" s="596" t="str">
        <f>IF(F59="","",IF(F59=0,0,Worksheet_Com!O54))</f>
        <v/>
      </c>
      <c r="Q59" s="599" t="str">
        <f t="shared" si="1"/>
        <v/>
      </c>
      <c r="V59" t="str">
        <f>IF(Aircraft!AI52&gt;0,Aircraft!AI52,Aircraft!AE52)</f>
        <v/>
      </c>
      <c r="Y59" s="100"/>
      <c r="Z59" s="101"/>
    </row>
    <row r="60" spans="1:26" customFormat="1" ht="14.25" hidden="1" customHeight="1" thickBot="1">
      <c r="A60" s="441">
        <v>50</v>
      </c>
      <c r="B60" s="448" t="str">
        <f>IF(Aircraft!F53="","",Rating!C59)</f>
        <v/>
      </c>
      <c r="C60" s="448" t="str">
        <f>IF(B60="","",Aircraft!H53)</f>
        <v/>
      </c>
      <c r="D60" s="448" t="str">
        <f>IF(B60="","",Rating!E59)</f>
        <v/>
      </c>
      <c r="E60" s="448" t="str">
        <f>IF(V60="","",IF(Aircraft!AG53="NO",CONCATENATE(1,"/",('Com Quote'!V60-1)),IF(Aircraft!AG53="YES",CONCATENATE(2,"/",('Com Quote'!V60-2)),"")))</f>
        <v/>
      </c>
      <c r="F60" s="449" t="str">
        <f>IF(D60="","",IF(OR(Aircraft!P53=0,Aircraft!P53=""),0,Aircraft!P53))</f>
        <v/>
      </c>
      <c r="G60" s="450" t="str">
        <f>IF(D60="","",IF(Aircraft!S53="N","F.","G."))</f>
        <v/>
      </c>
      <c r="H60" s="450" t="str">
        <f>IF(Aircraft!W53="","",Aircraft!W53)</f>
        <v/>
      </c>
      <c r="I60" s="450" t="str">
        <f>IF(Aircraft!Y53="","",Aircraft!Y53)</f>
        <v/>
      </c>
      <c r="J60" s="448" t="str">
        <f>IF(D60="","",Rating!H59)</f>
        <v/>
      </c>
      <c r="K60" s="448" t="str">
        <f>IF(Aircraft!U53="","",Aircraft!U53)</f>
        <v/>
      </c>
      <c r="L60" s="448" t="str">
        <f>IF(D60="","",IF(F60=0,"N/A",Aircraft!BH53))</f>
        <v/>
      </c>
      <c r="M60" s="451" t="str">
        <f>IF(D60="","",IF(F60=0,0,PRODUCT(Worksheet_Com!N55,100)))</f>
        <v/>
      </c>
      <c r="N60" s="449" t="str">
        <f>IF(H60="","",Worksheet_Com!P55)</f>
        <v/>
      </c>
      <c r="O60" s="449" t="str">
        <f>IF(I60="","",Worksheet_Com!Q55)</f>
        <v/>
      </c>
      <c r="P60" s="449" t="str">
        <f>IF(F60="","",IF(F60=0,0,Worksheet_Com!O55))</f>
        <v/>
      </c>
      <c r="Q60" s="452" t="str">
        <f t="shared" si="1"/>
        <v/>
      </c>
      <c r="V60" t="str">
        <f>IF(Aircraft!AI53&gt;0,Aircraft!AI53,Aircraft!AE53)</f>
        <v/>
      </c>
      <c r="Y60" s="100"/>
      <c r="Z60" s="101"/>
    </row>
    <row r="61" spans="1:26" customFormat="1" ht="14.25" hidden="1">
      <c r="A61" s="441">
        <v>51</v>
      </c>
      <c r="B61" s="594" t="str">
        <f>IF(Aircraft!F54="","",Rating!C60)</f>
        <v/>
      </c>
      <c r="C61" s="594" t="str">
        <f>IF(B61="","",Aircraft!H54)</f>
        <v/>
      </c>
      <c r="D61" s="595" t="str">
        <f>IF(B61="","",Rating!E60)</f>
        <v/>
      </c>
      <c r="E61" s="594" t="str">
        <f>IF(V61="","",IF(Aircraft!AG54="NO",CONCATENATE(1,"/",('Com Quote'!V61-1)),IF(Aircraft!AG54="YES",CONCATENATE(2,"/",('Com Quote'!V61-2)),"")))</f>
        <v/>
      </c>
      <c r="F61" s="596" t="str">
        <f>IF(D61="","",IF(OR(Aircraft!P54=0,Aircraft!P54=""),0,Aircraft!P54))</f>
        <v/>
      </c>
      <c r="G61" s="597" t="str">
        <f>IF(D61="","",IF(Aircraft!S54="N","F.","G."))</f>
        <v/>
      </c>
      <c r="H61" s="597" t="str">
        <f>IF(Aircraft!W54="","",Aircraft!W54)</f>
        <v/>
      </c>
      <c r="I61" s="597" t="str">
        <f>IF(Aircraft!Y54="","",Aircraft!Y54)</f>
        <v/>
      </c>
      <c r="J61" s="594" t="str">
        <f>IF(D61="","",Rating!H60)</f>
        <v/>
      </c>
      <c r="K61" s="594" t="str">
        <f>IF(Aircraft!U54="","",Aircraft!U54)</f>
        <v/>
      </c>
      <c r="L61" s="594" t="str">
        <f>IF(D61="","",IF(F61=0,"N/A",Aircraft!BH54))</f>
        <v/>
      </c>
      <c r="M61" s="598" t="str">
        <f>IF(D61="","",IF(F61=0,0,PRODUCT(Worksheet_Com!N56,100)))</f>
        <v/>
      </c>
      <c r="N61" s="596" t="str">
        <f>IF(H61="","",Worksheet_Com!P56)</f>
        <v/>
      </c>
      <c r="O61" s="596" t="str">
        <f>IF(I61="","",Worksheet_Com!Q56)</f>
        <v/>
      </c>
      <c r="P61" s="596" t="str">
        <f>IF(F61="","",IF(F61=0,0,Worksheet_Com!O56))</f>
        <v/>
      </c>
      <c r="Q61" s="599" t="str">
        <f t="shared" si="1"/>
        <v/>
      </c>
      <c r="V61" t="str">
        <f>IF(Aircraft!AI54&gt;0,Aircraft!AI54,Aircraft!AE54)</f>
        <v/>
      </c>
      <c r="Y61" s="100"/>
      <c r="Z61" s="101"/>
    </row>
    <row r="62" spans="1:26" customFormat="1" ht="14.25" hidden="1" customHeight="1" thickBot="1">
      <c r="A62" s="441">
        <v>52</v>
      </c>
      <c r="B62" s="448" t="str">
        <f>IF(Aircraft!F55="","",Rating!C61)</f>
        <v/>
      </c>
      <c r="C62" s="448" t="str">
        <f>IF(B62="","",Aircraft!H55)</f>
        <v/>
      </c>
      <c r="D62" s="448" t="str">
        <f>IF(B62="","",Rating!E61)</f>
        <v/>
      </c>
      <c r="E62" s="448" t="str">
        <f>IF(V62="","",IF(Aircraft!AG55="NO",CONCATENATE(1,"/",('Com Quote'!V62-1)),IF(Aircraft!AG55="YES",CONCATENATE(2,"/",('Com Quote'!V62-2)),"")))</f>
        <v/>
      </c>
      <c r="F62" s="449" t="str">
        <f>IF(D62="","",IF(OR(Aircraft!P55=0,Aircraft!P55=""),0,Aircraft!P55))</f>
        <v/>
      </c>
      <c r="G62" s="450" t="str">
        <f>IF(D62="","",IF(Aircraft!S55="N","F.","G."))</f>
        <v/>
      </c>
      <c r="H62" s="450" t="str">
        <f>IF(Aircraft!W55="","",Aircraft!W55)</f>
        <v/>
      </c>
      <c r="I62" s="450" t="str">
        <f>IF(Aircraft!Y55="","",Aircraft!Y55)</f>
        <v/>
      </c>
      <c r="J62" s="448" t="str">
        <f>IF(D62="","",Rating!H61)</f>
        <v/>
      </c>
      <c r="K62" s="448" t="str">
        <f>IF(Aircraft!U55="","",Aircraft!U55)</f>
        <v/>
      </c>
      <c r="L62" s="448" t="str">
        <f>IF(D62="","",IF(F62=0,"N/A",Aircraft!BH55))</f>
        <v/>
      </c>
      <c r="M62" s="451" t="str">
        <f>IF(D62="","",IF(F62=0,0,PRODUCT(Worksheet_Com!N57,100)))</f>
        <v/>
      </c>
      <c r="N62" s="449" t="str">
        <f>IF(H62="","",Worksheet_Com!P57)</f>
        <v/>
      </c>
      <c r="O62" s="449" t="str">
        <f>IF(I62="","",Worksheet_Com!Q57)</f>
        <v/>
      </c>
      <c r="P62" s="449" t="str">
        <f>IF(F62="","",IF(F62=0,0,Worksheet_Com!O57))</f>
        <v/>
      </c>
      <c r="Q62" s="452" t="str">
        <f t="shared" si="1"/>
        <v/>
      </c>
      <c r="V62" t="str">
        <f>IF(Aircraft!AI55&gt;0,Aircraft!AI55,Aircraft!AE55)</f>
        <v/>
      </c>
      <c r="Y62" s="100"/>
      <c r="Z62" s="101"/>
    </row>
    <row r="63" spans="1:26" customFormat="1" ht="14.25" hidden="1">
      <c r="A63" s="441">
        <v>53</v>
      </c>
      <c r="B63" s="594" t="str">
        <f>IF(Aircraft!F56="","",Rating!C62)</f>
        <v/>
      </c>
      <c r="C63" s="594" t="str">
        <f>IF(B63="","",Aircraft!H56)</f>
        <v/>
      </c>
      <c r="D63" s="595" t="str">
        <f>IF(B63="","",Rating!E62)</f>
        <v/>
      </c>
      <c r="E63" s="594" t="str">
        <f>IF(V63="","",IF(Aircraft!AG56="NO",CONCATENATE(1,"/",('Com Quote'!V63-1)),IF(Aircraft!AG56="YES",CONCATENATE(2,"/",('Com Quote'!V63-2)),"")))</f>
        <v/>
      </c>
      <c r="F63" s="596" t="str">
        <f>IF(D63="","",IF(OR(Aircraft!P56=0,Aircraft!P56=""),0,Aircraft!P56))</f>
        <v/>
      </c>
      <c r="G63" s="597" t="str">
        <f>IF(D63="","",IF(Aircraft!S56="N","F.","G."))</f>
        <v/>
      </c>
      <c r="H63" s="597" t="str">
        <f>IF(Aircraft!W56="","",Aircraft!W56)</f>
        <v/>
      </c>
      <c r="I63" s="597" t="str">
        <f>IF(Aircraft!Y56="","",Aircraft!Y56)</f>
        <v/>
      </c>
      <c r="J63" s="594" t="str">
        <f>IF(D63="","",Rating!H62)</f>
        <v/>
      </c>
      <c r="K63" s="594" t="str">
        <f>IF(Aircraft!U56="","",Aircraft!U56)</f>
        <v/>
      </c>
      <c r="L63" s="594" t="str">
        <f>IF(D63="","",IF(F63=0,"N/A",Aircraft!BH56))</f>
        <v/>
      </c>
      <c r="M63" s="598" t="str">
        <f>IF(D63="","",IF(F63=0,0,PRODUCT(Worksheet_Com!N58,100)))</f>
        <v/>
      </c>
      <c r="N63" s="596" t="str">
        <f>IF(H63="","",Worksheet_Com!P58)</f>
        <v/>
      </c>
      <c r="O63" s="596" t="str">
        <f>IF(I63="","",Worksheet_Com!Q58)</f>
        <v/>
      </c>
      <c r="P63" s="596" t="str">
        <f>IF(F63="","",IF(F63=0,0,Worksheet_Com!O58))</f>
        <v/>
      </c>
      <c r="Q63" s="599" t="str">
        <f t="shared" si="1"/>
        <v/>
      </c>
      <c r="V63" t="str">
        <f>IF(Aircraft!AI56&gt;0,Aircraft!AI56,Aircraft!AE56)</f>
        <v/>
      </c>
      <c r="Y63" s="100"/>
      <c r="Z63" s="101"/>
    </row>
    <row r="64" spans="1:26" customFormat="1" ht="14.25" hidden="1" customHeight="1" thickBot="1">
      <c r="A64" s="441">
        <v>54</v>
      </c>
      <c r="B64" s="448" t="str">
        <f>IF(Aircraft!F57="","",Rating!C63)</f>
        <v/>
      </c>
      <c r="C64" s="448" t="str">
        <f>IF(B64="","",Aircraft!H57)</f>
        <v/>
      </c>
      <c r="D64" s="448" t="str">
        <f>IF(B64="","",Rating!E63)</f>
        <v/>
      </c>
      <c r="E64" s="448" t="str">
        <f>IF(V64="","",IF(Aircraft!AG57="NO",CONCATENATE(1,"/",('Com Quote'!V64-1)),IF(Aircraft!AG57="YES",CONCATENATE(2,"/",('Com Quote'!V64-2)),"")))</f>
        <v/>
      </c>
      <c r="F64" s="449" t="str">
        <f>IF(D64="","",IF(OR(Aircraft!P57=0,Aircraft!P57=""),0,Aircraft!P57))</f>
        <v/>
      </c>
      <c r="G64" s="450" t="str">
        <f>IF(D64="","",IF(Aircraft!S57="N","F.","G."))</f>
        <v/>
      </c>
      <c r="H64" s="450" t="str">
        <f>IF(Aircraft!W57="","",Aircraft!W57)</f>
        <v/>
      </c>
      <c r="I64" s="450" t="str">
        <f>IF(Aircraft!Y57="","",Aircraft!Y57)</f>
        <v/>
      </c>
      <c r="J64" s="448" t="str">
        <f>IF(D64="","",Rating!H63)</f>
        <v/>
      </c>
      <c r="K64" s="448" t="str">
        <f>IF(Aircraft!U57="","",Aircraft!U57)</f>
        <v/>
      </c>
      <c r="L64" s="448" t="str">
        <f>IF(D64="","",IF(F64=0,"N/A",Aircraft!BH57))</f>
        <v/>
      </c>
      <c r="M64" s="451" t="str">
        <f>IF(D64="","",IF(F64=0,0,PRODUCT(Worksheet_Com!N59,100)))</f>
        <v/>
      </c>
      <c r="N64" s="449" t="str">
        <f>IF(H64="","",Worksheet_Com!P59)</f>
        <v/>
      </c>
      <c r="O64" s="449" t="str">
        <f>IF(I64="","",Worksheet_Com!Q59)</f>
        <v/>
      </c>
      <c r="P64" s="449" t="str">
        <f>IF(F64="","",IF(F64=0,0,Worksheet_Com!O59))</f>
        <v/>
      </c>
      <c r="Q64" s="452" t="str">
        <f t="shared" si="1"/>
        <v/>
      </c>
      <c r="V64" t="str">
        <f>IF(Aircraft!AI57&gt;0,Aircraft!AI57,Aircraft!AE57)</f>
        <v/>
      </c>
      <c r="Y64" s="100"/>
      <c r="Z64" s="101"/>
    </row>
    <row r="65" spans="1:26" customFormat="1" ht="14.25" hidden="1">
      <c r="A65" s="441">
        <v>55</v>
      </c>
      <c r="B65" s="594" t="str">
        <f>IF(Aircraft!F58="","",Rating!C64)</f>
        <v/>
      </c>
      <c r="C65" s="594" t="str">
        <f>IF(B65="","",Aircraft!H58)</f>
        <v/>
      </c>
      <c r="D65" s="595" t="str">
        <f>IF(B65="","",Rating!E64)</f>
        <v/>
      </c>
      <c r="E65" s="594" t="str">
        <f>IF(V65="","",IF(Aircraft!AG58="NO",CONCATENATE(1,"/",('Com Quote'!V65-1)),IF(Aircraft!AG58="YES",CONCATENATE(2,"/",('Com Quote'!V65-2)),"")))</f>
        <v/>
      </c>
      <c r="F65" s="596" t="str">
        <f>IF(D65="","",IF(OR(Aircraft!P58=0,Aircraft!P58=""),0,Aircraft!P58))</f>
        <v/>
      </c>
      <c r="G65" s="597" t="str">
        <f>IF(D65="","",IF(Aircraft!S58="N","F.","G."))</f>
        <v/>
      </c>
      <c r="H65" s="597" t="str">
        <f>IF(Aircraft!W58="","",Aircraft!W58)</f>
        <v/>
      </c>
      <c r="I65" s="597" t="str">
        <f>IF(Aircraft!Y58="","",Aircraft!Y58)</f>
        <v/>
      </c>
      <c r="J65" s="594" t="str">
        <f>IF(D65="","",Rating!H64)</f>
        <v/>
      </c>
      <c r="K65" s="594" t="str">
        <f>IF(Aircraft!U58="","",Aircraft!U58)</f>
        <v/>
      </c>
      <c r="L65" s="594" t="str">
        <f>IF(D65="","",IF(F65=0,"N/A",Aircraft!BH58))</f>
        <v/>
      </c>
      <c r="M65" s="598" t="str">
        <f>IF(D65="","",IF(F65=0,0,PRODUCT(Worksheet_Com!N60,100)))</f>
        <v/>
      </c>
      <c r="N65" s="596" t="str">
        <f>IF(H65="","",Worksheet_Com!P60)</f>
        <v/>
      </c>
      <c r="O65" s="596" t="str">
        <f>IF(I65="","",Worksheet_Com!Q60)</f>
        <v/>
      </c>
      <c r="P65" s="596" t="str">
        <f>IF(F65="","",IF(F65=0,0,Worksheet_Com!O60))</f>
        <v/>
      </c>
      <c r="Q65" s="599" t="str">
        <f t="shared" si="1"/>
        <v/>
      </c>
      <c r="V65" t="str">
        <f>IF(Aircraft!AI58&gt;0,Aircraft!AI58,Aircraft!AE58)</f>
        <v/>
      </c>
      <c r="Y65" s="100"/>
      <c r="Z65" s="101"/>
    </row>
    <row r="66" spans="1:26" customFormat="1" ht="14.25" hidden="1" customHeight="1" thickBot="1">
      <c r="A66" s="441">
        <v>56</v>
      </c>
      <c r="B66" s="448" t="str">
        <f>IF(Aircraft!F59="","",Rating!C65)</f>
        <v/>
      </c>
      <c r="C66" s="448" t="str">
        <f>IF(B66="","",Aircraft!H59)</f>
        <v/>
      </c>
      <c r="D66" s="448" t="str">
        <f>IF(B66="","",Rating!E65)</f>
        <v/>
      </c>
      <c r="E66" s="448" t="str">
        <f>IF(V66="","",IF(Aircraft!AG59="NO",CONCATENATE(1,"/",('Com Quote'!V66-1)),IF(Aircraft!AG59="YES",CONCATENATE(2,"/",('Com Quote'!V66-2)),"")))</f>
        <v/>
      </c>
      <c r="F66" s="449" t="str">
        <f>IF(D66="","",IF(OR(Aircraft!P59=0,Aircraft!P59=""),0,Aircraft!P59))</f>
        <v/>
      </c>
      <c r="G66" s="450" t="str">
        <f>IF(D66="","",IF(Aircraft!S59="N","F.","G."))</f>
        <v/>
      </c>
      <c r="H66" s="450" t="str">
        <f>IF(Aircraft!W59="","",Aircraft!W59)</f>
        <v/>
      </c>
      <c r="I66" s="450" t="str">
        <f>IF(Aircraft!Y59="","",Aircraft!Y59)</f>
        <v/>
      </c>
      <c r="J66" s="448" t="str">
        <f>IF(D66="","",Rating!H65)</f>
        <v/>
      </c>
      <c r="K66" s="448" t="str">
        <f>IF(Aircraft!U59="","",Aircraft!U59)</f>
        <v/>
      </c>
      <c r="L66" s="448" t="str">
        <f>IF(D66="","",IF(F66=0,"N/A",Aircraft!BH59))</f>
        <v/>
      </c>
      <c r="M66" s="451" t="str">
        <f>IF(D66="","",IF(F66=0,0,PRODUCT(Worksheet_Com!N61,100)))</f>
        <v/>
      </c>
      <c r="N66" s="449" t="str">
        <f>IF(H66="","",Worksheet_Com!P61)</f>
        <v/>
      </c>
      <c r="O66" s="449" t="str">
        <f>IF(I66="","",Worksheet_Com!Q61)</f>
        <v/>
      </c>
      <c r="P66" s="449" t="str">
        <f>IF(F66="","",IF(F66=0,0,Worksheet_Com!O61))</f>
        <v/>
      </c>
      <c r="Q66" s="452" t="str">
        <f t="shared" si="1"/>
        <v/>
      </c>
      <c r="V66" t="str">
        <f>IF(Aircraft!AI59&gt;0,Aircraft!AI59,Aircraft!AE59)</f>
        <v/>
      </c>
      <c r="Y66" s="100"/>
      <c r="Z66" s="101"/>
    </row>
    <row r="67" spans="1:26" customFormat="1" ht="14.25" hidden="1">
      <c r="A67" s="441">
        <v>57</v>
      </c>
      <c r="B67" s="594" t="str">
        <f>IF(Aircraft!F60="","",Rating!C66)</f>
        <v/>
      </c>
      <c r="C67" s="594" t="str">
        <f>IF(B67="","",Aircraft!H60)</f>
        <v/>
      </c>
      <c r="D67" s="595" t="str">
        <f>IF(B67="","",Rating!E66)</f>
        <v/>
      </c>
      <c r="E67" s="594" t="str">
        <f>IF(V67="","",IF(Aircraft!AG60="NO",CONCATENATE(1,"/",('Com Quote'!V67-1)),IF(Aircraft!AG60="YES",CONCATENATE(2,"/",('Com Quote'!V67-2)),"")))</f>
        <v/>
      </c>
      <c r="F67" s="596" t="str">
        <f>IF(D67="","",IF(OR(Aircraft!P60=0,Aircraft!P60=""),0,Aircraft!P60))</f>
        <v/>
      </c>
      <c r="G67" s="597" t="str">
        <f>IF(D67="","",IF(Aircraft!S60="N","F.","G."))</f>
        <v/>
      </c>
      <c r="H67" s="597" t="str">
        <f>IF(Aircraft!W60="","",Aircraft!W60)</f>
        <v/>
      </c>
      <c r="I67" s="597" t="str">
        <f>IF(Aircraft!Y60="","",Aircraft!Y60)</f>
        <v/>
      </c>
      <c r="J67" s="594" t="str">
        <f>IF(D67="","",Rating!H66)</f>
        <v/>
      </c>
      <c r="K67" s="594" t="str">
        <f>IF(Aircraft!U60="","",Aircraft!U60)</f>
        <v/>
      </c>
      <c r="L67" s="594" t="str">
        <f>IF(D67="","",IF(F67=0,"N/A",Aircraft!BH60))</f>
        <v/>
      </c>
      <c r="M67" s="598" t="str">
        <f>IF(D67="","",IF(F67=0,0,PRODUCT(Worksheet_Com!N62,100)))</f>
        <v/>
      </c>
      <c r="N67" s="596" t="str">
        <f>IF(H67="","",Worksheet_Com!P62)</f>
        <v/>
      </c>
      <c r="O67" s="596" t="str">
        <f>IF(I67="","",Worksheet_Com!Q62)</f>
        <v/>
      </c>
      <c r="P67" s="596" t="str">
        <f>IF(F67="","",IF(F67=0,0,Worksheet_Com!O62))</f>
        <v/>
      </c>
      <c r="Q67" s="599" t="str">
        <f t="shared" si="1"/>
        <v/>
      </c>
      <c r="V67" t="str">
        <f>IF(Aircraft!AI60&gt;0,Aircraft!AI60,Aircraft!AE60)</f>
        <v/>
      </c>
      <c r="Y67" s="100"/>
      <c r="Z67" s="101"/>
    </row>
    <row r="68" spans="1:26" customFormat="1" ht="14.25" hidden="1" customHeight="1" thickBot="1">
      <c r="A68" s="441">
        <v>58</v>
      </c>
      <c r="B68" s="448" t="str">
        <f>IF(Aircraft!F61="","",Rating!C67)</f>
        <v/>
      </c>
      <c r="C68" s="448" t="str">
        <f>IF(B68="","",Aircraft!H61)</f>
        <v/>
      </c>
      <c r="D68" s="448" t="str">
        <f>IF(B68="","",Rating!E67)</f>
        <v/>
      </c>
      <c r="E68" s="448" t="str">
        <f>IF(V68="","",IF(Aircraft!AG61="NO",CONCATENATE(1,"/",('Com Quote'!V68-1)),IF(Aircraft!AG61="YES",CONCATENATE(2,"/",('Com Quote'!V68-2)),"")))</f>
        <v/>
      </c>
      <c r="F68" s="449" t="str">
        <f>IF(D68="","",IF(OR(Aircraft!P61=0,Aircraft!P61=""),0,Aircraft!P61))</f>
        <v/>
      </c>
      <c r="G68" s="450" t="str">
        <f>IF(D68="","",IF(Aircraft!S61="N","F.","G."))</f>
        <v/>
      </c>
      <c r="H68" s="450" t="str">
        <f>IF(Aircraft!W61="","",Aircraft!W61)</f>
        <v/>
      </c>
      <c r="I68" s="450" t="str">
        <f>IF(Aircraft!Y61="","",Aircraft!Y61)</f>
        <v/>
      </c>
      <c r="J68" s="448" t="str">
        <f>IF(D68="","",Rating!H67)</f>
        <v/>
      </c>
      <c r="K68" s="448" t="str">
        <f>IF(Aircraft!U61="","",Aircraft!U61)</f>
        <v/>
      </c>
      <c r="L68" s="448" t="str">
        <f>IF(D68="","",IF(F68=0,"N/A",Aircraft!BH61))</f>
        <v/>
      </c>
      <c r="M68" s="451" t="str">
        <f>IF(D68="","",IF(F68=0,0,PRODUCT(Worksheet_Com!N63,100)))</f>
        <v/>
      </c>
      <c r="N68" s="449" t="str">
        <f>IF(H68="","",Worksheet_Com!P63)</f>
        <v/>
      </c>
      <c r="O68" s="449" t="str">
        <f>IF(I68="","",Worksheet_Com!Q63)</f>
        <v/>
      </c>
      <c r="P68" s="449" t="str">
        <f>IF(F68="","",IF(F68=0,0,Worksheet_Com!O63))</f>
        <v/>
      </c>
      <c r="Q68" s="452" t="str">
        <f t="shared" si="1"/>
        <v/>
      </c>
      <c r="V68" t="str">
        <f>IF(Aircraft!AI61&gt;0,Aircraft!AI61,Aircraft!AE61)</f>
        <v/>
      </c>
      <c r="Y68" s="100"/>
      <c r="Z68" s="101"/>
    </row>
    <row r="69" spans="1:26" customFormat="1" ht="14.25" hidden="1">
      <c r="A69" s="441">
        <v>59</v>
      </c>
      <c r="B69" s="594" t="str">
        <f>IF(Aircraft!F62="","",Rating!C68)</f>
        <v/>
      </c>
      <c r="C69" s="594" t="str">
        <f>IF(B69="","",Aircraft!H62)</f>
        <v/>
      </c>
      <c r="D69" s="595" t="str">
        <f>IF(B69="","",Rating!E68)</f>
        <v/>
      </c>
      <c r="E69" s="594" t="str">
        <f>IF(V69="","",IF(Aircraft!AG62="NO",CONCATENATE(1,"/",('Com Quote'!V69-1)),IF(Aircraft!AG62="YES",CONCATENATE(2,"/",('Com Quote'!V69-2)),"")))</f>
        <v/>
      </c>
      <c r="F69" s="596" t="str">
        <f>IF(D69="","",IF(OR(Aircraft!P62=0,Aircraft!P62=""),0,Aircraft!P62))</f>
        <v/>
      </c>
      <c r="G69" s="597" t="str">
        <f>IF(D69="","",IF(Aircraft!S62="N","F.","G."))</f>
        <v/>
      </c>
      <c r="H69" s="597" t="str">
        <f>IF(Aircraft!W62="","",Aircraft!W62)</f>
        <v/>
      </c>
      <c r="I69" s="597" t="str">
        <f>IF(Aircraft!Y62="","",Aircraft!Y62)</f>
        <v/>
      </c>
      <c r="J69" s="594" t="str">
        <f>IF(D69="","",Rating!H68)</f>
        <v/>
      </c>
      <c r="K69" s="594" t="str">
        <f>IF(Aircraft!U62="","",Aircraft!U62)</f>
        <v/>
      </c>
      <c r="L69" s="594" t="str">
        <f>IF(D69="","",IF(F69=0,"N/A",Aircraft!BH62))</f>
        <v/>
      </c>
      <c r="M69" s="598" t="str">
        <f>IF(D69="","",IF(F69=0,0,PRODUCT(Worksheet_Com!N64,100)))</f>
        <v/>
      </c>
      <c r="N69" s="596" t="str">
        <f>IF(H69="","",Worksheet_Com!P64)</f>
        <v/>
      </c>
      <c r="O69" s="596" t="str">
        <f>IF(I69="","",Worksheet_Com!Q64)</f>
        <v/>
      </c>
      <c r="P69" s="596" t="str">
        <f>IF(F69="","",IF(F69=0,0,Worksheet_Com!O64))</f>
        <v/>
      </c>
      <c r="Q69" s="599" t="str">
        <f t="shared" si="1"/>
        <v/>
      </c>
      <c r="V69" t="str">
        <f>IF(Aircraft!AI62&gt;0,Aircraft!AI62,Aircraft!AE62)</f>
        <v/>
      </c>
      <c r="Y69" s="100"/>
      <c r="Z69" s="101"/>
    </row>
    <row r="70" spans="1:26" customFormat="1" ht="14.25" hidden="1" customHeight="1" thickBot="1">
      <c r="A70" s="441">
        <v>60</v>
      </c>
      <c r="B70" s="448" t="str">
        <f>IF(Aircraft!F63="","",Rating!C69)</f>
        <v/>
      </c>
      <c r="C70" s="448" t="str">
        <f>IF(B70="","",Aircraft!H63)</f>
        <v/>
      </c>
      <c r="D70" s="448" t="str">
        <f>IF(B70="","",Rating!E69)</f>
        <v/>
      </c>
      <c r="E70" s="448" t="str">
        <f>IF(V70="","",IF(Aircraft!AG63="NO",CONCATENATE(1,"/",('Com Quote'!V70-1)),IF(Aircraft!AG63="YES",CONCATENATE(2,"/",('Com Quote'!V70-2)),"")))</f>
        <v/>
      </c>
      <c r="F70" s="449" t="str">
        <f>IF(D70="","",IF(OR(Aircraft!P63=0,Aircraft!P63=""),0,Aircraft!P63))</f>
        <v/>
      </c>
      <c r="G70" s="450" t="str">
        <f>IF(D70="","",IF(Aircraft!S63="N","F.","G."))</f>
        <v/>
      </c>
      <c r="H70" s="450" t="str">
        <f>IF(Aircraft!W63="","",Aircraft!W63)</f>
        <v/>
      </c>
      <c r="I70" s="450" t="str">
        <f>IF(Aircraft!Y63="","",Aircraft!Y63)</f>
        <v/>
      </c>
      <c r="J70" s="448" t="str">
        <f>IF(D70="","",Rating!H69)</f>
        <v/>
      </c>
      <c r="K70" s="448" t="str">
        <f>IF(Aircraft!U63="","",Aircraft!U63)</f>
        <v/>
      </c>
      <c r="L70" s="448" t="str">
        <f>IF(D70="","",IF(F70=0,"N/A",Aircraft!BH63))</f>
        <v/>
      </c>
      <c r="M70" s="451" t="str">
        <f>IF(D70="","",IF(F70=0,0,PRODUCT(Worksheet_Com!N65,100)))</f>
        <v/>
      </c>
      <c r="N70" s="449" t="str">
        <f>IF(H70="","",Worksheet_Com!P65)</f>
        <v/>
      </c>
      <c r="O70" s="449" t="str">
        <f>IF(I70="","",Worksheet_Com!Q65)</f>
        <v/>
      </c>
      <c r="P70" s="449" t="str">
        <f>IF(F70="","",IF(F70=0,0,Worksheet_Com!O65))</f>
        <v/>
      </c>
      <c r="Q70" s="452" t="str">
        <f t="shared" si="1"/>
        <v/>
      </c>
      <c r="V70" t="str">
        <f>IF(Aircraft!AI63&gt;0,Aircraft!AI63,Aircraft!AE63)</f>
        <v/>
      </c>
      <c r="Y70" s="100"/>
      <c r="Z70" s="101"/>
    </row>
    <row r="71" spans="1:26" customFormat="1" ht="14.25" hidden="1">
      <c r="A71" s="441">
        <v>61</v>
      </c>
      <c r="B71" s="594" t="str">
        <f>IF(Aircraft!F64="","",Rating!C70)</f>
        <v/>
      </c>
      <c r="C71" s="594" t="str">
        <f>IF(B71="","",Aircraft!H64)</f>
        <v/>
      </c>
      <c r="D71" s="595" t="str">
        <f>IF(B71="","",Rating!E70)</f>
        <v/>
      </c>
      <c r="E71" s="594" t="str">
        <f>IF(V71="","",IF(Aircraft!AG64="NO",CONCATENATE(1,"/",('Com Quote'!V71-1)),IF(Aircraft!AG64="YES",CONCATENATE(2,"/",('Com Quote'!V71-2)),"")))</f>
        <v/>
      </c>
      <c r="F71" s="596" t="str">
        <f>IF(D71="","",IF(OR(Aircraft!P64=0,Aircraft!P64=""),0,Aircraft!P64))</f>
        <v/>
      </c>
      <c r="G71" s="597" t="str">
        <f>IF(D71="","",IF(Aircraft!S64="N","F.","G."))</f>
        <v/>
      </c>
      <c r="H71" s="597" t="str">
        <f>IF(Aircraft!W64="","",Aircraft!W64)</f>
        <v/>
      </c>
      <c r="I71" s="597" t="str">
        <f>IF(Aircraft!Y64="","",Aircraft!Y64)</f>
        <v/>
      </c>
      <c r="J71" s="594" t="str">
        <f>IF(D71="","",Rating!H70)</f>
        <v/>
      </c>
      <c r="K71" s="594" t="str">
        <f>IF(Aircraft!U64="","",Aircraft!U64)</f>
        <v/>
      </c>
      <c r="L71" s="594" t="str">
        <f>IF(D71="","",IF(F71=0,"N/A",Aircraft!BH64))</f>
        <v/>
      </c>
      <c r="M71" s="598" t="str">
        <f>IF(D71="","",IF(F71=0,0,PRODUCT(Worksheet_Com!N66,100)))</f>
        <v/>
      </c>
      <c r="N71" s="596" t="str">
        <f>IF(H71="","",Worksheet_Com!P66)</f>
        <v/>
      </c>
      <c r="O71" s="596" t="str">
        <f>IF(I71="","",Worksheet_Com!Q66)</f>
        <v/>
      </c>
      <c r="P71" s="596" t="str">
        <f>IF(F71="","",IF(F71=0,0,Worksheet_Com!O66))</f>
        <v/>
      </c>
      <c r="Q71" s="599" t="str">
        <f t="shared" si="1"/>
        <v/>
      </c>
      <c r="V71" t="str">
        <f>IF(Aircraft!AI64&gt;0,Aircraft!AI64,Aircraft!AE64)</f>
        <v/>
      </c>
      <c r="Y71" s="100"/>
      <c r="Z71" s="101"/>
    </row>
    <row r="72" spans="1:26" customFormat="1" ht="14.25" hidden="1" customHeight="1" thickBot="1">
      <c r="A72" s="441">
        <v>62</v>
      </c>
      <c r="B72" s="448" t="str">
        <f>IF(Aircraft!F65="","",Rating!C71)</f>
        <v/>
      </c>
      <c r="C72" s="448" t="str">
        <f>IF(B72="","",Aircraft!H65)</f>
        <v/>
      </c>
      <c r="D72" s="448" t="str">
        <f>IF(B72="","",Rating!E71)</f>
        <v/>
      </c>
      <c r="E72" s="448" t="str">
        <f>IF(V72="","",IF(Aircraft!AG65="NO",CONCATENATE(1,"/",('Com Quote'!V72-1)),IF(Aircraft!AG65="YES",CONCATENATE(2,"/",('Com Quote'!V72-2)),"")))</f>
        <v/>
      </c>
      <c r="F72" s="449" t="str">
        <f>IF(D72="","",IF(OR(Aircraft!P65=0,Aircraft!P65=""),0,Aircraft!P65))</f>
        <v/>
      </c>
      <c r="G72" s="450" t="str">
        <f>IF(D72="","",IF(Aircraft!S65="N","F.","G."))</f>
        <v/>
      </c>
      <c r="H72" s="450" t="str">
        <f>IF(Aircraft!W65="","",Aircraft!W65)</f>
        <v/>
      </c>
      <c r="I72" s="450" t="str">
        <f>IF(Aircraft!Y65="","",Aircraft!Y65)</f>
        <v/>
      </c>
      <c r="J72" s="448" t="str">
        <f>IF(D72="","",Rating!H71)</f>
        <v/>
      </c>
      <c r="K72" s="448" t="str">
        <f>IF(Aircraft!U65="","",Aircraft!U65)</f>
        <v/>
      </c>
      <c r="L72" s="448" t="str">
        <f>IF(D72="","",IF(F72=0,"N/A",Aircraft!BH65))</f>
        <v/>
      </c>
      <c r="M72" s="451" t="str">
        <f>IF(D72="","",IF(F72=0,0,PRODUCT(Worksheet_Com!N67,100)))</f>
        <v/>
      </c>
      <c r="N72" s="449" t="str">
        <f>IF(H72="","",Worksheet_Com!P67)</f>
        <v/>
      </c>
      <c r="O72" s="449" t="str">
        <f>IF(I72="","",Worksheet_Com!Q67)</f>
        <v/>
      </c>
      <c r="P72" s="449" t="str">
        <f>IF(F72="","",IF(F72=0,0,Worksheet_Com!O67))</f>
        <v/>
      </c>
      <c r="Q72" s="452" t="str">
        <f t="shared" si="1"/>
        <v/>
      </c>
      <c r="V72" t="str">
        <f>IF(Aircraft!AI65&gt;0,Aircraft!AI65,Aircraft!AE65)</f>
        <v/>
      </c>
      <c r="Y72" s="100"/>
      <c r="Z72" s="101"/>
    </row>
    <row r="73" spans="1:26" customFormat="1" ht="14.25" hidden="1">
      <c r="A73" s="441">
        <v>63</v>
      </c>
      <c r="B73" s="594" t="str">
        <f>IF(Aircraft!F66="","",Rating!C72)</f>
        <v/>
      </c>
      <c r="C73" s="594" t="str">
        <f>IF(B73="","",Aircraft!H66)</f>
        <v/>
      </c>
      <c r="D73" s="595" t="str">
        <f>IF(B73="","",Rating!E72)</f>
        <v/>
      </c>
      <c r="E73" s="594" t="str">
        <f>IF(V73="","",IF(Aircraft!AG66="NO",CONCATENATE(1,"/",('Com Quote'!V73-1)),IF(Aircraft!AG66="YES",CONCATENATE(2,"/",('Com Quote'!V73-2)),"")))</f>
        <v/>
      </c>
      <c r="F73" s="596" t="str">
        <f>IF(D73="","",IF(OR(Aircraft!P66=0,Aircraft!P66=""),0,Aircraft!P66))</f>
        <v/>
      </c>
      <c r="G73" s="597" t="str">
        <f>IF(D73="","",IF(Aircraft!S66="N","F.","G."))</f>
        <v/>
      </c>
      <c r="H73" s="597" t="str">
        <f>IF(Aircraft!W66="","",Aircraft!W66)</f>
        <v/>
      </c>
      <c r="I73" s="597" t="str">
        <f>IF(Aircraft!Y66="","",Aircraft!Y66)</f>
        <v/>
      </c>
      <c r="J73" s="594" t="str">
        <f>IF(D73="","",Rating!H72)</f>
        <v/>
      </c>
      <c r="K73" s="594" t="str">
        <f>IF(Aircraft!U66="","",Aircraft!U66)</f>
        <v/>
      </c>
      <c r="L73" s="594" t="str">
        <f>IF(D73="","",IF(F73=0,"N/A",Aircraft!BH66))</f>
        <v/>
      </c>
      <c r="M73" s="598" t="str">
        <f>IF(D73="","",IF(F73=0,0,PRODUCT(Worksheet_Com!N68,100)))</f>
        <v/>
      </c>
      <c r="N73" s="596" t="str">
        <f>IF(H73="","",Worksheet_Com!P68)</f>
        <v/>
      </c>
      <c r="O73" s="596" t="str">
        <f>IF(I73="","",Worksheet_Com!Q68)</f>
        <v/>
      </c>
      <c r="P73" s="596" t="str">
        <f>IF(F73="","",IF(F73=0,0,Worksheet_Com!O68))</f>
        <v/>
      </c>
      <c r="Q73" s="599" t="str">
        <f t="shared" si="1"/>
        <v/>
      </c>
      <c r="V73" t="str">
        <f>IF(Aircraft!AI66&gt;0,Aircraft!AI66,Aircraft!AE66)</f>
        <v/>
      </c>
      <c r="Y73" s="100"/>
      <c r="Z73" s="101"/>
    </row>
    <row r="74" spans="1:26" customFormat="1" ht="14.25" hidden="1" customHeight="1" thickBot="1">
      <c r="A74" s="441">
        <v>64</v>
      </c>
      <c r="B74" s="448" t="str">
        <f>IF(Aircraft!F67="","",Rating!C73)</f>
        <v/>
      </c>
      <c r="C74" s="448" t="str">
        <f>IF(B74="","",Aircraft!H67)</f>
        <v/>
      </c>
      <c r="D74" s="448" t="str">
        <f>IF(B74="","",Rating!E73)</f>
        <v/>
      </c>
      <c r="E74" s="448" t="str">
        <f>IF(V74="","",IF(Aircraft!AG67="NO",CONCATENATE(1,"/",('Com Quote'!V74-1)),IF(Aircraft!AG67="YES",CONCATENATE(2,"/",('Com Quote'!V74-2)),"")))</f>
        <v/>
      </c>
      <c r="F74" s="449" t="str">
        <f>IF(D74="","",IF(OR(Aircraft!P67=0,Aircraft!P67=""),0,Aircraft!P67))</f>
        <v/>
      </c>
      <c r="G74" s="450" t="str">
        <f>IF(D74="","",IF(Aircraft!S67="N","F.","G."))</f>
        <v/>
      </c>
      <c r="H74" s="450" t="str">
        <f>IF(Aircraft!W67="","",Aircraft!W67)</f>
        <v/>
      </c>
      <c r="I74" s="450" t="str">
        <f>IF(Aircraft!Y67="","",Aircraft!Y67)</f>
        <v/>
      </c>
      <c r="J74" s="448" t="str">
        <f>IF(D74="","",Rating!H73)</f>
        <v/>
      </c>
      <c r="K74" s="448" t="str">
        <f>IF(Aircraft!U67="","",Aircraft!U67)</f>
        <v/>
      </c>
      <c r="L74" s="448" t="str">
        <f>IF(D74="","",IF(F74=0,"N/A",Aircraft!BH67))</f>
        <v/>
      </c>
      <c r="M74" s="451" t="str">
        <f>IF(D74="","",IF(F74=0,0,PRODUCT(Worksheet_Com!N69,100)))</f>
        <v/>
      </c>
      <c r="N74" s="449" t="str">
        <f>IF(H74="","",Worksheet_Com!P69)</f>
        <v/>
      </c>
      <c r="O74" s="449" t="str">
        <f>IF(I74="","",Worksheet_Com!Q69)</f>
        <v/>
      </c>
      <c r="P74" s="449" t="str">
        <f>IF(F74="","",IF(F74=0,0,Worksheet_Com!O69))</f>
        <v/>
      </c>
      <c r="Q74" s="452" t="str">
        <f t="shared" si="1"/>
        <v/>
      </c>
      <c r="V74" t="str">
        <f>IF(Aircraft!AI67&gt;0,Aircraft!AI67,Aircraft!AE67)</f>
        <v/>
      </c>
      <c r="Y74" s="100"/>
      <c r="Z74" s="101"/>
    </row>
    <row r="75" spans="1:26" customFormat="1" ht="14.25" hidden="1">
      <c r="A75" s="441">
        <v>65</v>
      </c>
      <c r="B75" s="594" t="str">
        <f>IF(Aircraft!F68="","",Rating!C74)</f>
        <v/>
      </c>
      <c r="C75" s="594" t="str">
        <f>IF(B75="","",Aircraft!H68)</f>
        <v/>
      </c>
      <c r="D75" s="595" t="str">
        <f>IF(B75="","",Rating!E74)</f>
        <v/>
      </c>
      <c r="E75" s="594" t="str">
        <f>IF(V75="","",IF(Aircraft!AG68="NO",CONCATENATE(1,"/",('Com Quote'!V75-1)),IF(Aircraft!AG68="YES",CONCATENATE(2,"/",('Com Quote'!V75-2)),"")))</f>
        <v/>
      </c>
      <c r="F75" s="596" t="str">
        <f>IF(D75="","",IF(OR(Aircraft!P68=0,Aircraft!P68=""),0,Aircraft!P68))</f>
        <v/>
      </c>
      <c r="G75" s="597" t="str">
        <f>IF(D75="","",IF(Aircraft!S68="N","F.","G."))</f>
        <v/>
      </c>
      <c r="H75" s="597" t="str">
        <f>IF(Aircraft!W68="","",Aircraft!W68)</f>
        <v/>
      </c>
      <c r="I75" s="597" t="str">
        <f>IF(Aircraft!Y68="","",Aircraft!Y68)</f>
        <v/>
      </c>
      <c r="J75" s="594" t="str">
        <f>IF(D75="","",Rating!H74)</f>
        <v/>
      </c>
      <c r="K75" s="594" t="str">
        <f>IF(Aircraft!U68="","",Aircraft!U68)</f>
        <v/>
      </c>
      <c r="L75" s="594" t="str">
        <f>IF(D75="","",IF(F75=0,"N/A",Aircraft!BH68))</f>
        <v/>
      </c>
      <c r="M75" s="598" t="str">
        <f>IF(D75="","",IF(F75=0,0,PRODUCT(Worksheet_Com!N70,100)))</f>
        <v/>
      </c>
      <c r="N75" s="596" t="str">
        <f>IF(H75="","",Worksheet_Com!P70)</f>
        <v/>
      </c>
      <c r="O75" s="596" t="str">
        <f>IF(I75="","",Worksheet_Com!Q70)</f>
        <v/>
      </c>
      <c r="P75" s="596" t="str">
        <f>IF(F75="","",IF(F75=0,0,Worksheet_Com!O70))</f>
        <v/>
      </c>
      <c r="Q75" s="599" t="str">
        <f t="shared" si="1"/>
        <v/>
      </c>
      <c r="V75" t="str">
        <f>IF(Aircraft!AI68&gt;0,Aircraft!AI68,Aircraft!AE68)</f>
        <v/>
      </c>
      <c r="Y75" s="100"/>
      <c r="Z75" s="101"/>
    </row>
    <row r="76" spans="1:26" customFormat="1" ht="14.25" hidden="1" customHeight="1" thickBot="1">
      <c r="A76" s="441">
        <v>66</v>
      </c>
      <c r="B76" s="448" t="str">
        <f>IF(Aircraft!F69="","",Rating!C75)</f>
        <v/>
      </c>
      <c r="C76" s="448" t="str">
        <f>IF(B76="","",Aircraft!H69)</f>
        <v/>
      </c>
      <c r="D76" s="448" t="str">
        <f>IF(B76="","",Rating!E75)</f>
        <v/>
      </c>
      <c r="E76" s="448" t="str">
        <f>IF(V76="","",IF(Aircraft!AG69="NO",CONCATENATE(1,"/",('Com Quote'!V76-1)),IF(Aircraft!AG69="YES",CONCATENATE(2,"/",('Com Quote'!V76-2)),"")))</f>
        <v/>
      </c>
      <c r="F76" s="449" t="str">
        <f>IF(D76="","",IF(OR(Aircraft!P69=0,Aircraft!P69=""),0,Aircraft!P69))</f>
        <v/>
      </c>
      <c r="G76" s="450" t="str">
        <f>IF(D76="","",IF(Aircraft!S69="N","F.","G."))</f>
        <v/>
      </c>
      <c r="H76" s="450" t="str">
        <f>IF(Aircraft!W69="","",Aircraft!W69)</f>
        <v/>
      </c>
      <c r="I76" s="450" t="str">
        <f>IF(Aircraft!Y69="","",Aircraft!Y69)</f>
        <v/>
      </c>
      <c r="J76" s="448" t="str">
        <f>IF(D76="","",Rating!H75)</f>
        <v/>
      </c>
      <c r="K76" s="448" t="str">
        <f>IF(Aircraft!U69="","",Aircraft!U69)</f>
        <v/>
      </c>
      <c r="L76" s="448" t="str">
        <f>IF(D76="","",IF(F76=0,"N/A",Aircraft!BH69))</f>
        <v/>
      </c>
      <c r="M76" s="451" t="str">
        <f>IF(D76="","",IF(F76=0,0,PRODUCT(Worksheet_Com!N71,100)))</f>
        <v/>
      </c>
      <c r="N76" s="449" t="str">
        <f>IF(H76="","",Worksheet_Com!P71)</f>
        <v/>
      </c>
      <c r="O76" s="449" t="str">
        <f>IF(I76="","",Worksheet_Com!Q71)</f>
        <v/>
      </c>
      <c r="P76" s="449" t="str">
        <f>IF(F76="","",IF(F76=0,0,Worksheet_Com!O71))</f>
        <v/>
      </c>
      <c r="Q76" s="452" t="str">
        <f t="shared" si="1"/>
        <v/>
      </c>
      <c r="V76" t="str">
        <f>IF(Aircraft!AI69&gt;0,Aircraft!AI69,Aircraft!AE69)</f>
        <v/>
      </c>
      <c r="Y76" s="100"/>
      <c r="Z76" s="101"/>
    </row>
    <row r="77" spans="1:26" customFormat="1" ht="14.25" hidden="1">
      <c r="A77" s="441">
        <v>67</v>
      </c>
      <c r="B77" s="594" t="str">
        <f>IF(Aircraft!F70="","",Rating!C76)</f>
        <v/>
      </c>
      <c r="C77" s="594" t="str">
        <f>IF(B77="","",Aircraft!H70)</f>
        <v/>
      </c>
      <c r="D77" s="595" t="str">
        <f>IF(B77="","",Rating!E76)</f>
        <v/>
      </c>
      <c r="E77" s="594" t="str">
        <f>IF(V77="","",IF(Aircraft!AG70="NO",CONCATENATE(1,"/",('Com Quote'!V77-1)),IF(Aircraft!AG70="YES",CONCATENATE(2,"/",('Com Quote'!V77-2)),"")))</f>
        <v/>
      </c>
      <c r="F77" s="596" t="str">
        <f>IF(D77="","",IF(OR(Aircraft!P70=0,Aircraft!P70=""),0,Aircraft!P70))</f>
        <v/>
      </c>
      <c r="G77" s="597" t="str">
        <f>IF(D77="","",IF(Aircraft!S70="N","F.","G."))</f>
        <v/>
      </c>
      <c r="H77" s="597" t="str">
        <f>IF(Aircraft!W70="","",Aircraft!W70)</f>
        <v/>
      </c>
      <c r="I77" s="597" t="str">
        <f>IF(Aircraft!Y70="","",Aircraft!Y70)</f>
        <v/>
      </c>
      <c r="J77" s="594" t="str">
        <f>IF(D77="","",Rating!H76)</f>
        <v/>
      </c>
      <c r="K77" s="594" t="str">
        <f>IF(Aircraft!U70="","",Aircraft!U70)</f>
        <v/>
      </c>
      <c r="L77" s="594" t="str">
        <f>IF(D77="","",IF(F77=0,"N/A",Aircraft!BH70))</f>
        <v/>
      </c>
      <c r="M77" s="598" t="str">
        <f>IF(D77="","",IF(F77=0,0,PRODUCT(Worksheet_Com!N72,100)))</f>
        <v/>
      </c>
      <c r="N77" s="596" t="str">
        <f>IF(H77="","",Worksheet_Com!P72)</f>
        <v/>
      </c>
      <c r="O77" s="596" t="str">
        <f>IF(I77="","",Worksheet_Com!Q72)</f>
        <v/>
      </c>
      <c r="P77" s="596" t="str">
        <f>IF(F77="","",IF(F77=0,0,Worksheet_Com!O72))</f>
        <v/>
      </c>
      <c r="Q77" s="599" t="str">
        <f t="shared" si="1"/>
        <v/>
      </c>
      <c r="V77" t="str">
        <f>IF(Aircraft!AI70&gt;0,Aircraft!AI70,Aircraft!AE70)</f>
        <v/>
      </c>
      <c r="Y77" s="100"/>
      <c r="Z77" s="101"/>
    </row>
    <row r="78" spans="1:26" customFormat="1" ht="14.25" hidden="1" customHeight="1" thickBot="1">
      <c r="A78" s="441">
        <v>68</v>
      </c>
      <c r="B78" s="448" t="str">
        <f>IF(Aircraft!F71="","",Rating!C77)</f>
        <v/>
      </c>
      <c r="C78" s="448" t="str">
        <f>IF(B78="","",Aircraft!H71)</f>
        <v/>
      </c>
      <c r="D78" s="448" t="str">
        <f>IF(B78="","",Rating!E77)</f>
        <v/>
      </c>
      <c r="E78" s="448" t="str">
        <f>IF(V78="","",IF(Aircraft!AG71="NO",CONCATENATE(1,"/",('Com Quote'!V78-1)),IF(Aircraft!AG71="YES",CONCATENATE(2,"/",('Com Quote'!V78-2)),"")))</f>
        <v/>
      </c>
      <c r="F78" s="449" t="str">
        <f>IF(D78="","",IF(OR(Aircraft!P71=0,Aircraft!P71=""),0,Aircraft!P71))</f>
        <v/>
      </c>
      <c r="G78" s="450" t="str">
        <f>IF(D78="","",IF(Aircraft!S71="N","F.","G."))</f>
        <v/>
      </c>
      <c r="H78" s="450" t="str">
        <f>IF(Aircraft!W71="","",Aircraft!W71)</f>
        <v/>
      </c>
      <c r="I78" s="450" t="str">
        <f>IF(Aircraft!Y71="","",Aircraft!Y71)</f>
        <v/>
      </c>
      <c r="J78" s="448" t="str">
        <f>IF(D78="","",Rating!H77)</f>
        <v/>
      </c>
      <c r="K78" s="448" t="str">
        <f>IF(Aircraft!U71="","",Aircraft!U71)</f>
        <v/>
      </c>
      <c r="L78" s="448" t="str">
        <f>IF(D78="","",IF(F78=0,"N/A",Aircraft!BH71))</f>
        <v/>
      </c>
      <c r="M78" s="451" t="str">
        <f>IF(D78="","",IF(F78=0,0,PRODUCT(Worksheet_Com!N73,100)))</f>
        <v/>
      </c>
      <c r="N78" s="449" t="str">
        <f>IF(H78="","",Worksheet_Com!P73)</f>
        <v/>
      </c>
      <c r="O78" s="449" t="str">
        <f>IF(I78="","",Worksheet_Com!Q73)</f>
        <v/>
      </c>
      <c r="P78" s="449" t="str">
        <f>IF(F78="","",IF(F78=0,0,Worksheet_Com!O73))</f>
        <v/>
      </c>
      <c r="Q78" s="452" t="str">
        <f t="shared" si="1"/>
        <v/>
      </c>
      <c r="V78" t="str">
        <f>IF(Aircraft!AI71&gt;0,Aircraft!AI71,Aircraft!AE71)</f>
        <v/>
      </c>
      <c r="Y78" s="100"/>
      <c r="Z78" s="101"/>
    </row>
    <row r="79" spans="1:26" customFormat="1" ht="14.25" hidden="1">
      <c r="A79" s="441">
        <v>69</v>
      </c>
      <c r="B79" s="594" t="str">
        <f>IF(Aircraft!F72="","",Rating!C78)</f>
        <v/>
      </c>
      <c r="C79" s="594" t="str">
        <f>IF(B79="","",Aircraft!H72)</f>
        <v/>
      </c>
      <c r="D79" s="595" t="str">
        <f>IF(B79="","",Rating!E78)</f>
        <v/>
      </c>
      <c r="E79" s="594" t="str">
        <f>IF(V79="","",IF(Aircraft!AG72="NO",CONCATENATE(1,"/",('Com Quote'!V79-1)),IF(Aircraft!AG72="YES",CONCATENATE(2,"/",('Com Quote'!V79-2)),"")))</f>
        <v/>
      </c>
      <c r="F79" s="596" t="str">
        <f>IF(D79="","",IF(OR(Aircraft!P72=0,Aircraft!P72=""),0,Aircraft!P72))</f>
        <v/>
      </c>
      <c r="G79" s="597" t="str">
        <f>IF(D79="","",IF(Aircraft!S72="N","F.","G."))</f>
        <v/>
      </c>
      <c r="H79" s="597" t="str">
        <f>IF(Aircraft!W72="","",Aircraft!W72)</f>
        <v/>
      </c>
      <c r="I79" s="597" t="str">
        <f>IF(Aircraft!Y72="","",Aircraft!Y72)</f>
        <v/>
      </c>
      <c r="J79" s="594" t="str">
        <f>IF(D79="","",Rating!H78)</f>
        <v/>
      </c>
      <c r="K79" s="594" t="str">
        <f>IF(Aircraft!U72="","",Aircraft!U72)</f>
        <v/>
      </c>
      <c r="L79" s="594" t="str">
        <f>IF(D79="","",IF(F79=0,"N/A",Aircraft!BH72))</f>
        <v/>
      </c>
      <c r="M79" s="598" t="str">
        <f>IF(D79="","",IF(F79=0,0,PRODUCT(Worksheet_Com!N74,100)))</f>
        <v/>
      </c>
      <c r="N79" s="596" t="str">
        <f>IF(H79="","",Worksheet_Com!P74)</f>
        <v/>
      </c>
      <c r="O79" s="596" t="str">
        <f>IF(I79="","",Worksheet_Com!Q74)</f>
        <v/>
      </c>
      <c r="P79" s="596" t="str">
        <f>IF(F79="","",IF(F79=0,0,Worksheet_Com!O74))</f>
        <v/>
      </c>
      <c r="Q79" s="599" t="str">
        <f t="shared" si="1"/>
        <v/>
      </c>
      <c r="V79" t="str">
        <f>IF(Aircraft!AI72&gt;0,Aircraft!AI72,Aircraft!AE72)</f>
        <v/>
      </c>
      <c r="Y79" s="100"/>
      <c r="Z79" s="101"/>
    </row>
    <row r="80" spans="1:26" customFormat="1" ht="14.25" hidden="1" customHeight="1" thickBot="1">
      <c r="A80" s="441">
        <v>70</v>
      </c>
      <c r="B80" s="448" t="str">
        <f>IF(Aircraft!F73="","",Rating!C79)</f>
        <v/>
      </c>
      <c r="C80" s="448" t="str">
        <f>IF(B80="","",Aircraft!H73)</f>
        <v/>
      </c>
      <c r="D80" s="448" t="str">
        <f>IF(B80="","",Rating!E79)</f>
        <v/>
      </c>
      <c r="E80" s="448" t="str">
        <f>IF(V80="","",IF(Aircraft!AG73="NO",CONCATENATE(1,"/",('Com Quote'!V80-1)),IF(Aircraft!AG73="YES",CONCATENATE(2,"/",('Com Quote'!V80-2)),"")))</f>
        <v/>
      </c>
      <c r="F80" s="449" t="str">
        <f>IF(D80="","",IF(OR(Aircraft!P73=0,Aircraft!P73=""),0,Aircraft!P73))</f>
        <v/>
      </c>
      <c r="G80" s="450" t="str">
        <f>IF(D80="","",IF(Aircraft!S73="N","F.","G."))</f>
        <v/>
      </c>
      <c r="H80" s="450" t="str">
        <f>IF(Aircraft!W73="","",Aircraft!W73)</f>
        <v/>
      </c>
      <c r="I80" s="450" t="str">
        <f>IF(Aircraft!Y73="","",Aircraft!Y73)</f>
        <v/>
      </c>
      <c r="J80" s="448" t="str">
        <f>IF(D80="","",Rating!H79)</f>
        <v/>
      </c>
      <c r="K80" s="448" t="str">
        <f>IF(Aircraft!U73="","",Aircraft!U73)</f>
        <v/>
      </c>
      <c r="L80" s="448" t="str">
        <f>IF(D80="","",IF(F80=0,"N/A",Aircraft!BH73))</f>
        <v/>
      </c>
      <c r="M80" s="451" t="str">
        <f>IF(D80="","",IF(F80=0,0,PRODUCT(Worksheet_Com!N75,100)))</f>
        <v/>
      </c>
      <c r="N80" s="449" t="str">
        <f>IF(H80="","",Worksheet_Com!P75)</f>
        <v/>
      </c>
      <c r="O80" s="449" t="str">
        <f>IF(I80="","",Worksheet_Com!Q75)</f>
        <v/>
      </c>
      <c r="P80" s="449" t="str">
        <f>IF(F80="","",IF(F80=0,0,Worksheet_Com!O75))</f>
        <v/>
      </c>
      <c r="Q80" s="452" t="str">
        <f t="shared" si="1"/>
        <v/>
      </c>
      <c r="V80" t="str">
        <f>IF(Aircraft!AI73&gt;0,Aircraft!AI73,Aircraft!AE73)</f>
        <v/>
      </c>
      <c r="Y80" s="100"/>
      <c r="Z80" s="101"/>
    </row>
    <row r="81" spans="1:26" customFormat="1" ht="14.25" hidden="1">
      <c r="A81" s="441">
        <v>71</v>
      </c>
      <c r="B81" s="594" t="str">
        <f>IF(Aircraft!F74="","",Rating!C80)</f>
        <v/>
      </c>
      <c r="C81" s="594" t="str">
        <f>IF(B81="","",Aircraft!H74)</f>
        <v/>
      </c>
      <c r="D81" s="595" t="str">
        <f>IF(B81="","",Rating!E80)</f>
        <v/>
      </c>
      <c r="E81" s="594" t="str">
        <f>IF(V81="","",IF(Aircraft!AG74="NO",CONCATENATE(1,"/",('Com Quote'!V81-1)),IF(Aircraft!AG74="YES",CONCATENATE(2,"/",('Com Quote'!V81-2)),"")))</f>
        <v/>
      </c>
      <c r="F81" s="596" t="str">
        <f>IF(D81="","",IF(OR(Aircraft!P74=0,Aircraft!P74=""),0,Aircraft!P74))</f>
        <v/>
      </c>
      <c r="G81" s="597" t="str">
        <f>IF(D81="","",IF(Aircraft!S74="N","F.","G."))</f>
        <v/>
      </c>
      <c r="H81" s="597" t="str">
        <f>IF(Aircraft!W74="","",Aircraft!W74)</f>
        <v/>
      </c>
      <c r="I81" s="597" t="str">
        <f>IF(Aircraft!Y74="","",Aircraft!Y74)</f>
        <v/>
      </c>
      <c r="J81" s="594" t="str">
        <f>IF(D81="","",Rating!H80)</f>
        <v/>
      </c>
      <c r="K81" s="594" t="str">
        <f>IF(Aircraft!U74="","",Aircraft!U74)</f>
        <v/>
      </c>
      <c r="L81" s="594" t="str">
        <f>IF(D81="","",IF(F81=0,"N/A",Aircraft!BH74))</f>
        <v/>
      </c>
      <c r="M81" s="598" t="str">
        <f>IF(D81="","",IF(F81=0,0,PRODUCT(Worksheet_Com!N76,100)))</f>
        <v/>
      </c>
      <c r="N81" s="596" t="str">
        <f>IF(H81="","",Worksheet_Com!P76)</f>
        <v/>
      </c>
      <c r="O81" s="596" t="str">
        <f>IF(I81="","",Worksheet_Com!Q76)</f>
        <v/>
      </c>
      <c r="P81" s="596" t="str">
        <f>IF(F81="","",IF(F81=0,0,Worksheet_Com!O76))</f>
        <v/>
      </c>
      <c r="Q81" s="599" t="str">
        <f t="shared" si="1"/>
        <v/>
      </c>
      <c r="V81" t="str">
        <f>IF(Aircraft!AI74&gt;0,Aircraft!AI74,Aircraft!AE74)</f>
        <v/>
      </c>
      <c r="Y81" s="100"/>
      <c r="Z81" s="101"/>
    </row>
    <row r="82" spans="1:26" customFormat="1" ht="14.25" hidden="1" customHeight="1" thickBot="1">
      <c r="A82" s="441">
        <v>72</v>
      </c>
      <c r="B82" s="448" t="str">
        <f>IF(Aircraft!F75="","",Rating!C81)</f>
        <v/>
      </c>
      <c r="C82" s="448" t="str">
        <f>IF(B82="","",Aircraft!H75)</f>
        <v/>
      </c>
      <c r="D82" s="448" t="str">
        <f>IF(B82="","",Rating!E81)</f>
        <v/>
      </c>
      <c r="E82" s="448" t="str">
        <f>IF(V82="","",IF(Aircraft!AG75="NO",CONCATENATE(1,"/",('Com Quote'!V82-1)),IF(Aircraft!AG75="YES",CONCATENATE(2,"/",('Com Quote'!V82-2)),"")))</f>
        <v/>
      </c>
      <c r="F82" s="449" t="str">
        <f>IF(D82="","",IF(OR(Aircraft!P75=0,Aircraft!P75=""),0,Aircraft!P75))</f>
        <v/>
      </c>
      <c r="G82" s="450" t="str">
        <f>IF(D82="","",IF(Aircraft!S75="N","F.","G."))</f>
        <v/>
      </c>
      <c r="H82" s="450" t="str">
        <f>IF(Aircraft!W75="","",Aircraft!W75)</f>
        <v/>
      </c>
      <c r="I82" s="450" t="str">
        <f>IF(Aircraft!Y75="","",Aircraft!Y75)</f>
        <v/>
      </c>
      <c r="J82" s="448" t="str">
        <f>IF(D82="","",Rating!H81)</f>
        <v/>
      </c>
      <c r="K82" s="448" t="str">
        <f>IF(Aircraft!U75="","",Aircraft!U75)</f>
        <v/>
      </c>
      <c r="L82" s="448" t="str">
        <f>IF(D82="","",IF(F82=0,"N/A",Aircraft!BH75))</f>
        <v/>
      </c>
      <c r="M82" s="451" t="str">
        <f>IF(D82="","",IF(F82=0,0,PRODUCT(Worksheet_Com!N77,100)))</f>
        <v/>
      </c>
      <c r="N82" s="449" t="str">
        <f>IF(H82="","",Worksheet_Com!P77)</f>
        <v/>
      </c>
      <c r="O82" s="449" t="str">
        <f>IF(I82="","",Worksheet_Com!Q77)</f>
        <v/>
      </c>
      <c r="P82" s="449" t="str">
        <f>IF(F82="","",IF(F82=0,0,Worksheet_Com!O77))</f>
        <v/>
      </c>
      <c r="Q82" s="452" t="str">
        <f t="shared" si="1"/>
        <v/>
      </c>
      <c r="V82" t="str">
        <f>IF(Aircraft!AI75&gt;0,Aircraft!AI75,Aircraft!AE75)</f>
        <v/>
      </c>
      <c r="Y82" s="100"/>
      <c r="Z82" s="101"/>
    </row>
    <row r="83" spans="1:26" customFormat="1" ht="14.25" hidden="1">
      <c r="A83" s="441">
        <v>73</v>
      </c>
      <c r="B83" s="594" t="str">
        <f>IF(Aircraft!F72="","",Rating!C78)</f>
        <v/>
      </c>
      <c r="C83" s="594" t="str">
        <f>IF(B83="","",Aircraft!H72)</f>
        <v/>
      </c>
      <c r="D83" s="595" t="str">
        <f>IF(B83="","",Rating!E78)</f>
        <v/>
      </c>
      <c r="E83" s="594" t="str">
        <f>IF(V83="","",IF(Aircraft!AG72="NO",CONCATENATE(1,"/",('Com Quote'!V83-1)),IF(Aircraft!AG72="YES",CONCATENATE(2,"/",('Com Quote'!V83-2)),"")))</f>
        <v/>
      </c>
      <c r="F83" s="596" t="str">
        <f>IF(D83="","",IF(OR(Aircraft!P72=0,Aircraft!P72=""),0,Aircraft!P72))</f>
        <v/>
      </c>
      <c r="G83" s="597" t="str">
        <f>IF(D83="","",IF(Aircraft!S72="N","F.","G."))</f>
        <v/>
      </c>
      <c r="H83" s="597" t="str">
        <f>IF(Aircraft!W72="","",Aircraft!W72)</f>
        <v/>
      </c>
      <c r="I83" s="597" t="str">
        <f>IF(Aircraft!Y72="","",Aircraft!Y72)</f>
        <v/>
      </c>
      <c r="J83" s="594" t="str">
        <f>IF(D83="","",Rating!H78)</f>
        <v/>
      </c>
      <c r="K83" s="594" t="str">
        <f>IF(Aircraft!U72="","",Aircraft!U72)</f>
        <v/>
      </c>
      <c r="L83" s="594" t="str">
        <f>IF(D83="","",IF(F83=0,"N/A",Aircraft!BH72))</f>
        <v/>
      </c>
      <c r="M83" s="598" t="str">
        <f>IF(D83="","",IF(F83=0,0,PRODUCT(Worksheet_Com!N74,100)))</f>
        <v/>
      </c>
      <c r="N83" s="596" t="str">
        <f>IF(H83="","",Worksheet_Com!P74)</f>
        <v/>
      </c>
      <c r="O83" s="596" t="str">
        <f>IF(I83="","",Worksheet_Com!Q74)</f>
        <v/>
      </c>
      <c r="P83" s="596" t="str">
        <f>IF(F83="","",IF(F83=0,0,Worksheet_Com!O74))</f>
        <v/>
      </c>
      <c r="Q83" s="599" t="str">
        <f t="shared" ref="Q83:Q86" si="2">IF(B83="","",SUM(N83:P83))</f>
        <v/>
      </c>
      <c r="V83" t="str">
        <f>IF(Aircraft!AI72&gt;0,Aircraft!AI72,Aircraft!AE72)</f>
        <v/>
      </c>
      <c r="Y83" s="100"/>
      <c r="Z83" s="101"/>
    </row>
    <row r="84" spans="1:26" customFormat="1" ht="14.25" hidden="1" customHeight="1" thickBot="1">
      <c r="A84" s="441">
        <v>74</v>
      </c>
      <c r="B84" s="448" t="str">
        <f>IF(Aircraft!F73="","",Rating!C79)</f>
        <v/>
      </c>
      <c r="C84" s="448" t="str">
        <f>IF(B84="","",Aircraft!H73)</f>
        <v/>
      </c>
      <c r="D84" s="448" t="str">
        <f>IF(B84="","",Rating!E79)</f>
        <v/>
      </c>
      <c r="E84" s="448" t="str">
        <f>IF(V84="","",IF(Aircraft!AG73="NO",CONCATENATE(1,"/",('Com Quote'!V84-1)),IF(Aircraft!AG73="YES",CONCATENATE(2,"/",('Com Quote'!V84-2)),"")))</f>
        <v/>
      </c>
      <c r="F84" s="449" t="str">
        <f>IF(D84="","",IF(OR(Aircraft!P73=0,Aircraft!P73=""),0,Aircraft!P73))</f>
        <v/>
      </c>
      <c r="G84" s="450" t="str">
        <f>IF(D84="","",IF(Aircraft!S73="N","F.","G."))</f>
        <v/>
      </c>
      <c r="H84" s="450" t="str">
        <f>IF(Aircraft!W73="","",Aircraft!W73)</f>
        <v/>
      </c>
      <c r="I84" s="450" t="str">
        <f>IF(Aircraft!Y73="","",Aircraft!Y73)</f>
        <v/>
      </c>
      <c r="J84" s="448" t="str">
        <f>IF(D84="","",Rating!H79)</f>
        <v/>
      </c>
      <c r="K84" s="448" t="str">
        <f>IF(Aircraft!U73="","",Aircraft!U73)</f>
        <v/>
      </c>
      <c r="L84" s="448" t="str">
        <f>IF(D84="","",IF(F84=0,"N/A",Aircraft!BH73))</f>
        <v/>
      </c>
      <c r="M84" s="451" t="str">
        <f>IF(D84="","",IF(F84=0,0,PRODUCT(Worksheet_Com!N75,100)))</f>
        <v/>
      </c>
      <c r="N84" s="449" t="str">
        <f>IF(H84="","",Worksheet_Com!P75)</f>
        <v/>
      </c>
      <c r="O84" s="449" t="str">
        <f>IF(I84="","",Worksheet_Com!Q75)</f>
        <v/>
      </c>
      <c r="P84" s="449" t="str">
        <f>IF(F84="","",IF(F84=0,0,Worksheet_Com!O75))</f>
        <v/>
      </c>
      <c r="Q84" s="452" t="str">
        <f t="shared" si="2"/>
        <v/>
      </c>
      <c r="V84" t="str">
        <f>IF(Aircraft!AI73&gt;0,Aircraft!AI73,Aircraft!AE73)</f>
        <v/>
      </c>
      <c r="Y84" s="100"/>
      <c r="Z84" s="101"/>
    </row>
    <row r="85" spans="1:26" customFormat="1" ht="14.25" hidden="1">
      <c r="A85" s="441">
        <v>75</v>
      </c>
      <c r="B85" s="594" t="str">
        <f>IF(Aircraft!F74="","",Rating!C80)</f>
        <v/>
      </c>
      <c r="C85" s="594" t="str">
        <f>IF(B85="","",Aircraft!H74)</f>
        <v/>
      </c>
      <c r="D85" s="595" t="str">
        <f>IF(B85="","",Rating!E80)</f>
        <v/>
      </c>
      <c r="E85" s="594" t="str">
        <f>IF(V85="","",IF(Aircraft!AG74="NO",CONCATENATE(1,"/",('Com Quote'!V85-1)),IF(Aircraft!AG74="YES",CONCATENATE(2,"/",('Com Quote'!V85-2)),"")))</f>
        <v/>
      </c>
      <c r="F85" s="596" t="str">
        <f>IF(D85="","",IF(OR(Aircraft!P74=0,Aircraft!P74=""),0,Aircraft!P74))</f>
        <v/>
      </c>
      <c r="G85" s="597" t="str">
        <f>IF(D85="","",IF(Aircraft!S74="N","F.","G."))</f>
        <v/>
      </c>
      <c r="H85" s="597" t="str">
        <f>IF(Aircraft!W74="","",Aircraft!W74)</f>
        <v/>
      </c>
      <c r="I85" s="597" t="str">
        <f>IF(Aircraft!Y74="","",Aircraft!Y74)</f>
        <v/>
      </c>
      <c r="J85" s="594" t="str">
        <f>IF(D85="","",Rating!H80)</f>
        <v/>
      </c>
      <c r="K85" s="594" t="str">
        <f>IF(Aircraft!U74="","",Aircraft!U74)</f>
        <v/>
      </c>
      <c r="L85" s="594" t="str">
        <f>IF(D85="","",IF(F85=0,"N/A",Aircraft!BH74))</f>
        <v/>
      </c>
      <c r="M85" s="598" t="str">
        <f>IF(D85="","",IF(F85=0,0,PRODUCT(Worksheet_Com!N76,100)))</f>
        <v/>
      </c>
      <c r="N85" s="596" t="str">
        <f>IF(H85="","",Worksheet_Com!P76)</f>
        <v/>
      </c>
      <c r="O85" s="596" t="str">
        <f>IF(I85="","",Worksheet_Com!Q76)</f>
        <v/>
      </c>
      <c r="P85" s="596" t="str">
        <f>IF(F85="","",IF(F85=0,0,Worksheet_Com!O76))</f>
        <v/>
      </c>
      <c r="Q85" s="599" t="str">
        <f t="shared" si="2"/>
        <v/>
      </c>
      <c r="V85" t="str">
        <f>IF(Aircraft!AI74&gt;0,Aircraft!AI74,Aircraft!AE74)</f>
        <v/>
      </c>
      <c r="Y85" s="100"/>
      <c r="Z85" s="101"/>
    </row>
    <row r="86" spans="1:26" customFormat="1" ht="14.25" hidden="1" customHeight="1" thickBot="1">
      <c r="A86" s="441">
        <v>76</v>
      </c>
      <c r="B86" s="448" t="str">
        <f>IF(Aircraft!F75="","",Rating!C81)</f>
        <v/>
      </c>
      <c r="C86" s="448" t="str">
        <f>IF(B86="","",Aircraft!H75)</f>
        <v/>
      </c>
      <c r="D86" s="448" t="str">
        <f>IF(B86="","",Rating!E81)</f>
        <v/>
      </c>
      <c r="E86" s="448" t="str">
        <f>IF(V86="","",IF(Aircraft!AG75="NO",CONCATENATE(1,"/",('Com Quote'!V86-1)),IF(Aircraft!AG75="YES",CONCATENATE(2,"/",('Com Quote'!V86-2)),"")))</f>
        <v/>
      </c>
      <c r="F86" s="449" t="str">
        <f>IF(D86="","",IF(OR(Aircraft!P75=0,Aircraft!P75=""),0,Aircraft!P75))</f>
        <v/>
      </c>
      <c r="G86" s="450" t="str">
        <f>IF(D86="","",IF(Aircraft!S75="N","F.","G."))</f>
        <v/>
      </c>
      <c r="H86" s="450" t="str">
        <f>IF(Aircraft!W75="","",Aircraft!W75)</f>
        <v/>
      </c>
      <c r="I86" s="450" t="str">
        <f>IF(Aircraft!Y75="","",Aircraft!Y75)</f>
        <v/>
      </c>
      <c r="J86" s="448" t="str">
        <f>IF(D86="","",Rating!H81)</f>
        <v/>
      </c>
      <c r="K86" s="448" t="str">
        <f>IF(Aircraft!U75="","",Aircraft!U75)</f>
        <v/>
      </c>
      <c r="L86" s="448" t="str">
        <f>IF(D86="","",IF(F86=0,"N/A",Aircraft!BH75))</f>
        <v/>
      </c>
      <c r="M86" s="451" t="str">
        <f>IF(D86="","",IF(F86=0,0,PRODUCT(Worksheet_Com!N77,100)))</f>
        <v/>
      </c>
      <c r="N86" s="449" t="str">
        <f>IF(H86="","",Worksheet_Com!P77)</f>
        <v/>
      </c>
      <c r="O86" s="449" t="str">
        <f>IF(I86="","",Worksheet_Com!Q77)</f>
        <v/>
      </c>
      <c r="P86" s="449" t="str">
        <f>IF(F86="","",IF(F86=0,0,Worksheet_Com!O77))</f>
        <v/>
      </c>
      <c r="Q86" s="452" t="str">
        <f t="shared" si="2"/>
        <v/>
      </c>
      <c r="V86" t="str">
        <f>IF(Aircraft!AI75&gt;0,Aircraft!AI75,Aircraft!AE75)</f>
        <v/>
      </c>
      <c r="Y86" s="100"/>
      <c r="Z86" s="101"/>
    </row>
    <row r="87" spans="1:26" customFormat="1" ht="14.25" hidden="1">
      <c r="A87" s="441">
        <v>77</v>
      </c>
      <c r="B87" s="594" t="str">
        <f>IF(Aircraft!F76="","",Rating!C82)</f>
        <v/>
      </c>
      <c r="C87" s="594" t="str">
        <f>IF(B87="","",Aircraft!H76)</f>
        <v/>
      </c>
      <c r="D87" s="595" t="str">
        <f>IF(B87="","",Rating!E82)</f>
        <v/>
      </c>
      <c r="E87" s="594" t="str">
        <f>IF(V87="","",IF(Aircraft!AG76="NO",CONCATENATE(1,"/",('Com Quote'!V87-1)),IF(Aircraft!AG76="YES",CONCATENATE(2,"/",('Com Quote'!V87-2)),"")))</f>
        <v/>
      </c>
      <c r="F87" s="596" t="str">
        <f>IF(D87="","",IF(OR(Aircraft!P76=0,Aircraft!P76=""),0,Aircraft!P76))</f>
        <v/>
      </c>
      <c r="G87" s="597" t="str">
        <f>IF(D87="","",IF(Aircraft!S76="N","F.","G."))</f>
        <v/>
      </c>
      <c r="H87" s="597" t="str">
        <f>IF(Aircraft!W76="","",Aircraft!W76)</f>
        <v/>
      </c>
      <c r="I87" s="597" t="str">
        <f>IF(Aircraft!Y76="","",Aircraft!Y76)</f>
        <v/>
      </c>
      <c r="J87" s="594" t="str">
        <f>IF(D87="","",Rating!H82)</f>
        <v/>
      </c>
      <c r="K87" s="594" t="str">
        <f>IF(Aircraft!U76="","",Aircraft!U76)</f>
        <v/>
      </c>
      <c r="L87" s="594" t="str">
        <f>IF(D87="","",IF(F87=0,"N/A",Aircraft!BH76))</f>
        <v/>
      </c>
      <c r="M87" s="598" t="str">
        <f>IF(D87="","",IF(F87=0,0,PRODUCT(Worksheet_Com!N78,100)))</f>
        <v/>
      </c>
      <c r="N87" s="596" t="str">
        <f>IF(H87="","",Worksheet_Com!P78)</f>
        <v/>
      </c>
      <c r="O87" s="596" t="str">
        <f>IF(I87="","",Worksheet_Com!Q78)</f>
        <v/>
      </c>
      <c r="P87" s="596" t="str">
        <f>IF(F87="","",IF(F87=0,0,Worksheet_Com!O78))</f>
        <v/>
      </c>
      <c r="Q87" s="599" t="str">
        <f t="shared" si="1"/>
        <v/>
      </c>
      <c r="V87" t="str">
        <f>IF(Aircraft!AI76&gt;0,Aircraft!AI76,Aircraft!AE76)</f>
        <v/>
      </c>
      <c r="Y87" s="100"/>
      <c r="Z87" s="101"/>
    </row>
    <row r="88" spans="1:26" customFormat="1" ht="14.25" hidden="1" customHeight="1" thickBot="1">
      <c r="A88" s="441">
        <v>78</v>
      </c>
      <c r="B88" s="448" t="str">
        <f>IF(Aircraft!F77="","",Rating!C83)</f>
        <v/>
      </c>
      <c r="C88" s="448" t="str">
        <f>IF(B88="","",Aircraft!H77)</f>
        <v/>
      </c>
      <c r="D88" s="448" t="str">
        <f>IF(B88="","",Rating!E83)</f>
        <v/>
      </c>
      <c r="E88" s="448" t="str">
        <f>IF(V88="","",IF(Aircraft!AG77="NO",CONCATENATE(1,"/",('Com Quote'!V88-1)),IF(Aircraft!AG77="YES",CONCATENATE(2,"/",('Com Quote'!V88-2)),"")))</f>
        <v/>
      </c>
      <c r="F88" s="449" t="str">
        <f>IF(D88="","",IF(OR(Aircraft!P77=0,Aircraft!P77=""),0,Aircraft!P77))</f>
        <v/>
      </c>
      <c r="G88" s="450" t="str">
        <f>IF(D88="","",IF(Aircraft!S77="N","F.","G."))</f>
        <v/>
      </c>
      <c r="H88" s="450" t="str">
        <f>IF(Aircraft!W77="","",Aircraft!W77)</f>
        <v/>
      </c>
      <c r="I88" s="450" t="str">
        <f>IF(Aircraft!Y77="","",Aircraft!Y77)</f>
        <v/>
      </c>
      <c r="J88" s="448" t="str">
        <f>IF(D88="","",Rating!H83)</f>
        <v/>
      </c>
      <c r="K88" s="448" t="str">
        <f>IF(Aircraft!U77="","",Aircraft!U77)</f>
        <v/>
      </c>
      <c r="L88" s="448" t="str">
        <f>IF(D88="","",IF(F88=0,"N/A",Aircraft!BH77))</f>
        <v/>
      </c>
      <c r="M88" s="451" t="str">
        <f>IF(D88="","",IF(F88=0,0,PRODUCT(Worksheet_Com!N79,100)))</f>
        <v/>
      </c>
      <c r="N88" s="449" t="str">
        <f>IF(H88="","",Worksheet_Com!P79)</f>
        <v/>
      </c>
      <c r="O88" s="449" t="str">
        <f>IF(I88="","",Worksheet_Com!Q79)</f>
        <v/>
      </c>
      <c r="P88" s="449" t="str">
        <f>IF(F88="","",IF(F88=0,0,Worksheet_Com!O79))</f>
        <v/>
      </c>
      <c r="Q88" s="452" t="str">
        <f t="shared" si="1"/>
        <v/>
      </c>
      <c r="V88" t="str">
        <f>IF(Aircraft!AI77&gt;0,Aircraft!AI77,Aircraft!AE77)</f>
        <v/>
      </c>
      <c r="Y88" s="100"/>
      <c r="Z88" s="101"/>
    </row>
    <row r="89" spans="1:26" customFormat="1" ht="14.25" hidden="1">
      <c r="A89" s="441">
        <v>79</v>
      </c>
      <c r="B89" s="594" t="str">
        <f>IF(Aircraft!F78="","",Rating!C84)</f>
        <v/>
      </c>
      <c r="C89" s="594" t="str">
        <f>IF(B89="","",Aircraft!H78)</f>
        <v/>
      </c>
      <c r="D89" s="595" t="str">
        <f>IF(B89="","",Rating!E84)</f>
        <v/>
      </c>
      <c r="E89" s="594" t="str">
        <f>IF(V89="","",IF(Aircraft!AG78="NO",CONCATENATE(1,"/",('Com Quote'!V89-1)),IF(Aircraft!AG78="YES",CONCATENATE(2,"/",('Com Quote'!V89-2)),"")))</f>
        <v/>
      </c>
      <c r="F89" s="596" t="str">
        <f>IF(D89="","",IF(OR(Aircraft!P78=0,Aircraft!P78=""),0,Aircraft!P78))</f>
        <v/>
      </c>
      <c r="G89" s="597" t="str">
        <f>IF(D89="","",IF(Aircraft!S78="N","F.","G."))</f>
        <v/>
      </c>
      <c r="H89" s="597" t="str">
        <f>IF(Aircraft!W78="","",Aircraft!W78)</f>
        <v/>
      </c>
      <c r="I89" s="597" t="str">
        <f>IF(Aircraft!Y78="","",Aircraft!Y78)</f>
        <v/>
      </c>
      <c r="J89" s="594" t="str">
        <f>IF(D89="","",Rating!H84)</f>
        <v/>
      </c>
      <c r="K89" s="594" t="str">
        <f>IF(Aircraft!U78="","",Aircraft!U78)</f>
        <v/>
      </c>
      <c r="L89" s="594" t="str">
        <f>IF(D89="","",IF(F89=0,"N/A",Aircraft!BH78))</f>
        <v/>
      </c>
      <c r="M89" s="598" t="str">
        <f>IF(D89="","",IF(F89=0,0,PRODUCT(Worksheet_Com!N80,100)))</f>
        <v/>
      </c>
      <c r="N89" s="596" t="str">
        <f>IF(H89="","",Worksheet_Com!P80)</f>
        <v/>
      </c>
      <c r="O89" s="596" t="str">
        <f>IF(I89="","",Worksheet_Com!Q80)</f>
        <v/>
      </c>
      <c r="P89" s="596" t="str">
        <f>IF(F89="","",IF(F89=0,0,Worksheet_Com!O80))</f>
        <v/>
      </c>
      <c r="Q89" s="599" t="str">
        <f t="shared" si="1"/>
        <v/>
      </c>
      <c r="V89" t="str">
        <f>IF(Aircraft!AI78&gt;0,Aircraft!AI78,Aircraft!AE78)</f>
        <v/>
      </c>
      <c r="Y89" s="100"/>
      <c r="Z89" s="101"/>
    </row>
    <row r="90" spans="1:26" customFormat="1" ht="14.25" hidden="1" customHeight="1" thickBot="1">
      <c r="A90" s="441">
        <v>80</v>
      </c>
      <c r="B90" s="448" t="str">
        <f>IF(Aircraft!F79="","",Rating!C85)</f>
        <v/>
      </c>
      <c r="C90" s="448" t="str">
        <f>IF(B90="","",Aircraft!H79)</f>
        <v/>
      </c>
      <c r="D90" s="448" t="str">
        <f>IF(B90="","",Rating!E85)</f>
        <v/>
      </c>
      <c r="E90" s="448" t="str">
        <f>IF(V90="","",IF(Aircraft!AG79="NO",CONCATENATE(1,"/",('Com Quote'!V90-1)),IF(Aircraft!AG79="YES",CONCATENATE(2,"/",('Com Quote'!V90-2)),"")))</f>
        <v/>
      </c>
      <c r="F90" s="449" t="str">
        <f>IF(D90="","",IF(OR(Aircraft!P79=0,Aircraft!P79=""),0,Aircraft!P79))</f>
        <v/>
      </c>
      <c r="G90" s="450" t="str">
        <f>IF(D90="","",IF(Aircraft!S79="N","F.","G."))</f>
        <v/>
      </c>
      <c r="H90" s="450" t="str">
        <f>IF(Aircraft!W79="","",Aircraft!W79)</f>
        <v/>
      </c>
      <c r="I90" s="450" t="str">
        <f>IF(Aircraft!Y79="","",Aircraft!Y79)</f>
        <v/>
      </c>
      <c r="J90" s="448" t="str">
        <f>IF(D90="","",Rating!H85)</f>
        <v/>
      </c>
      <c r="K90" s="448" t="str">
        <f>IF(Aircraft!U79="","",Aircraft!U79)</f>
        <v/>
      </c>
      <c r="L90" s="448" t="str">
        <f>IF(D90="","",IF(F90=0,"N/A",Aircraft!BH79))</f>
        <v/>
      </c>
      <c r="M90" s="451" t="str">
        <f>IF(D90="","",IF(F90=0,0,PRODUCT(Worksheet_Com!N81,100)))</f>
        <v/>
      </c>
      <c r="N90" s="449" t="str">
        <f>IF(H90="","",Worksheet_Com!P81)</f>
        <v/>
      </c>
      <c r="O90" s="449" t="str">
        <f>IF(I90="","",Worksheet_Com!Q81)</f>
        <v/>
      </c>
      <c r="P90" s="449" t="str">
        <f>IF(F90="","",IF(F90=0,0,Worksheet_Com!O81))</f>
        <v/>
      </c>
      <c r="Q90" s="452" t="str">
        <f t="shared" si="1"/>
        <v/>
      </c>
      <c r="V90" t="str">
        <f>IF(Aircraft!AI79&gt;0,Aircraft!AI79,Aircraft!AE79)</f>
        <v/>
      </c>
      <c r="Y90" s="100"/>
      <c r="Z90" s="101"/>
    </row>
    <row r="91" spans="1:26" ht="15.75" customHeight="1">
      <c r="A91"/>
      <c r="B91" s="97"/>
      <c r="C91" s="97"/>
      <c r="D91" s="97"/>
      <c r="E91" s="97"/>
      <c r="F91" s="98"/>
      <c r="G91" s="98"/>
      <c r="H91" s="487" t="s">
        <v>3372</v>
      </c>
      <c r="I91" s="98"/>
      <c r="J91" s="97"/>
      <c r="K91" s="97"/>
      <c r="L91" s="600" t="s">
        <v>3373</v>
      </c>
      <c r="M91" s="99"/>
      <c r="N91" s="150"/>
      <c r="O91" s="150"/>
      <c r="P91" s="153" t="str">
        <f ca="1">IF(Q91&gt;0,"Ancillary Coverage(s)","")</f>
        <v>Ancillary Coverage(s)</v>
      </c>
      <c r="Q91" s="26">
        <f ca="1">IF('Additional Cov.'!B65="","",'Additional Cov.'!B65)</f>
        <v>180</v>
      </c>
    </row>
    <row r="92" spans="1:26" ht="19.5" customHeight="1" thickBot="1">
      <c r="A92"/>
      <c r="B92" s="97"/>
      <c r="C92" s="97"/>
      <c r="D92" s="97"/>
      <c r="E92" s="97"/>
      <c r="F92" s="98"/>
      <c r="G92" s="98"/>
      <c r="H92" s="98"/>
      <c r="I92" s="98"/>
      <c r="J92" s="97"/>
      <c r="K92" s="97"/>
      <c r="L92" s="97"/>
      <c r="M92" s="99"/>
      <c r="N92" s="150"/>
      <c r="O92" s="150"/>
      <c r="P92" s="153" t="str">
        <f>IF(OR('Data-UW'!I13="NJ",'Data-UW'!I13="WV",'Data-UW'!I13="KY",'Data-UW'!I13="FL"),"Taxes/Fees:","")</f>
        <v/>
      </c>
      <c r="Q92" s="155" t="str">
        <f>IF(P92="","",IF(AND('Data-UW'!I13="FL",'Data-UW'!F10&gt;DATE(2021,12,31)),ROUND(PRODUCT('GL Quote Sheet'!M36,SUM(Q11:Q91)),2),IF(OR('Data-UW'!I13="NJ",'Data-UW'!I13="WV"),ROUND(PRODUCT(SUM(Q11:Q91),VLOOKUP('Data-UW'!I13,TAXLESSKY,2)),2),IF(AND('Data-UW'!I13="KY",Worksheet_Com!AZ36&gt;0),Worksheet_Com!AZ36,""))))</f>
        <v/>
      </c>
    </row>
    <row r="93" spans="1:26" ht="16.5" customHeight="1" thickTop="1">
      <c r="A93"/>
      <c r="B93"/>
      <c r="C93"/>
      <c r="D93"/>
      <c r="E93"/>
      <c r="F93"/>
      <c r="G93"/>
      <c r="H93"/>
      <c r="I93"/>
      <c r="J93"/>
      <c r="K93"/>
      <c r="L93"/>
      <c r="M93"/>
      <c r="N93" s="26"/>
      <c r="O93" s="26"/>
      <c r="P93" s="151"/>
      <c r="Q93" s="156">
        <f ca="1">SUM(Q11:Q92)</f>
        <v>180</v>
      </c>
    </row>
    <row r="94" spans="1:26" ht="39.75" customHeight="1">
      <c r="A94"/>
      <c r="B94" s="102"/>
      <c r="C94"/>
      <c r="D94"/>
      <c r="E94"/>
      <c r="F94"/>
      <c r="G94"/>
      <c r="H94"/>
      <c r="I94"/>
      <c r="J94"/>
      <c r="K94"/>
      <c r="L94"/>
      <c r="M94"/>
      <c r="N94"/>
      <c r="O94"/>
      <c r="P94"/>
      <c r="Q94"/>
    </row>
    <row r="95" spans="1:26" ht="39.75" customHeight="1">
      <c r="A95"/>
      <c r="B95"/>
      <c r="C95"/>
      <c r="D95"/>
      <c r="E95"/>
      <c r="F95"/>
      <c r="G95"/>
      <c r="H95"/>
      <c r="I95"/>
      <c r="J95"/>
      <c r="K95"/>
      <c r="L95"/>
      <c r="M95"/>
      <c r="N95"/>
      <c r="O95"/>
      <c r="P95"/>
      <c r="Q95"/>
    </row>
    <row r="96" spans="1:26" ht="39.75" customHeight="1">
      <c r="A96" s="113"/>
      <c r="B96" s="131" t="s">
        <v>3374</v>
      </c>
      <c r="C96" s="113"/>
      <c r="D96" s="113"/>
      <c r="E96" s="113"/>
      <c r="F96" s="113"/>
      <c r="G96" s="113"/>
      <c r="H96" s="113"/>
      <c r="I96" s="113"/>
      <c r="J96" s="113"/>
      <c r="K96" s="113"/>
      <c r="L96" s="113"/>
      <c r="M96" s="113"/>
      <c r="N96" s="113"/>
      <c r="O96" s="113"/>
      <c r="P96" s="113"/>
      <c r="Q96" s="113"/>
    </row>
    <row r="97" spans="1:17" ht="39.75" customHeight="1">
      <c r="A97" s="113"/>
      <c r="B97" s="1167" t="str">
        <f>CONCATENATE(OPC!BL47,OPC!BL48)</f>
        <v xml:space="preserve">
</v>
      </c>
      <c r="C97" s="1167"/>
      <c r="D97" s="1167"/>
      <c r="E97" s="1167"/>
      <c r="F97" s="1167"/>
      <c r="G97" s="1167"/>
      <c r="H97" s="1167"/>
      <c r="I97" s="1167"/>
      <c r="J97" s="1167"/>
      <c r="K97" s="1167"/>
      <c r="L97" s="1167"/>
      <c r="M97" s="1167"/>
      <c r="N97" s="1167"/>
      <c r="O97" s="1167"/>
      <c r="P97" s="1167"/>
      <c r="Q97" s="1167"/>
    </row>
    <row r="98" spans="1:17" ht="39.75" customHeight="1">
      <c r="A98" s="113"/>
      <c r="B98" s="1167"/>
      <c r="C98" s="1167"/>
      <c r="D98" s="1167"/>
      <c r="E98" s="1167"/>
      <c r="F98" s="1167"/>
      <c r="G98" s="1167"/>
      <c r="H98" s="1167"/>
      <c r="I98" s="1167"/>
      <c r="J98" s="1167"/>
      <c r="K98" s="1167"/>
      <c r="L98" s="1167"/>
      <c r="M98" s="1167"/>
      <c r="N98" s="1167"/>
      <c r="O98" s="1167"/>
      <c r="P98" s="1167"/>
      <c r="Q98" s="1167"/>
    </row>
    <row r="99" spans="1:17" ht="39.75" customHeight="1">
      <c r="A99" s="113"/>
      <c r="B99" s="1167"/>
      <c r="C99" s="1167"/>
      <c r="D99" s="1167"/>
      <c r="E99" s="1167"/>
      <c r="F99" s="1167"/>
      <c r="G99" s="1167"/>
      <c r="H99" s="1167"/>
      <c r="I99" s="1167"/>
      <c r="J99" s="1167"/>
      <c r="K99" s="1167"/>
      <c r="L99" s="1167"/>
      <c r="M99" s="1167"/>
      <c r="N99" s="1167"/>
      <c r="O99" s="1167"/>
      <c r="P99" s="1167"/>
      <c r="Q99" s="1167"/>
    </row>
    <row r="100" spans="1:17" ht="39.75" customHeight="1">
      <c r="A100" s="113"/>
      <c r="B100" s="1167"/>
      <c r="C100" s="1167"/>
      <c r="D100" s="1167"/>
      <c r="E100" s="1167"/>
      <c r="F100" s="1167"/>
      <c r="G100" s="1167"/>
      <c r="H100" s="1167"/>
      <c r="I100" s="1167"/>
      <c r="J100" s="1167"/>
      <c r="K100" s="1167"/>
      <c r="L100" s="1167"/>
      <c r="M100" s="1167"/>
      <c r="N100" s="1167"/>
      <c r="O100" s="1167"/>
      <c r="P100" s="1167"/>
      <c r="Q100" s="1167"/>
    </row>
    <row r="101" spans="1:17" ht="39.75" customHeight="1">
      <c r="A101" s="113"/>
      <c r="B101" s="1167"/>
      <c r="C101" s="1167"/>
      <c r="D101" s="1167"/>
      <c r="E101" s="1167"/>
      <c r="F101" s="1167"/>
      <c r="G101" s="1167"/>
      <c r="H101" s="1167"/>
      <c r="I101" s="1167"/>
      <c r="J101" s="1167"/>
      <c r="K101" s="1167"/>
      <c r="L101" s="1167"/>
      <c r="M101" s="1167"/>
      <c r="N101" s="1167"/>
      <c r="O101" s="1167"/>
      <c r="P101" s="1167"/>
      <c r="Q101" s="1167"/>
    </row>
    <row r="102" spans="1:17" ht="39.75" customHeight="1">
      <c r="A102" s="113"/>
      <c r="B102" s="1167"/>
      <c r="C102" s="1167"/>
      <c r="D102" s="1167"/>
      <c r="E102" s="1167"/>
      <c r="F102" s="1167"/>
      <c r="G102" s="1167"/>
      <c r="H102" s="1167"/>
      <c r="I102" s="1167"/>
      <c r="J102" s="1167"/>
      <c r="K102" s="1167"/>
      <c r="L102" s="1167"/>
      <c r="M102" s="1167"/>
      <c r="N102" s="1167"/>
      <c r="O102" s="1167"/>
      <c r="P102" s="1167"/>
      <c r="Q102" s="1167"/>
    </row>
    <row r="103" spans="1:17" ht="39.75" customHeight="1">
      <c r="A103" s="113"/>
      <c r="B103" s="1167"/>
      <c r="C103" s="1167"/>
      <c r="D103" s="1167"/>
      <c r="E103" s="1167"/>
      <c r="F103" s="1167"/>
      <c r="G103" s="1167"/>
      <c r="H103" s="1167"/>
      <c r="I103" s="1167"/>
      <c r="J103" s="1167"/>
      <c r="K103" s="1167"/>
      <c r="L103" s="1167"/>
      <c r="M103" s="1167"/>
      <c r="N103" s="1167"/>
      <c r="O103" s="1167"/>
      <c r="P103" s="1167"/>
      <c r="Q103" s="1167"/>
    </row>
    <row r="104" spans="1:17" ht="39.75" customHeight="1">
      <c r="A104" s="113"/>
      <c r="B104" s="115"/>
      <c r="C104" s="115"/>
      <c r="D104" s="115"/>
      <c r="E104" s="115"/>
      <c r="F104" s="115"/>
      <c r="G104" s="115"/>
      <c r="H104" s="115"/>
      <c r="I104" s="115"/>
      <c r="J104" s="115"/>
      <c r="K104" s="115"/>
      <c r="L104" s="115"/>
      <c r="M104" s="115"/>
      <c r="N104" s="115"/>
      <c r="O104" s="115"/>
      <c r="P104" s="115"/>
      <c r="Q104" s="115"/>
    </row>
    <row r="105" spans="1:17" ht="39.75" customHeight="1">
      <c r="A105" s="113"/>
      <c r="B105" s="115"/>
      <c r="C105" s="115"/>
      <c r="D105" s="115"/>
      <c r="E105" s="115"/>
      <c r="F105" s="115"/>
      <c r="G105" s="115"/>
      <c r="H105" s="115"/>
      <c r="I105" s="115"/>
      <c r="J105" s="115"/>
      <c r="K105" s="115"/>
      <c r="L105" s="115"/>
      <c r="M105" s="115"/>
      <c r="N105" s="115"/>
      <c r="O105" s="115"/>
      <c r="P105" s="115"/>
      <c r="Q105" s="115"/>
    </row>
    <row r="106" spans="1:17" ht="39.75" customHeight="1">
      <c r="A106" s="113"/>
      <c r="B106" s="115"/>
      <c r="C106" s="115"/>
      <c r="D106" s="115"/>
      <c r="E106" s="115"/>
      <c r="F106" s="115"/>
      <c r="G106" s="115"/>
      <c r="H106" s="115"/>
      <c r="I106" s="115"/>
      <c r="J106" s="115"/>
      <c r="K106" s="115"/>
      <c r="L106" s="115"/>
      <c r="M106" s="115"/>
      <c r="N106" s="115"/>
      <c r="O106" s="115"/>
      <c r="P106" s="115"/>
      <c r="Q106" s="115"/>
    </row>
    <row r="107" spans="1:17" ht="39.75" customHeight="1">
      <c r="A107" s="113"/>
      <c r="B107" s="113"/>
      <c r="C107" s="113"/>
      <c r="D107" s="113"/>
      <c r="E107" s="113"/>
      <c r="F107" s="113"/>
      <c r="G107" s="113"/>
      <c r="H107" s="113"/>
      <c r="I107" s="113"/>
      <c r="J107" s="113"/>
      <c r="K107" s="113"/>
      <c r="L107" s="113"/>
      <c r="M107" s="113"/>
      <c r="N107" s="113"/>
      <c r="O107" s="113"/>
      <c r="P107" s="113"/>
      <c r="Q107" s="113"/>
    </row>
    <row r="108" spans="1:17" ht="39.75" customHeight="1">
      <c r="A108" s="113"/>
      <c r="B108" s="114" t="s">
        <v>3375</v>
      </c>
      <c r="C108" s="113"/>
      <c r="D108" s="113"/>
      <c r="E108" s="113"/>
      <c r="F108" s="113"/>
      <c r="G108" s="113"/>
      <c r="H108" s="113"/>
      <c r="I108" s="113"/>
      <c r="J108" s="113"/>
      <c r="K108" s="113"/>
      <c r="L108" s="113"/>
      <c r="M108" s="113"/>
      <c r="N108" s="113"/>
      <c r="O108" s="113"/>
      <c r="P108" s="113"/>
      <c r="Q108" s="113"/>
    </row>
    <row r="109" spans="1:17" ht="39.75" customHeight="1">
      <c r="A109" s="113"/>
      <c r="B109" s="113" t="s">
        <v>3376</v>
      </c>
      <c r="C109" s="113"/>
      <c r="D109" s="113"/>
      <c r="E109" s="113"/>
      <c r="F109" s="113"/>
      <c r="G109" s="1171" t="str">
        <f>IF('Additional Cov.'!A37&gt;"",IF('Additional Cov.'!U11="(a)",CONCATENATE("NonOwned Liability Coverage restricted to: Lowest Liability Limit",", Engine: ",'Additional Cov.'!U6,", Seats: ",'Additional Cov.'!X6,",  Eng Hp: ",'Additional Cov.'!V7,", Fixed wing aircraft."),IF('Additional Cov.'!U11="(b)",CONCATENATE("NonOwned Liability Coverage restricted to: Limit:  Lowest Liability Limit",", Engine: ",'Additional Cov.'!X5,", Seats: ",'Additional Cov.'!X6,", Certificated weight not to exceed 12,500Ibs, Fixed wing aircraft."),IF('Additional Cov.'!U11="(c)",CONCATENATE("NonOwned Liability Coverage restricted to: Limit:  Lowest Liability Limit",", Engine: ",'Additional Cov.'!X5,", Seats: ",'Additional Cov.'!X6,", Certificated weight not to exceed 12,500Ibs, Rotorwing aircraft."),IF('Additional Cov.'!U11="(d)","NonOwned Hull criteria: Check with UW for specific coverage","")))),"")</f>
        <v>NonOwned Liability Coverage restricted to: Lowest Liability Limit, Engine: Single, Seats: 6,  Eng Hp: 10000, Fixed wing aircraft.</v>
      </c>
      <c r="H109" s="1171"/>
      <c r="I109" s="1171"/>
      <c r="J109" s="1171"/>
      <c r="K109" s="1171"/>
      <c r="L109" s="1171"/>
      <c r="M109" s="1171"/>
      <c r="N109" s="1171"/>
      <c r="O109" s="1171"/>
      <c r="P109" s="1171"/>
      <c r="Q109" s="1171"/>
    </row>
    <row r="110" spans="1:17" ht="39.75" customHeight="1">
      <c r="A110" s="113"/>
      <c r="B110" s="113" t="s">
        <v>3377</v>
      </c>
      <c r="C110" s="113"/>
      <c r="D110" s="113"/>
      <c r="E110" s="113"/>
      <c r="F110" s="113"/>
      <c r="G110" s="1171" t="str">
        <f>IF('Additional Cov.'!A38&gt;"",IF('Additional Cov.'!U11="(a)",CONCATENATE("NonOwned Hull Coverage restricted to: Limit: ",TEXT('Additional Cov.'!T9,"$#,###."),", Deduct: ",TEXT(PRODUCT('Additional Cov.'!T9,'Additional Cov.'!W9),"$#,###."),", Engine: ",'Additional Cov.'!U6,", Seats: ",'Additional Cov.'!X6,",  Eng Hp: ",'Additional Cov.'!V7,", Fixed wing aircraft."),IF('Additional Cov.'!U11="(b)",CONCATENATE("NonOwned Hull Coverage restricted to: Limit: ",TEXT('Additional Cov.'!T9,"$#,###."),", Deduct: ",TEXT(PRODUCT('Additional Cov.'!T9,'Additional Cov.'!W9),"$#,###."),", Engine: ",'Additional Cov.'!X5,", Seats: ",'Additional Cov.'!X6," ,Certificated weight not to exceed 12,500Ibs, Fixed wing aircraft."),IF('Additional Cov.'!U11="(c)",CONCATENATE("NonOwned Hull Coverage restricted to: Limit: ",TEXT('Additional Cov.'!T9,"$#,###."),", Deduct: ",TEXT(PRODUCT('Additional Cov.'!T9,'Additional Cov.'!W9),"$#,###."),", Engine: ",'Additional Cov.'!X5,", Seats: ",'Additional Cov.'!X6,", Certificated weight not to exceed 12,500Ibs, Rotorwing aircraft."),IF('Additional Cov.'!U11="(d)","NonOwned Hull criteria: Check with UW for specific coverage","")))),"")</f>
        <v/>
      </c>
      <c r="H110" s="1171"/>
      <c r="I110" s="1171"/>
      <c r="J110" s="1171"/>
      <c r="K110" s="1171"/>
      <c r="L110" s="1171"/>
      <c r="M110" s="1171"/>
      <c r="N110" s="1171"/>
      <c r="O110" s="1171"/>
      <c r="P110" s="1171"/>
      <c r="Q110" s="1171"/>
    </row>
    <row r="111" spans="1:17" ht="39.75" customHeight="1">
      <c r="A111" s="113"/>
      <c r="B111" s="113" t="s">
        <v>3378</v>
      </c>
      <c r="C111" s="113"/>
      <c r="D111" s="113"/>
      <c r="E111" s="113"/>
      <c r="F111" s="113"/>
      <c r="G111" s="113" t="str">
        <f>IF('Additional Cov.'!A18="X","Emergency or Unexpected Landing Expenses - not to exceed 10% of the insured Value of the Aircraft Involved.","")</f>
        <v>Emergency or Unexpected Landing Expenses - not to exceed 10% of the insured Value of the Aircraft Involved.</v>
      </c>
      <c r="H111" s="113"/>
      <c r="I111" s="113"/>
      <c r="J111" s="113"/>
      <c r="K111" s="113"/>
      <c r="L111" s="113"/>
      <c r="M111" s="113"/>
      <c r="N111" s="113"/>
      <c r="O111" s="113"/>
      <c r="P111" s="113"/>
      <c r="Q111" s="113"/>
    </row>
    <row r="112" spans="1:17" ht="39.75" customHeight="1">
      <c r="A112" s="113"/>
      <c r="B112" s="113" t="s">
        <v>3379</v>
      </c>
      <c r="C112" s="113"/>
      <c r="D112" s="113"/>
      <c r="E112" s="113"/>
      <c r="F112" s="113"/>
      <c r="G112" s="113"/>
      <c r="H112" s="113"/>
      <c r="I112" s="113"/>
      <c r="J112" s="113"/>
      <c r="K112" s="113"/>
      <c r="L112" s="113"/>
      <c r="M112" s="113"/>
      <c r="N112" s="113"/>
      <c r="O112" s="113"/>
      <c r="P112" s="113"/>
      <c r="Q112" s="113"/>
    </row>
    <row r="113" spans="1:17" ht="39.75" customHeight="1">
      <c r="A113" s="113"/>
      <c r="B113" s="113"/>
      <c r="C113" s="113"/>
      <c r="D113" s="113"/>
      <c r="E113" s="113"/>
      <c r="F113" s="113"/>
      <c r="G113" s="113"/>
      <c r="H113" s="113"/>
      <c r="I113" s="113"/>
      <c r="J113" s="113"/>
      <c r="K113" s="113"/>
      <c r="L113" s="113"/>
      <c r="M113" s="113"/>
      <c r="N113" s="113"/>
      <c r="O113" s="113"/>
      <c r="P113" s="113"/>
      <c r="Q113" s="113"/>
    </row>
    <row r="114" spans="1:17" ht="39.75" customHeight="1" thickBot="1">
      <c r="A114" s="113"/>
      <c r="B114" s="114" t="s">
        <v>3380</v>
      </c>
      <c r="C114" s="113"/>
      <c r="D114" s="113"/>
      <c r="E114" s="113"/>
      <c r="F114" s="113"/>
      <c r="G114" s="113"/>
      <c r="H114" s="113"/>
      <c r="I114" s="113"/>
      <c r="J114" s="113"/>
      <c r="K114" s="113"/>
      <c r="L114" s="113"/>
      <c r="M114" s="113"/>
      <c r="N114" s="113"/>
      <c r="O114" s="113"/>
      <c r="P114" s="113"/>
      <c r="Q114" s="113"/>
    </row>
    <row r="115" spans="1:17" ht="39.75" customHeight="1" thickTop="1">
      <c r="A115" s="113"/>
      <c r="B115" s="1172"/>
      <c r="C115" s="1173"/>
      <c r="D115" s="1173"/>
      <c r="E115" s="1173"/>
      <c r="F115" s="1173"/>
      <c r="G115" s="1173"/>
      <c r="H115" s="1173"/>
      <c r="I115" s="1173"/>
      <c r="J115" s="1173"/>
      <c r="K115" s="1173"/>
      <c r="L115" s="1173"/>
      <c r="M115" s="1173"/>
      <c r="N115" s="1173"/>
      <c r="O115" s="1173"/>
      <c r="P115" s="1174"/>
      <c r="Q115" s="113"/>
    </row>
    <row r="116" spans="1:17" ht="39.75" customHeight="1">
      <c r="A116" s="113"/>
      <c r="B116" s="1175"/>
      <c r="C116" s="1176"/>
      <c r="D116" s="1176"/>
      <c r="E116" s="1176"/>
      <c r="F116" s="1176"/>
      <c r="G116" s="1176"/>
      <c r="H116" s="1176"/>
      <c r="I116" s="1176"/>
      <c r="J116" s="1176"/>
      <c r="K116" s="1176"/>
      <c r="L116" s="1176"/>
      <c r="M116" s="1176"/>
      <c r="N116" s="1176"/>
      <c r="O116" s="1176"/>
      <c r="P116" s="1177"/>
      <c r="Q116" s="113"/>
    </row>
    <row r="117" spans="1:17" ht="39.75" customHeight="1">
      <c r="A117" s="113"/>
      <c r="B117" s="1175"/>
      <c r="C117" s="1176"/>
      <c r="D117" s="1176"/>
      <c r="E117" s="1176"/>
      <c r="F117" s="1176"/>
      <c r="G117" s="1176"/>
      <c r="H117" s="1176"/>
      <c r="I117" s="1176"/>
      <c r="J117" s="1176"/>
      <c r="K117" s="1176"/>
      <c r="L117" s="1176"/>
      <c r="M117" s="1176"/>
      <c r="N117" s="1176"/>
      <c r="O117" s="1176"/>
      <c r="P117" s="1177"/>
      <c r="Q117" s="113"/>
    </row>
    <row r="118" spans="1:17" ht="39.75" customHeight="1" thickBot="1">
      <c r="A118" s="113"/>
      <c r="B118" s="1178"/>
      <c r="C118" s="1179"/>
      <c r="D118" s="1179"/>
      <c r="E118" s="1179"/>
      <c r="F118" s="1179"/>
      <c r="G118" s="1179"/>
      <c r="H118" s="1179"/>
      <c r="I118" s="1179"/>
      <c r="J118" s="1179"/>
      <c r="K118" s="1179"/>
      <c r="L118" s="1179"/>
      <c r="M118" s="1179"/>
      <c r="N118" s="1179"/>
      <c r="O118" s="1179"/>
      <c r="P118" s="1180"/>
      <c r="Q118" s="113"/>
    </row>
    <row r="119" spans="1:17" ht="39.75" customHeight="1" thickTop="1">
      <c r="A119" s="113"/>
      <c r="B119" s="113" t="s">
        <v>3381</v>
      </c>
      <c r="C119" s="113"/>
      <c r="D119" s="113"/>
      <c r="E119" s="113"/>
      <c r="F119" s="113"/>
      <c r="G119" s="113"/>
      <c r="H119" s="113"/>
      <c r="I119" s="113"/>
      <c r="J119" s="113"/>
      <c r="K119" s="113"/>
      <c r="L119" s="113"/>
      <c r="M119" s="113"/>
      <c r="N119" s="113"/>
      <c r="O119" s="113"/>
      <c r="P119" s="113"/>
      <c r="Q119" s="113"/>
    </row>
    <row r="120" spans="1:17" ht="39.75" customHeight="1">
      <c r="A120" s="113"/>
      <c r="B120" s="1169" t="str">
        <f>'Additional Cov.'!$C$123</f>
        <v>AVA 00 01 - Aviation Coverage Form AVA - Forms Schedule, AVA 00 55-Aerial Photography, AVA 00 56-Aerial Surveillance, AVA 00 59-Aircraft Trailer Physical Damage Coverage, AVA 00 63-Broad Coverage, AVA 00 64-Cargo Liability, AVA 00 66-Emergency or Unexpected Landing, AVA 00 71-Floats Clause, AVA 00 85-Non owned Aircraft - Liability, AVA 00 90-Passenger Voluntary Settlement, AVA 00 93-Pilot Clause, AVA 00 98-Purpose of Use, AVA 01 03-Search &amp; Rescue Wreck Removal Expense Liability Ins. Supplemental Payments, AVA 01 02-Runway or Aircraft Foaming - Supplemental Payments, AVA 01 06-Student and Renter Pilot Liability, AVA 01 09-Unmanned Aerial Vehicle Endorsement, AVA 01 11-Work in Progress, AV 00 09-Extended Coverage-Certified Acts of Terrorism Coverage, and any specific state amendatory endorsements or notices.</v>
      </c>
      <c r="C120" s="1169"/>
      <c r="D120" s="1169"/>
      <c r="E120" s="1169"/>
      <c r="F120" s="1169"/>
      <c r="G120" s="1169"/>
      <c r="H120" s="1169"/>
      <c r="I120" s="1169"/>
      <c r="J120" s="1169"/>
      <c r="K120" s="1169"/>
      <c r="L120" s="1169"/>
      <c r="M120" s="1169"/>
      <c r="N120" s="1169"/>
      <c r="O120" s="1169"/>
      <c r="P120" s="1169"/>
      <c r="Q120" s="113"/>
    </row>
    <row r="121" spans="1:17" ht="39.75" customHeight="1">
      <c r="B121" s="1169"/>
      <c r="C121" s="1169"/>
      <c r="D121" s="1169"/>
      <c r="E121" s="1169"/>
      <c r="F121" s="1169"/>
      <c r="G121" s="1169"/>
      <c r="H121" s="1169"/>
      <c r="I121" s="1169"/>
      <c r="J121" s="1169"/>
      <c r="K121" s="1169"/>
      <c r="L121" s="1169"/>
      <c r="M121" s="1169"/>
      <c r="N121" s="1169"/>
      <c r="O121" s="1169"/>
      <c r="P121" s="1169"/>
    </row>
  </sheetData>
  <sheetProtection algorithmName="SHA-512" hashValue="uk9wVa+/8R8IFwqz0SiIiuY51nID9nZRxiReIjfGWi1GgUF1XjvjxGSrMxObxaBa42YSq6jndnkvwwoGo/wM5Q==" saltValue="dYIYoSq4wLZ3KM0c0Y+qmA==" spinCount="100000" sheet="1" formatCells="0" formatColumns="0" formatRows="0" insertColumns="0" insertRows="0" deleteColumns="0" deleteRows="0" selectLockedCells="1"/>
  <mergeCells count="9">
    <mergeCell ref="S8:T8"/>
    <mergeCell ref="B97:Q103"/>
    <mergeCell ref="F4:L5"/>
    <mergeCell ref="B120:P121"/>
    <mergeCell ref="E1:M2"/>
    <mergeCell ref="G109:Q109"/>
    <mergeCell ref="G110:Q110"/>
    <mergeCell ref="B115:P118"/>
    <mergeCell ref="G6:I6"/>
  </mergeCells>
  <conditionalFormatting sqref="J6">
    <cfRule type="expression" dxfId="103" priority="2">
      <formula>AND($G$6&gt;"",$J$6="")</formula>
    </cfRule>
    <cfRule type="expression" dxfId="102" priority="3">
      <formula>$G$6&gt;""</formula>
    </cfRule>
  </conditionalFormatting>
  <conditionalFormatting sqref="O9">
    <cfRule type="cellIs" dxfId="101" priority="4" operator="lessThan">
      <formula>0.15</formula>
    </cfRule>
    <cfRule type="cellIs" dxfId="100" priority="5" operator="greaterThan">
      <formula>0.15</formula>
    </cfRule>
    <cfRule type="cellIs" dxfId="99" priority="9" operator="greaterThan">
      <formula>15</formula>
    </cfRule>
  </conditionalFormatting>
  <pageMargins left="0.7" right="0.7" top="0.75" bottom="0.75" header="0.3" footer="0.3"/>
  <pageSetup scale="58" fitToHeight="0" orientation="landscape" r:id="rId1"/>
  <rowBreaks count="1" manualBreakCount="1">
    <brk id="98" max="16" man="1"/>
  </rowBreak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1" id="{C1140F17-13C5-4F12-9AA1-362DE0B06FA4}">
            <xm:f>'Data-UW'!$D$2=""</xm:f>
            <x14:dxf>
              <font>
                <color theme="0"/>
              </font>
            </x14:dxf>
          </x14:cfRule>
          <xm:sqref>F4:L5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C06AF-0867-4CA3-8BA2-2F973C5E07A2}">
  <sheetPr codeName="Sheet21">
    <tabColor rgb="FF7030A0"/>
    <pageSetUpPr fitToPage="1"/>
  </sheetPr>
  <dimension ref="A1:AF78"/>
  <sheetViews>
    <sheetView showGridLines="0" view="pageBreakPreview" topLeftCell="A10" zoomScaleNormal="100" zoomScaleSheetLayoutView="100" workbookViewId="0">
      <selection activeCell="C12" sqref="C12:J12"/>
    </sheetView>
  </sheetViews>
  <sheetFormatPr defaultColWidth="0" defaultRowHeight="39.75" customHeight="1"/>
  <cols>
    <col min="1" max="1" width="8" style="152" customWidth="1"/>
    <col min="2" max="2" width="9.75" style="154" customWidth="1"/>
    <col min="3" max="3" width="9.625" style="154" bestFit="1" customWidth="1"/>
    <col min="4" max="4" width="12.125" style="154" bestFit="1" customWidth="1"/>
    <col min="5" max="5" width="11.5" style="154" bestFit="1" customWidth="1"/>
    <col min="6" max="6" width="9.75" style="154" bestFit="1" customWidth="1"/>
    <col min="7" max="7" width="12" style="154" customWidth="1"/>
    <col min="8" max="9" width="9.625" style="154" bestFit="1" customWidth="1"/>
    <col min="10" max="10" width="10.875" style="154" customWidth="1"/>
    <col min="11" max="11" width="10.625" style="154" customWidth="1"/>
    <col min="12" max="12" width="13.5" style="154" customWidth="1"/>
    <col min="13" max="13" width="10.5" style="154" customWidth="1"/>
    <col min="14" max="14" width="14.25" style="154" customWidth="1"/>
    <col min="15" max="15" width="11.625" style="154" customWidth="1"/>
    <col min="16" max="16" width="11.125" style="152" customWidth="1"/>
    <col min="17" max="17" width="13.625" style="152" customWidth="1"/>
    <col min="18" max="18" width="8" style="152" hidden="1" customWidth="1"/>
    <col min="19" max="19" width="15.5" style="152" hidden="1" customWidth="1"/>
    <col min="20" max="20" width="16.25" style="152" customWidth="1"/>
    <col min="21" max="21" width="10.625" style="152" customWidth="1"/>
    <col min="22" max="23" width="8" style="152" customWidth="1"/>
    <col min="24" max="24" width="9.875" style="152" customWidth="1"/>
    <col min="25" max="25" width="7.375" style="152" customWidth="1"/>
    <col min="26" max="26" width="8.875" style="152" customWidth="1"/>
    <col min="27" max="32" width="8" style="152" customWidth="1"/>
    <col min="33" max="33" width="8" style="152" hidden="1" customWidth="1"/>
    <col min="34" max="16384" width="8" style="152" hidden="1"/>
  </cols>
  <sheetData>
    <row r="1" spans="1:26" s="113" customFormat="1" ht="15" customHeight="1">
      <c r="E1" s="1170" t="s">
        <v>4023</v>
      </c>
      <c r="F1" s="1170"/>
      <c r="G1" s="1170"/>
      <c r="H1" s="1170"/>
      <c r="I1" s="1170"/>
      <c r="J1" s="1170"/>
      <c r="K1" s="1170"/>
      <c r="L1" s="1170"/>
      <c r="M1" s="1170"/>
    </row>
    <row r="2" spans="1:26" s="113" customFormat="1" ht="15" customHeight="1">
      <c r="E2" s="1170"/>
      <c r="F2" s="1170"/>
      <c r="G2" s="1170"/>
      <c r="H2" s="1170"/>
      <c r="I2" s="1170"/>
      <c r="J2" s="1170"/>
      <c r="K2" s="1170"/>
      <c r="L2" s="1170"/>
      <c r="M2" s="1170"/>
    </row>
    <row r="3" spans="1:26" customFormat="1" ht="14.25">
      <c r="B3" s="52"/>
      <c r="C3" s="52"/>
      <c r="D3" s="52"/>
      <c r="E3" s="52"/>
    </row>
    <row r="4" spans="1:26" customFormat="1" ht="14.25">
      <c r="B4" s="52"/>
      <c r="C4" s="52"/>
      <c r="D4" s="52"/>
      <c r="E4" s="52"/>
      <c r="F4" s="1168" t="str">
        <f>IF('Data-UW'!B2="Yes",CONCATENATE("Binder - Policy #: ",'Data-UW'!D2),IF('Data-UW'!D2="",CONCATENATE("Quote for - ",LEFT('Data-UW'!F4,15)),IF(AND('Data-UW'!F1="Yes",'Data-UW'!D2&gt;""),CONCATENATE("Midterm Quote for Policy ",'Data-UW'!D2),CONCATENATE("Renewal Quote for Policy ",'Data-UW'!D2))))</f>
        <v xml:space="preserve">Quote for - </v>
      </c>
      <c r="G4" s="1168"/>
      <c r="H4" s="1168"/>
      <c r="I4" s="1168"/>
      <c r="J4" s="1168"/>
      <c r="K4" s="1168"/>
      <c r="L4" s="1168"/>
      <c r="N4" s="73">
        <f ca="1">TODAY()</f>
        <v>46149</v>
      </c>
    </row>
    <row r="5" spans="1:26" customFormat="1" ht="14.25">
      <c r="B5" s="52"/>
      <c r="C5" s="52"/>
      <c r="D5" s="52"/>
      <c r="E5" s="52"/>
      <c r="F5" s="1168"/>
      <c r="G5" s="1168"/>
      <c r="H5" s="1168"/>
      <c r="I5" s="1168"/>
      <c r="J5" s="1168"/>
      <c r="K5" s="1168"/>
      <c r="L5" s="1168"/>
    </row>
    <row r="6" spans="1:26" customFormat="1" ht="26.25">
      <c r="B6" s="92" t="str">
        <f>CONCATENATE("NAMED INSURED:"," ",'Data-UW'!F4)</f>
        <v xml:space="preserve">NAMED INSURED: </v>
      </c>
      <c r="C6" s="52"/>
      <c r="D6" s="52"/>
      <c r="E6" s="52"/>
      <c r="F6" s="400"/>
      <c r="G6" s="400"/>
      <c r="H6" s="400"/>
      <c r="I6" s="400"/>
      <c r="J6" s="400"/>
      <c r="K6" s="400"/>
      <c r="L6" s="400"/>
      <c r="N6" s="584" t="str">
        <f>CONCATENATE("AGENCY:"," ",'Data-UW'!F2)</f>
        <v xml:space="preserve">AGENCY: </v>
      </c>
    </row>
    <row r="7" spans="1:26" customFormat="1" ht="15.75">
      <c r="B7" s="154"/>
      <c r="D7" t="str">
        <f>CONCATENATE('Data-UW'!F11,IF(OR('Data-UW'!F11="",'Data-UW'!F12=""),"",", "),'Data-UW'!F12,IF('Data-UW'!F11="","",", "),'Data-UW'!F13,", ",'Data-UW'!I13," ",'Data-UW'!K13)</f>
        <v xml:space="preserve">,  </v>
      </c>
      <c r="N7" s="585" t="str">
        <f>CONCATENATE("Producer:"," ",'Data-UW'!F3)</f>
        <v xml:space="preserve">Producer: </v>
      </c>
    </row>
    <row r="8" spans="1:26" customFormat="1" ht="15">
      <c r="N8" s="586" t="str">
        <f>CONCATENATE("Underwriter: ",'Data-UW'!D4)</f>
        <v xml:space="preserve">Underwriter: </v>
      </c>
      <c r="O8" s="83"/>
      <c r="S8" s="949"/>
      <c r="T8" s="949"/>
    </row>
    <row r="9" spans="1:26" customFormat="1" ht="18">
      <c r="B9" s="555" t="str">
        <f ca="1">"Account will require a safety deposit of "&amp;TEXT(S15,"$#,##0")&amp;", + any additional taxes/fees."</f>
        <v>Account will require a safety deposit of $0, + any additional taxes/fees.</v>
      </c>
      <c r="N9" s="579" t="s">
        <v>3355</v>
      </c>
      <c r="O9" s="587">
        <f>'Data-UW'!B4</f>
        <v>0.15</v>
      </c>
      <c r="S9" s="526"/>
      <c r="T9" s="526"/>
    </row>
    <row r="10" spans="1:26" customFormat="1" ht="18">
      <c r="B10" s="555"/>
      <c r="N10" s="95"/>
      <c r="O10" s="93"/>
      <c r="S10" s="526"/>
      <c r="T10" s="526"/>
    </row>
    <row r="11" spans="1:26" customFormat="1" ht="15.75">
      <c r="B11" s="83" t="str">
        <f>IF('Data-UW'!F10="","",CONCATENATE("Effective:"," ",TEXT('Data-UW'!F10,"MM/DD/YYYY")," To ",TEXT('Data-UW'!I10,"MM/DD/YYYY")))</f>
        <v/>
      </c>
      <c r="N11" s="95"/>
      <c r="O11" s="93"/>
      <c r="S11" s="526"/>
      <c r="T11" s="526"/>
    </row>
    <row r="12" spans="1:26" customFormat="1" ht="18.75">
      <c r="B12" s="102" t="s">
        <v>3382</v>
      </c>
      <c r="C12" s="1182" t="str">
        <f>Rating!H10</f>
        <v>test</v>
      </c>
      <c r="D12" s="1182"/>
      <c r="E12" s="1182"/>
      <c r="F12" s="1182"/>
      <c r="G12" s="1182"/>
      <c r="H12" s="1182"/>
      <c r="I12" s="1182"/>
      <c r="J12" s="1182"/>
      <c r="N12" s="95"/>
      <c r="O12" s="93"/>
      <c r="S12" s="526"/>
      <c r="T12" s="526"/>
    </row>
    <row r="13" spans="1:26" customFormat="1" ht="18.75">
      <c r="B13" s="554" t="s">
        <v>3383</v>
      </c>
      <c r="C13" s="556" t="str">
        <f>'Com Quote'!L11</f>
        <v/>
      </c>
      <c r="D13" s="556"/>
      <c r="E13" s="556"/>
      <c r="F13" s="556"/>
      <c r="G13" s="556"/>
      <c r="H13" s="556"/>
      <c r="I13" s="556"/>
      <c r="J13" s="556"/>
      <c r="N13" s="95"/>
      <c r="O13" s="93"/>
      <c r="S13" s="526"/>
      <c r="T13" s="526"/>
    </row>
    <row r="14" spans="1:26" customFormat="1" ht="15" customHeight="1" thickBot="1">
      <c r="B14" s="83"/>
      <c r="C14" s="557" t="s">
        <v>3373</v>
      </c>
      <c r="D14" s="556"/>
      <c r="E14" s="556"/>
      <c r="F14" s="556"/>
      <c r="G14" s="556"/>
      <c r="H14" s="556"/>
      <c r="I14" s="556"/>
      <c r="J14" s="556"/>
      <c r="N14" s="95"/>
      <c r="O14" s="93"/>
      <c r="S14" s="526"/>
      <c r="T14" s="526"/>
    </row>
    <row r="15" spans="1:26" customFormat="1" ht="21.75" thickTop="1">
      <c r="B15" s="102" t="s">
        <v>3384</v>
      </c>
      <c r="C15" s="95"/>
      <c r="D15" s="161"/>
      <c r="E15" s="95"/>
      <c r="F15" s="95"/>
      <c r="G15" s="95"/>
      <c r="H15" s="95"/>
      <c r="I15" s="95"/>
      <c r="J15" s="95"/>
      <c r="K15" s="95"/>
      <c r="L15" s="95"/>
      <c r="M15" s="95"/>
      <c r="N15" s="166"/>
      <c r="O15" s="95"/>
      <c r="P15" s="95"/>
      <c r="Q15" s="95"/>
      <c r="S15" s="156">
        <f ca="1">ROUND('Com Quote'!Q93/365,0)*60</f>
        <v>0</v>
      </c>
      <c r="T15" s="464"/>
    </row>
    <row r="16" spans="1:26" customFormat="1" ht="18">
      <c r="A16" s="441"/>
      <c r="B16" s="442"/>
      <c r="C16" s="938" t="s">
        <v>2885</v>
      </c>
      <c r="D16" s="938"/>
      <c r="E16" s="938"/>
      <c r="F16" s="938"/>
      <c r="H16" s="941" t="s">
        <v>2886</v>
      </c>
      <c r="I16" s="941"/>
      <c r="J16" s="941"/>
      <c r="K16" s="941"/>
      <c r="L16" s="442"/>
      <c r="M16" s="446"/>
      <c r="N16" s="444"/>
      <c r="O16" s="444"/>
      <c r="P16" s="444"/>
      <c r="Q16" s="447"/>
      <c r="U16" s="529"/>
      <c r="W16" s="152"/>
      <c r="X16" s="152"/>
      <c r="Y16" s="100"/>
      <c r="Z16" s="101"/>
    </row>
    <row r="17" spans="1:26" customFormat="1" ht="16.5" thickBot="1">
      <c r="A17" s="441"/>
      <c r="B17" s="442"/>
      <c r="C17" s="939" t="s">
        <v>2887</v>
      </c>
      <c r="D17" s="939"/>
      <c r="E17" s="518" t="s">
        <v>2888</v>
      </c>
      <c r="F17" s="518" t="s">
        <v>2889</v>
      </c>
      <c r="H17" s="940" t="s">
        <v>2887</v>
      </c>
      <c r="I17" s="940"/>
      <c r="J17" s="522" t="s">
        <v>2888</v>
      </c>
      <c r="K17" s="522" t="s">
        <v>2889</v>
      </c>
      <c r="L17" s="442"/>
      <c r="M17" s="446"/>
      <c r="N17" s="444"/>
      <c r="O17" s="444"/>
      <c r="P17" s="444"/>
      <c r="Q17" s="447"/>
      <c r="S17" s="530"/>
      <c r="T17" s="531"/>
      <c r="W17" s="152"/>
      <c r="X17" s="152"/>
      <c r="Y17" s="100"/>
      <c r="Z17" s="101"/>
    </row>
    <row r="18" spans="1:26" customFormat="1" ht="17.25" thickTop="1" thickBot="1">
      <c r="A18" s="441"/>
      <c r="B18" s="442"/>
      <c r="C18" s="514">
        <v>0</v>
      </c>
      <c r="D18" s="514">
        <v>24999</v>
      </c>
      <c r="E18" s="515">
        <f ca="1">'Daily Rates'!E4</f>
        <v>11.288</v>
      </c>
      <c r="F18" s="516">
        <f ca="1">E18/365</f>
        <v>3.0926027397260275E-2</v>
      </c>
      <c r="H18" s="514">
        <v>10000</v>
      </c>
      <c r="I18" s="514">
        <v>109999</v>
      </c>
      <c r="J18" s="523">
        <f ca="1">'Daily Rates'!J4</f>
        <v>15.025</v>
      </c>
      <c r="K18" s="524">
        <f ca="1">ROUND((J18/365)*1.06,4)</f>
        <v>4.36E-2</v>
      </c>
      <c r="L18" s="442"/>
      <c r="M18" s="446"/>
      <c r="N18" s="444"/>
      <c r="O18" s="444"/>
      <c r="P18" s="444"/>
      <c r="Q18" s="447"/>
      <c r="S18" s="527"/>
      <c r="T18" s="36"/>
      <c r="U18" s="529"/>
      <c r="W18" s="152"/>
      <c r="X18" s="152"/>
      <c r="Y18" s="100"/>
      <c r="Z18" s="101"/>
    </row>
    <row r="19" spans="1:26" customFormat="1" ht="17.25" thickTop="1" thickBot="1">
      <c r="A19" s="441"/>
      <c r="B19" s="442"/>
      <c r="C19" s="514">
        <v>25000</v>
      </c>
      <c r="D19" s="514">
        <v>29999</v>
      </c>
      <c r="E19" s="515">
        <f ca="1">'Daily Rates'!E5</f>
        <v>10.808</v>
      </c>
      <c r="F19" s="516">
        <f t="shared" ref="F19:F37" ca="1" si="0">E19/365</f>
        <v>2.9610958904109589E-2</v>
      </c>
      <c r="H19" s="514">
        <v>110000</v>
      </c>
      <c r="I19" s="514">
        <v>119999</v>
      </c>
      <c r="J19" s="523">
        <f ca="1">'Daily Rates'!J5</f>
        <v>14.965</v>
      </c>
      <c r="K19" s="524">
        <f ca="1">ROUND((J19/365)*1.05,4)</f>
        <v>4.3099999999999999E-2</v>
      </c>
      <c r="L19" s="442"/>
      <c r="M19" s="446"/>
      <c r="N19" s="444"/>
      <c r="O19" s="444"/>
      <c r="P19" s="444"/>
      <c r="Q19" s="447"/>
      <c r="U19" s="529"/>
      <c r="W19" s="152"/>
      <c r="X19" s="152"/>
      <c r="Y19" s="100"/>
      <c r="Z19" s="101"/>
    </row>
    <row r="20" spans="1:26" customFormat="1" ht="17.25" thickTop="1" thickBot="1">
      <c r="A20" s="441"/>
      <c r="B20" s="442"/>
      <c r="C20" s="514">
        <v>30000</v>
      </c>
      <c r="D20" s="514">
        <v>19999</v>
      </c>
      <c r="E20" s="515">
        <f ca="1">'Daily Rates'!E6</f>
        <v>10.333</v>
      </c>
      <c r="F20" s="516">
        <f t="shared" ca="1" si="0"/>
        <v>2.830958904109589E-2</v>
      </c>
      <c r="H20" s="514">
        <v>120000</v>
      </c>
      <c r="I20" s="514">
        <v>129999</v>
      </c>
      <c r="J20" s="523">
        <f ca="1">'Daily Rates'!J6</f>
        <v>14.894</v>
      </c>
      <c r="K20" s="524">
        <f ca="1">ROUND((J20/365)*1.04,4)</f>
        <v>4.24E-2</v>
      </c>
      <c r="L20" s="442"/>
      <c r="M20" s="446"/>
      <c r="N20" s="444"/>
      <c r="O20" s="444"/>
      <c r="P20" s="444"/>
      <c r="Q20" s="447"/>
      <c r="W20" s="152"/>
      <c r="X20" s="152"/>
      <c r="Y20" s="100"/>
      <c r="Z20" s="101"/>
    </row>
    <row r="21" spans="1:26" customFormat="1" ht="16.5" thickTop="1" thickBot="1">
      <c r="A21" s="441"/>
      <c r="B21" s="442"/>
      <c r="C21" s="514">
        <v>35000</v>
      </c>
      <c r="D21" s="514">
        <v>24999</v>
      </c>
      <c r="E21" s="515">
        <f ca="1">'Daily Rates'!E7</f>
        <v>9.8480000000000008</v>
      </c>
      <c r="F21" s="516">
        <f t="shared" ca="1" si="0"/>
        <v>2.698082191780822E-2</v>
      </c>
      <c r="H21" s="514">
        <v>130000</v>
      </c>
      <c r="I21" s="514">
        <v>139999</v>
      </c>
      <c r="J21" s="523">
        <f ca="1">'Daily Rates'!J7</f>
        <v>14.827999999999999</v>
      </c>
      <c r="K21" s="524">
        <f ca="1">ROUND((J21/365)*1.03,4)</f>
        <v>4.1799999999999997E-2</v>
      </c>
      <c r="L21" s="442"/>
      <c r="M21" s="446"/>
      <c r="N21" s="444"/>
      <c r="O21" s="444"/>
      <c r="P21" s="444"/>
      <c r="Q21" s="447"/>
      <c r="Y21" s="100"/>
      <c r="Z21" s="101"/>
    </row>
    <row r="22" spans="1:26" customFormat="1" ht="16.5" thickTop="1" thickBot="1">
      <c r="A22" s="441"/>
      <c r="B22" s="442"/>
      <c r="C22" s="514">
        <v>40000</v>
      </c>
      <c r="D22" s="514">
        <v>29999</v>
      </c>
      <c r="E22" s="515">
        <f ca="1">'Daily Rates'!E8</f>
        <v>9.3689999999999998</v>
      </c>
      <c r="F22" s="516">
        <f t="shared" ca="1" si="0"/>
        <v>2.566849315068493E-2</v>
      </c>
      <c r="H22" s="514">
        <v>140000</v>
      </c>
      <c r="I22" s="514">
        <v>149999</v>
      </c>
      <c r="J22" s="523">
        <f ca="1">'Daily Rates'!J8</f>
        <v>14.757999999999999</v>
      </c>
      <c r="K22" s="524">
        <f ca="1">ROUND((J22/365)*1.02,4)</f>
        <v>4.1200000000000001E-2</v>
      </c>
      <c r="L22" s="442"/>
      <c r="M22" s="446"/>
      <c r="N22" s="444"/>
      <c r="O22" s="444"/>
      <c r="P22" s="444"/>
      <c r="Q22" s="447"/>
      <c r="Y22" s="100"/>
      <c r="Z22" s="101"/>
    </row>
    <row r="23" spans="1:26" customFormat="1" ht="16.5" thickTop="1" thickBot="1">
      <c r="A23" s="441"/>
      <c r="B23" s="442"/>
      <c r="C23" s="514">
        <v>45000</v>
      </c>
      <c r="D23" s="514">
        <v>34999</v>
      </c>
      <c r="E23" s="515">
        <f ca="1">'Daily Rates'!E9</f>
        <v>8.8840000000000003</v>
      </c>
      <c r="F23" s="516">
        <f t="shared" ca="1" si="0"/>
        <v>2.4339726027397261E-2</v>
      </c>
      <c r="H23" s="514">
        <v>150000</v>
      </c>
      <c r="I23" s="514">
        <v>159999</v>
      </c>
      <c r="J23" s="523">
        <f ca="1">'Daily Rates'!J9</f>
        <v>14.696999999999999</v>
      </c>
      <c r="K23" s="524">
        <f ca="1">ROUND((J23/365)*1.01,4)</f>
        <v>4.07E-2</v>
      </c>
      <c r="L23" s="442"/>
      <c r="M23" s="446"/>
      <c r="N23" s="444"/>
      <c r="O23" s="444"/>
      <c r="P23" s="444"/>
      <c r="Q23" s="447"/>
      <c r="Y23" s="100"/>
      <c r="Z23" s="101"/>
    </row>
    <row r="24" spans="1:26" customFormat="1" ht="16.5" thickTop="1" thickBot="1">
      <c r="A24" s="441"/>
      <c r="B24" s="442"/>
      <c r="C24" s="514">
        <v>50000</v>
      </c>
      <c r="D24" s="514">
        <v>39999</v>
      </c>
      <c r="E24" s="515">
        <f ca="1">'Daily Rates'!E10</f>
        <v>8.6460000000000008</v>
      </c>
      <c r="F24" s="516">
        <f t="shared" ca="1" si="0"/>
        <v>2.3687671232876715E-2</v>
      </c>
      <c r="H24" s="514">
        <v>160000</v>
      </c>
      <c r="I24" s="514">
        <v>169999</v>
      </c>
      <c r="J24" s="523">
        <f ca="1">'Daily Rates'!J10</f>
        <v>14.625999999999999</v>
      </c>
      <c r="K24" s="524">
        <f t="shared" ref="K24:K34" ca="1" si="1">ROUND(J24/365,4)</f>
        <v>4.0099999999999997E-2</v>
      </c>
      <c r="L24" s="442"/>
      <c r="M24" s="446"/>
      <c r="N24" s="444"/>
      <c r="O24" s="444"/>
      <c r="P24" s="444"/>
      <c r="Q24" s="447"/>
      <c r="Y24" s="100"/>
      <c r="Z24" s="101"/>
    </row>
    <row r="25" spans="1:26" customFormat="1" ht="16.5" thickTop="1" thickBot="1">
      <c r="A25" s="441"/>
      <c r="B25" s="442"/>
      <c r="C25" s="514">
        <v>55000</v>
      </c>
      <c r="D25" s="514">
        <v>44999</v>
      </c>
      <c r="E25" s="515">
        <f ca="1">'Daily Rates'!E11</f>
        <v>8.51</v>
      </c>
      <c r="F25" s="516">
        <f t="shared" ca="1" si="0"/>
        <v>2.3315068493150685E-2</v>
      </c>
      <c r="H25" s="514">
        <v>170000</v>
      </c>
      <c r="I25" s="514">
        <v>179999</v>
      </c>
      <c r="J25" s="523">
        <f ca="1">'Daily Rates'!J11</f>
        <v>14.561</v>
      </c>
      <c r="K25" s="524">
        <f t="shared" ca="1" si="1"/>
        <v>3.9899999999999998E-2</v>
      </c>
      <c r="L25" s="442"/>
      <c r="M25" s="446"/>
      <c r="N25" s="444"/>
      <c r="O25" s="444"/>
      <c r="P25" s="444"/>
      <c r="Q25" s="447"/>
      <c r="Y25" s="100"/>
      <c r="Z25" s="101"/>
    </row>
    <row r="26" spans="1:26" customFormat="1" ht="16.5" thickTop="1" thickBot="1">
      <c r="A26" s="441"/>
      <c r="B26" s="442"/>
      <c r="C26" s="514">
        <v>60000</v>
      </c>
      <c r="D26" s="514">
        <v>49999</v>
      </c>
      <c r="E26" s="515">
        <f ca="1">'Daily Rates'!E12</f>
        <v>8.1669999999999998</v>
      </c>
      <c r="F26" s="516">
        <f t="shared" ca="1" si="0"/>
        <v>2.2375342465753425E-2</v>
      </c>
      <c r="H26" s="514">
        <v>180000</v>
      </c>
      <c r="I26" s="514">
        <v>189999</v>
      </c>
      <c r="J26" s="523">
        <f ca="1">'Daily Rates'!J12</f>
        <v>14.49</v>
      </c>
      <c r="K26" s="524">
        <f t="shared" ca="1" si="1"/>
        <v>3.9699999999999999E-2</v>
      </c>
      <c r="L26" s="442"/>
      <c r="M26" s="446"/>
      <c r="N26" s="444"/>
      <c r="O26" s="444"/>
      <c r="P26" s="444"/>
      <c r="Q26" s="447"/>
      <c r="Y26" s="100"/>
      <c r="Z26" s="101"/>
    </row>
    <row r="27" spans="1:26" customFormat="1" ht="16.5" thickTop="1" thickBot="1">
      <c r="A27" s="441"/>
      <c r="B27" s="442"/>
      <c r="C27" s="514">
        <v>65000</v>
      </c>
      <c r="D27" s="514">
        <v>59999</v>
      </c>
      <c r="E27" s="515">
        <f ca="1">'Daily Rates'!E13</f>
        <v>7.9290000000000003</v>
      </c>
      <c r="F27" s="516">
        <f t="shared" ca="1" si="0"/>
        <v>2.1723287671232879E-2</v>
      </c>
      <c r="H27" s="514">
        <v>190000</v>
      </c>
      <c r="I27" s="514">
        <v>199999</v>
      </c>
      <c r="J27" s="523">
        <f ca="1">'Daily Rates'!J13</f>
        <v>14.423999999999999</v>
      </c>
      <c r="K27" s="524">
        <f t="shared" ca="1" si="1"/>
        <v>3.95E-2</v>
      </c>
      <c r="L27" s="442"/>
      <c r="M27" s="446"/>
      <c r="N27" s="444"/>
      <c r="O27" s="444"/>
      <c r="P27" s="444"/>
      <c r="Q27" s="447"/>
      <c r="Y27" s="100"/>
      <c r="Z27" s="101"/>
    </row>
    <row r="28" spans="1:26" customFormat="1" ht="16.5" thickTop="1" thickBot="1">
      <c r="A28" s="441"/>
      <c r="B28" s="442"/>
      <c r="C28" s="514">
        <v>70000</v>
      </c>
      <c r="D28" s="514">
        <v>69999</v>
      </c>
      <c r="E28" s="515">
        <f ca="1">'Daily Rates'!E14</f>
        <v>7.6820000000000004</v>
      </c>
      <c r="F28" s="516">
        <f t="shared" ca="1" si="0"/>
        <v>2.1046575342465755E-2</v>
      </c>
      <c r="H28" s="514">
        <v>200000</v>
      </c>
      <c r="I28" s="514">
        <v>214999</v>
      </c>
      <c r="J28" s="523">
        <f ca="1">'Daily Rates'!J14</f>
        <v>14.227</v>
      </c>
      <c r="K28" s="524">
        <f t="shared" ca="1" si="1"/>
        <v>3.9E-2</v>
      </c>
      <c r="L28" s="442"/>
      <c r="M28" s="446"/>
      <c r="N28" s="444"/>
      <c r="O28" s="444"/>
      <c r="P28" s="444"/>
      <c r="Q28" s="447"/>
      <c r="Y28" s="100"/>
      <c r="Z28" s="101"/>
    </row>
    <row r="29" spans="1:26" customFormat="1" ht="16.5" thickTop="1" thickBot="1">
      <c r="A29" s="441"/>
      <c r="B29" s="442"/>
      <c r="C29" s="514">
        <v>75000</v>
      </c>
      <c r="D29" s="514">
        <v>79999</v>
      </c>
      <c r="E29" s="515">
        <f ca="1">'Daily Rates'!E15</f>
        <v>7.444</v>
      </c>
      <c r="F29" s="516">
        <f t="shared" ca="1" si="0"/>
        <v>2.0394520547945206E-2</v>
      </c>
      <c r="H29" s="525">
        <v>215000</v>
      </c>
      <c r="I29" s="525">
        <v>229999</v>
      </c>
      <c r="J29" s="523">
        <f ca="1">'Daily Rates'!J15</f>
        <v>13.99</v>
      </c>
      <c r="K29" s="524">
        <f t="shared" ca="1" si="1"/>
        <v>3.8300000000000001E-2</v>
      </c>
      <c r="L29" s="442"/>
      <c r="M29" s="446"/>
      <c r="N29" s="444"/>
      <c r="O29" s="444"/>
      <c r="P29" s="444"/>
      <c r="Q29" s="447"/>
      <c r="Y29" s="100"/>
      <c r="Z29" s="101"/>
    </row>
    <row r="30" spans="1:26" customFormat="1" ht="16.5" thickTop="1" thickBot="1">
      <c r="A30" s="441"/>
      <c r="B30" s="442"/>
      <c r="C30" s="514">
        <v>80000</v>
      </c>
      <c r="D30" s="514">
        <v>89999</v>
      </c>
      <c r="E30" s="515">
        <f ca="1">'Daily Rates'!E16</f>
        <v>7.202</v>
      </c>
      <c r="F30" s="516">
        <f t="shared" ca="1" si="0"/>
        <v>1.9731506849315069E-2</v>
      </c>
      <c r="H30" s="525">
        <v>230000</v>
      </c>
      <c r="I30" s="525">
        <v>249999</v>
      </c>
      <c r="J30" s="523">
        <f ca="1">'Daily Rates'!J16</f>
        <v>13.651999999999999</v>
      </c>
      <c r="K30" s="524">
        <f t="shared" ca="1" si="1"/>
        <v>3.7400000000000003E-2</v>
      </c>
      <c r="L30" s="442"/>
      <c r="M30" s="446"/>
      <c r="N30" s="444"/>
      <c r="O30" s="444"/>
      <c r="P30" s="444"/>
      <c r="Q30" s="447"/>
      <c r="Y30" s="100"/>
      <c r="Z30" s="101"/>
    </row>
    <row r="31" spans="1:26" customFormat="1" ht="16.5" thickTop="1" thickBot="1">
      <c r="A31" s="441"/>
      <c r="B31" s="442"/>
      <c r="C31" s="514">
        <v>85000</v>
      </c>
      <c r="D31" s="514">
        <v>99999</v>
      </c>
      <c r="E31" s="515">
        <f ca="1">'Daily Rates'!E17</f>
        <v>6.9649999999999999</v>
      </c>
      <c r="F31" s="516">
        <f t="shared" ca="1" si="0"/>
        <v>1.9082191780821916E-2</v>
      </c>
      <c r="H31" s="525">
        <v>250000</v>
      </c>
      <c r="I31" s="525">
        <v>274999</v>
      </c>
      <c r="J31" s="523">
        <f ca="1">'Daily Rates'!J17</f>
        <v>13.317</v>
      </c>
      <c r="K31" s="524">
        <f t="shared" ca="1" si="1"/>
        <v>3.6499999999999998E-2</v>
      </c>
      <c r="L31" s="442"/>
      <c r="M31" s="446"/>
      <c r="N31" s="444"/>
      <c r="O31" s="444"/>
      <c r="P31" s="444"/>
      <c r="Q31" s="447"/>
      <c r="Y31" s="100"/>
      <c r="Z31" s="101"/>
    </row>
    <row r="32" spans="1:26" customFormat="1" ht="16.5" thickTop="1" thickBot="1">
      <c r="A32" s="441"/>
      <c r="B32" s="442"/>
      <c r="C32" s="514">
        <v>90000</v>
      </c>
      <c r="D32" s="514">
        <v>999999</v>
      </c>
      <c r="E32" s="515">
        <f ca="1">'Daily Rates'!E18</f>
        <v>6.7270000000000003</v>
      </c>
      <c r="F32" s="516">
        <f t="shared" ca="1" si="0"/>
        <v>1.843013698630137E-2</v>
      </c>
      <c r="H32" s="525">
        <v>275000</v>
      </c>
      <c r="I32" s="525">
        <v>299999</v>
      </c>
      <c r="J32" s="523">
        <f ca="1">'Daily Rates'!J18</f>
        <v>12.866</v>
      </c>
      <c r="K32" s="524">
        <f t="shared" ca="1" si="1"/>
        <v>3.5200000000000002E-2</v>
      </c>
      <c r="L32" s="442"/>
      <c r="M32" s="446"/>
      <c r="N32" s="444"/>
      <c r="O32" s="444"/>
      <c r="P32" s="444"/>
      <c r="Q32" s="447"/>
      <c r="Y32" s="100"/>
      <c r="Z32" s="101"/>
    </row>
    <row r="33" spans="1:26" customFormat="1" ht="16.5" thickTop="1" thickBot="1">
      <c r="A33" s="441"/>
      <c r="B33" s="442"/>
      <c r="C33" s="514">
        <v>95000</v>
      </c>
      <c r="D33" s="517">
        <v>99999</v>
      </c>
      <c r="E33" s="515">
        <f ca="1">'Daily Rates'!E19</f>
        <v>6.49</v>
      </c>
      <c r="F33" s="516">
        <f t="shared" ca="1" si="0"/>
        <v>1.7780821917808221E-2</v>
      </c>
      <c r="H33" s="525">
        <v>300000</v>
      </c>
      <c r="I33" s="525">
        <v>499999</v>
      </c>
      <c r="J33" s="523">
        <f ca="1">'Daily Rates'!J19</f>
        <v>11.699</v>
      </c>
      <c r="K33" s="524">
        <f t="shared" ca="1" si="1"/>
        <v>3.2099999999999997E-2</v>
      </c>
      <c r="L33" s="442"/>
      <c r="M33" s="446"/>
      <c r="N33" s="444"/>
      <c r="O33" s="444"/>
      <c r="P33" s="444"/>
      <c r="Q33" s="447"/>
      <c r="Y33" s="100"/>
      <c r="Z33" s="101"/>
    </row>
    <row r="34" spans="1:26" customFormat="1" ht="16.5" thickTop="1" thickBot="1">
      <c r="A34" s="441"/>
      <c r="B34" s="442"/>
      <c r="C34" s="514">
        <v>100000</v>
      </c>
      <c r="D34" s="517">
        <v>124999</v>
      </c>
      <c r="E34" s="515">
        <f ca="1">'Daily Rates'!E20</f>
        <v>6.2320000000000002</v>
      </c>
      <c r="F34" s="516">
        <f t="shared" ca="1" si="0"/>
        <v>1.7073972602739726E-2</v>
      </c>
      <c r="H34" s="525">
        <v>500000</v>
      </c>
      <c r="I34" s="525">
        <v>999999</v>
      </c>
      <c r="J34" s="523">
        <f ca="1">'Daily Rates'!J20</f>
        <v>9.6760000000000002</v>
      </c>
      <c r="K34" s="524">
        <f t="shared" ca="1" si="1"/>
        <v>2.6499999999999999E-2</v>
      </c>
      <c r="L34" s="442"/>
      <c r="M34" s="446"/>
      <c r="N34" s="444"/>
      <c r="O34" s="444"/>
      <c r="P34" s="444"/>
      <c r="Q34" s="447"/>
      <c r="Y34" s="100"/>
      <c r="Z34" s="101"/>
    </row>
    <row r="35" spans="1:26" customFormat="1" ht="15.75" thickTop="1" thickBot="1">
      <c r="A35" s="441"/>
      <c r="B35" s="442"/>
      <c r="C35" s="514">
        <v>125000</v>
      </c>
      <c r="D35" s="517">
        <v>149999</v>
      </c>
      <c r="E35" s="515">
        <f ca="1">'Daily Rates'!E21</f>
        <v>6.5449999999999999</v>
      </c>
      <c r="F35" s="516">
        <f t="shared" ca="1" si="0"/>
        <v>1.7931506849315069E-2</v>
      </c>
      <c r="L35" s="442"/>
      <c r="M35" s="446"/>
      <c r="N35" s="444"/>
      <c r="O35" s="444"/>
      <c r="P35" s="444"/>
      <c r="Q35" s="447"/>
      <c r="Y35" s="100"/>
      <c r="Z35" s="101"/>
    </row>
    <row r="36" spans="1:26" customFormat="1" ht="15.75" thickTop="1" thickBot="1">
      <c r="A36" s="441"/>
      <c r="B36" s="442"/>
      <c r="C36" s="514">
        <v>150000</v>
      </c>
      <c r="D36" s="517">
        <v>174999</v>
      </c>
      <c r="E36" s="515">
        <f ca="1">'Daily Rates'!E22</f>
        <v>5.5449999999999999</v>
      </c>
      <c r="F36" s="516">
        <f t="shared" ca="1" si="0"/>
        <v>1.5191780821917808E-2</v>
      </c>
      <c r="L36" s="442"/>
      <c r="M36" s="446"/>
      <c r="N36" s="444"/>
      <c r="O36" s="444"/>
      <c r="P36" s="444"/>
      <c r="Q36" s="447"/>
      <c r="Y36" s="100"/>
      <c r="Z36" s="101"/>
    </row>
    <row r="37" spans="1:26" customFormat="1" ht="15.75" thickTop="1" thickBot="1">
      <c r="A37" s="441"/>
      <c r="B37" s="442"/>
      <c r="C37" s="514">
        <v>175000</v>
      </c>
      <c r="D37" s="517">
        <v>999999</v>
      </c>
      <c r="E37" s="515">
        <f ca="1">'Daily Rates'!E23</f>
        <v>5.1920000000000002</v>
      </c>
      <c r="F37" s="516">
        <f t="shared" ca="1" si="0"/>
        <v>1.4224657534246576E-2</v>
      </c>
      <c r="L37" s="442"/>
      <c r="M37" s="446"/>
      <c r="N37" s="444"/>
      <c r="O37" s="444"/>
      <c r="P37" s="444"/>
      <c r="Q37" s="447"/>
      <c r="Y37" s="100"/>
      <c r="Z37" s="101"/>
    </row>
    <row r="38" spans="1:26" customFormat="1" ht="15" thickTop="1">
      <c r="A38" s="441"/>
      <c r="B38" s="442"/>
      <c r="C38" s="466"/>
      <c r="D38" s="510"/>
      <c r="L38" s="442"/>
      <c r="M38" s="446"/>
      <c r="N38" s="444"/>
      <c r="O38" s="444"/>
      <c r="P38" s="444"/>
      <c r="Q38" s="447"/>
      <c r="Y38" s="100"/>
      <c r="Z38" s="101"/>
    </row>
    <row r="39" spans="1:26" customFormat="1" ht="18">
      <c r="A39" s="441"/>
      <c r="B39" s="442"/>
      <c r="C39" s="938" t="s">
        <v>2894</v>
      </c>
      <c r="D39" s="938"/>
      <c r="E39" s="938"/>
      <c r="F39" s="938"/>
      <c r="G39" s="938"/>
      <c r="H39" s="938"/>
      <c r="I39" s="938"/>
      <c r="J39" s="938"/>
      <c r="L39" s="442"/>
      <c r="M39" s="446"/>
      <c r="N39" s="444"/>
      <c r="O39" s="444"/>
      <c r="P39" s="444"/>
      <c r="Q39" s="447"/>
      <c r="Y39" s="100"/>
      <c r="Z39" s="101"/>
    </row>
    <row r="40" spans="1:26" customFormat="1" ht="18">
      <c r="A40" s="441"/>
      <c r="B40" s="442"/>
      <c r="C40" s="938" t="s">
        <v>2895</v>
      </c>
      <c r="D40" s="938"/>
      <c r="E40" s="938"/>
      <c r="F40" s="938"/>
      <c r="G40" s="938"/>
      <c r="H40" s="938"/>
      <c r="I40" s="938"/>
      <c r="J40" s="938"/>
      <c r="L40" s="442"/>
      <c r="M40" s="446"/>
      <c r="N40" s="444"/>
      <c r="O40" s="444"/>
      <c r="P40" s="444"/>
      <c r="Q40" s="447"/>
      <c r="Y40" s="100"/>
      <c r="Z40" s="101"/>
    </row>
    <row r="41" spans="1:26" customFormat="1" ht="15.75" thickBot="1">
      <c r="A41" s="441"/>
      <c r="B41" s="442"/>
      <c r="D41" s="526">
        <v>2</v>
      </c>
      <c r="E41" s="526">
        <v>3</v>
      </c>
      <c r="F41" s="526">
        <v>4</v>
      </c>
      <c r="G41" s="526">
        <v>5</v>
      </c>
      <c r="H41" s="526">
        <v>6</v>
      </c>
      <c r="I41" s="526">
        <v>7</v>
      </c>
      <c r="J41" s="526">
        <v>8</v>
      </c>
      <c r="L41" s="442"/>
      <c r="M41" s="446"/>
      <c r="N41" s="444"/>
      <c r="O41" s="444"/>
      <c r="P41" s="444"/>
      <c r="Q41" s="447"/>
      <c r="Y41" s="100"/>
      <c r="Z41" s="101"/>
    </row>
    <row r="42" spans="1:26" customFormat="1" ht="16.5" thickTop="1" thickBot="1">
      <c r="A42" s="441"/>
      <c r="B42" s="442"/>
      <c r="C42" s="83" t="s">
        <v>2897</v>
      </c>
      <c r="D42" s="514">
        <f ca="1">'Daily Rates'!D29</f>
        <v>2376</v>
      </c>
      <c r="E42" s="514">
        <f ca="1">'Daily Rates'!E29</f>
        <v>2680</v>
      </c>
      <c r="F42" s="514">
        <f ca="1">'Daily Rates'!F29</f>
        <v>2970</v>
      </c>
      <c r="G42" s="514">
        <f ca="1">'Daily Rates'!G29</f>
        <v>3170</v>
      </c>
      <c r="H42" s="514">
        <f ca="1">'Daily Rates'!H29</f>
        <v>3371</v>
      </c>
      <c r="I42" s="514">
        <f ca="1">'Daily Rates'!I29</f>
        <v>3557</v>
      </c>
      <c r="J42" s="514">
        <f ca="1">'Daily Rates'!J29</f>
        <v>3742</v>
      </c>
      <c r="L42" s="442"/>
      <c r="M42" s="446"/>
      <c r="N42" s="444"/>
      <c r="O42" s="444"/>
      <c r="P42" s="444"/>
      <c r="Q42" s="447"/>
      <c r="Y42" s="100"/>
      <c r="Z42" s="101"/>
    </row>
    <row r="43" spans="1:26" customFormat="1" ht="16.5" thickTop="1" thickBot="1">
      <c r="A43" s="441"/>
      <c r="B43" s="442"/>
      <c r="C43" s="83" t="s">
        <v>2898</v>
      </c>
      <c r="D43" s="517">
        <f t="shared" ref="D43:J43" ca="1" si="2">ROUND(D42/365,2)</f>
        <v>6.51</v>
      </c>
      <c r="E43" s="517">
        <f t="shared" ca="1" si="2"/>
        <v>7.34</v>
      </c>
      <c r="F43" s="517">
        <f t="shared" ca="1" si="2"/>
        <v>8.14</v>
      </c>
      <c r="G43" s="517">
        <f t="shared" ca="1" si="2"/>
        <v>8.68</v>
      </c>
      <c r="H43" s="517">
        <f t="shared" ca="1" si="2"/>
        <v>9.24</v>
      </c>
      <c r="I43" s="517">
        <f t="shared" ca="1" si="2"/>
        <v>9.75</v>
      </c>
      <c r="J43" s="517">
        <f t="shared" ca="1" si="2"/>
        <v>10.25</v>
      </c>
      <c r="L43" s="442"/>
      <c r="M43" s="446"/>
      <c r="N43" s="444"/>
      <c r="O43" s="444"/>
      <c r="P43" s="444"/>
      <c r="Q43" s="447"/>
      <c r="Y43" s="100"/>
      <c r="Z43" s="101"/>
    </row>
    <row r="44" spans="1:26" customFormat="1" ht="18.75" thickTop="1">
      <c r="A44" s="441"/>
      <c r="B44" s="442"/>
      <c r="C44" s="938" t="s">
        <v>2900</v>
      </c>
      <c r="D44" s="938"/>
      <c r="E44" s="938"/>
      <c r="F44" s="938"/>
      <c r="G44" s="938"/>
      <c r="H44" s="938"/>
      <c r="I44" s="938"/>
      <c r="J44" s="938"/>
      <c r="L44" s="442"/>
      <c r="M44" s="446"/>
      <c r="N44" s="444"/>
      <c r="O44" s="444"/>
      <c r="P44" s="444"/>
      <c r="Q44" s="447"/>
      <c r="Y44" s="100"/>
      <c r="Z44" s="101"/>
    </row>
    <row r="45" spans="1:26" customFormat="1" ht="15.75" thickBot="1">
      <c r="B45" s="97"/>
      <c r="D45" s="526">
        <v>4</v>
      </c>
      <c r="E45" s="526">
        <v>5</v>
      </c>
      <c r="F45" s="526">
        <v>6</v>
      </c>
      <c r="G45" s="526">
        <v>7</v>
      </c>
      <c r="H45" s="526">
        <v>8</v>
      </c>
      <c r="I45" s="526">
        <v>9</v>
      </c>
      <c r="J45" s="526">
        <v>10</v>
      </c>
      <c r="L45" s="499"/>
      <c r="M45" s="99"/>
      <c r="N45" s="150"/>
      <c r="O45" s="150"/>
      <c r="P45" s="153"/>
      <c r="Q45" s="26"/>
      <c r="Y45" s="100"/>
      <c r="Z45" s="101"/>
    </row>
    <row r="46" spans="1:26" customFormat="1" ht="16.5" thickTop="1" thickBot="1">
      <c r="B46" s="97"/>
      <c r="C46" s="83" t="s">
        <v>2897</v>
      </c>
      <c r="D46" s="514">
        <f ca="1">'Daily Rates'!D33</f>
        <v>4024</v>
      </c>
      <c r="E46" s="514">
        <f ca="1">'Daily Rates'!E33</f>
        <v>4396</v>
      </c>
      <c r="F46" s="514">
        <f ca="1">'Daily Rates'!F33</f>
        <v>4670</v>
      </c>
      <c r="G46" s="514">
        <f ca="1">'Daily Rates'!G33</f>
        <v>4901</v>
      </c>
      <c r="H46" s="514">
        <f ca="1">'Daily Rates'!H33</f>
        <v>5138</v>
      </c>
      <c r="I46" s="514">
        <f ca="1">'Daily Rates'!I33</f>
        <v>5383</v>
      </c>
      <c r="J46" s="514">
        <f ca="1">'Daily Rates'!J33</f>
        <v>5621</v>
      </c>
      <c r="L46" s="97"/>
      <c r="M46" s="99"/>
      <c r="N46" s="150"/>
      <c r="O46" s="150"/>
      <c r="P46" s="153"/>
      <c r="Q46" s="155"/>
      <c r="Y46" s="100"/>
      <c r="Z46" s="101"/>
    </row>
    <row r="47" spans="1:26" customFormat="1" ht="16.5" thickTop="1" thickBot="1">
      <c r="C47" s="83" t="s">
        <v>2898</v>
      </c>
      <c r="D47" s="517">
        <f ca="1">ROUND(D46/365,2)</f>
        <v>11.02</v>
      </c>
      <c r="E47" s="517">
        <f t="shared" ref="E47:J47" ca="1" si="3">ROUND(E46/365,2)</f>
        <v>12.04</v>
      </c>
      <c r="F47" s="517">
        <f t="shared" ca="1" si="3"/>
        <v>12.79</v>
      </c>
      <c r="G47" s="517">
        <f t="shared" ca="1" si="3"/>
        <v>13.43</v>
      </c>
      <c r="H47" s="517">
        <f t="shared" ca="1" si="3"/>
        <v>14.08</v>
      </c>
      <c r="I47" s="517">
        <f t="shared" ca="1" si="3"/>
        <v>14.75</v>
      </c>
      <c r="J47" s="517">
        <f t="shared" ca="1" si="3"/>
        <v>15.4</v>
      </c>
      <c r="N47" s="26"/>
      <c r="O47" s="26"/>
      <c r="P47" s="151"/>
      <c r="Q47" s="155"/>
    </row>
    <row r="48" spans="1:26" customFormat="1" ht="19.5" thickTop="1">
      <c r="B48" s="102"/>
      <c r="C48" s="938" t="str">
        <f>"Medical "&amp;TEXT(Aircraft!Y4,"$#,##0")</f>
        <v>Medical $3,000</v>
      </c>
      <c r="D48" s="938"/>
      <c r="E48" s="938"/>
      <c r="F48" s="938"/>
      <c r="G48" s="938"/>
      <c r="H48" s="938"/>
      <c r="I48" s="938"/>
      <c r="J48" s="938"/>
    </row>
    <row r="49" spans="2:17" customFormat="1" ht="19.5" thickBot="1">
      <c r="B49" s="102"/>
      <c r="D49" s="526">
        <v>2</v>
      </c>
      <c r="E49" s="526">
        <v>3</v>
      </c>
      <c r="F49" s="526">
        <v>4</v>
      </c>
      <c r="G49" s="526">
        <v>5</v>
      </c>
      <c r="H49" s="526">
        <v>6</v>
      </c>
      <c r="I49" s="526">
        <v>7</v>
      </c>
      <c r="J49" s="526">
        <v>8</v>
      </c>
      <c r="K49" s="526">
        <v>9</v>
      </c>
      <c r="L49" s="526">
        <v>10</v>
      </c>
    </row>
    <row r="50" spans="2:17" customFormat="1" ht="20.25" thickTop="1" thickBot="1">
      <c r="B50" s="102"/>
      <c r="C50" s="83" t="s">
        <v>2897</v>
      </c>
      <c r="D50" s="514">
        <f>IFERROR(D49*Worksheet_Com!$E$6,0)</f>
        <v>40</v>
      </c>
      <c r="E50" s="514">
        <f>IFERROR(E49*Worksheet_Com!$E$6,0)</f>
        <v>60</v>
      </c>
      <c r="F50" s="514">
        <f>IFERROR(F49*Worksheet_Com!$E$6,0)</f>
        <v>80</v>
      </c>
      <c r="G50" s="514">
        <f>IFERROR(G49*Worksheet_Com!$E$6,0)</f>
        <v>100</v>
      </c>
      <c r="H50" s="514">
        <f>IFERROR(H49*Worksheet_Com!$E$6,0)</f>
        <v>120</v>
      </c>
      <c r="I50" s="514">
        <f>IFERROR(I49*Worksheet_Com!$E$6,0)</f>
        <v>140</v>
      </c>
      <c r="J50" s="514">
        <f>IFERROR(J49*Worksheet_Com!$E$6,0)</f>
        <v>160</v>
      </c>
      <c r="K50" s="514">
        <f>IFERROR(K49*Worksheet_Com!$E$6,0)</f>
        <v>180</v>
      </c>
      <c r="L50" s="514">
        <f>IFERROR(L49*Worksheet_Com!$E$6,0)</f>
        <v>200</v>
      </c>
    </row>
    <row r="51" spans="2:17" customFormat="1" ht="20.25" thickTop="1" thickBot="1">
      <c r="B51" s="102"/>
      <c r="C51" s="83" t="s">
        <v>2898</v>
      </c>
      <c r="D51" s="517">
        <f>IFERROR(ROUND(D50/365,2),"")</f>
        <v>0.11</v>
      </c>
      <c r="E51" s="517">
        <f t="shared" ref="E51:J51" si="4">ROUND(E50/365,2)</f>
        <v>0.16</v>
      </c>
      <c r="F51" s="517">
        <f t="shared" si="4"/>
        <v>0.22</v>
      </c>
      <c r="G51" s="517">
        <f t="shared" si="4"/>
        <v>0.27</v>
      </c>
      <c r="H51" s="517">
        <f t="shared" si="4"/>
        <v>0.33</v>
      </c>
      <c r="I51" s="517">
        <f t="shared" si="4"/>
        <v>0.38</v>
      </c>
      <c r="J51" s="517">
        <f t="shared" si="4"/>
        <v>0.44</v>
      </c>
      <c r="K51" s="517">
        <f t="shared" ref="K51:L51" si="5">ROUND(K50/365,2)</f>
        <v>0.49</v>
      </c>
      <c r="L51" s="517">
        <f t="shared" si="5"/>
        <v>0.55000000000000004</v>
      </c>
    </row>
    <row r="52" spans="2:17" customFormat="1" ht="15" thickTop="1"/>
    <row r="53" spans="2:17" s="113" customFormat="1" ht="15">
      <c r="B53" s="131" t="s">
        <v>3374</v>
      </c>
    </row>
    <row r="54" spans="2:17" s="113" customFormat="1" ht="14.25">
      <c r="B54" s="1167" t="str">
        <f>CONCATENATE(OPC!BL47,OPC!BL48)</f>
        <v xml:space="preserve">
</v>
      </c>
      <c r="C54" s="1167"/>
      <c r="D54" s="1167"/>
      <c r="E54" s="1167"/>
      <c r="F54" s="1167"/>
      <c r="G54" s="1167"/>
      <c r="H54" s="1167"/>
      <c r="I54" s="1167"/>
      <c r="J54" s="1167"/>
      <c r="K54" s="1167"/>
      <c r="L54" s="1167"/>
      <c r="M54" s="1167"/>
      <c r="N54" s="1167"/>
      <c r="O54" s="1167"/>
      <c r="P54" s="1167"/>
      <c r="Q54" s="1167"/>
    </row>
    <row r="55" spans="2:17" s="113" customFormat="1" ht="105" customHeight="1">
      <c r="B55" s="1167"/>
      <c r="C55" s="1167"/>
      <c r="D55" s="1167"/>
      <c r="E55" s="1167"/>
      <c r="F55" s="1167"/>
      <c r="G55" s="1167"/>
      <c r="H55" s="1167"/>
      <c r="I55" s="1167"/>
      <c r="J55" s="1167"/>
      <c r="K55" s="1167"/>
      <c r="L55" s="1167"/>
      <c r="M55" s="1167"/>
      <c r="N55" s="1167"/>
      <c r="O55" s="1167"/>
      <c r="P55" s="1167"/>
      <c r="Q55" s="1167"/>
    </row>
    <row r="56" spans="2:17" s="113" customFormat="1" ht="1.5" customHeight="1">
      <c r="B56" s="1167"/>
      <c r="C56" s="1167"/>
      <c r="D56" s="1167"/>
      <c r="E56" s="1167"/>
      <c r="F56" s="1167"/>
      <c r="G56" s="1167"/>
      <c r="H56" s="1167"/>
      <c r="I56" s="1167"/>
      <c r="J56" s="1167"/>
      <c r="K56" s="1167"/>
      <c r="L56" s="1167"/>
      <c r="M56" s="1167"/>
      <c r="N56" s="1167"/>
      <c r="O56" s="1167"/>
      <c r="P56" s="1167"/>
      <c r="Q56" s="1167"/>
    </row>
    <row r="57" spans="2:17" s="113" customFormat="1" ht="33.75" customHeight="1">
      <c r="B57" s="1167"/>
      <c r="C57" s="1167"/>
      <c r="D57" s="1167"/>
      <c r="E57" s="1167"/>
      <c r="F57" s="1167"/>
      <c r="G57" s="1167"/>
      <c r="H57" s="1167"/>
      <c r="I57" s="1167"/>
      <c r="J57" s="1167"/>
      <c r="K57" s="1167"/>
      <c r="L57" s="1167"/>
      <c r="M57" s="1167"/>
      <c r="N57" s="1167"/>
      <c r="O57" s="1167"/>
      <c r="P57" s="1167"/>
      <c r="Q57" s="1167"/>
    </row>
    <row r="58" spans="2:17" s="113" customFormat="1" ht="1.5" customHeight="1">
      <c r="B58" s="1167"/>
      <c r="C58" s="1167"/>
      <c r="D58" s="1167"/>
      <c r="E58" s="1167"/>
      <c r="F58" s="1167"/>
      <c r="G58" s="1167"/>
      <c r="H58" s="1167"/>
      <c r="I58" s="1167"/>
      <c r="J58" s="1167"/>
      <c r="K58" s="1167"/>
      <c r="L58" s="1167"/>
      <c r="M58" s="1167"/>
      <c r="N58" s="1167"/>
      <c r="O58" s="1167"/>
      <c r="P58" s="1167"/>
      <c r="Q58" s="1167"/>
    </row>
    <row r="59" spans="2:17" s="113" customFormat="1" ht="72.75" hidden="1" customHeight="1">
      <c r="B59" s="1167"/>
      <c r="C59" s="1167"/>
      <c r="D59" s="1167"/>
      <c r="E59" s="1167"/>
      <c r="F59" s="1167"/>
      <c r="G59" s="1167"/>
      <c r="H59" s="1167"/>
      <c r="I59" s="1167"/>
      <c r="J59" s="1167"/>
      <c r="K59" s="1167"/>
      <c r="L59" s="1167"/>
      <c r="M59" s="1167"/>
      <c r="N59" s="1167"/>
      <c r="O59" s="1167"/>
      <c r="P59" s="1167"/>
      <c r="Q59" s="1167"/>
    </row>
    <row r="60" spans="2:17" s="113" customFormat="1" ht="9" hidden="1" customHeight="1">
      <c r="B60" s="1167"/>
      <c r="C60" s="1167"/>
      <c r="D60" s="1167"/>
      <c r="E60" s="1167"/>
      <c r="F60" s="1167"/>
      <c r="G60" s="1167"/>
      <c r="H60" s="1167"/>
      <c r="I60" s="1167"/>
      <c r="J60" s="1167"/>
      <c r="K60" s="1167"/>
      <c r="L60" s="1167"/>
      <c r="M60" s="1167"/>
      <c r="N60" s="1167"/>
      <c r="O60" s="1167"/>
      <c r="P60" s="1167"/>
      <c r="Q60" s="1167"/>
    </row>
    <row r="61" spans="2:17" s="113" customFormat="1" ht="156.75" hidden="1" customHeight="1">
      <c r="B61" s="115"/>
      <c r="C61" s="115"/>
      <c r="D61" s="115"/>
      <c r="E61" s="115"/>
      <c r="F61" s="115"/>
      <c r="G61" s="115"/>
      <c r="H61" s="115"/>
      <c r="I61" s="115"/>
      <c r="J61" s="115"/>
      <c r="K61" s="115"/>
      <c r="L61" s="115"/>
      <c r="M61" s="115"/>
      <c r="N61" s="115"/>
      <c r="O61" s="115"/>
      <c r="P61" s="115"/>
      <c r="Q61" s="115"/>
    </row>
    <row r="62" spans="2:17" s="113" customFormat="1" ht="15" customHeight="1">
      <c r="B62" s="115"/>
      <c r="C62" s="115"/>
      <c r="D62" s="115"/>
      <c r="E62" s="115"/>
      <c r="F62" s="115"/>
      <c r="G62" s="115"/>
      <c r="H62" s="115"/>
      <c r="I62" s="115"/>
      <c r="J62" s="115"/>
      <c r="K62" s="115"/>
      <c r="L62" s="115"/>
      <c r="M62" s="115"/>
      <c r="N62" s="115"/>
      <c r="O62" s="115"/>
      <c r="P62" s="115"/>
      <c r="Q62" s="115"/>
    </row>
    <row r="63" spans="2:17" s="113" customFormat="1" ht="15" customHeight="1">
      <c r="B63" s="115"/>
      <c r="C63" s="115"/>
      <c r="D63" s="115"/>
      <c r="E63" s="115"/>
      <c r="F63" s="115"/>
      <c r="G63" s="115"/>
      <c r="H63" s="115"/>
      <c r="I63" s="115"/>
      <c r="J63" s="115"/>
      <c r="K63" s="115"/>
      <c r="L63" s="115"/>
      <c r="M63" s="115"/>
      <c r="N63" s="115"/>
      <c r="O63" s="115"/>
      <c r="P63" s="115"/>
      <c r="Q63" s="115"/>
    </row>
    <row r="64" spans="2:17" s="113" customFormat="1" ht="15" customHeight="1"/>
    <row r="65" spans="2:17" s="113" customFormat="1" ht="15" customHeight="1">
      <c r="B65" s="114" t="s">
        <v>3375</v>
      </c>
    </row>
    <row r="66" spans="2:17" s="113" customFormat="1" ht="15" customHeight="1">
      <c r="B66" s="113" t="s">
        <v>3376</v>
      </c>
      <c r="G66" s="1171" t="str">
        <f>IF('Additional Cov.'!A37&gt;"",IF('Additional Cov.'!U11="(a)",CONCATENATE("NonOwned Liability Coverage restricted to: Lowest Liability Limit",", Engine: ",'Additional Cov.'!U6,", Seats: ",'Additional Cov.'!X6,",  Eng Hp: ",'Additional Cov.'!V7,", Fixed wing aircraft."),IF('Additional Cov.'!U11="(b)",CONCATENATE("NonOwned Liability Coverage restricted to: Limit:  Lowest Liability Limit",", Engine: ",'Additional Cov.'!X5,", Seats: ",'Additional Cov.'!X6,", Certificated weight not to exceed 12,500Ibs, Fixed wing aircraft."),IF('Additional Cov.'!U11="(c)",CONCATENATE("NonOwned Liability Coverage restricted to: Limit:  Lowest Liability Limit",", Engine: ",'Additional Cov.'!X5,", Seats: ",'Additional Cov.'!X6,", Certificated weight not to exceed 12,500Ibs, Rotorwing aircraft."),IF('Additional Cov.'!U11="(d)","NonOwned Hull criteria: Check with UW for specific coverage","")))),"")</f>
        <v>NonOwned Liability Coverage restricted to: Lowest Liability Limit, Engine: Single, Seats: 6,  Eng Hp: 10000, Fixed wing aircraft.</v>
      </c>
      <c r="H66" s="1171"/>
      <c r="I66" s="1171"/>
      <c r="J66" s="1171"/>
      <c r="K66" s="1171"/>
      <c r="L66" s="1171"/>
      <c r="M66" s="1171"/>
      <c r="N66" s="1171"/>
      <c r="O66" s="1171"/>
      <c r="P66" s="1171"/>
      <c r="Q66" s="1171"/>
    </row>
    <row r="67" spans="2:17" s="113" customFormat="1" ht="14.25">
      <c r="B67" s="113" t="s">
        <v>3377</v>
      </c>
      <c r="G67" s="1171" t="str">
        <f>IF('Additional Cov.'!A38&gt;"",IF('Additional Cov.'!U11="(a)",CONCATENATE("NonOwned Hull Coverage restricted to: Limit: ",TEXT('Additional Cov.'!T9,"$#,###."),", Deduct: ",TEXT(PRODUCT('Additional Cov.'!T9,'Additional Cov.'!W9),"$#,###."),", Engine: ",'Additional Cov.'!U6,", Seats: ",'Additional Cov.'!X6,",  Eng Hp: ",'Additional Cov.'!V7,", Fixed wing aircraft."),IF('Additional Cov.'!U11="(b)",CONCATENATE("NonOwned Hull Coverage restricted to: Limit: ",TEXT('Additional Cov.'!T9,"$#,###."),", Deduct: ",TEXT(PRODUCT('Additional Cov.'!T9,'Additional Cov.'!W9),"$#,###."),", Engine: ",'Additional Cov.'!X5,", Seats: ",'Additional Cov.'!X6," ,Certificated weight not to exceed 12,500Ibs, Fixed wing aircraft."),IF('Additional Cov.'!U11="(c)",CONCATENATE("NonOwned Hull Coverage restricted to: Limit: ",TEXT('Additional Cov.'!T9,"$#,###."),", Deduct: ",TEXT(PRODUCT('Additional Cov.'!T9,'Additional Cov.'!W9),"$#,###."),", Engine: ",'Additional Cov.'!X5,", Seats: ",'Additional Cov.'!X6,", Certificated weight not to exceed 12,500Ibs, Rotorwing aircraft."),IF('Additional Cov.'!U11="(d)","NonOwned Hull criteria: Check with UW for specific coverage","")))),"")</f>
        <v/>
      </c>
      <c r="H67" s="1171"/>
      <c r="I67" s="1171"/>
      <c r="J67" s="1171"/>
      <c r="K67" s="1171"/>
      <c r="L67" s="1171"/>
      <c r="M67" s="1171"/>
      <c r="N67" s="1171"/>
      <c r="O67" s="1171"/>
      <c r="P67" s="1171"/>
      <c r="Q67" s="1171"/>
    </row>
    <row r="68" spans="2:17" s="113" customFormat="1" ht="14.25">
      <c r="B68" s="113" t="s">
        <v>3378</v>
      </c>
      <c r="G68" s="113" t="str">
        <f>IF('Additional Cov.'!A18="X","Emergency or Unexpected Landing Expenses - not to exceed 10% of the insured Value of the Aircraft Involved.","")</f>
        <v>Emergency or Unexpected Landing Expenses - not to exceed 10% of the insured Value of the Aircraft Involved.</v>
      </c>
    </row>
    <row r="69" spans="2:17" s="113" customFormat="1" ht="14.25">
      <c r="B69" s="113" t="s">
        <v>3379</v>
      </c>
    </row>
    <row r="70" spans="2:17" s="113" customFormat="1" ht="14.25"/>
    <row r="71" spans="2:17" s="113" customFormat="1" ht="15.75" thickBot="1">
      <c r="B71" s="114" t="s">
        <v>3385</v>
      </c>
    </row>
    <row r="72" spans="2:17" s="113" customFormat="1" ht="15" thickTop="1">
      <c r="B72" s="1183"/>
      <c r="C72" s="1184"/>
      <c r="D72" s="1184"/>
      <c r="E72" s="1184"/>
      <c r="F72" s="1184"/>
      <c r="G72" s="1184"/>
      <c r="H72" s="1184"/>
      <c r="I72" s="1184"/>
      <c r="J72" s="1184"/>
      <c r="K72" s="1184"/>
      <c r="L72" s="1184"/>
      <c r="M72" s="1184"/>
      <c r="N72" s="1184"/>
      <c r="O72" s="1184"/>
      <c r="P72" s="1185"/>
    </row>
    <row r="73" spans="2:17" s="113" customFormat="1" ht="14.25">
      <c r="B73" s="1186"/>
      <c r="C73" s="1187"/>
      <c r="D73" s="1187"/>
      <c r="E73" s="1187"/>
      <c r="F73" s="1187"/>
      <c r="G73" s="1187"/>
      <c r="H73" s="1187"/>
      <c r="I73" s="1187"/>
      <c r="J73" s="1187"/>
      <c r="K73" s="1187"/>
      <c r="L73" s="1187"/>
      <c r="M73" s="1187"/>
      <c r="N73" s="1187"/>
      <c r="O73" s="1187"/>
      <c r="P73" s="1188"/>
    </row>
    <row r="74" spans="2:17" s="113" customFormat="1" ht="14.25">
      <c r="B74" s="1186"/>
      <c r="C74" s="1187"/>
      <c r="D74" s="1187"/>
      <c r="E74" s="1187"/>
      <c r="F74" s="1187"/>
      <c r="G74" s="1187"/>
      <c r="H74" s="1187"/>
      <c r="I74" s="1187"/>
      <c r="J74" s="1187"/>
      <c r="K74" s="1187"/>
      <c r="L74" s="1187"/>
      <c r="M74" s="1187"/>
      <c r="N74" s="1187"/>
      <c r="O74" s="1187"/>
      <c r="P74" s="1188"/>
    </row>
    <row r="75" spans="2:17" s="113" customFormat="1" ht="15" thickBot="1">
      <c r="B75" s="1189"/>
      <c r="C75" s="1190"/>
      <c r="D75" s="1190"/>
      <c r="E75" s="1190"/>
      <c r="F75" s="1190"/>
      <c r="G75" s="1190"/>
      <c r="H75" s="1190"/>
      <c r="I75" s="1190"/>
      <c r="J75" s="1190"/>
      <c r="K75" s="1190"/>
      <c r="L75" s="1190"/>
      <c r="M75" s="1190"/>
      <c r="N75" s="1190"/>
      <c r="O75" s="1190"/>
      <c r="P75" s="1191"/>
    </row>
    <row r="76" spans="2:17" s="113" customFormat="1" ht="15" thickTop="1">
      <c r="B76" s="113" t="s">
        <v>3381</v>
      </c>
    </row>
    <row r="77" spans="2:17" s="113" customFormat="1" ht="14.25">
      <c r="B77" s="1169" t="str">
        <f>'Additional Cov.'!$C$123&amp;" In addition, Form AVA 01 31-Aircraft Reporting Form Provision."</f>
        <v>AVA 00 01 - Aviation Coverage Form AVA - Forms Schedule, AVA 00 55-Aerial Photography, AVA 00 56-Aerial Surveillance, AVA 00 59-Aircraft Trailer Physical Damage Coverage, AVA 00 63-Broad Coverage, AVA 00 64-Cargo Liability, AVA 00 66-Emergency or Unexpected Landing, AVA 00 71-Floats Clause, AVA 00 85-Non owned Aircraft - Liability, AVA 00 90-Passenger Voluntary Settlement, AVA 00 93-Pilot Clause, AVA 00 98-Purpose of Use, AVA 01 03-Search &amp; Rescue Wreck Removal Expense Liability Ins. Supplemental Payments, AVA 01 02-Runway or Aircraft Foaming - Supplemental Payments, AVA 01 06-Student and Renter Pilot Liability, AVA 01 09-Unmanned Aerial Vehicle Endorsement, AVA 01 11-Work in Progress, AV 00 09-Extended Coverage-Certified Acts of Terrorism Coverage, and any specific state amendatory endorsements or notices. In addition, Form AVA 01 31-Aircraft Reporting Form Provision.</v>
      </c>
      <c r="C77" s="1169"/>
      <c r="D77" s="1169"/>
      <c r="E77" s="1169"/>
      <c r="F77" s="1169"/>
      <c r="G77" s="1169"/>
      <c r="H77" s="1169"/>
      <c r="I77" s="1169"/>
      <c r="J77" s="1169"/>
      <c r="K77" s="1169"/>
      <c r="L77" s="1169"/>
      <c r="M77" s="1169"/>
      <c r="N77" s="1169"/>
      <c r="O77" s="1169"/>
      <c r="P77" s="1169"/>
    </row>
    <row r="78" spans="2:17" ht="39.75" customHeight="1">
      <c r="B78" s="1169"/>
      <c r="C78" s="1169"/>
      <c r="D78" s="1169"/>
      <c r="E78" s="1169"/>
      <c r="F78" s="1169"/>
      <c r="G78" s="1169"/>
      <c r="H78" s="1169"/>
      <c r="I78" s="1169"/>
      <c r="J78" s="1169"/>
      <c r="K78" s="1169"/>
      <c r="L78" s="1169"/>
      <c r="M78" s="1169"/>
      <c r="N78" s="1169"/>
      <c r="O78" s="1169"/>
      <c r="P78" s="1169"/>
    </row>
  </sheetData>
  <sheetProtection sheet="1" formatColumns="0" formatRows="0" insertColumns="0" insertRows="0" deleteColumns="0" deleteRows="0" selectLockedCells="1"/>
  <mergeCells count="17">
    <mergeCell ref="B77:P78"/>
    <mergeCell ref="C16:F16"/>
    <mergeCell ref="H16:K16"/>
    <mergeCell ref="C17:D17"/>
    <mergeCell ref="H17:I17"/>
    <mergeCell ref="C39:J39"/>
    <mergeCell ref="C40:J40"/>
    <mergeCell ref="C44:J44"/>
    <mergeCell ref="C48:J48"/>
    <mergeCell ref="B72:P75"/>
    <mergeCell ref="G67:Q67"/>
    <mergeCell ref="E1:M2"/>
    <mergeCell ref="F4:L5"/>
    <mergeCell ref="S8:T8"/>
    <mergeCell ref="B54:Q60"/>
    <mergeCell ref="G66:Q66"/>
    <mergeCell ref="C12:J12"/>
  </mergeCells>
  <conditionalFormatting sqref="O9">
    <cfRule type="cellIs" dxfId="61" priority="2" operator="lessThan">
      <formula>0.15</formula>
    </cfRule>
    <cfRule type="cellIs" dxfId="60" priority="3" operator="greaterThan">
      <formula>0.15</formula>
    </cfRule>
  </conditionalFormatting>
  <pageMargins left="0.7" right="0.7" top="0.75" bottom="0.75" header="0.3" footer="0.3"/>
  <pageSetup scale="59" fitToHeight="0" orientation="landscape" r:id="rId1"/>
  <rowBreaks count="1" manualBreakCount="1">
    <brk id="52" max="16" man="1"/>
  </rowBreaks>
  <drawing r:id="rId2"/>
  <extLst>
    <ext xmlns:x14="http://schemas.microsoft.com/office/spreadsheetml/2009/9/main" uri="{78C0D931-6437-407d-A8EE-F0AAD7539E65}">
      <x14:conditionalFormattings>
        <x14:conditionalFormatting xmlns:xm="http://schemas.microsoft.com/office/excel/2006/main">
          <x14:cfRule type="expression" priority="1" id="{5CB16054-2BFB-4437-9F55-63327104D34B}">
            <xm:f>'Data-UW'!$D$2=""</xm:f>
            <x14:dxf>
              <font>
                <color theme="0"/>
              </font>
            </x14:dxf>
          </x14:cfRule>
          <xm:sqref>F4:L5</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rgb="FF002060"/>
    <pageSetUpPr fitToPage="1"/>
  </sheetPr>
  <dimension ref="B1:XFC76"/>
  <sheetViews>
    <sheetView showGridLines="0" zoomScaleNormal="100" workbookViewId="0">
      <selection activeCell="H43" sqref="H43"/>
    </sheetView>
  </sheetViews>
  <sheetFormatPr defaultColWidth="0" defaultRowHeight="14.25" zeroHeight="1"/>
  <cols>
    <col min="1" max="1" width="5.625" customWidth="1"/>
    <col min="2" max="2" width="9" customWidth="1"/>
    <col min="3" max="3" width="9.375" bestFit="1" customWidth="1"/>
    <col min="4" max="4" width="13.625" customWidth="1"/>
    <col min="5" max="5" width="16.375" customWidth="1"/>
    <col min="6" max="6" width="9.125" customWidth="1"/>
    <col min="7" max="7" width="11.25" bestFit="1" customWidth="1"/>
    <col min="8" max="8" width="10.375" customWidth="1"/>
    <col min="9" max="9" width="15.25" customWidth="1"/>
    <col min="10" max="10" width="8.875" customWidth="1"/>
    <col min="11" max="11" width="8.75" customWidth="1"/>
    <col min="12" max="13" width="10.875" customWidth="1"/>
    <col min="14" max="14" width="5.625" customWidth="1"/>
    <col min="15" max="49" width="0" hidden="1" customWidth="1"/>
    <col min="50" max="50" width="9" hidden="1" customWidth="1"/>
    <col min="51" max="16383" width="9" hidden="1"/>
    <col min="16384" max="16384" width="4.125" customWidth="1"/>
  </cols>
  <sheetData>
    <row r="1" spans="2:19" ht="14.25" customHeight="1">
      <c r="B1" s="113"/>
      <c r="C1" s="113"/>
      <c r="D1" s="113"/>
      <c r="E1" s="1198" t="s">
        <v>4023</v>
      </c>
      <c r="F1" s="1198"/>
      <c r="G1" s="1198"/>
      <c r="H1" s="1198"/>
      <c r="I1" s="1198"/>
      <c r="J1" s="1198"/>
      <c r="K1" s="401"/>
      <c r="L1" s="325"/>
      <c r="M1" s="325"/>
      <c r="N1" s="325"/>
      <c r="O1" s="325"/>
      <c r="Q1" s="113"/>
      <c r="R1" s="113"/>
    </row>
    <row r="2" spans="2:19" ht="14.25" customHeight="1">
      <c r="B2" s="113"/>
      <c r="C2" s="113"/>
      <c r="D2" s="113"/>
      <c r="E2" s="1198"/>
      <c r="F2" s="1198"/>
      <c r="G2" s="1198"/>
      <c r="H2" s="1198"/>
      <c r="I2" s="1198"/>
      <c r="J2" s="1198"/>
      <c r="K2" s="401"/>
      <c r="L2" s="325"/>
      <c r="M2" s="325"/>
      <c r="O2" s="325"/>
      <c r="R2" s="113"/>
    </row>
    <row r="3" spans="2:19">
      <c r="C3" s="52"/>
      <c r="D3" s="52"/>
      <c r="E3" s="52"/>
      <c r="F3" s="52"/>
      <c r="G3" s="52"/>
    </row>
    <row r="4" spans="2:19" ht="14.25" customHeight="1">
      <c r="C4" s="52"/>
      <c r="D4" s="52"/>
      <c r="E4" s="52"/>
      <c r="F4" s="52"/>
      <c r="G4" s="52"/>
      <c r="H4" s="316"/>
      <c r="I4" s="316"/>
      <c r="J4" s="316"/>
      <c r="K4" s="316"/>
      <c r="L4" s="316"/>
      <c r="M4" s="316"/>
      <c r="N4" s="316"/>
      <c r="O4" s="316"/>
      <c r="P4" s="316"/>
    </row>
    <row r="5" spans="2:19" ht="18.75" customHeight="1">
      <c r="B5" s="92" t="str">
        <f>CONCATENATE("NAMED INSURED:"," ",'Data-UW'!F4)</f>
        <v xml:space="preserve">NAMED INSURED: </v>
      </c>
      <c r="C5" s="52"/>
      <c r="D5" s="52"/>
      <c r="E5" s="52"/>
      <c r="F5" s="52"/>
      <c r="G5" s="316"/>
      <c r="H5" s="316"/>
      <c r="I5" s="83" t="s">
        <v>3386</v>
      </c>
      <c r="J5" s="1197">
        <f ca="1">TODAY()</f>
        <v>46149</v>
      </c>
      <c r="K5" s="1197"/>
      <c r="L5" s="316"/>
      <c r="M5" s="316"/>
      <c r="O5" s="316"/>
      <c r="P5" s="316"/>
    </row>
    <row r="6" spans="2:19" ht="15.75" customHeight="1">
      <c r="B6" s="92"/>
      <c r="C6" s="52"/>
      <c r="D6" t="str">
        <f>CONCATENATE('Data-UW'!F11,IF(OR('Data-UW'!F11="",'Data-UW'!F12=""),"",", "),'Data-UW'!F12,IF('Data-UW'!F11="","",", "),'Data-UW'!F13,", ",'Data-UW'!I13," ",'Data-UW'!K13)</f>
        <v xml:space="preserve">,  </v>
      </c>
      <c r="E6" s="52"/>
      <c r="F6" s="52"/>
      <c r="G6" s="316"/>
      <c r="H6" s="316"/>
      <c r="I6" s="316"/>
      <c r="J6" s="316"/>
      <c r="K6" s="316"/>
      <c r="L6" s="316"/>
      <c r="M6" s="316"/>
      <c r="O6" s="316"/>
      <c r="P6" s="316"/>
    </row>
    <row r="7" spans="2:19" ht="26.25">
      <c r="B7" s="584" t="str">
        <f>CONCATENATE("AGENCY:"," ",'Data-UW'!F2)</f>
        <v xml:space="preserve">AGENCY: </v>
      </c>
      <c r="C7" s="52"/>
      <c r="D7" s="52"/>
      <c r="E7" s="569"/>
      <c r="F7" s="570" t="str">
        <f>IF('Data-UW'!B2="Yes",CONCATENATE("Binder - Policy #: ",'Data-UW'!D2),IF('Data-UW'!D2="",CONCATENATE("Quote for - ",LEFT('Data-UW'!F4,15)),IF(AND('Data-UW'!F1="Yes",'Data-UW'!D2&gt;""),CONCATENATE("Midterm Quote for Policy ",'Data-UW'!D2),CONCATENATE("Renewal Quote for Policy ",'Data-UW'!D2))))</f>
        <v xml:space="preserve">Quote for - </v>
      </c>
      <c r="G7" s="569"/>
      <c r="H7" s="569"/>
      <c r="I7" s="569"/>
      <c r="J7" s="569"/>
      <c r="K7" s="400"/>
      <c r="L7" s="400"/>
      <c r="M7" s="400"/>
      <c r="O7" s="400"/>
      <c r="P7" s="400"/>
    </row>
    <row r="8" spans="2:19" ht="15">
      <c r="B8" s="586" t="str">
        <f>CONCATENATE("Producer:"," ",'Data-UW'!F3)</f>
        <v xml:space="preserve">Producer: </v>
      </c>
      <c r="F8" s="949" t="s">
        <v>3387</v>
      </c>
      <c r="G8" s="949"/>
      <c r="H8" s="949"/>
    </row>
    <row r="9" spans="2:19" ht="20.25">
      <c r="B9" s="586" t="str">
        <f>CONCATENATE("Underwriter: ",'Data-UW'!D4)</f>
        <v xml:space="preserve">Underwriter: </v>
      </c>
      <c r="F9" s="555" t="str">
        <f>IF('Additional Cov.'!A51="X","Quota Share Lead Terms:","")</f>
        <v/>
      </c>
      <c r="I9" s="610" t="str">
        <f>IF('Additional Cov.'!A51&lt;&gt;"X","",'Additional Cov.'!B51)</f>
        <v/>
      </c>
      <c r="S9" s="93"/>
    </row>
    <row r="10" spans="2:19" ht="15.75">
      <c r="B10" s="579" t="s">
        <v>3388</v>
      </c>
      <c r="C10" s="587">
        <f>'Data-UW'!B4</f>
        <v>0.15</v>
      </c>
      <c r="S10" s="93"/>
    </row>
    <row r="11" spans="2:19" ht="15">
      <c r="B11" s="83" t="str">
        <f>IF('Data-UW'!F10="","",CONCATENATE("Effective:"," ",TEXT('Data-UW'!F10,"MM/DD/YYYY")," To ",TEXT('Data-UW'!I10,"MM/DD/YYYY")))</f>
        <v/>
      </c>
      <c r="C11" s="83"/>
    </row>
    <row r="12" spans="2:19" ht="32.25" thickBot="1">
      <c r="B12" s="402" t="s">
        <v>35</v>
      </c>
      <c r="C12" s="402" t="s">
        <v>36</v>
      </c>
      <c r="D12" s="1199" t="s">
        <v>3358</v>
      </c>
      <c r="E12" s="1200"/>
      <c r="F12" s="500" t="s">
        <v>3359</v>
      </c>
      <c r="G12" s="402" t="s">
        <v>3360</v>
      </c>
      <c r="H12" s="402" t="s">
        <v>3361</v>
      </c>
      <c r="I12" s="500" t="s">
        <v>3365</v>
      </c>
      <c r="J12" s="1200" t="s">
        <v>3362</v>
      </c>
      <c r="K12" s="1200"/>
      <c r="L12" s="402" t="s">
        <v>3363</v>
      </c>
    </row>
    <row r="13" spans="2:19">
      <c r="B13" s="317" t="str">
        <f>IF(Aircraft!F4="","",Rating!C10)</f>
        <v/>
      </c>
      <c r="C13" s="317" t="str">
        <f>IF(B13="","",Aircraft!H4)</f>
        <v/>
      </c>
      <c r="D13" s="1201" t="str">
        <f>IF(B13="","",Rating!E10)</f>
        <v/>
      </c>
      <c r="E13" s="1201"/>
      <c r="F13" s="317" t="str">
        <f>'Com Quote'!E11</f>
        <v>1/3</v>
      </c>
      <c r="G13" s="318" t="str">
        <f>IF(D13="","",IF(OR(Aircraft!P4=0,Aircraft!P4=""),0,Aircraft!P4))</f>
        <v/>
      </c>
      <c r="H13" s="319" t="str">
        <f>IF(D13="","",IF(Aircraft!S4="N","F.","G."))</f>
        <v/>
      </c>
      <c r="I13" s="317" t="str">
        <f>IF(D13="","",IF(G13=0,"N/A",Aircraft!BH4))</f>
        <v/>
      </c>
      <c r="J13" s="1205" t="str">
        <f>IF(Aircraft!W4="","",Aircraft!W4)</f>
        <v>$500,000/EX</v>
      </c>
      <c r="K13" s="1205"/>
      <c r="L13" s="319">
        <f>IF(Aircraft!Y4="","",Aircraft!Y4)</f>
        <v>3000</v>
      </c>
    </row>
    <row r="14" spans="2:19" ht="15" thickBot="1">
      <c r="B14" s="320" t="str">
        <f>IF(Aircraft!F5="","",Rating!C11)</f>
        <v/>
      </c>
      <c r="C14" s="320" t="str">
        <f>IF(B14="","",Aircraft!H5)</f>
        <v/>
      </c>
      <c r="D14" s="1202" t="str">
        <f>IF(B14="","",Rating!E11)</f>
        <v/>
      </c>
      <c r="E14" s="1202"/>
      <c r="F14" s="320" t="str">
        <f>'Com Quote'!E12</f>
        <v>1/4</v>
      </c>
      <c r="G14" s="321" t="str">
        <f>IF(D14="","",IF(OR(Aircraft!P5=0,Aircraft!P5=""),0,Aircraft!P5))</f>
        <v/>
      </c>
      <c r="H14" s="322" t="str">
        <f>IF(D14="","",IF(Aircraft!S5="N","F.","G."))</f>
        <v/>
      </c>
      <c r="I14" s="320" t="str">
        <f>IF(D14="","",IF(G14=0,"N/A",Aircraft!BH5))</f>
        <v/>
      </c>
      <c r="J14" s="1206" t="str">
        <f>IF(Aircraft!W5="","",Aircraft!W5)</f>
        <v>$500,000/EX</v>
      </c>
      <c r="K14" s="1206"/>
      <c r="L14" s="322">
        <f>IF(Aircraft!Y5="","",Aircraft!Y5)</f>
        <v>5000</v>
      </c>
    </row>
    <row r="15" spans="2:19">
      <c r="B15" s="317" t="str">
        <f>IF(Aircraft!F6="","",Rating!C12)</f>
        <v/>
      </c>
      <c r="C15" s="317" t="str">
        <f>IF(B15="","",Aircraft!H6)</f>
        <v/>
      </c>
      <c r="D15" s="1203" t="str">
        <f>IF(B15="","",Rating!E12)</f>
        <v/>
      </c>
      <c r="E15" s="1203"/>
      <c r="F15" s="317" t="str">
        <f>'Com Quote'!E13</f>
        <v>1/2</v>
      </c>
      <c r="G15" s="318" t="str">
        <f>IF(D15="","",IF(OR(Aircraft!P6=0,Aircraft!P6=""),0,Aircraft!P6))</f>
        <v/>
      </c>
      <c r="H15" s="319" t="str">
        <f>IF(D15="","",IF(Aircraft!S6="N","F.","G."))</f>
        <v/>
      </c>
      <c r="I15" s="317" t="str">
        <f>IF(D15="","",IF(G15=0,"N/A",Aircraft!BH6))</f>
        <v/>
      </c>
      <c r="J15" s="1207" t="str">
        <f>IF(Aircraft!W6="","",Aircraft!W6)</f>
        <v>$500,000/EX</v>
      </c>
      <c r="K15" s="1207"/>
      <c r="L15" s="319">
        <f>IF(Aircraft!Y6="","",Aircraft!Y6)</f>
        <v>5000</v>
      </c>
    </row>
    <row r="16" spans="2:19" ht="15" hidden="1" thickBot="1">
      <c r="B16" s="320" t="str">
        <f>IF(Aircraft!F7="","",Rating!C13)</f>
        <v/>
      </c>
      <c r="C16" s="320" t="str">
        <f>IF(B16="","",Aircraft!H7)</f>
        <v/>
      </c>
      <c r="D16" s="1202" t="str">
        <f>IF(B16="","",Rating!E13)</f>
        <v/>
      </c>
      <c r="E16" s="1202"/>
      <c r="F16" s="320" t="str">
        <f>'Com Quote'!E14</f>
        <v>1/6</v>
      </c>
      <c r="G16" s="321" t="str">
        <f>IF(D16="","",IF(OR(Aircraft!P7=0,Aircraft!P7=""),0,Aircraft!P7))</f>
        <v/>
      </c>
      <c r="H16" s="322" t="str">
        <f>IF(D16="","",IF(Aircraft!S7="N","F.","G."))</f>
        <v/>
      </c>
      <c r="I16" s="320" t="str">
        <f>IF(D16="","",IF(G16=0,"N/A",Aircraft!BH7))</f>
        <v/>
      </c>
      <c r="J16" s="1206" t="str">
        <f>IF(Aircraft!W7="","",Aircraft!W7)</f>
        <v/>
      </c>
      <c r="K16" s="1206"/>
      <c r="L16" s="322" t="str">
        <f>IF(Aircraft!Y7="","",Aircraft!Y7)</f>
        <v/>
      </c>
    </row>
    <row r="17" spans="2:19" ht="15" hidden="1" thickBot="1">
      <c r="B17" s="323" t="str">
        <f>IF(Aircraft!F8="","",Rating!C14)</f>
        <v/>
      </c>
      <c r="C17" s="323" t="str">
        <f>IF(B17="","",Aircraft!H8)</f>
        <v/>
      </c>
      <c r="D17" s="1204" t="str">
        <f>IF(B17="","",Rating!E14)</f>
        <v/>
      </c>
      <c r="E17" s="1204"/>
      <c r="F17" s="561" t="str">
        <f>'Com Quote'!E15</f>
        <v/>
      </c>
      <c r="G17" s="562" t="str">
        <f>IF(D17="","",IF(OR(Aircraft!P8=0,Aircraft!P8=""),0,Aircraft!P8))</f>
        <v/>
      </c>
      <c r="H17" s="324" t="str">
        <f>IF(D17="","",IF(Aircraft!S8="N","F.","G."))</f>
        <v/>
      </c>
      <c r="I17" s="561" t="str">
        <f>IF(D17="","",IF(G17=0,"N/A",Aircraft!BH8))</f>
        <v/>
      </c>
      <c r="J17" s="1196" t="str">
        <f>IF(Aircraft!W8="","",Aircraft!W8)</f>
        <v/>
      </c>
      <c r="K17" s="1196"/>
      <c r="L17" s="324" t="str">
        <f>IF(Aircraft!Y8="","",Aircraft!Y8)</f>
        <v/>
      </c>
    </row>
    <row r="18" spans="2:19" ht="34.5" customHeight="1">
      <c r="C18" s="486" t="s">
        <v>3372</v>
      </c>
      <c r="I18" s="486" t="s">
        <v>3389</v>
      </c>
    </row>
    <row r="19" spans="2:19" ht="16.5" thickBot="1">
      <c r="B19" s="402" t="s">
        <v>35</v>
      </c>
      <c r="C19" s="402" t="s">
        <v>3367</v>
      </c>
      <c r="D19" s="402" t="s">
        <v>3368</v>
      </c>
      <c r="E19" s="402" t="s">
        <v>3369</v>
      </c>
      <c r="F19" s="402" t="s">
        <v>3390</v>
      </c>
      <c r="G19" s="402" t="s">
        <v>3391</v>
      </c>
      <c r="H19" s="402" t="s">
        <v>2149</v>
      </c>
    </row>
    <row r="20" spans="2:19">
      <c r="B20" s="317" t="str">
        <f>B13</f>
        <v/>
      </c>
      <c r="C20" s="318" t="str">
        <f>IF(B20="","",Worksheet_Com!P6)</f>
        <v/>
      </c>
      <c r="D20" s="318" t="str">
        <f>IF(D13="","",Worksheet_Com!Q6)</f>
        <v/>
      </c>
      <c r="E20" s="318" t="str">
        <f>IF(D13="","",IF(B20=0,0,Worksheet_Com!O6))</f>
        <v/>
      </c>
      <c r="F20" s="852" t="str">
        <f>IF(B20="","",IF(AND(Rating!$L$2="Yes",G20&gt;0),ROUND(IF(B20=0,0,G13/100*'MGR Adjustment'!$AG$63),0),"N/A"))</f>
        <v/>
      </c>
      <c r="G20" s="852" t="str">
        <f>IF(B20="","",IF(Rating!$J$2="Yes",ROUND(IF(C20=0,0,C20*'MGR Adjustment'!$AG$62),0),"N/A"))</f>
        <v/>
      </c>
      <c r="H20" s="332" t="str">
        <f>IF(B20="","",SUM(C20:G20))</f>
        <v/>
      </c>
    </row>
    <row r="21" spans="2:19" ht="15" thickBot="1">
      <c r="B21" s="320" t="str">
        <f>B14</f>
        <v/>
      </c>
      <c r="C21" s="321" t="str">
        <f>IF(B21="","",Worksheet_Com!P7)</f>
        <v/>
      </c>
      <c r="D21" s="321" t="str">
        <f>IF(D14="","",Worksheet_Com!Q7)</f>
        <v/>
      </c>
      <c r="E21" s="321" t="str">
        <f>IF(D14="","",IF(B21=0,0,Worksheet_Com!O7))</f>
        <v/>
      </c>
      <c r="F21" s="333" t="str">
        <f>IF(B21="","",IF(AND(Rating!$L$2="Yes",G21&gt;0),ROUND(IF(B21=0,0,G14/100*'MGR Adjustment'!$AG$63),0),"N/A"))</f>
        <v/>
      </c>
      <c r="G21" s="333" t="str">
        <f>IF(B21="","",IF(Rating!$J$2="Yes",ROUND(IF(C21=0,0,C21*'MGR Adjustment'!$AG$62),0),"N/A"))</f>
        <v/>
      </c>
      <c r="H21" s="333" t="str">
        <f>IF(B21="","",SUM(C21:G21))</f>
        <v/>
      </c>
    </row>
    <row r="22" spans="2:19">
      <c r="B22" s="317" t="str">
        <f t="shared" ref="B22:B24" si="0">B15</f>
        <v/>
      </c>
      <c r="C22" s="318" t="str">
        <f>IF(B22="","",Worksheet_Com!P8)</f>
        <v/>
      </c>
      <c r="D22" s="318" t="str">
        <f>IF(D15="","",Worksheet_Com!Q8)</f>
        <v/>
      </c>
      <c r="E22" s="318" t="str">
        <f>IF(D15="","",IF(B22=0,0,Worksheet_Com!O8))</f>
        <v/>
      </c>
      <c r="F22" s="332" t="str">
        <f>IF(B22="","",IF(AND(Rating!$L$2="Yes",G22&gt;0),ROUND(IF(B22=0,0,G15/100*'MGR Adjustment'!$AG$63),0),"N/A"))</f>
        <v/>
      </c>
      <c r="G22" s="332" t="str">
        <f>IF(B22="","",IF(Rating!$J$2="Yes",ROUND(IF(C22=0,0,C22*'MGR Adjustment'!$AG$62),0),"N/A"))</f>
        <v/>
      </c>
      <c r="H22" s="332" t="str">
        <f>IF(B22="","",SUM(C22:G22))</f>
        <v/>
      </c>
    </row>
    <row r="23" spans="2:19" ht="15" hidden="1" thickBot="1">
      <c r="B23" s="320" t="str">
        <f t="shared" si="0"/>
        <v/>
      </c>
      <c r="C23" s="321" t="str">
        <f>IF(B23="","",Worksheet_Com!P9)</f>
        <v/>
      </c>
      <c r="D23" s="321" t="str">
        <f>IF(D16="","",Worksheet_Com!Q9)</f>
        <v/>
      </c>
      <c r="E23" s="321" t="str">
        <f>IF(D16="","",IF(B23=0,0,Worksheet_Com!O9))</f>
        <v/>
      </c>
      <c r="F23" s="333" t="str">
        <f>IF(B23="","",IF(AND(Rating!$L$2="Yes",G23&gt;0),ROUND(IF(B23=0,0,G16/100*'MGR Adjustment'!$AG$63),0),"N/A"))</f>
        <v/>
      </c>
      <c r="G23" s="333" t="str">
        <f>IF(B23="","",IF(Rating!$J$2="Yes",ROUND(IF(C23=0,0,C23*'MGR Adjustment'!$AG$62),0),"N/A"))</f>
        <v/>
      </c>
      <c r="H23" s="333" t="str">
        <f t="shared" ref="H23" si="1">IF(B23="","",SUM(C23:G23))</f>
        <v/>
      </c>
    </row>
    <row r="24" spans="2:19" hidden="1">
      <c r="B24" s="317" t="str">
        <f t="shared" si="0"/>
        <v/>
      </c>
      <c r="C24" s="318" t="str">
        <f>IF(B24="","",Worksheet_Com!P10)</f>
        <v/>
      </c>
      <c r="D24" s="318" t="str">
        <f>IF(D17="","",Worksheet_Com!Q10)</f>
        <v/>
      </c>
      <c r="E24" s="318" t="str">
        <f>IF(D17="","",IF(B24=0,0,Worksheet_Com!O10))</f>
        <v/>
      </c>
      <c r="F24" s="332" t="str">
        <f>IF(B24="","",IF(AND(Rating!$L$2="Yes",G24&gt;0),ROUND(IF(B24=0,0,G17/100*'MGR Adjustment'!$AG$63),0),"N/A"))</f>
        <v/>
      </c>
      <c r="G24" s="332" t="str">
        <f>IF(B24="","",IF(Rating!$J$2="Yes",ROUND(IF(C24=0,0,C24*'MGR Adjustment'!$AG$62),0),"N/A"))</f>
        <v/>
      </c>
      <c r="H24" s="332" t="str">
        <f t="shared" ref="H24" si="2">IF(G16="","",SUM(C24:G24))</f>
        <v/>
      </c>
    </row>
    <row r="25" spans="2:19">
      <c r="G25" s="464" t="str">
        <f ca="1">IF(H25="","","Ancillary Cov.:")</f>
        <v>Ancillary Cov.:</v>
      </c>
      <c r="H25" s="26">
        <f ca="1">IF(OR('Additional Cov.'!B65="",'Additional Cov.'!B65=0),"",'Additional Cov.'!B65)</f>
        <v>180</v>
      </c>
    </row>
    <row r="26" spans="2:19" ht="15.75" thickBot="1">
      <c r="G26" s="334" t="s">
        <v>3392</v>
      </c>
      <c r="H26" s="335">
        <f ca="1">SUM(H20:H24,H25)</f>
        <v>180</v>
      </c>
    </row>
    <row r="27" spans="2:19" ht="15.75" thickTop="1">
      <c r="C27" s="949" t="s">
        <v>3959</v>
      </c>
      <c r="D27" s="949"/>
      <c r="E27" s="949"/>
      <c r="F27" s="949"/>
      <c r="G27" s="949"/>
      <c r="H27" s="949"/>
      <c r="I27" s="949"/>
      <c r="J27" s="949"/>
      <c r="K27" s="949"/>
    </row>
    <row r="28" spans="2:19" ht="18">
      <c r="B28" s="330" t="s">
        <v>3374</v>
      </c>
      <c r="C28" s="113"/>
      <c r="D28" s="113"/>
      <c r="E28" s="113"/>
      <c r="F28" s="113"/>
      <c r="G28" s="113"/>
      <c r="H28" s="113"/>
      <c r="I28" s="113"/>
      <c r="J28" s="113"/>
      <c r="K28" s="113"/>
      <c r="L28" s="113"/>
      <c r="M28" s="113"/>
      <c r="O28" s="113"/>
      <c r="P28" s="113"/>
      <c r="Q28" s="113"/>
      <c r="R28" s="113"/>
      <c r="S28" s="113"/>
    </row>
    <row r="29" spans="2:19">
      <c r="B29" s="1167" t="str">
        <f>OPC!CB82</f>
        <v xml:space="preserve">
All pilots, whether named or meeting the open pilot clause above, shall have completed a manufacturer’s approved ground and flight training course, or its equivalent course approved by the company, within the 12 months preceding any flight in the insured aircraft, and annually thereafter.</v>
      </c>
      <c r="C29" s="1167"/>
      <c r="D29" s="1167"/>
      <c r="E29" s="1167"/>
      <c r="F29" s="1167"/>
      <c r="G29" s="1167"/>
      <c r="H29" s="1167"/>
      <c r="I29" s="1167"/>
      <c r="J29" s="1167"/>
      <c r="K29" s="1167"/>
      <c r="L29" s="1167"/>
      <c r="M29" s="399"/>
      <c r="O29" s="326"/>
      <c r="P29" s="326"/>
      <c r="Q29" s="326"/>
      <c r="R29" s="326"/>
      <c r="S29" s="326"/>
    </row>
    <row r="30" spans="2:19">
      <c r="B30" s="1167"/>
      <c r="C30" s="1167"/>
      <c r="D30" s="1167"/>
      <c r="E30" s="1167"/>
      <c r="F30" s="1167"/>
      <c r="G30" s="1167"/>
      <c r="H30" s="1167"/>
      <c r="I30" s="1167"/>
      <c r="J30" s="1167"/>
      <c r="K30" s="1167"/>
      <c r="L30" s="1167"/>
      <c r="M30" s="399"/>
      <c r="O30" s="326"/>
      <c r="P30" s="326"/>
      <c r="Q30" s="326"/>
      <c r="R30" s="326"/>
      <c r="S30" s="326"/>
    </row>
    <row r="31" spans="2:19">
      <c r="B31" s="1167"/>
      <c r="C31" s="1167"/>
      <c r="D31" s="1167"/>
      <c r="E31" s="1167"/>
      <c r="F31" s="1167"/>
      <c r="G31" s="1167"/>
      <c r="H31" s="1167"/>
      <c r="I31" s="1167"/>
      <c r="J31" s="1167"/>
      <c r="K31" s="1167"/>
      <c r="L31" s="1167"/>
      <c r="M31" s="399"/>
      <c r="O31" s="326"/>
      <c r="P31" s="326"/>
      <c r="Q31" s="326"/>
      <c r="R31" s="326"/>
      <c r="S31" s="326"/>
    </row>
    <row r="32" spans="2:19">
      <c r="B32" s="1167"/>
      <c r="C32" s="1167"/>
      <c r="D32" s="1167"/>
      <c r="E32" s="1167"/>
      <c r="F32" s="1167"/>
      <c r="G32" s="1167"/>
      <c r="H32" s="1167"/>
      <c r="I32" s="1167"/>
      <c r="J32" s="1167"/>
      <c r="K32" s="1167"/>
      <c r="L32" s="1167"/>
      <c r="M32" s="399"/>
      <c r="O32" s="326"/>
      <c r="P32" s="326"/>
      <c r="Q32" s="326"/>
      <c r="R32" s="326"/>
      <c r="S32" s="326"/>
    </row>
    <row r="33" spans="2:19">
      <c r="B33" s="1167"/>
      <c r="C33" s="1167"/>
      <c r="D33" s="1167"/>
      <c r="E33" s="1167"/>
      <c r="F33" s="1167"/>
      <c r="G33" s="1167"/>
      <c r="H33" s="1167"/>
      <c r="I33" s="1167"/>
      <c r="J33" s="1167"/>
      <c r="K33" s="1167"/>
      <c r="L33" s="1167"/>
      <c r="M33" s="399"/>
      <c r="O33" s="326"/>
      <c r="P33" s="326"/>
      <c r="Q33" s="326"/>
      <c r="R33" s="326"/>
      <c r="S33" s="326"/>
    </row>
    <row r="34" spans="2:19">
      <c r="B34" s="1167"/>
      <c r="C34" s="1167"/>
      <c r="D34" s="1167"/>
      <c r="E34" s="1167"/>
      <c r="F34" s="1167"/>
      <c r="G34" s="1167"/>
      <c r="H34" s="1167"/>
      <c r="I34" s="1167"/>
      <c r="J34" s="1167"/>
      <c r="K34" s="1167"/>
      <c r="L34" s="1167"/>
      <c r="M34" s="399"/>
      <c r="O34" s="326"/>
      <c r="P34" s="326"/>
      <c r="Q34" s="326"/>
      <c r="R34" s="326"/>
      <c r="S34" s="326"/>
    </row>
    <row r="35" spans="2:19">
      <c r="B35" s="1167"/>
      <c r="C35" s="1167"/>
      <c r="D35" s="1167"/>
      <c r="E35" s="1167"/>
      <c r="F35" s="1167"/>
      <c r="G35" s="1167"/>
      <c r="H35" s="1167"/>
      <c r="I35" s="1167"/>
      <c r="J35" s="1167"/>
      <c r="K35" s="1167"/>
      <c r="L35" s="1167"/>
      <c r="M35" s="399"/>
      <c r="O35" s="326"/>
      <c r="P35" s="326"/>
      <c r="Q35" s="326"/>
      <c r="R35" s="326"/>
      <c r="S35" s="326"/>
    </row>
    <row r="36" spans="2:19" ht="185.25" customHeight="1">
      <c r="B36" s="1167"/>
      <c r="C36" s="1167"/>
      <c r="D36" s="1167"/>
      <c r="E36" s="1167"/>
      <c r="F36" s="1167"/>
      <c r="G36" s="1167"/>
      <c r="H36" s="1167"/>
      <c r="I36" s="1167"/>
      <c r="J36" s="1167"/>
      <c r="K36" s="1167"/>
      <c r="L36" s="1167"/>
      <c r="M36" s="399"/>
      <c r="O36" s="326"/>
      <c r="P36" s="326"/>
      <c r="Q36" s="326"/>
      <c r="R36" s="326"/>
      <c r="S36" s="326"/>
    </row>
    <row r="37" spans="2:19" ht="319.5" customHeight="1">
      <c r="B37" s="1167"/>
      <c r="C37" s="1167"/>
      <c r="D37" s="1167"/>
      <c r="E37" s="1167"/>
      <c r="F37" s="1167"/>
      <c r="G37" s="1167"/>
      <c r="H37" s="1167"/>
      <c r="I37" s="1167"/>
      <c r="J37" s="1167"/>
      <c r="K37" s="1167"/>
      <c r="L37" s="1167"/>
      <c r="M37" s="399"/>
      <c r="O37" s="326"/>
      <c r="P37" s="326"/>
      <c r="Q37" s="326"/>
      <c r="R37" s="326"/>
      <c r="S37" s="326"/>
    </row>
    <row r="38" spans="2:19" ht="9.75" customHeight="1">
      <c r="B38" s="326"/>
      <c r="C38" s="326"/>
      <c r="D38" s="326"/>
      <c r="E38" s="326"/>
      <c r="F38" s="326"/>
      <c r="G38" s="326"/>
      <c r="H38" s="326"/>
      <c r="I38" s="326"/>
      <c r="J38" s="326"/>
      <c r="K38" s="326"/>
      <c r="L38" s="326"/>
      <c r="M38" s="326"/>
      <c r="O38" s="326"/>
      <c r="P38" s="326"/>
      <c r="Q38" s="326"/>
      <c r="R38" s="326"/>
      <c r="S38" s="326"/>
    </row>
    <row r="39" spans="2:19" ht="18">
      <c r="B39" s="330" t="s">
        <v>3375</v>
      </c>
    </row>
    <row r="40" spans="2:19">
      <c r="B40" s="113" t="str">
        <f>CONCATENATE("Automatic Increase Insured up to 10% or ",TEXT('Turbine Owner BroadForm'!K8,"$#,###")," whichever is less.")</f>
        <v>Automatic Increase Insured up to 10% or $150,000 whichever is less.</v>
      </c>
      <c r="H40" s="113" t="str">
        <f>CONCATENATE("Hurricane Protection Coverage ",TEXT('Turbine Owner BroadForm'!D37,"$#,##0"))</f>
        <v>Hurricane Protection Coverage $1,000</v>
      </c>
    </row>
    <row r="41" spans="2:19">
      <c r="B41" s="113" t="str">
        <f>CONCATENATE("Baggage ",TEXT('Turbine Owner BroadForm'!I11,"$#,##0")," each occ. &amp; Hangar Coverages, ",TEXT('Turbine Owner BroadForm'!G12,"$#,##0")," each occ")</f>
        <v>Baggage $1,000 each occ. &amp; Hangar Coverages, $50,000 each occ</v>
      </c>
      <c r="H41" t="str">
        <f>CONCATENATE("Substitute Aircraft Expense: 1% of the I.V. but not to exceed ",TEXT('Turbine Owner BroadForm'!D41,"$#,##0"))</f>
        <v>Substitute Aircraft Expense: 1% of the I.V. but not to exceed $25,000</v>
      </c>
    </row>
    <row r="42" spans="2:19">
      <c r="B42" s="113" t="s">
        <v>2953</v>
      </c>
      <c r="H42" t="str">
        <f>CONCATENATE("Replacement Parts Expense: ",TEXT('Turbine Owner BroadForm'!D45,"$##,##0")," each occ.")</f>
        <v>Replacement Parts Expense: $10,000 each occ.</v>
      </c>
    </row>
    <row r="43" spans="2:19">
      <c r="B43" s="327" t="str">
        <f>CONCATENATE("Hangarkeepers Liability ",TEXT('Turbine Owner BroadForm'!H15,"$#,##0")," per AC/ ", TEXT('Turbine Owner BroadForm'!M15,"$#,##0")," OCC w/",TEXT('Turbine Owner BroadForm'!E16,"$#,##0")," deduct")</f>
        <v>Hangarkeepers Liability $1,000,000 per AC/ $1,000,000 OCC w/$10,000 deduct</v>
      </c>
      <c r="H43" s="328" t="str">
        <f>CONCATENATE("*Non-Owned Physical Damange Coverage,up to ITEM 5 or ",TEXT('Turbine Owner BroadForm'!D51,"$#,##0")," whichever is more.")</f>
        <v>*Non-Owned Physical Damange Coverage,up to ITEM 5 or $250,000 whichever is more.</v>
      </c>
    </row>
    <row r="44" spans="2:19">
      <c r="B44" s="327" t="str">
        <f>CONCATENATE("'Mobile Equipment Liability ",TEXT('Turbine Owner BroadForm'!D19,"$#,##0"))</f>
        <v>'Mobile Equipment Liability $150,000</v>
      </c>
      <c r="I44" s="507" t="str">
        <f>IF(H43="","","*Provided Named Insured is one individual, or one individual and spouse.")</f>
        <v>*Provided Named Insured is one individual, or one individual and spouse.</v>
      </c>
    </row>
    <row r="45" spans="2:19" ht="14.25" customHeight="1">
      <c r="B45" s="1195" t="str">
        <f>CONCATENATE("Spare Parts/Safety Equip/Avionics &amp; Accessories ",TEXT('Turbine Owner BroadForm'!E28,"$#,##0"),"/",TEXT('Turbine Owner BroadForm'!E26,"$#,##0"),"/",TEXT('Turbine Owner BroadForm'!E24,"$#,##0"),CHAR(10),"        subject to a ",TEXT('Turbine Owner BroadForm'!D22,"$#,##0")," each loss")</f>
        <v>Spare Parts/Safety Equip/Avionics &amp; Accessories $250,000/$2,500/$2,500
        subject to a $1,000 each loss</v>
      </c>
      <c r="C45" s="1195"/>
      <c r="D45" s="1195"/>
      <c r="E45" s="1195"/>
      <c r="F45" s="1195"/>
      <c r="G45" s="1195"/>
      <c r="H45" t="s">
        <v>3393</v>
      </c>
    </row>
    <row r="46" spans="2:19">
      <c r="B46" s="1195"/>
      <c r="C46" s="1195"/>
      <c r="D46" s="1195"/>
      <c r="E46" s="1195"/>
      <c r="F46" s="1195"/>
      <c r="G46" s="1195"/>
      <c r="H46" t="s">
        <v>3394</v>
      </c>
    </row>
    <row r="47" spans="2:19" ht="14.25" customHeight="1">
      <c r="B47" s="327" t="str">
        <f>CONCATENATE("Premisies Medical Coverage ",TEXT('Turbine Owner BroadForm'!$F$31,"$#,##0"))</f>
        <v>Premisies Medical Coverage $5,000</v>
      </c>
      <c r="C47" s="469"/>
      <c r="D47" s="469"/>
      <c r="E47" s="469"/>
      <c r="F47" s="469"/>
      <c r="G47" s="469"/>
      <c r="H47" s="328" t="s">
        <v>3395</v>
      </c>
    </row>
    <row r="48" spans="2:19" ht="14.45" customHeight="1">
      <c r="B48" s="1195" t="str">
        <f>CONCATENATE("Runway Foaming: ",TEXT('Turbine Owner BroadForm'!$E$34,"$#,##0")," each occ.",CHAR(10),"Search and Rescue Expenses: ",TEXT('Turbine Owner BroadForm'!$I$35,"$#,##0")," each occ.")</f>
        <v>Runway Foaming: $25,000 each occ.
Search and Rescue Expenses: $25,000 each occ.</v>
      </c>
      <c r="C48" s="1195"/>
      <c r="D48" s="1195"/>
      <c r="E48" s="1195"/>
      <c r="F48" s="1195"/>
      <c r="G48" s="1195"/>
      <c r="H48" t="str">
        <f>CONCATENATE("Trip Interruption Expense: ",TEXT('Turbine Owner BroadForm'!D55,"$#,##0")," each pax, ",TEXT('Turbine Owner BroadForm'!H55,"$#,##0")," each occ.")</f>
        <v>Trip Interruption Expense: $2,500 each pax, $25,000 each occ.</v>
      </c>
    </row>
    <row r="49" spans="2:49" ht="14.45" customHeight="1">
      <c r="B49" s="1195"/>
      <c r="C49" s="1195"/>
      <c r="D49" s="1195"/>
      <c r="E49" s="1195"/>
      <c r="F49" s="1195"/>
      <c r="G49" s="1195"/>
      <c r="H49" s="52" t="s">
        <v>3396</v>
      </c>
    </row>
    <row r="50" spans="2:49">
      <c r="B50" s="113" t="s">
        <v>3086</v>
      </c>
    </row>
    <row r="51" spans="2:49"/>
    <row r="52" spans="2:49">
      <c r="B52" t="s">
        <v>3397</v>
      </c>
    </row>
    <row r="53" spans="2:49"/>
    <row r="54" spans="2:49">
      <c r="B54" t="s">
        <v>3398</v>
      </c>
    </row>
    <row r="55" spans="2:49"/>
    <row r="56" spans="2:49" ht="18.75" thickBot="1">
      <c r="B56" s="330" t="s">
        <v>3385</v>
      </c>
    </row>
    <row r="57" spans="2:49" ht="67.5" customHeight="1" thickBot="1">
      <c r="B57" s="1192"/>
      <c r="C57" s="1193"/>
      <c r="D57" s="1193"/>
      <c r="E57" s="1193"/>
      <c r="F57" s="1193"/>
      <c r="G57" s="1193"/>
      <c r="H57" s="1193"/>
      <c r="I57" s="1193"/>
      <c r="J57" s="1193"/>
      <c r="K57" s="1193"/>
      <c r="L57" s="1193"/>
      <c r="M57" s="1194"/>
    </row>
    <row r="58" spans="2:49" ht="14.25" customHeight="1">
      <c r="B58" s="154"/>
      <c r="C58" s="154"/>
      <c r="D58" s="154"/>
      <c r="E58" s="154"/>
      <c r="F58" s="154"/>
      <c r="G58" s="154"/>
      <c r="H58" s="154"/>
      <c r="I58" s="154"/>
      <c r="J58" s="154"/>
      <c r="K58" s="154"/>
      <c r="L58" s="154"/>
      <c r="M58" s="154"/>
    </row>
    <row r="59" spans="2:49" ht="18">
      <c r="B59" s="330" t="s">
        <v>3399</v>
      </c>
    </row>
    <row r="60" spans="2:49">
      <c r="B60" s="1169" t="s">
        <v>3400</v>
      </c>
      <c r="C60" s="1169"/>
      <c r="D60" s="1169"/>
      <c r="E60" s="1169"/>
      <c r="F60" s="1169"/>
      <c r="G60" s="1169"/>
      <c r="H60" s="1169"/>
      <c r="I60" s="1169"/>
      <c r="J60" s="1169"/>
      <c r="K60" s="1169"/>
      <c r="L60" s="1169"/>
      <c r="M60" s="154"/>
      <c r="N60" s="329"/>
      <c r="O60" s="329"/>
      <c r="P60" s="329"/>
      <c r="Q60" s="329"/>
      <c r="R60" s="329"/>
      <c r="S60" s="329"/>
      <c r="T60" s="329"/>
      <c r="U60" s="329"/>
      <c r="V60" s="329"/>
      <c r="W60" s="329"/>
      <c r="X60" s="329"/>
      <c r="Y60" s="329"/>
      <c r="Z60" s="329"/>
      <c r="AA60" s="329"/>
      <c r="AB60" s="329"/>
      <c r="AC60" s="329"/>
      <c r="AD60" s="329"/>
      <c r="AE60" s="329"/>
      <c r="AF60" s="329"/>
      <c r="AG60" s="329"/>
      <c r="AH60" s="329"/>
      <c r="AI60" s="329"/>
      <c r="AJ60" s="329"/>
      <c r="AK60" s="329"/>
      <c r="AL60" s="329"/>
      <c r="AM60" s="329"/>
      <c r="AN60" s="329"/>
      <c r="AO60" s="329"/>
      <c r="AP60" s="329"/>
      <c r="AQ60" s="329"/>
      <c r="AR60" s="329"/>
      <c r="AS60" s="329"/>
      <c r="AT60" s="329"/>
      <c r="AU60" s="329"/>
      <c r="AV60" s="329"/>
      <c r="AW60" s="329"/>
    </row>
    <row r="61" spans="2:49"/>
    <row r="62" spans="2:49" ht="18">
      <c r="B62" s="330" t="s">
        <v>3401</v>
      </c>
    </row>
    <row r="63" spans="2:49" ht="14.25" customHeight="1">
      <c r="B63" s="1068" t="str">
        <f>'Additional Cov.'!$C$123</f>
        <v>AVA 00 01 - Aviation Coverage Form AVA - Forms Schedule, AVA 00 55-Aerial Photography, AVA 00 56-Aerial Surveillance, AVA 00 59-Aircraft Trailer Physical Damage Coverage, AVA 00 63-Broad Coverage, AVA 00 64-Cargo Liability, AVA 00 66-Emergency or Unexpected Landing, AVA 00 71-Floats Clause, AVA 00 85-Non owned Aircraft - Liability, AVA 00 90-Passenger Voluntary Settlement, AVA 00 93-Pilot Clause, AVA 00 98-Purpose of Use, AVA 01 03-Search &amp; Rescue Wreck Removal Expense Liability Ins. Supplemental Payments, AVA 01 02-Runway or Aircraft Foaming - Supplemental Payments, AVA 01 06-Student and Renter Pilot Liability, AVA 01 09-Unmanned Aerial Vehicle Endorsement, AVA 01 11-Work in Progress, AV 00 09-Extended Coverage-Certified Acts of Terrorism Coverage, and any specific state amendatory endorsements or notices.</v>
      </c>
      <c r="C63" s="1068"/>
      <c r="D63" s="1068"/>
      <c r="E63" s="1068"/>
      <c r="F63" s="1068"/>
      <c r="G63" s="1068"/>
      <c r="H63" s="1068"/>
      <c r="I63" s="1068"/>
      <c r="J63" s="1068"/>
      <c r="K63" s="1068"/>
      <c r="L63" s="1068"/>
      <c r="M63" s="1068"/>
      <c r="N63" s="331"/>
    </row>
    <row r="64" spans="2:49">
      <c r="B64" s="1068"/>
      <c r="C64" s="1068"/>
      <c r="D64" s="1068"/>
      <c r="E64" s="1068"/>
      <c r="F64" s="1068"/>
      <c r="G64" s="1068"/>
      <c r="H64" s="1068"/>
      <c r="I64" s="1068"/>
      <c r="J64" s="1068"/>
      <c r="K64" s="1068"/>
      <c r="L64" s="1068"/>
      <c r="M64" s="1068"/>
      <c r="N64" s="331"/>
    </row>
    <row r="65" spans="2:14">
      <c r="B65" s="1068"/>
      <c r="C65" s="1068"/>
      <c r="D65" s="1068"/>
      <c r="E65" s="1068"/>
      <c r="F65" s="1068"/>
      <c r="G65" s="1068"/>
      <c r="H65" s="1068"/>
      <c r="I65" s="1068"/>
      <c r="J65" s="1068"/>
      <c r="K65" s="1068"/>
      <c r="L65" s="1068"/>
      <c r="M65" s="1068"/>
      <c r="N65" s="331"/>
    </row>
    <row r="66" spans="2:14">
      <c r="B66" s="1068"/>
      <c r="C66" s="1068"/>
      <c r="D66" s="1068"/>
      <c r="E66" s="1068"/>
      <c r="F66" s="1068"/>
      <c r="G66" s="1068"/>
      <c r="H66" s="1068"/>
      <c r="I66" s="1068"/>
      <c r="J66" s="1068"/>
      <c r="K66" s="1068"/>
      <c r="L66" s="1068"/>
      <c r="M66" s="1068"/>
      <c r="N66" s="331"/>
    </row>
    <row r="67" spans="2:14">
      <c r="B67" s="1068"/>
      <c r="C67" s="1068"/>
      <c r="D67" s="1068"/>
      <c r="E67" s="1068"/>
      <c r="F67" s="1068"/>
      <c r="G67" s="1068"/>
      <c r="H67" s="1068"/>
      <c r="I67" s="1068"/>
      <c r="J67" s="1068"/>
      <c r="K67" s="1068"/>
      <c r="L67" s="1068"/>
      <c r="M67" s="1068"/>
      <c r="N67" s="331"/>
    </row>
    <row r="68" spans="2:14"/>
    <row r="69" spans="2:14"/>
    <row r="70" spans="2:14"/>
    <row r="71" spans="2:14"/>
    <row r="72" spans="2:14"/>
    <row r="73" spans="2:14"/>
    <row r="74" spans="2:14"/>
    <row r="75" spans="2:14"/>
    <row r="76" spans="2:14"/>
  </sheetData>
  <sheetProtection algorithmName="SHA-512" hashValue="2ZxYEkjwfiCv7lxhYRflCjFZ/rBXIh2xdSQ4Zg7q9sy0eiVomxTADbAdFFxkdomOhWu8j9DDQYjUKAseGV/q0w==" saltValue="s1guEHeH7fzQcBzl51EKlQ==" spinCount="100000" sheet="1" formatCells="0" formatColumns="0" formatRows="0" insertColumns="0" insertRows="0"/>
  <mergeCells count="22">
    <mergeCell ref="E1:J2"/>
    <mergeCell ref="B29:L37"/>
    <mergeCell ref="B45:G46"/>
    <mergeCell ref="B63:M67"/>
    <mergeCell ref="D12:E12"/>
    <mergeCell ref="D13:E13"/>
    <mergeCell ref="D14:E14"/>
    <mergeCell ref="D15:E15"/>
    <mergeCell ref="D16:E16"/>
    <mergeCell ref="D17:E17"/>
    <mergeCell ref="J12:K12"/>
    <mergeCell ref="J13:K13"/>
    <mergeCell ref="J14:K14"/>
    <mergeCell ref="J15:K15"/>
    <mergeCell ref="J16:K16"/>
    <mergeCell ref="F8:H8"/>
    <mergeCell ref="B57:M57"/>
    <mergeCell ref="B60:L60"/>
    <mergeCell ref="B48:G49"/>
    <mergeCell ref="J17:K17"/>
    <mergeCell ref="J5:K5"/>
    <mergeCell ref="C27:K27"/>
  </mergeCells>
  <conditionalFormatting sqref="C10">
    <cfRule type="cellIs" dxfId="58" priority="4" operator="lessThan">
      <formula>0.15</formula>
    </cfRule>
    <cfRule type="cellIs" dxfId="57" priority="5" operator="greaterThan">
      <formula>0.15</formula>
    </cfRule>
  </conditionalFormatting>
  <conditionalFormatting sqref="I9">
    <cfRule type="expression" dxfId="56" priority="2">
      <formula>AND($F$9&gt;"",$I$9="")</formula>
    </cfRule>
    <cfRule type="expression" dxfId="55" priority="3">
      <formula>$F$9&gt;""</formula>
    </cfRule>
  </conditionalFormatting>
  <pageMargins left="0.7" right="0.7" top="0.75" bottom="0.75" header="0.3" footer="0.3"/>
  <pageSetup scale="56" orientation="portrait" horizontalDpi="1200" verticalDpi="1200" r:id="rId1"/>
  <rowBreaks count="1" manualBreakCount="1">
    <brk id="37"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1" id="{1F439620-EC27-44ED-B4B8-1172A6348BBD}">
            <xm:f>'Data-UW'!$D$2=""</xm:f>
            <x14:dxf>
              <font>
                <color theme="0"/>
              </font>
            </x14:dxf>
          </x14:cfRule>
          <xm:sqref>F7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C1129-7402-44F3-A434-05D5E5D4EA23}">
  <sheetPr codeName="Sheet33">
    <tabColor theme="2" tint="-0.89999084444715716"/>
    <pageSetUpPr fitToPage="1"/>
  </sheetPr>
  <dimension ref="A2:O53"/>
  <sheetViews>
    <sheetView view="pageBreakPreview" topLeftCell="A9" zoomScale="90" zoomScaleNormal="80" zoomScaleSheetLayoutView="90" workbookViewId="0">
      <selection activeCell="D15" sqref="D15:K15"/>
    </sheetView>
  </sheetViews>
  <sheetFormatPr defaultRowHeight="14.25"/>
  <cols>
    <col min="1" max="1" width="10.125" bestFit="1" customWidth="1"/>
    <col min="4" max="4" width="16.5" customWidth="1"/>
    <col min="6" max="6" width="12" bestFit="1" customWidth="1"/>
    <col min="7" max="7" width="15.5" bestFit="1" customWidth="1"/>
    <col min="8" max="8" width="12.25" bestFit="1" customWidth="1"/>
    <col min="9" max="9" width="11" bestFit="1" customWidth="1"/>
    <col min="10" max="10" width="20.875" customWidth="1"/>
    <col min="11" max="11" width="12.25" bestFit="1" customWidth="1"/>
    <col min="12" max="12" width="11" bestFit="1" customWidth="1"/>
    <col min="14" max="14" width="17.125" customWidth="1"/>
    <col min="15" max="15" width="13.375" bestFit="1" customWidth="1"/>
  </cols>
  <sheetData>
    <row r="2" spans="1:15">
      <c r="A2" s="793" t="s">
        <v>4379</v>
      </c>
      <c r="B2" s="1234" t="str">
        <f>IF('Data-UW'!F4="","",'Data-UW'!F4)</f>
        <v/>
      </c>
      <c r="C2" s="1234"/>
      <c r="D2" s="1234"/>
      <c r="E2" s="1234"/>
      <c r="F2" s="793" t="s">
        <v>4397</v>
      </c>
      <c r="G2" s="1234" t="str">
        <f>IF(B2="","",IF('Data-UW'!F2="","",'Data-UW'!F2))</f>
        <v/>
      </c>
      <c r="H2" s="1234"/>
      <c r="I2" s="1234"/>
      <c r="J2" s="1234"/>
      <c r="K2" s="794"/>
      <c r="L2" s="794"/>
      <c r="M2" s="794"/>
      <c r="N2" s="794"/>
      <c r="O2" s="794"/>
    </row>
    <row r="3" spans="1:15">
      <c r="A3" s="795"/>
      <c r="B3" s="1234"/>
      <c r="C3" s="1234"/>
      <c r="D3" s="1234"/>
      <c r="E3" s="1234"/>
      <c r="F3" s="794"/>
      <c r="G3" s="1234"/>
      <c r="H3" s="1234"/>
      <c r="I3" s="1234"/>
      <c r="J3" s="1234"/>
      <c r="K3" s="794"/>
      <c r="L3" s="794"/>
      <c r="M3" s="794"/>
      <c r="N3" s="794"/>
      <c r="O3" s="794"/>
    </row>
    <row r="4" spans="1:15" ht="15">
      <c r="A4" s="795"/>
      <c r="B4" s="1234"/>
      <c r="C4" s="1234"/>
      <c r="D4" s="1234"/>
      <c r="E4" s="1234"/>
      <c r="F4" s="793" t="s">
        <v>4380</v>
      </c>
      <c r="G4" s="1230" t="str">
        <f>IF(B2="","",'Data-UW'!F3)</f>
        <v/>
      </c>
      <c r="H4" s="1230"/>
      <c r="I4" s="1230"/>
      <c r="J4" s="1230"/>
      <c r="K4" s="794"/>
      <c r="L4" s="794"/>
      <c r="M4" s="794"/>
      <c r="N4" s="794"/>
      <c r="O4" s="794"/>
    </row>
    <row r="5" spans="1:15" ht="15">
      <c r="A5" s="795"/>
      <c r="B5" s="1230" t="str">
        <f>IF(B2="","",IF('Data-UW'!F11="","",'Data-UW'!F11))</f>
        <v/>
      </c>
      <c r="C5" s="1230"/>
      <c r="D5" s="1230"/>
      <c r="E5" s="1230"/>
      <c r="F5" s="794"/>
      <c r="G5" s="1230"/>
      <c r="H5" s="1230"/>
      <c r="I5" s="1230"/>
      <c r="J5" s="1230"/>
      <c r="K5" s="794"/>
      <c r="L5" s="794"/>
      <c r="M5" s="794"/>
      <c r="N5" s="794"/>
      <c r="O5" s="794"/>
    </row>
    <row r="6" spans="1:15" ht="15">
      <c r="A6" s="794"/>
      <c r="B6" s="1230" t="str">
        <f>IF(B2="","",IF('Data-UW'!F12="","",'Data-UW'!F12))</f>
        <v/>
      </c>
      <c r="C6" s="1230"/>
      <c r="D6" s="1230"/>
      <c r="E6" s="1230"/>
      <c r="F6" s="794"/>
      <c r="G6" s="1230" t="s">
        <v>4412</v>
      </c>
      <c r="H6" s="1230"/>
      <c r="I6" s="1230"/>
      <c r="J6" s="1230"/>
      <c r="K6" s="1228" t="s">
        <v>19</v>
      </c>
      <c r="L6" s="1228"/>
      <c r="M6" s="1230" t="str">
        <f>IF(B2="","",'Data-UW'!D4)</f>
        <v/>
      </c>
      <c r="N6" s="1230"/>
      <c r="O6" s="1230"/>
    </row>
    <row r="7" spans="1:15" ht="15">
      <c r="A7" s="794"/>
      <c r="B7" s="1230" t="str">
        <f>IF(B2="","",'Data-UW'!F13&amp;", "&amp;'Data-UW'!I13&amp;"  "&amp;'Data-UW'!K13)</f>
        <v/>
      </c>
      <c r="C7" s="1230"/>
      <c r="D7" s="1230"/>
      <c r="E7" s="1230"/>
      <c r="F7" s="795"/>
      <c r="G7" s="1230"/>
      <c r="H7" s="1230"/>
      <c r="I7" s="1230"/>
      <c r="J7" s="1230"/>
      <c r="K7" s="794"/>
      <c r="L7" s="794"/>
      <c r="M7" s="1230"/>
      <c r="N7" s="1230"/>
      <c r="O7" s="1230"/>
    </row>
    <row r="8" spans="1:15" ht="15">
      <c r="A8" s="1228" t="s">
        <v>3386</v>
      </c>
      <c r="B8" s="1228"/>
      <c r="C8" s="796" t="str">
        <f ca="1">IF(B2="","",TODAY())</f>
        <v/>
      </c>
      <c r="D8" s="794"/>
      <c r="E8" s="794"/>
      <c r="F8" s="795"/>
      <c r="G8" s="1230"/>
      <c r="H8" s="1230"/>
      <c r="I8" s="1230"/>
      <c r="J8" s="794"/>
      <c r="K8" s="794"/>
      <c r="L8" s="794"/>
      <c r="M8" s="1230"/>
      <c r="N8" s="1230"/>
      <c r="O8" s="1230"/>
    </row>
    <row r="9" spans="1:15" ht="15">
      <c r="A9" s="1228" t="s">
        <v>4381</v>
      </c>
      <c r="B9" s="1228"/>
      <c r="C9" s="1232" t="str">
        <f>IF(B2="","",TEXT('Data-UW'!F10,"mm/dd/yyyy")&amp;"   to   "&amp;TEXT('Data-UW'!I10,"mm/dd/yyyy"))</f>
        <v/>
      </c>
      <c r="D9" s="1232"/>
      <c r="E9" s="1232"/>
      <c r="F9" s="1232"/>
      <c r="G9" s="1230"/>
      <c r="H9" s="1230"/>
      <c r="I9" s="1230"/>
      <c r="J9" s="794"/>
      <c r="K9" s="794"/>
      <c r="L9" s="794"/>
      <c r="M9" s="1227"/>
      <c r="N9" s="1227"/>
      <c r="O9" s="1227"/>
    </row>
    <row r="10" spans="1:15" ht="15">
      <c r="A10" s="1228" t="s">
        <v>4382</v>
      </c>
      <c r="B10" s="1228"/>
      <c r="C10" s="1229" t="s">
        <v>4398</v>
      </c>
      <c r="D10" s="1229"/>
      <c r="E10" s="1229"/>
      <c r="F10" s="1229"/>
      <c r="G10" s="1230"/>
      <c r="H10" s="1230"/>
      <c r="I10" s="1230"/>
      <c r="J10" s="794"/>
      <c r="K10" s="1228" t="s">
        <v>4383</v>
      </c>
      <c r="L10" s="1228"/>
      <c r="M10" s="1231" t="s">
        <v>4399</v>
      </c>
      <c r="N10" s="1231"/>
      <c r="O10" s="1231"/>
    </row>
    <row r="11" spans="1:15" ht="15">
      <c r="A11" s="794"/>
      <c r="B11" s="795"/>
      <c r="C11" s="797"/>
      <c r="D11" s="794"/>
      <c r="E11" s="794"/>
      <c r="F11" s="794"/>
      <c r="G11" s="1230"/>
      <c r="H11" s="1230"/>
      <c r="I11" s="1230"/>
      <c r="J11" s="794"/>
      <c r="K11" s="1228" t="s">
        <v>4384</v>
      </c>
      <c r="L11" s="1228"/>
      <c r="M11" s="798" t="s">
        <v>4400</v>
      </c>
      <c r="N11" s="799"/>
      <c r="O11" s="799"/>
    </row>
    <row r="12" spans="1:15">
      <c r="A12" s="794"/>
      <c r="B12" s="800"/>
      <c r="C12" s="800"/>
      <c r="D12" s="794"/>
      <c r="E12" s="794"/>
      <c r="F12" s="794"/>
      <c r="G12" s="794"/>
      <c r="H12" s="794"/>
      <c r="I12" s="794"/>
      <c r="J12" s="794"/>
      <c r="K12" s="794"/>
      <c r="L12" s="800"/>
      <c r="M12" s="800"/>
      <c r="N12" s="800"/>
      <c r="O12" s="800"/>
    </row>
    <row r="13" spans="1:15">
      <c r="A13" s="794"/>
      <c r="B13" s="800"/>
      <c r="C13" s="800"/>
      <c r="D13" s="1226" t="s">
        <v>4385</v>
      </c>
      <c r="E13" s="1226"/>
      <c r="F13" s="1226"/>
      <c r="G13" s="1226"/>
      <c r="H13" s="1226"/>
      <c r="I13" s="1226"/>
      <c r="J13" s="1226"/>
      <c r="K13" s="1226"/>
      <c r="L13" s="800"/>
      <c r="M13" s="800"/>
      <c r="N13" s="800"/>
      <c r="O13" s="800"/>
    </row>
    <row r="14" spans="1:15">
      <c r="A14" s="794"/>
      <c r="B14" s="800"/>
      <c r="C14" s="800"/>
      <c r="D14" s="1226"/>
      <c r="E14" s="1226"/>
      <c r="F14" s="1226"/>
      <c r="G14" s="1226"/>
      <c r="H14" s="1226"/>
      <c r="I14" s="1226"/>
      <c r="J14" s="1226"/>
      <c r="K14" s="1226"/>
      <c r="L14" s="800"/>
      <c r="M14" s="800"/>
      <c r="N14" s="800"/>
      <c r="O14" s="800"/>
    </row>
    <row r="15" spans="1:15" ht="14.25" customHeight="1">
      <c r="A15" s="794"/>
      <c r="B15" s="800"/>
      <c r="C15" s="800"/>
      <c r="D15" s="1233" t="str">
        <f>IF('Platinum Endt-Ancillary'!$B$52="X",CONCATENATE("Quota Share Lead Terms: ",TEXT('Platinum Endt-Ancillary'!$D$52,"0%"),":  Lead Fee: ",TEXT('Platinum Endt-Ancillary'!C52,"$#,##0")," **NOT INCLUDED IN TOTAL POLICY PREMIUM**"),"")</f>
        <v/>
      </c>
      <c r="E15" s="1233"/>
      <c r="F15" s="1233"/>
      <c r="G15" s="1233"/>
      <c r="H15" s="1233"/>
      <c r="I15" s="1233"/>
      <c r="J15" s="1233"/>
      <c r="K15" s="1233"/>
      <c r="L15" s="800"/>
      <c r="M15" s="800"/>
      <c r="N15" s="800"/>
      <c r="O15" s="800"/>
    </row>
    <row r="16" spans="1:15" ht="15.75">
      <c r="A16" s="940" t="s">
        <v>4386</v>
      </c>
      <c r="B16" s="940"/>
      <c r="C16" s="940"/>
      <c r="D16" s="940"/>
      <c r="E16" s="940"/>
      <c r="F16" s="940"/>
      <c r="G16" s="940"/>
      <c r="H16" s="940"/>
      <c r="I16" s="940"/>
      <c r="J16" s="940"/>
      <c r="K16" s="940"/>
      <c r="L16" s="940"/>
      <c r="M16" s="1228" t="s">
        <v>3355</v>
      </c>
      <c r="N16" s="1228"/>
      <c r="O16" s="801" t="str">
        <f>IF(B2="","",'Data-UW'!B4)</f>
        <v/>
      </c>
    </row>
    <row r="17" spans="1:15">
      <c r="A17" s="802"/>
      <c r="B17" s="803"/>
      <c r="C17" s="804"/>
      <c r="D17" s="805"/>
      <c r="E17" s="803"/>
      <c r="F17" s="802"/>
      <c r="G17" s="1219" t="s">
        <v>3034</v>
      </c>
      <c r="H17" s="1219"/>
      <c r="I17" s="1219"/>
      <c r="J17" s="1219" t="s">
        <v>2995</v>
      </c>
      <c r="K17" s="1219"/>
      <c r="L17" s="1219"/>
      <c r="M17" s="802"/>
      <c r="N17" s="802"/>
      <c r="O17" s="802"/>
    </row>
    <row r="18" spans="1:15" ht="25.5">
      <c r="A18" s="806" t="s">
        <v>4160</v>
      </c>
      <c r="B18" s="806" t="s">
        <v>4387</v>
      </c>
      <c r="C18" s="1224" t="s">
        <v>4388</v>
      </c>
      <c r="D18" s="1224"/>
      <c r="E18" s="806" t="s">
        <v>36</v>
      </c>
      <c r="F18" s="806" t="s">
        <v>4389</v>
      </c>
      <c r="G18" s="807" t="s">
        <v>4390</v>
      </c>
      <c r="H18" s="808" t="s">
        <v>3369</v>
      </c>
      <c r="I18" s="809" t="s">
        <v>4391</v>
      </c>
      <c r="J18" s="807" t="s">
        <v>4004</v>
      </c>
      <c r="K18" s="808" t="s">
        <v>4392</v>
      </c>
      <c r="L18" s="809" t="s">
        <v>4393</v>
      </c>
      <c r="M18" s="806" t="s">
        <v>4394</v>
      </c>
      <c r="N18" s="806" t="s">
        <v>4395</v>
      </c>
      <c r="O18" s="806" t="s">
        <v>4396</v>
      </c>
    </row>
    <row r="19" spans="1:15" ht="15">
      <c r="A19" s="810" t="str">
        <f>IF(Aircraft!J4="","","Ind Aid")</f>
        <v>Ind Aid</v>
      </c>
      <c r="B19" s="810" t="str">
        <f>IF(Aircraft!F4="","",Aircraft!F4)</f>
        <v/>
      </c>
      <c r="C19" s="1225" t="str">
        <f>IF(Aircraft!J4="","",Aircraft!J4)</f>
        <v>CESSNA 172</v>
      </c>
      <c r="D19" s="1225"/>
      <c r="E19" s="810" t="str">
        <f>IF(Aircraft!H4="","",Aircraft!H4)</f>
        <v/>
      </c>
      <c r="F19" s="811" t="str">
        <f>IF(B19="","",'Platinum Quote'!B75)</f>
        <v/>
      </c>
      <c r="G19" s="812" t="str">
        <f>IF(B19="","",Aircraft!P4)</f>
        <v/>
      </c>
      <c r="H19" s="812" t="str">
        <f>IF(B19="","",Worksheet_Com!O6)</f>
        <v/>
      </c>
      <c r="I19" s="812" t="str">
        <f>IF('Plat Premium Summary'!B19="","",IF(OR(Rating!$L$2="No",L19="N/A"),"N/A",'Turbine Owner-Com'!F20))</f>
        <v/>
      </c>
      <c r="J19" s="840" t="str">
        <f>IF(B19="","",Aircraft!W4)</f>
        <v/>
      </c>
      <c r="K19" s="812" t="str">
        <f>IF(B19="","",'Turbine Owner-Com'!C20)</f>
        <v/>
      </c>
      <c r="L19" s="812" t="str">
        <f>IF(B19="","",'Turbine Owner-Com'!G20)</f>
        <v/>
      </c>
      <c r="M19" s="813" t="str">
        <f>IF(B19="","",'Turbine Owner-Com'!D20)</f>
        <v/>
      </c>
      <c r="N19" s="813" t="str">
        <f>IF(B19="","",Rating!AE10)</f>
        <v/>
      </c>
      <c r="O19" s="812" t="str">
        <f>IF(B19="","",SUM(H19,I19,K19,L19,M19,N19))</f>
        <v/>
      </c>
    </row>
    <row r="20" spans="1:15" ht="15.75">
      <c r="A20" s="814" t="str">
        <f>IF(A19="",""," ")</f>
        <v xml:space="preserve"> </v>
      </c>
      <c r="B20" s="814" t="str">
        <f>IF(B19="",""," ")</f>
        <v/>
      </c>
      <c r="C20" s="814" t="str">
        <f>IF(C19="",""," ")</f>
        <v xml:space="preserve"> </v>
      </c>
      <c r="D20" s="814" t="str">
        <f>IF(C19="",""," ")</f>
        <v xml:space="preserve"> </v>
      </c>
      <c r="E20" s="814" t="str">
        <f>IF(B19="",""," ")</f>
        <v/>
      </c>
      <c r="F20" s="837" t="str">
        <f>IF(B19="","","NIM Ded:")</f>
        <v/>
      </c>
      <c r="G20" s="812" t="str">
        <f>IF(B19="","",Aircraft!AA4)</f>
        <v/>
      </c>
      <c r="H20" s="837" t="str">
        <f>IF(B19="","","IM Ded:")</f>
        <v/>
      </c>
      <c r="I20" s="812" t="str">
        <f>IF($B$19="","",Aircraft!AC4)</f>
        <v/>
      </c>
      <c r="J20" s="1221" t="str">
        <f>IF(B19="","","War Liability Limit - "&amp;TEXT(Aircraft!AU3,"#,#0"))</f>
        <v/>
      </c>
      <c r="K20" s="1221"/>
      <c r="L20" s="1221"/>
      <c r="M20" s="814" t="str">
        <f>IF(L19="",""," ")</f>
        <v/>
      </c>
      <c r="N20" s="814" t="str">
        <f>IF(N19="",""," ")</f>
        <v/>
      </c>
      <c r="O20" s="814" t="str">
        <f>IF(O19="",""," ")</f>
        <v/>
      </c>
    </row>
    <row r="21" spans="1:15" ht="15">
      <c r="A21" s="810" t="str">
        <f>IF(Aircraft!J5="","","Ind Aid")</f>
        <v>Ind Aid</v>
      </c>
      <c r="B21" s="810" t="str">
        <f>IF(Aircraft!F5="","",Aircraft!F5)</f>
        <v/>
      </c>
      <c r="C21" s="1222" t="str">
        <f>IF(Aircraft!J5="","",Aircraft!J5)</f>
        <v>AERO L-39</v>
      </c>
      <c r="D21" s="1222"/>
      <c r="E21" s="810" t="str">
        <f>IF(Aircraft!H5="","",Aircraft!H5)</f>
        <v/>
      </c>
      <c r="F21" s="811" t="str">
        <f>IF(B20="","",'Platinum Quote'!B76)</f>
        <v/>
      </c>
      <c r="G21" s="812" t="str">
        <f>IF(B21="","",Aircraft!P5)</f>
        <v/>
      </c>
      <c r="H21" s="812" t="str">
        <f>IF(B21="","",Worksheet_Com!O7)</f>
        <v/>
      </c>
      <c r="I21" s="812" t="str">
        <f>IF('Plat Premium Summary'!B21="","",'Turbine Owner-Com'!F21)</f>
        <v/>
      </c>
      <c r="J21" s="812" t="str">
        <f>IF(B21="","",Aircraft!W5)</f>
        <v/>
      </c>
      <c r="K21" s="812" t="str">
        <f>IF(B21="","",'Turbine Owner-Com'!C21)</f>
        <v/>
      </c>
      <c r="L21" s="812" t="str">
        <f>IF(B21="","",'Turbine Owner-Com'!G21)</f>
        <v/>
      </c>
      <c r="M21" s="813" t="str">
        <f>IF(B21="","",'Turbine Owner-Com'!D21)</f>
        <v/>
      </c>
      <c r="N21" s="813" t="str">
        <f>IF(B21="","",Rating!AE11)</f>
        <v/>
      </c>
      <c r="O21" s="812" t="str">
        <f>IF(B21="","",SUM(H21,I21,K21,L21,M21,N21))</f>
        <v/>
      </c>
    </row>
    <row r="22" spans="1:15" ht="15.75">
      <c r="A22" s="814" t="str">
        <f>IF(A21="",""," ")</f>
        <v xml:space="preserve"> </v>
      </c>
      <c r="B22" s="814" t="str">
        <f>IF(B21="",""," ")</f>
        <v/>
      </c>
      <c r="C22" s="814" t="str">
        <f>IF(C21="",""," ")</f>
        <v xml:space="preserve"> </v>
      </c>
      <c r="D22" s="814" t="str">
        <f>IF(C21="",""," ")</f>
        <v xml:space="preserve"> </v>
      </c>
      <c r="E22" s="814" t="str">
        <f>IF(B21="",""," ")</f>
        <v/>
      </c>
      <c r="F22" s="814" t="str">
        <f>IF(B21="","","NIM Ded:")</f>
        <v/>
      </c>
      <c r="G22" s="812" t="str">
        <f>IF(B21="","",Aircraft!AA5)</f>
        <v/>
      </c>
      <c r="H22" s="814" t="str">
        <f>IF(B21="","","IM Ded:")</f>
        <v/>
      </c>
      <c r="I22" s="812" t="str">
        <f>IF($B$21="","",Aircraft!AC5)</f>
        <v/>
      </c>
      <c r="J22" s="1221" t="str">
        <f>IF(B21="","","War Liability Limit - "&amp;TEXT(Aircraft!AU5,"#,#0"))</f>
        <v/>
      </c>
      <c r="K22" s="1221"/>
      <c r="L22" s="1221"/>
      <c r="M22" s="814" t="str">
        <f>IF(L21="",""," ")</f>
        <v/>
      </c>
      <c r="N22" s="814" t="str">
        <f>IF(N21="",""," ")</f>
        <v/>
      </c>
      <c r="O22" s="814" t="str">
        <f>IF(O21="",""," ")</f>
        <v/>
      </c>
    </row>
    <row r="23" spans="1:15" ht="15">
      <c r="A23" s="810" t="str">
        <f>IF(Aircraft!J6="","","Ind Aid")</f>
        <v>Ind Aid</v>
      </c>
      <c r="B23" s="810" t="str">
        <f>IF(Aircraft!F6="","",Aircraft!F6)</f>
        <v/>
      </c>
      <c r="C23" s="1222" t="str">
        <f>IF(Aircraft!J6="","",Aircraft!J6)</f>
        <v>AERO L-39</v>
      </c>
      <c r="D23" s="1222"/>
      <c r="E23" s="810" t="str">
        <f>IF(Aircraft!H6="","",Aircraft!H6)</f>
        <v/>
      </c>
      <c r="F23" s="811" t="str">
        <f>IF(B23="","",'Platinum Quote'!B77)</f>
        <v/>
      </c>
      <c r="G23" s="812" t="str">
        <f>IF(B23="","",Aircraft!P6)</f>
        <v/>
      </c>
      <c r="H23" s="812" t="str">
        <f>IF(B23="","",Worksheet_Com!O8)</f>
        <v/>
      </c>
      <c r="I23" s="812" t="str">
        <f>IF('Plat Premium Summary'!B23="","",'Turbine Owner-Com'!F23)</f>
        <v/>
      </c>
      <c r="J23" s="812" t="str">
        <f>IF(B23="","",Aircraft!W6)</f>
        <v/>
      </c>
      <c r="K23" s="812" t="str">
        <f>IF(B23="","",'Turbine Owner-Com'!C22)</f>
        <v/>
      </c>
      <c r="L23" s="812" t="str">
        <f>IF(B23="","",'Turbine Owner-Com'!G22)</f>
        <v/>
      </c>
      <c r="M23" s="813" t="str">
        <f>IF(B23="","",'Turbine Owner-Com'!D22)</f>
        <v/>
      </c>
      <c r="N23" s="813" t="str">
        <f>IF(B23="","",Rating!AE12)</f>
        <v/>
      </c>
      <c r="O23" s="812" t="str">
        <f>IF(B23="","",SUM(H23,I23,K23,L23,M23,N23))</f>
        <v/>
      </c>
    </row>
    <row r="24" spans="1:15" ht="15.75">
      <c r="A24" s="814" t="str">
        <f>IF(A23="",""," ")</f>
        <v xml:space="preserve"> </v>
      </c>
      <c r="B24" s="814" t="str">
        <f>IF(B23="",""," ")</f>
        <v/>
      </c>
      <c r="C24" s="814" t="str">
        <f>IF(C23="",""," ")</f>
        <v xml:space="preserve"> </v>
      </c>
      <c r="D24" s="814" t="str">
        <f>IF(C23="",""," ")</f>
        <v xml:space="preserve"> </v>
      </c>
      <c r="E24" s="814" t="str">
        <f>IF(B23="",""," ")</f>
        <v/>
      </c>
      <c r="F24" s="814" t="str">
        <f>IF(B23="","","NIM Ded:")</f>
        <v/>
      </c>
      <c r="G24" s="812" t="str">
        <f>IF(B23="","",Aircraft!AA6)</f>
        <v/>
      </c>
      <c r="H24" s="814" t="str">
        <f>IF(B23="","","IM Ded:")</f>
        <v/>
      </c>
      <c r="I24" s="812" t="str">
        <f>IF($B$23="","",Aircraft!AC6)</f>
        <v/>
      </c>
      <c r="J24" s="1221" t="str">
        <f>IF(B23="","","War Liability Limit - "&amp;TEXT(Aircraft!AU6,"#,#0"))</f>
        <v/>
      </c>
      <c r="K24" s="1221"/>
      <c r="L24" s="1221"/>
      <c r="M24" s="814" t="str">
        <f>IF(L23="",""," ")</f>
        <v/>
      </c>
      <c r="N24" s="814" t="str">
        <f>IF(N23="",""," ")</f>
        <v/>
      </c>
      <c r="O24" s="814" t="str">
        <f>IF(O23="",""," ")</f>
        <v/>
      </c>
    </row>
    <row r="25" spans="1:15" ht="15">
      <c r="A25" s="810" t="str">
        <f>IF(Aircraft!J7="","","Ind Aid")</f>
        <v>Ind Aid</v>
      </c>
      <c r="B25" s="810" t="str">
        <f>IF(Aircraft!F7="","",Aircraft!F7)</f>
        <v/>
      </c>
      <c r="C25" s="1222" t="str">
        <f>IF(Aircraft!J7="","",Aircraft!J7)</f>
        <v>BELL 407</v>
      </c>
      <c r="D25" s="1222"/>
      <c r="E25" s="810" t="str">
        <f>IF(Aircraft!H7="","",Aircraft!H7)</f>
        <v/>
      </c>
      <c r="F25" s="811" t="str">
        <f>IF(B25="","",'Platinum Quote'!B78)</f>
        <v/>
      </c>
      <c r="G25" s="812" t="str">
        <f>IF(B25="","",Aircraft!P7)</f>
        <v/>
      </c>
      <c r="H25" s="812" t="str">
        <f>IF(B25="","",Worksheet_Com!O10)</f>
        <v/>
      </c>
      <c r="I25" s="812" t="str">
        <f>IF('Plat Premium Summary'!B25="","",'Turbine Owner-Com'!F25)</f>
        <v/>
      </c>
      <c r="J25" s="812" t="str">
        <f>IF(B25="","",Aircraft!W7)</f>
        <v/>
      </c>
      <c r="K25" s="812" t="str">
        <f>IF(B25="","",'Turbine Owner-Com'!C23)</f>
        <v/>
      </c>
      <c r="L25" s="812" t="str">
        <f>IF(B25="","",'Turbine Owner-Com'!G23)</f>
        <v/>
      </c>
      <c r="M25" s="813" t="str">
        <f>IF(B25="","",'Turbine Owner-Com'!D23)</f>
        <v/>
      </c>
      <c r="N25" s="813" t="str">
        <f>IF(B25="","",Rating!AE13)</f>
        <v/>
      </c>
      <c r="O25" s="812" t="str">
        <f>IF(B25="","",SUM(H25,I25,K25,L25,M25,N25))</f>
        <v/>
      </c>
    </row>
    <row r="26" spans="1:15" ht="15.75">
      <c r="A26" s="814" t="str">
        <f>IF(A25="",""," ")</f>
        <v xml:space="preserve"> </v>
      </c>
      <c r="B26" s="814" t="str">
        <f>IF(B25="",""," ")</f>
        <v/>
      </c>
      <c r="C26" s="814" t="str">
        <f>IF(C25="",""," ")</f>
        <v xml:space="preserve"> </v>
      </c>
      <c r="D26" s="814" t="str">
        <f>IF(C25="",""," ")</f>
        <v xml:space="preserve"> </v>
      </c>
      <c r="E26" s="814" t="str">
        <f>IF(B25="",""," ")</f>
        <v/>
      </c>
      <c r="F26" s="814" t="str">
        <f>IF(B25="","","NIM Ded:")</f>
        <v/>
      </c>
      <c r="G26" s="812" t="str">
        <f>IF(B25="","",Aircraft!AA7)</f>
        <v/>
      </c>
      <c r="H26" s="814" t="str">
        <f>IF(B25="","","IM Ded:")</f>
        <v/>
      </c>
      <c r="I26" s="812" t="str">
        <f>IF($B$25="","",Aircraft!AC7)</f>
        <v/>
      </c>
      <c r="J26" s="1221" t="str">
        <f>IF(B25="","","War Liability Limit - "&amp;TEXT(Aircraft!AU7,"#,#0"))</f>
        <v/>
      </c>
      <c r="K26" s="1221"/>
      <c r="L26" s="1221"/>
      <c r="M26" s="814" t="str">
        <f>IF(L25="",""," ")</f>
        <v/>
      </c>
      <c r="N26" s="814" t="str">
        <f>IF(N25="",""," ")</f>
        <v/>
      </c>
      <c r="O26" s="814" t="str">
        <f>IF(O25="",""," ")</f>
        <v/>
      </c>
    </row>
    <row r="27" spans="1:15" ht="15">
      <c r="A27" s="810" t="str">
        <f>IF(Aircraft!J8="","","Ind Aid")</f>
        <v/>
      </c>
      <c r="B27" s="810" t="str">
        <f>IF(Aircraft!F8="","",Aircraft!F8)</f>
        <v/>
      </c>
      <c r="C27" s="1222" t="str">
        <f>IF(Aircraft!J8="","",Aircraft!J8)</f>
        <v/>
      </c>
      <c r="D27" s="1222"/>
      <c r="E27" s="810" t="str">
        <f>IF(Aircraft!H8="","",Aircraft!H8)</f>
        <v/>
      </c>
      <c r="F27" s="811" t="str">
        <f>IF(B27="","",'Platinum Quote'!B79)</f>
        <v/>
      </c>
      <c r="G27" s="812" t="str">
        <f>IF(B27="","",Aircraft!P8)</f>
        <v/>
      </c>
      <c r="H27" s="812" t="str">
        <f>IF(B27="","",Worksheet_Com!O11)</f>
        <v/>
      </c>
      <c r="I27" s="812" t="str">
        <f>IF('Plat Premium Summary'!B26="","",'Turbine Owner-Com'!F26)</f>
        <v/>
      </c>
      <c r="J27" s="812" t="str">
        <f>IF(B27="","",Aircraft!W8)</f>
        <v/>
      </c>
      <c r="K27" s="812" t="str">
        <f>IF(B27="","",'Turbine Owner-Com'!C24)</f>
        <v/>
      </c>
      <c r="L27" s="812" t="str">
        <f>IF(B27="","",'Turbine Owner-Com'!G24)</f>
        <v/>
      </c>
      <c r="M27" s="813" t="str">
        <f>IF(B27="","",'Turbine Owner-Com'!D24)</f>
        <v/>
      </c>
      <c r="N27" s="813" t="str">
        <f>IF(B27="","",Rating!AE14)</f>
        <v/>
      </c>
      <c r="O27" s="812" t="str">
        <f t="shared" ref="O27" si="0">IF(B27="","",SUM(H27,I27,K27,L27,M27,N27))</f>
        <v/>
      </c>
    </row>
    <row r="28" spans="1:15" ht="15.75">
      <c r="A28" s="814" t="str">
        <f t="shared" ref="A28" si="1">IF(A27="",""," ")</f>
        <v/>
      </c>
      <c r="B28" s="814" t="str">
        <f t="shared" ref="B28" si="2">IF(B27="",""," ")</f>
        <v/>
      </c>
      <c r="C28" s="814" t="str">
        <f t="shared" ref="C28" si="3">IF(C27="",""," ")</f>
        <v/>
      </c>
      <c r="D28" s="814" t="str">
        <f t="shared" ref="D28" si="4">IF(C27="",""," ")</f>
        <v/>
      </c>
      <c r="E28" s="814" t="str">
        <f t="shared" ref="E28" si="5">IF(B27="",""," ")</f>
        <v/>
      </c>
      <c r="F28" s="814" t="str">
        <f t="shared" ref="F28" si="6">IF(B27="","","NIM Ded:")</f>
        <v/>
      </c>
      <c r="G28" s="812" t="str">
        <f>IF(B27="","",Aircraft!AA8)</f>
        <v/>
      </c>
      <c r="H28" s="814" t="str">
        <f t="shared" ref="H28" si="7">IF(B27="","","IM Ded:")</f>
        <v/>
      </c>
      <c r="I28" s="812" t="str">
        <f>IF($B$27="","",Aircraft!AC8)</f>
        <v/>
      </c>
      <c r="J28" s="1221" t="str">
        <f>IF(B27="","","War Liability Limit - "&amp;TEXT(Aircraft!AU8,"#,#0"))</f>
        <v/>
      </c>
      <c r="K28" s="1221"/>
      <c r="L28" s="1221"/>
      <c r="M28" s="814" t="str">
        <f>IF(L27="",""," ")</f>
        <v/>
      </c>
      <c r="N28" s="814" t="str">
        <f t="shared" ref="N28" si="8">IF(N27="",""," ")</f>
        <v/>
      </c>
      <c r="O28" s="814" t="str">
        <f t="shared" ref="O28" si="9">IF(O27="",""," ")</f>
        <v/>
      </c>
    </row>
    <row r="29" spans="1:15" ht="15">
      <c r="A29" s="810" t="str">
        <f>IF(Aircraft!J9="","","Ind Aid")</f>
        <v/>
      </c>
      <c r="B29" s="810" t="str">
        <f>IF(Aircraft!F9="","",Aircraft!F9)</f>
        <v/>
      </c>
      <c r="C29" s="1222" t="str">
        <f>IF(Aircraft!J9="","",Aircraft!J9)</f>
        <v/>
      </c>
      <c r="D29" s="1222"/>
      <c r="E29" s="810" t="str">
        <f>IF(Aircraft!H9="","",Aircraft!H9)</f>
        <v/>
      </c>
      <c r="F29" s="811" t="str">
        <f>IF(B29="","",'Platinum Quote'!B81)</f>
        <v/>
      </c>
      <c r="G29" s="812" t="str">
        <f>IF(B29="","",Aircraft!P9)</f>
        <v/>
      </c>
      <c r="H29" s="812" t="str">
        <f>IF(B29="","",Worksheet_Com!O12)</f>
        <v/>
      </c>
      <c r="I29" s="812" t="str">
        <f>IF('Plat Premium Summary'!B29="","",'Turbine Owner-Com'!F27)</f>
        <v/>
      </c>
      <c r="J29" s="812" t="str">
        <f>IF(B29="","",Aircraft!W9)</f>
        <v/>
      </c>
      <c r="K29" s="812" t="str">
        <f>IF(B29="","",'Turbine Owner-Com'!C25)</f>
        <v/>
      </c>
      <c r="L29" s="812" t="str">
        <f>IF(B29="","",'Turbine Owner-Com'!G25)</f>
        <v/>
      </c>
      <c r="M29" s="813" t="str">
        <f>IF(B29="","",'Turbine Owner-Com'!D25)</f>
        <v/>
      </c>
      <c r="N29" s="813" t="str">
        <f>IF(B29="","",Rating!AE15)</f>
        <v/>
      </c>
      <c r="O29" s="812" t="str">
        <f t="shared" ref="O29" si="10">IF(B29="","",SUM(H29,I29,K29,L29,M29,N29))</f>
        <v/>
      </c>
    </row>
    <row r="30" spans="1:15" ht="15.75">
      <c r="A30" s="814" t="str">
        <f t="shared" ref="A30" si="11">IF(A29="",""," ")</f>
        <v/>
      </c>
      <c r="B30" s="814" t="str">
        <f t="shared" ref="B30" si="12">IF(B29="",""," ")</f>
        <v/>
      </c>
      <c r="C30" s="814" t="str">
        <f t="shared" ref="C30" si="13">IF(C29="",""," ")</f>
        <v/>
      </c>
      <c r="D30" s="814" t="str">
        <f t="shared" ref="D30" si="14">IF(C29="",""," ")</f>
        <v/>
      </c>
      <c r="E30" s="814" t="str">
        <f t="shared" ref="E30" si="15">IF(B29="",""," ")</f>
        <v/>
      </c>
      <c r="F30" s="814" t="str">
        <f t="shared" ref="F30" si="16">IF(B29="","","NIM Ded:")</f>
        <v/>
      </c>
      <c r="G30" s="812" t="str">
        <f>IF(B29="","",Aircraft!AA9)</f>
        <v/>
      </c>
      <c r="H30" s="814" t="str">
        <f t="shared" ref="H30" si="17">IF(B29="","","IM Ded:")</f>
        <v/>
      </c>
      <c r="I30" s="812" t="str">
        <f>IF($B$29="","",Aircraft!AC9)</f>
        <v/>
      </c>
      <c r="J30" s="1221" t="str">
        <f>IF(B29="","","War Liability Limit - "&amp;TEXT(Aircraft!AU9,"#,#0"))</f>
        <v/>
      </c>
      <c r="K30" s="1221"/>
      <c r="L30" s="1221"/>
      <c r="M30" s="814" t="str">
        <f t="shared" ref="M30" si="18">IF(L29="",""," ")</f>
        <v/>
      </c>
      <c r="N30" s="814" t="str">
        <f t="shared" ref="N30" si="19">IF(N29="",""," ")</f>
        <v/>
      </c>
      <c r="O30" s="814" t="str">
        <f t="shared" ref="O30" si="20">IF(O29="",""," ")</f>
        <v/>
      </c>
    </row>
    <row r="31" spans="1:15" ht="15">
      <c r="A31" s="810" t="str">
        <f>IF(Aircraft!J10="","","Ind Aid")</f>
        <v/>
      </c>
      <c r="B31" s="810" t="str">
        <f>IF(Aircraft!F10="","",Aircraft!F10)</f>
        <v/>
      </c>
      <c r="C31" s="1222" t="str">
        <f>IF(Aircraft!J10="","",Aircraft!J10)</f>
        <v/>
      </c>
      <c r="D31" s="1222"/>
      <c r="E31" s="810" t="str">
        <f>IF(Aircraft!H10="","",Aircraft!H10)</f>
        <v/>
      </c>
      <c r="F31" s="811" t="str">
        <f>IF(B31="","",'Platinum Quote'!B82)</f>
        <v/>
      </c>
      <c r="G31" s="812" t="str">
        <f>IF(B31="","",Aircraft!P10)</f>
        <v/>
      </c>
      <c r="H31" s="812" t="str">
        <f>IF(B31="","",Worksheet_Com!O13)</f>
        <v/>
      </c>
      <c r="I31" s="812" t="str">
        <f>IF('Plat Premium Summary'!B31="","",'Turbine Owner-Com'!F28)</f>
        <v/>
      </c>
      <c r="J31" s="812" t="str">
        <f>IF(B31="","",Aircraft!W10)</f>
        <v/>
      </c>
      <c r="K31" s="812" t="str">
        <f>IF(B31="","",'Turbine Owner-Com'!C26)</f>
        <v/>
      </c>
      <c r="L31" s="812" t="str">
        <f>IF(B31="","",'Turbine Owner-Com'!G26)</f>
        <v/>
      </c>
      <c r="M31" s="813" t="str">
        <f>IF(B31="","",'Turbine Owner-Com'!D26)</f>
        <v/>
      </c>
      <c r="N31" s="813" t="str">
        <f>IF(B31="","",Rating!AE16)</f>
        <v/>
      </c>
      <c r="O31" s="812" t="str">
        <f t="shared" ref="O31" si="21">IF(B31="","",SUM(H31,I31,K31,L31,M31,N31))</f>
        <v/>
      </c>
    </row>
    <row r="32" spans="1:15" ht="15.75">
      <c r="A32" s="814" t="str">
        <f t="shared" ref="A32" si="22">IF(A31="",""," ")</f>
        <v/>
      </c>
      <c r="B32" s="814" t="str">
        <f t="shared" ref="B32" si="23">IF(B31="",""," ")</f>
        <v/>
      </c>
      <c r="C32" s="814" t="str">
        <f t="shared" ref="C32" si="24">IF(C31="",""," ")</f>
        <v/>
      </c>
      <c r="D32" s="814" t="str">
        <f t="shared" ref="D32" si="25">IF(C31="",""," ")</f>
        <v/>
      </c>
      <c r="E32" s="814" t="str">
        <f t="shared" ref="E32" si="26">IF(B31="",""," ")</f>
        <v/>
      </c>
      <c r="F32" s="814" t="str">
        <f t="shared" ref="F32" si="27">IF(B31="","","NIM Ded:")</f>
        <v/>
      </c>
      <c r="G32" s="812" t="str">
        <f>IF(B31="","",Aircraft!AA10)</f>
        <v/>
      </c>
      <c r="H32" s="814" t="str">
        <f t="shared" ref="H32" si="28">IF(B31="","","IM Ded:")</f>
        <v/>
      </c>
      <c r="I32" s="812" t="str">
        <f>IF($B$31="","",Aircraft!AC10)</f>
        <v/>
      </c>
      <c r="J32" s="1221" t="str">
        <f>IF(B31="","","War Liability Limit - "&amp;TEXT(Aircraft!AU10,"#,#0"))</f>
        <v/>
      </c>
      <c r="K32" s="1221"/>
      <c r="L32" s="1221"/>
      <c r="M32" s="814" t="str">
        <f t="shared" ref="M32" si="29">IF(L31="",""," ")</f>
        <v/>
      </c>
      <c r="N32" s="814" t="str">
        <f t="shared" ref="N32" si="30">IF(N31="",""," ")</f>
        <v/>
      </c>
      <c r="O32" s="814" t="str">
        <f t="shared" ref="O32" si="31">IF(O31="",""," ")</f>
        <v/>
      </c>
    </row>
    <row r="33" spans="1:15" ht="15">
      <c r="A33" s="810" t="str">
        <f>IF(Aircraft!J11="","","Ind Aid")</f>
        <v/>
      </c>
      <c r="B33" s="810" t="str">
        <f>IF(Aircraft!F11="","",Aircraft!F11)</f>
        <v/>
      </c>
      <c r="C33" s="1222" t="str">
        <f>IF(Aircraft!J11="","",Aircraft!J11)</f>
        <v/>
      </c>
      <c r="D33" s="1222"/>
      <c r="E33" s="810" t="str">
        <f>IF(Aircraft!H11="","",Aircraft!H11)</f>
        <v/>
      </c>
      <c r="F33" s="811" t="str">
        <f>IF(B33="","",'Platinum Quote'!B82)</f>
        <v/>
      </c>
      <c r="G33" s="812" t="str">
        <f>IF(B33="","",Aircraft!P11)</f>
        <v/>
      </c>
      <c r="H33" s="812" t="str">
        <f>IF(B33="","",Worksheet_Com!O14)</f>
        <v/>
      </c>
      <c r="I33" s="812" t="str">
        <f>IF('Plat Premium Summary'!B33="","",'Turbine Owner-Com'!F28)</f>
        <v/>
      </c>
      <c r="J33" s="812" t="str">
        <f>IF(B33="","",Aircraft!W11)</f>
        <v/>
      </c>
      <c r="K33" s="812" t="str">
        <f>IF(B33="","",'Turbine Owner-Com'!C27)</f>
        <v/>
      </c>
      <c r="L33" s="812" t="str">
        <f>IF(B33="","",'Turbine Owner-Com'!G27)</f>
        <v/>
      </c>
      <c r="M33" s="813" t="str">
        <f>IF(B33="","",'Turbine Owner-Com'!D27)</f>
        <v/>
      </c>
      <c r="N33" s="813" t="str">
        <f>IF(B33="","",Rating!AE17)</f>
        <v/>
      </c>
      <c r="O33" s="812" t="str">
        <f t="shared" ref="O33" si="32">IF(B33="","",SUM(H33,I33,K33,L33,M33,N33))</f>
        <v/>
      </c>
    </row>
    <row r="34" spans="1:15" ht="15.75">
      <c r="A34" s="814" t="str">
        <f t="shared" ref="A34" si="33">IF(A33="",""," ")</f>
        <v/>
      </c>
      <c r="B34" s="814" t="str">
        <f t="shared" ref="B34" si="34">IF(B33="",""," ")</f>
        <v/>
      </c>
      <c r="C34" s="814" t="str">
        <f t="shared" ref="C34" si="35">IF(C33="",""," ")</f>
        <v/>
      </c>
      <c r="D34" s="814" t="str">
        <f t="shared" ref="D34" si="36">IF(C33="",""," ")</f>
        <v/>
      </c>
      <c r="E34" s="814" t="str">
        <f t="shared" ref="E34" si="37">IF(B33="",""," ")</f>
        <v/>
      </c>
      <c r="F34" s="814" t="str">
        <f t="shared" ref="F34" si="38">IF(B33="","","NIM Ded:")</f>
        <v/>
      </c>
      <c r="G34" s="812" t="str">
        <f>IF(B33="","",Aircraft!AA11)</f>
        <v/>
      </c>
      <c r="H34" s="814" t="str">
        <f t="shared" ref="H34" si="39">IF(B33="","","IM Ded:")</f>
        <v/>
      </c>
      <c r="I34" s="812" t="str">
        <f>IF($B$33="","",Aircraft!AC11)</f>
        <v/>
      </c>
      <c r="J34" s="1221" t="str">
        <f>IF(B33="","","War Liability Limit - "&amp;TEXT(Aircraft!AU11,"#,#0"))</f>
        <v/>
      </c>
      <c r="K34" s="1221"/>
      <c r="L34" s="1221"/>
      <c r="M34" s="814" t="str">
        <f t="shared" ref="M34" si="40">IF(L33="",""," ")</f>
        <v/>
      </c>
      <c r="N34" s="814" t="str">
        <f t="shared" ref="N34" si="41">IF(N33="",""," ")</f>
        <v/>
      </c>
      <c r="O34" s="814" t="str">
        <f t="shared" ref="O34" si="42">IF(O33="",""," ")</f>
        <v/>
      </c>
    </row>
    <row r="35" spans="1:15" ht="15">
      <c r="A35" s="810" t="str">
        <f>IF(Aircraft!J12="","","Ind Aid")</f>
        <v/>
      </c>
      <c r="B35" s="810" t="str">
        <f>IF(Aircraft!F12="","",Aircraft!F12)</f>
        <v/>
      </c>
      <c r="C35" s="1222" t="str">
        <f>IF(Aircraft!J12="","",Aircraft!J12)</f>
        <v/>
      </c>
      <c r="D35" s="1222"/>
      <c r="E35" s="810" t="str">
        <f>IF(Aircraft!H12="","",Aircraft!H12)</f>
        <v/>
      </c>
      <c r="F35" s="811" t="str">
        <f>IF(B35="","",'Platinum Quote'!B83)</f>
        <v/>
      </c>
      <c r="G35" s="812" t="str">
        <f>IF(B35="","",Aircraft!P12)</f>
        <v/>
      </c>
      <c r="H35" s="812" t="str">
        <f>IF(B35="","",Worksheet_Com!O14)</f>
        <v/>
      </c>
      <c r="I35" s="812" t="str">
        <f>IF('Plat Premium Summary'!B35="","",'Turbine Owner-Com'!F29)</f>
        <v/>
      </c>
      <c r="J35" s="812" t="str">
        <f>IF(B35="","",Aircraft!W11)</f>
        <v/>
      </c>
      <c r="K35" s="812" t="str">
        <f>IF(B35="","",'Turbine Owner-Com'!C28)</f>
        <v/>
      </c>
      <c r="L35" s="812" t="str">
        <f>IF(B35="","",'Turbine Owner-Com'!G28)</f>
        <v/>
      </c>
      <c r="M35" s="813" t="str">
        <f>IF(B35="","",'Turbine Owner-Com'!D28)</f>
        <v/>
      </c>
      <c r="N35" s="813" t="str">
        <f>IF(B35="","",Rating!AE18)</f>
        <v/>
      </c>
      <c r="O35" s="812" t="str">
        <f t="shared" ref="O35" si="43">IF(B35="","",SUM(H35,I35,K35,L35,M35,N35))</f>
        <v/>
      </c>
    </row>
    <row r="36" spans="1:15" ht="15.75">
      <c r="A36" s="814" t="str">
        <f t="shared" ref="A36" si="44">IF(A35="",""," ")</f>
        <v/>
      </c>
      <c r="B36" s="814" t="str">
        <f t="shared" ref="B36" si="45">IF(B35="",""," ")</f>
        <v/>
      </c>
      <c r="C36" s="814" t="str">
        <f t="shared" ref="C36" si="46">IF(C35="",""," ")</f>
        <v/>
      </c>
      <c r="D36" s="814" t="str">
        <f t="shared" ref="D36" si="47">IF(C35="",""," ")</f>
        <v/>
      </c>
      <c r="E36" s="814" t="str">
        <f t="shared" ref="E36" si="48">IF(B35="",""," ")</f>
        <v/>
      </c>
      <c r="F36" s="814" t="str">
        <f t="shared" ref="F36" si="49">IF(B35="","","NIM Ded:")</f>
        <v/>
      </c>
      <c r="G36" s="812" t="str">
        <f>IF(B35="","",Aircraft!AA12)</f>
        <v/>
      </c>
      <c r="H36" s="814" t="str">
        <f t="shared" ref="H36" si="50">IF(B35="","","IM Ded:")</f>
        <v/>
      </c>
      <c r="I36" s="812" t="str">
        <f>IF($B$35="","",Aircraft!AC12)</f>
        <v/>
      </c>
      <c r="J36" s="1221" t="str">
        <f>IF(B35="","","War Liability Limit - "&amp;TEXT(Aircraft!AU12,"#,#0"))</f>
        <v/>
      </c>
      <c r="K36" s="1221"/>
      <c r="L36" s="1221"/>
      <c r="M36" s="814" t="str">
        <f t="shared" ref="M36" si="51">IF(L35="",""," ")</f>
        <v/>
      </c>
      <c r="N36" s="814" t="str">
        <f t="shared" ref="N36" si="52">IF(N35="",""," ")</f>
        <v/>
      </c>
      <c r="O36" s="814" t="str">
        <f t="shared" ref="O36" si="53">IF(O35="",""," ")</f>
        <v/>
      </c>
    </row>
    <row r="37" spans="1:15" ht="15">
      <c r="A37" s="810" t="str">
        <f>IF(Aircraft!J19="","","Ind Aid")</f>
        <v/>
      </c>
      <c r="B37" s="810" t="str">
        <f>IF(Aircraft!F13="","",Aircraft!F13)</f>
        <v/>
      </c>
      <c r="C37" s="1222" t="str">
        <f>IF(Aircraft!J13="","",Aircraft!J13)</f>
        <v/>
      </c>
      <c r="D37" s="1222"/>
      <c r="E37" s="810" t="str">
        <f>IF(Aircraft!H13="","",Aircraft!H13)</f>
        <v/>
      </c>
      <c r="F37" s="811" t="str">
        <f>IF(B37="","",'Platinum Quote'!B84)</f>
        <v/>
      </c>
      <c r="G37" s="812" t="str">
        <f>IF(B37="","",Aircraft!P13)</f>
        <v/>
      </c>
      <c r="H37" s="812" t="str">
        <f>IF(B37="","",Worksheet_Com!O15)</f>
        <v/>
      </c>
      <c r="I37" s="812" t="str">
        <f>IF('Plat Premium Summary'!B37="","",'Turbine Owner-Com'!F30)</f>
        <v/>
      </c>
      <c r="J37" s="812" t="str">
        <f>IF(B37="","",Aircraft!W12)</f>
        <v/>
      </c>
      <c r="K37" s="812" t="str">
        <f>IF(B37="","",'Turbine Owner-Com'!C29)</f>
        <v/>
      </c>
      <c r="L37" s="812" t="str">
        <f>IF(B37="","",'Turbine Owner-Com'!G29)</f>
        <v/>
      </c>
      <c r="M37" s="813" t="str">
        <f>IF(B37="","",'Turbine Owner-Com'!D29)</f>
        <v/>
      </c>
      <c r="N37" s="813" t="str">
        <f>IF(B37="","",Rating!AE19)</f>
        <v/>
      </c>
      <c r="O37" s="812" t="str">
        <f t="shared" ref="O37" si="54">IF(B37="","",SUM(H37,I37,K37,L37,M37,N37))</f>
        <v/>
      </c>
    </row>
    <row r="38" spans="1:15" ht="15.75">
      <c r="A38" s="814" t="str">
        <f t="shared" ref="A38:C38" si="55">IF(A37="",""," ")</f>
        <v/>
      </c>
      <c r="B38" s="814" t="str">
        <f t="shared" si="55"/>
        <v/>
      </c>
      <c r="C38" s="814" t="str">
        <f t="shared" si="55"/>
        <v/>
      </c>
      <c r="D38" s="814" t="str">
        <f t="shared" ref="D38" si="56">IF(C37="",""," ")</f>
        <v/>
      </c>
      <c r="E38" s="814" t="str">
        <f t="shared" ref="E38" si="57">IF(B37="",""," ")</f>
        <v/>
      </c>
      <c r="F38" s="814" t="str">
        <f t="shared" ref="F38" si="58">IF(B37="","","NIM Ded:")</f>
        <v/>
      </c>
      <c r="G38" s="812" t="str">
        <f>IF(B37="","",Aircraft!AA13)</f>
        <v/>
      </c>
      <c r="H38" s="814" t="str">
        <f t="shared" ref="H38" si="59">IF(B37="","","IM Ded:")</f>
        <v/>
      </c>
      <c r="I38" s="812" t="str">
        <f>IF($B$37="","",Aircraft!AC13)</f>
        <v/>
      </c>
      <c r="J38" s="1221" t="str">
        <f>IF(B37="","","War Liability Limit - "&amp;TEXT(Aircraft!AU20,"#,#0"))</f>
        <v/>
      </c>
      <c r="K38" s="1221"/>
      <c r="L38" s="1221"/>
      <c r="M38" s="814" t="str">
        <f t="shared" ref="M38" si="60">IF(L37="",""," ")</f>
        <v/>
      </c>
      <c r="N38" s="814" t="str">
        <f t="shared" ref="N38:O38" si="61">IF(N37="",""," ")</f>
        <v/>
      </c>
      <c r="O38" s="814" t="str">
        <f t="shared" si="61"/>
        <v/>
      </c>
    </row>
    <row r="39" spans="1:15" ht="15">
      <c r="A39" s="842"/>
      <c r="B39" s="836"/>
      <c r="C39" s="835"/>
      <c r="D39" s="842"/>
      <c r="E39" s="842"/>
      <c r="F39" s="842"/>
      <c r="G39" s="843" t="s">
        <v>4402</v>
      </c>
      <c r="H39" s="844">
        <f>SUM(H19,H21,H23,H25,H27,H29,H31,H33,H35,H37)</f>
        <v>0</v>
      </c>
      <c r="I39" s="844">
        <f>SUM(I19,I21,I23,I25,I27,I29,I31,I33,I35,I37)</f>
        <v>0</v>
      </c>
      <c r="J39" s="842"/>
      <c r="K39" s="844">
        <f>SUM(K19,K21,K23,K25,K27,K29,K31,K33,K35,K37)</f>
        <v>0</v>
      </c>
      <c r="L39" s="844">
        <f>SUM(L19,L21,L23,L25,L27,L29,L31,L33,L35,L37)</f>
        <v>0</v>
      </c>
      <c r="M39" s="844">
        <f>SUM(M19,M21,M23,M25,M27,M29,M31,M33,M35,M37)</f>
        <v>0</v>
      </c>
      <c r="N39" s="844">
        <f>SUM(N19,N21,N23,N25,N27,N29,N31,N33,N35,N37)</f>
        <v>0</v>
      </c>
      <c r="O39" s="845">
        <f>SUM(O19,O21,O23,O25,O27,O29,O31,O33,O35,O37)</f>
        <v>0</v>
      </c>
    </row>
    <row r="40" spans="1:15" ht="15.75">
      <c r="A40" s="818"/>
      <c r="B40" s="819"/>
      <c r="C40" s="819"/>
      <c r="D40" s="1223" t="s">
        <v>4403</v>
      </c>
      <c r="E40" s="1223"/>
      <c r="F40" s="820" t="s">
        <v>3483</v>
      </c>
      <c r="G40" s="794"/>
      <c r="H40" s="794"/>
      <c r="I40" s="794"/>
      <c r="J40" s="1212" t="s">
        <v>4415</v>
      </c>
      <c r="K40" s="1212"/>
      <c r="L40" s="1212"/>
      <c r="M40" s="1212"/>
      <c r="N40" s="1212"/>
      <c r="O40" s="812">
        <f ca="1">'Platinum Coverages'!U65-SUM('Plat Premium Summary'!M39:N39)</f>
        <v>1296</v>
      </c>
    </row>
    <row r="41" spans="1:15" ht="15.75">
      <c r="A41" s="1220" t="s">
        <v>4404</v>
      </c>
      <c r="B41" s="1220"/>
      <c r="C41" s="1220"/>
      <c r="D41" s="1218" t="str">
        <f>IF('Platinum Coverages'!C60="No","N/A",'Platinum Coverages'!L61)</f>
        <v>Crew/Pax</v>
      </c>
      <c r="E41" s="1218"/>
      <c r="F41" s="817">
        <f>IF('Platinum Coverages'!C60="No","N/A",'Platinum Coverages'!N60)</f>
        <v>5000</v>
      </c>
      <c r="G41" s="821"/>
      <c r="H41" s="794"/>
      <c r="I41" s="794"/>
      <c r="J41" s="1212" t="s">
        <v>4416</v>
      </c>
      <c r="K41" s="1212"/>
      <c r="L41" s="1212"/>
      <c r="M41" s="1212"/>
      <c r="N41" s="1212"/>
      <c r="O41" s="812">
        <f>'Platinum Coverages'!U58</f>
        <v>0</v>
      </c>
    </row>
    <row r="42" spans="1:15" ht="16.5" thickBot="1">
      <c r="A42" s="1216" t="s">
        <v>3026</v>
      </c>
      <c r="B42" s="1216"/>
      <c r="C42" s="1216"/>
      <c r="D42" s="1217" t="str">
        <f>IF('Platinum Coverages'!C13="No","N/A",'Platinum Coverages'!L14)</f>
        <v>Crew/Pax</v>
      </c>
      <c r="E42" s="1218"/>
      <c r="F42" s="829">
        <f>IF('Platinum Coverages'!C13="No","N/A",'Platinum Coverages'!N13)</f>
        <v>100000</v>
      </c>
      <c r="G42" s="794"/>
      <c r="H42" s="794"/>
      <c r="I42" s="794"/>
      <c r="J42" s="53"/>
      <c r="K42" s="1212" t="s">
        <v>4405</v>
      </c>
      <c r="L42" s="1212"/>
      <c r="M42" s="1212"/>
      <c r="N42" s="1212"/>
      <c r="O42" s="846">
        <f>'Platinum Endt-Ancillary'!$C$66-'Platinum Endt-Ancillary'!$C$52</f>
        <v>0</v>
      </c>
    </row>
    <row r="43" spans="1:15" ht="21" thickTop="1">
      <c r="A43" s="822" t="s">
        <v>4410</v>
      </c>
      <c r="B43" s="795"/>
      <c r="C43" s="823" t="s">
        <v>43</v>
      </c>
      <c r="D43" s="827" t="s">
        <v>1774</v>
      </c>
      <c r="E43" s="830"/>
      <c r="F43" s="831"/>
      <c r="G43" s="794"/>
      <c r="H43" s="794"/>
      <c r="I43" s="794"/>
      <c r="J43" s="53"/>
      <c r="K43" s="1210" t="s">
        <v>4409</v>
      </c>
      <c r="L43" s="1210"/>
      <c r="M43" s="1210"/>
      <c r="N43" s="1210"/>
      <c r="O43" s="838">
        <f ca="1">SUM(O39:O42)</f>
        <v>1296</v>
      </c>
    </row>
    <row r="44" spans="1:15" ht="15.75">
      <c r="A44" s="824"/>
      <c r="B44" s="795"/>
      <c r="C44" s="825" t="s">
        <v>3825</v>
      </c>
      <c r="D44" s="828" t="s">
        <v>3825</v>
      </c>
      <c r="E44" s="832"/>
      <c r="G44" s="794"/>
      <c r="H44" s="794"/>
      <c r="I44" s="794"/>
      <c r="J44" s="794"/>
      <c r="K44" s="794"/>
      <c r="L44" s="1212"/>
      <c r="M44" s="1212"/>
      <c r="N44" s="1212"/>
      <c r="O44" s="812"/>
    </row>
    <row r="45" spans="1:15" ht="15">
      <c r="A45" s="831"/>
      <c r="B45" s="834"/>
      <c r="C45" s="835"/>
      <c r="D45" s="836"/>
      <c r="E45" s="833"/>
      <c r="F45" s="833"/>
      <c r="G45" s="794"/>
      <c r="H45" s="794"/>
      <c r="I45" s="794"/>
      <c r="J45" s="794"/>
      <c r="K45" s="794"/>
      <c r="L45" s="1212"/>
      <c r="M45" s="1212"/>
      <c r="N45" s="1212"/>
    </row>
    <row r="46" spans="1:15" ht="15">
      <c r="A46" s="127" t="s">
        <v>4406</v>
      </c>
      <c r="B46" s="127"/>
      <c r="C46" s="127"/>
      <c r="D46" s="127"/>
      <c r="E46" s="127"/>
      <c r="F46" s="127"/>
      <c r="G46" s="127"/>
      <c r="H46" s="127"/>
      <c r="I46" s="127"/>
      <c r="J46" s="127"/>
      <c r="K46" s="127"/>
      <c r="L46" s="1213"/>
      <c r="M46" s="1213"/>
      <c r="N46" s="1213"/>
      <c r="O46" s="812"/>
    </row>
    <row r="47" spans="1:15" ht="18.75">
      <c r="A47" s="839" t="s">
        <v>4407</v>
      </c>
      <c r="B47" s="127"/>
      <c r="C47" s="127"/>
      <c r="D47" s="127"/>
      <c r="E47" s="127"/>
      <c r="F47" s="127"/>
      <c r="G47" s="127"/>
      <c r="H47" s="127"/>
      <c r="I47" s="127"/>
      <c r="J47" s="127"/>
      <c r="K47" s="127"/>
      <c r="L47" s="1214"/>
      <c r="M47" s="1214"/>
      <c r="N47" s="1214"/>
      <c r="O47" s="838"/>
    </row>
    <row r="48" spans="1:15" ht="15">
      <c r="A48" s="1208" t="s">
        <v>4408</v>
      </c>
      <c r="B48" s="1208"/>
      <c r="C48" s="1208"/>
      <c r="D48" s="1208"/>
      <c r="E48" s="1208"/>
      <c r="F48" s="1208"/>
      <c r="G48" s="1208"/>
      <c r="H48" s="1208"/>
      <c r="I48" s="1208"/>
      <c r="J48" s="1208"/>
      <c r="K48" s="1208"/>
      <c r="L48" s="1215"/>
      <c r="M48" s="1215"/>
      <c r="N48" s="1215"/>
      <c r="O48" s="812"/>
    </row>
    <row r="49" spans="1:15" ht="15">
      <c r="A49" s="1208"/>
      <c r="B49" s="1208"/>
      <c r="C49" s="1208"/>
      <c r="D49" s="1208"/>
      <c r="E49" s="1208"/>
      <c r="F49" s="1208"/>
      <c r="G49" s="1208"/>
      <c r="H49" s="1208"/>
      <c r="I49" s="1208"/>
      <c r="J49" s="1208"/>
      <c r="K49" s="1208"/>
      <c r="L49" s="1209"/>
      <c r="M49" s="1209"/>
      <c r="N49" s="1209"/>
      <c r="O49" s="812"/>
    </row>
    <row r="50" spans="1:15" ht="15">
      <c r="L50" s="1209"/>
      <c r="M50" s="1209"/>
      <c r="N50" s="1209"/>
      <c r="O50" s="812"/>
    </row>
    <row r="51" spans="1:15" ht="20.25">
      <c r="L51" s="1210"/>
      <c r="M51" s="1210"/>
      <c r="N51" s="1210"/>
      <c r="O51" s="826"/>
    </row>
    <row r="52" spans="1:15">
      <c r="A52" s="1208"/>
      <c r="B52" s="1208"/>
      <c r="C52" s="1208"/>
      <c r="D52" s="1208"/>
      <c r="E52" s="1208"/>
      <c r="F52" s="1208"/>
      <c r="G52" s="1208"/>
      <c r="H52" s="1208"/>
      <c r="I52" s="1208"/>
      <c r="J52" s="1208"/>
      <c r="K52" s="1208"/>
      <c r="L52" s="1211"/>
      <c r="M52" s="1211"/>
      <c r="N52" s="1211"/>
      <c r="O52" s="794"/>
    </row>
    <row r="53" spans="1:15">
      <c r="A53" s="1208"/>
      <c r="B53" s="1208"/>
      <c r="C53" s="1208"/>
      <c r="D53" s="1208"/>
      <c r="E53" s="1208"/>
      <c r="F53" s="1208"/>
      <c r="G53" s="1208"/>
      <c r="H53" s="1208"/>
      <c r="I53" s="1208"/>
      <c r="J53" s="1208"/>
      <c r="K53" s="1208"/>
      <c r="L53" s="794"/>
      <c r="M53" s="794"/>
      <c r="N53" s="794"/>
      <c r="O53" s="794"/>
    </row>
  </sheetData>
  <sheetProtection formatCells="0" formatColumns="0"/>
  <mergeCells count="73">
    <mergeCell ref="A8:B8"/>
    <mergeCell ref="G8:I8"/>
    <mergeCell ref="M8:O8"/>
    <mergeCell ref="B2:E4"/>
    <mergeCell ref="G2:J3"/>
    <mergeCell ref="G4:J4"/>
    <mergeCell ref="B5:E5"/>
    <mergeCell ref="G5:J5"/>
    <mergeCell ref="B6:E6"/>
    <mergeCell ref="G6:J6"/>
    <mergeCell ref="K6:L6"/>
    <mergeCell ref="M6:O6"/>
    <mergeCell ref="B7:E7"/>
    <mergeCell ref="G7:J7"/>
    <mergeCell ref="M7:O7"/>
    <mergeCell ref="D13:K14"/>
    <mergeCell ref="A16:L16"/>
    <mergeCell ref="M9:O9"/>
    <mergeCell ref="A10:B10"/>
    <mergeCell ref="C10:F10"/>
    <mergeCell ref="G10:I10"/>
    <mergeCell ref="K10:L10"/>
    <mergeCell ref="M10:O10"/>
    <mergeCell ref="A9:B9"/>
    <mergeCell ref="C9:F9"/>
    <mergeCell ref="G9:I9"/>
    <mergeCell ref="G11:I11"/>
    <mergeCell ref="K11:L11"/>
    <mergeCell ref="M16:N16"/>
    <mergeCell ref="D15:K15"/>
    <mergeCell ref="C29:D29"/>
    <mergeCell ref="C18:D18"/>
    <mergeCell ref="C19:D19"/>
    <mergeCell ref="J20:L20"/>
    <mergeCell ref="C21:D21"/>
    <mergeCell ref="J22:L22"/>
    <mergeCell ref="C23:D23"/>
    <mergeCell ref="J24:L24"/>
    <mergeCell ref="C25:D25"/>
    <mergeCell ref="J26:L26"/>
    <mergeCell ref="C27:D27"/>
    <mergeCell ref="J28:L28"/>
    <mergeCell ref="G17:I17"/>
    <mergeCell ref="J17:L17"/>
    <mergeCell ref="A41:C41"/>
    <mergeCell ref="D41:E41"/>
    <mergeCell ref="J41:N41"/>
    <mergeCell ref="J30:L30"/>
    <mergeCell ref="C31:D31"/>
    <mergeCell ref="J32:L32"/>
    <mergeCell ref="C33:D33"/>
    <mergeCell ref="J34:L34"/>
    <mergeCell ref="C35:D35"/>
    <mergeCell ref="J36:L36"/>
    <mergeCell ref="C37:D37"/>
    <mergeCell ref="J38:L38"/>
    <mergeCell ref="D40:E40"/>
    <mergeCell ref="J40:N40"/>
    <mergeCell ref="A42:C42"/>
    <mergeCell ref="D42:E42"/>
    <mergeCell ref="K42:N42"/>
    <mergeCell ref="K43:N43"/>
    <mergeCell ref="L44:N44"/>
    <mergeCell ref="L45:N45"/>
    <mergeCell ref="L46:N46"/>
    <mergeCell ref="L47:N47"/>
    <mergeCell ref="L48:N48"/>
    <mergeCell ref="L49:N49"/>
    <mergeCell ref="A48:K49"/>
    <mergeCell ref="L50:N50"/>
    <mergeCell ref="L51:N51"/>
    <mergeCell ref="A52:K53"/>
    <mergeCell ref="L52:N52"/>
  </mergeCells>
  <conditionalFormatting sqref="A20:O20 A22:O22">
    <cfRule type="cellIs" dxfId="53" priority="12" operator="notEqual">
      <formula>""</formula>
    </cfRule>
  </conditionalFormatting>
  <conditionalFormatting sqref="A24:O24">
    <cfRule type="cellIs" dxfId="52" priority="9" stopIfTrue="1" operator="notEqual">
      <formula>""</formula>
    </cfRule>
  </conditionalFormatting>
  <conditionalFormatting sqref="A26:O26">
    <cfRule type="cellIs" dxfId="51" priority="8" stopIfTrue="1" operator="notEqual">
      <formula>""</formula>
    </cfRule>
  </conditionalFormatting>
  <conditionalFormatting sqref="A28:O28">
    <cfRule type="cellIs" dxfId="50" priority="7" stopIfTrue="1" operator="notEqual">
      <formula>""</formula>
    </cfRule>
  </conditionalFormatting>
  <conditionalFormatting sqref="A30:O30">
    <cfRule type="cellIs" dxfId="49" priority="6" stopIfTrue="1" operator="notEqual">
      <formula>""</formula>
    </cfRule>
  </conditionalFormatting>
  <conditionalFormatting sqref="A32:O32">
    <cfRule type="cellIs" dxfId="48" priority="5" stopIfTrue="1" operator="notEqual">
      <formula>""</formula>
    </cfRule>
  </conditionalFormatting>
  <conditionalFormatting sqref="A34:O34">
    <cfRule type="cellIs" dxfId="47" priority="4" stopIfTrue="1" operator="notEqual">
      <formula>""</formula>
    </cfRule>
  </conditionalFormatting>
  <conditionalFormatting sqref="A36:O36">
    <cfRule type="cellIs" dxfId="46" priority="3" stopIfTrue="1" operator="notEqual">
      <formula>""</formula>
    </cfRule>
  </conditionalFormatting>
  <conditionalFormatting sqref="A38:O38">
    <cfRule type="cellIs" dxfId="45" priority="2" stopIfTrue="1" operator="notEqual">
      <formula>""</formula>
    </cfRule>
  </conditionalFormatting>
  <conditionalFormatting sqref="J20:L20">
    <cfRule type="expression" dxfId="44" priority="1" stopIfTrue="1">
      <formula>"L19=""N/A"""</formula>
    </cfRule>
  </conditionalFormatting>
  <pageMargins left="0.7" right="0.7" top="0.75" bottom="0.75" header="0.3" footer="0.3"/>
  <pageSetup scale="59" fitToHeight="0" orientation="landscape" r:id="rId1"/>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1DD88-7C8E-4F62-B47D-941FF8D604B0}">
  <sheetPr codeName="Sheet34">
    <tabColor theme="2" tint="-0.89999084444715716"/>
    <pageSetUpPr fitToPage="1"/>
  </sheetPr>
  <dimension ref="A5:L287"/>
  <sheetViews>
    <sheetView showGridLines="0" showRuler="0" view="pageLayout" topLeftCell="A181" zoomScale="130" zoomScaleNormal="100" zoomScaleSheetLayoutView="170" zoomScalePageLayoutView="130" workbookViewId="0">
      <selection activeCell="H200" sqref="H200"/>
    </sheetView>
  </sheetViews>
  <sheetFormatPr defaultColWidth="0" defaultRowHeight="14.25"/>
  <cols>
    <col min="1" max="1" width="8.125" customWidth="1"/>
    <col min="2" max="2" width="6.5" customWidth="1"/>
    <col min="3" max="4" width="9" customWidth="1"/>
    <col min="5" max="5" width="12.5" customWidth="1"/>
    <col min="6" max="6" width="9" customWidth="1"/>
    <col min="7" max="7" width="9.875" customWidth="1"/>
    <col min="8" max="8" width="13.5" customWidth="1"/>
    <col min="9" max="9" width="9.375" customWidth="1"/>
    <col min="10" max="10" width="9" customWidth="1"/>
    <col min="11" max="12" width="0" hidden="1" customWidth="1"/>
    <col min="13" max="16384" width="9" hidden="1"/>
  </cols>
  <sheetData>
    <row r="5" spans="1:9" ht="15.75">
      <c r="A5" s="1257" t="s">
        <v>4134</v>
      </c>
      <c r="B5" s="1257"/>
      <c r="C5" s="1257"/>
      <c r="D5" s="1257"/>
      <c r="E5" s="1257"/>
      <c r="F5" s="1257"/>
      <c r="G5" s="1257"/>
      <c r="H5" s="1257"/>
      <c r="I5" s="1257"/>
    </row>
    <row r="6" spans="1:9" ht="20.25">
      <c r="A6" s="1258"/>
      <c r="B6" s="1258"/>
      <c r="C6" s="1258"/>
      <c r="D6" s="1258"/>
      <c r="E6" s="1258"/>
      <c r="F6" s="1258"/>
      <c r="G6" s="1258"/>
      <c r="H6" s="1258"/>
      <c r="I6" s="1258"/>
    </row>
    <row r="7" spans="1:9" ht="20.25">
      <c r="A7" s="1258" t="s">
        <v>4135</v>
      </c>
      <c r="B7" s="1258"/>
      <c r="C7" s="1258"/>
      <c r="D7" s="1258"/>
      <c r="E7" s="1258"/>
      <c r="F7" s="1258"/>
      <c r="G7" s="1258"/>
      <c r="H7" s="1258"/>
      <c r="I7" s="1258"/>
    </row>
    <row r="9" spans="1:9" ht="15.75">
      <c r="A9" s="1257" t="str">
        <f>IF('Data-UW'!F4="","",'Data-UW'!F4)</f>
        <v/>
      </c>
      <c r="B9" s="1257"/>
      <c r="C9" s="1257"/>
      <c r="D9" s="1257"/>
      <c r="E9" s="1257"/>
      <c r="F9" s="1257"/>
      <c r="G9" s="1257"/>
      <c r="H9" s="1257"/>
      <c r="I9" s="1257"/>
    </row>
    <row r="10" spans="1:9" ht="15">
      <c r="E10" s="473" t="str">
        <f>IF('Platinum Endt-Ancillary'!$B$52="X",CONCATENATE("Quota Share Lead Terms: ",TEXT('Platinum Endt-Ancillary'!$D$52,"0%")),"")</f>
        <v/>
      </c>
      <c r="F10" s="473"/>
    </row>
    <row r="11" spans="1:9">
      <c r="A11" s="1259" t="s">
        <v>4136</v>
      </c>
      <c r="B11" s="1260"/>
      <c r="C11" s="1260"/>
      <c r="D11" s="1260"/>
      <c r="E11" s="1260"/>
      <c r="F11" s="1260"/>
      <c r="G11" s="1260"/>
      <c r="H11" s="1260"/>
      <c r="I11" s="1261"/>
    </row>
    <row r="12" spans="1:9">
      <c r="A12" s="1262"/>
      <c r="B12" s="942"/>
      <c r="C12" s="942"/>
      <c r="D12" s="942"/>
      <c r="E12" s="942"/>
      <c r="F12" s="942"/>
      <c r="G12" s="942"/>
      <c r="H12" s="942"/>
      <c r="I12" s="1263"/>
    </row>
    <row r="14" spans="1:9" ht="14.25" customHeight="1">
      <c r="A14" s="1264" t="s">
        <v>4137</v>
      </c>
      <c r="B14" s="1264"/>
      <c r="C14" s="1264"/>
      <c r="D14" s="1264"/>
      <c r="E14" s="1264"/>
      <c r="F14" s="1264"/>
      <c r="G14" s="1264"/>
      <c r="H14" s="1264"/>
      <c r="I14" s="1264"/>
    </row>
    <row r="15" spans="1:9">
      <c r="A15" s="1264"/>
      <c r="B15" s="1264"/>
      <c r="C15" s="1264"/>
      <c r="D15" s="1264"/>
      <c r="E15" s="1264"/>
      <c r="F15" s="1264"/>
      <c r="G15" s="1264"/>
      <c r="H15" s="1264"/>
      <c r="I15" s="1264"/>
    </row>
    <row r="16" spans="1:9">
      <c r="A16" s="1264"/>
      <c r="B16" s="1264"/>
      <c r="C16" s="1264"/>
      <c r="D16" s="1264"/>
      <c r="E16" s="1264"/>
      <c r="F16" s="1264"/>
      <c r="G16" s="1264"/>
      <c r="H16" s="1264"/>
      <c r="I16" s="1264"/>
    </row>
    <row r="17" spans="1:9">
      <c r="A17" s="1264"/>
      <c r="B17" s="1264"/>
      <c r="C17" s="1264"/>
      <c r="D17" s="1264"/>
      <c r="E17" s="1264"/>
      <c r="F17" s="1264"/>
      <c r="G17" s="1264"/>
      <c r="H17" s="1264"/>
      <c r="I17" s="1264"/>
    </row>
    <row r="18" spans="1:9">
      <c r="A18" s="1264"/>
      <c r="B18" s="1264"/>
      <c r="C18" s="1264"/>
      <c r="D18" s="1264"/>
      <c r="E18" s="1264"/>
      <c r="F18" s="1264"/>
      <c r="G18" s="1264"/>
      <c r="H18" s="1264"/>
      <c r="I18" s="1264"/>
    </row>
    <row r="19" spans="1:9">
      <c r="A19" s="1264"/>
      <c r="B19" s="1264"/>
      <c r="C19" s="1264"/>
      <c r="D19" s="1264"/>
      <c r="E19" s="1264"/>
      <c r="F19" s="1264"/>
      <c r="G19" s="1264"/>
      <c r="H19" s="1264"/>
      <c r="I19" s="1264"/>
    </row>
    <row r="20" spans="1:9">
      <c r="A20" s="1238" t="str">
        <f ca="1">CONCATENATE("Quote Date: ",TEXT(TODAY(),"mm/dd/yyyy"))</f>
        <v>Quote Date: 05/07/2026</v>
      </c>
      <c r="B20" s="1238"/>
      <c r="C20" s="1238"/>
      <c r="D20" s="566"/>
      <c r="E20" s="566"/>
      <c r="F20" s="1265" t="str">
        <f>CONCATENATE("Policy Term:  ",TEXT('Data-UW'!F10,"mm/dd/yyyy"),"  to  ",TEXT('Data-UW'!I10,"mm/dd/yyy"))</f>
        <v xml:space="preserve">Policy Term:  01/00/1900  to  </v>
      </c>
      <c r="G20" s="1265"/>
      <c r="H20" s="1265"/>
      <c r="I20" s="1265"/>
    </row>
    <row r="21" spans="1:9">
      <c r="A21" s="1236" t="s">
        <v>4138</v>
      </c>
      <c r="B21" s="1236"/>
      <c r="C21" s="1236"/>
      <c r="D21" s="1237"/>
      <c r="E21" s="1237"/>
      <c r="F21" s="1237"/>
      <c r="G21" s="1237"/>
      <c r="H21" s="1237"/>
      <c r="I21" s="1237"/>
    </row>
    <row r="22" spans="1:9">
      <c r="C22" s="792"/>
      <c r="D22" s="1237"/>
      <c r="E22" s="1237"/>
      <c r="F22" s="1237"/>
      <c r="G22" s="1237"/>
      <c r="H22" s="1237"/>
      <c r="I22" s="1237"/>
    </row>
    <row r="23" spans="1:9">
      <c r="B23" s="704" t="s">
        <v>4139</v>
      </c>
      <c r="C23" s="1236" t="str">
        <f>IF('Data-UW'!F2="","",'Data-UW'!F2)</f>
        <v/>
      </c>
      <c r="D23" s="1236"/>
      <c r="E23" s="1236"/>
      <c r="F23" s="1236"/>
      <c r="G23" s="1236"/>
      <c r="H23" s="1236"/>
      <c r="I23" s="1236"/>
    </row>
    <row r="24" spans="1:9">
      <c r="B24" s="704" t="s">
        <v>4140</v>
      </c>
      <c r="C24" s="1236" t="str">
        <f>IF('Data-UW'!F3="","",'Data-UW'!F3)</f>
        <v/>
      </c>
      <c r="D24" s="1236"/>
      <c r="E24" s="1236"/>
      <c r="F24" s="1236"/>
      <c r="G24" s="1236"/>
      <c r="H24" s="1236"/>
      <c r="I24" s="1236"/>
    </row>
    <row r="25" spans="1:9">
      <c r="B25" s="704" t="s">
        <v>3355</v>
      </c>
      <c r="C25" s="706">
        <f>IF('Data-UW'!B4="","",'Data-UW'!B4)</f>
        <v>0.15</v>
      </c>
      <c r="D25" s="705"/>
      <c r="E25" s="705"/>
      <c r="F25" s="705"/>
      <c r="G25" s="705"/>
      <c r="H25" s="705"/>
      <c r="I25" s="705"/>
    </row>
    <row r="26" spans="1:9">
      <c r="B26" s="704" t="s">
        <v>4141</v>
      </c>
      <c r="C26" s="1236" t="str">
        <f>IF('Data-UW'!D4="","",'Data-UW'!D4)</f>
        <v/>
      </c>
      <c r="D26" s="1236"/>
      <c r="E26" s="705"/>
      <c r="F26" s="1275" t="str">
        <f>IF('Additional Cov.'!A51&lt;&gt;"X","",CONCATENATE("Quota Share Lead Terms: ",TEXT('Additional Cov.'!B51,"0%")))</f>
        <v/>
      </c>
      <c r="G26" s="1275"/>
      <c r="H26" s="1275"/>
      <c r="I26" s="1275"/>
    </row>
    <row r="28" spans="1:9" ht="15">
      <c r="A28" s="1276" t="s">
        <v>4142</v>
      </c>
      <c r="B28" s="1277"/>
      <c r="C28" s="1277"/>
      <c r="D28" s="1277"/>
      <c r="E28" s="1277"/>
      <c r="F28" s="1277"/>
      <c r="G28" s="1277"/>
      <c r="H28" s="1277"/>
      <c r="I28" s="1278"/>
    </row>
    <row r="29" spans="1:9" ht="14.25" customHeight="1">
      <c r="A29" s="1267" t="s">
        <v>4143</v>
      </c>
      <c r="B29" s="1268"/>
      <c r="C29" s="1268"/>
      <c r="D29" s="1268"/>
      <c r="E29" s="1268"/>
      <c r="F29" s="1268"/>
      <c r="G29" s="1268"/>
      <c r="H29" s="1268"/>
      <c r="I29" s="1269"/>
    </row>
    <row r="30" spans="1:9">
      <c r="A30" s="1270"/>
      <c r="B30" s="1271"/>
      <c r="C30" s="1271"/>
      <c r="D30" s="1271"/>
      <c r="E30" s="1271"/>
      <c r="F30" s="1271"/>
      <c r="G30" s="1271"/>
      <c r="H30" s="1271"/>
      <c r="I30" s="1272"/>
    </row>
    <row r="31" spans="1:9">
      <c r="A31" s="1270"/>
      <c r="B31" s="1271"/>
      <c r="C31" s="1271"/>
      <c r="D31" s="1271"/>
      <c r="E31" s="1271"/>
      <c r="F31" s="1271"/>
      <c r="G31" s="1271"/>
      <c r="H31" s="1271"/>
      <c r="I31" s="1272"/>
    </row>
    <row r="32" spans="1:9">
      <c r="A32" s="1270"/>
      <c r="B32" s="1271"/>
      <c r="C32" s="1271"/>
      <c r="D32" s="1271"/>
      <c r="E32" s="1271"/>
      <c r="F32" s="1271"/>
      <c r="G32" s="1271"/>
      <c r="H32" s="1271"/>
      <c r="I32" s="1272"/>
    </row>
    <row r="33" spans="1:9" ht="9" customHeight="1">
      <c r="A33" s="1270"/>
      <c r="B33" s="1271"/>
      <c r="C33" s="1271"/>
      <c r="D33" s="1271"/>
      <c r="E33" s="1271"/>
      <c r="F33" s="1271"/>
      <c r="G33" s="1271"/>
      <c r="H33" s="1271"/>
      <c r="I33" s="1272"/>
    </row>
    <row r="34" spans="1:9">
      <c r="A34" s="709"/>
      <c r="B34" s="1273" t="s">
        <v>4144</v>
      </c>
      <c r="C34" s="1273"/>
      <c r="D34" s="1273"/>
      <c r="E34" s="1273"/>
      <c r="F34" s="1273"/>
      <c r="G34" s="1273"/>
      <c r="H34" s="1273"/>
      <c r="I34" s="710"/>
    </row>
    <row r="35" spans="1:9">
      <c r="A35" s="711"/>
      <c r="B35" s="1274"/>
      <c r="C35" s="1274"/>
      <c r="D35" s="1274"/>
      <c r="E35" s="1274"/>
      <c r="F35" s="1274"/>
      <c r="G35" s="1274"/>
      <c r="H35" s="1274"/>
      <c r="I35" s="712"/>
    </row>
    <row r="36" spans="1:9">
      <c r="A36" s="1268" t="str">
        <f>IF('Additional Cov.'!A5="","","Please note, the minimum premium to add any commercial FBO or Hangarkeeper as an Additional Insured with Waiver of Subrogation is $2,500 (Each/Every Location).")</f>
        <v/>
      </c>
      <c r="B36" s="1268"/>
      <c r="C36" s="1268"/>
      <c r="D36" s="1268"/>
      <c r="E36" s="1268"/>
      <c r="F36" s="1268"/>
      <c r="G36" s="1268"/>
      <c r="H36" s="1268"/>
      <c r="I36" s="1268"/>
    </row>
    <row r="37" spans="1:9">
      <c r="A37" s="1271"/>
      <c r="B37" s="1271"/>
      <c r="C37" s="1271"/>
      <c r="D37" s="1271"/>
      <c r="E37" s="1271"/>
      <c r="F37" s="1271"/>
      <c r="G37" s="1271"/>
      <c r="H37" s="1271"/>
      <c r="I37" s="1271"/>
    </row>
    <row r="38" spans="1:9">
      <c r="A38" s="566"/>
      <c r="B38" s="566"/>
      <c r="C38" s="566"/>
      <c r="D38" s="566"/>
      <c r="E38" s="566"/>
      <c r="F38" s="566"/>
      <c r="G38" s="566"/>
      <c r="H38" s="566"/>
      <c r="I38" s="566"/>
    </row>
    <row r="39" spans="1:9" ht="15.75">
      <c r="A39" s="1283" t="s">
        <v>4145</v>
      </c>
      <c r="B39" s="1284"/>
      <c r="C39" s="1284"/>
      <c r="D39" s="1284"/>
      <c r="E39" s="1284"/>
      <c r="F39" s="1284"/>
      <c r="G39" s="1284"/>
      <c r="H39" s="1284"/>
      <c r="I39" s="1285"/>
    </row>
    <row r="40" spans="1:9">
      <c r="A40" s="1286" t="s">
        <v>4146</v>
      </c>
      <c r="B40" s="1287"/>
      <c r="C40" s="1287"/>
      <c r="D40" s="75"/>
      <c r="E40" s="75"/>
      <c r="F40" s="75"/>
      <c r="G40" s="716" t="s">
        <v>3074</v>
      </c>
      <c r="H40" s="775">
        <f>'Plat Premium Summary'!O39</f>
        <v>0</v>
      </c>
      <c r="I40" s="713"/>
    </row>
    <row r="41" spans="1:9">
      <c r="A41" s="1288" t="s">
        <v>4147</v>
      </c>
      <c r="B41" s="1289"/>
      <c r="C41" s="1289"/>
      <c r="D41" s="705" t="str">
        <f>IF('Platinum Endt-Ancillary'!B52="X","Including Lead Fee","")</f>
        <v/>
      </c>
      <c r="G41" s="704" t="s">
        <v>3074</v>
      </c>
      <c r="H41" s="717">
        <f>'Plat Premium Summary'!O42+'Platinum Endt-Ancillary'!C52</f>
        <v>0</v>
      </c>
      <c r="I41" s="714"/>
    </row>
    <row r="42" spans="1:9">
      <c r="A42" s="1288" t="s">
        <v>4148</v>
      </c>
      <c r="B42" s="1289"/>
      <c r="C42" s="1289"/>
      <c r="D42" s="68"/>
      <c r="G42" s="704" t="s">
        <v>3074</v>
      </c>
      <c r="H42" s="782">
        <f ca="1">SUM('Plat Premium Summary'!O40:O41)</f>
        <v>1296</v>
      </c>
      <c r="I42" s="783"/>
    </row>
    <row r="43" spans="1:9">
      <c r="A43" s="1292" t="str">
        <f>IF(D41="","Total Quote Premium*:","Total Quote Premium* Less Lead Fee:")</f>
        <v>Total Quote Premium*:</v>
      </c>
      <c r="B43" s="1293"/>
      <c r="C43" s="1293"/>
      <c r="D43" s="1293"/>
      <c r="E43" s="122"/>
      <c r="F43" s="122"/>
      <c r="G43" s="715" t="s">
        <v>3074</v>
      </c>
      <c r="H43" s="776">
        <f ca="1">SUM(H40:H42)-'Platinum Endt-Ancillary'!$C$52</f>
        <v>1296</v>
      </c>
      <c r="I43" s="77"/>
    </row>
    <row r="44" spans="1:9">
      <c r="A44" s="1279" t="s">
        <v>4149</v>
      </c>
      <c r="B44" s="1279"/>
      <c r="C44" s="1279"/>
      <c r="D44" s="1279"/>
      <c r="E44" s="1279"/>
      <c r="F44" s="1279"/>
      <c r="G44" s="1279"/>
      <c r="H44" s="1279"/>
    </row>
    <row r="52" spans="1:9" ht="15.75">
      <c r="A52" s="1280" t="s">
        <v>4151</v>
      </c>
      <c r="B52" s="1281"/>
      <c r="C52" s="1281"/>
      <c r="D52" s="1281"/>
      <c r="E52" s="1281"/>
      <c r="F52" s="1281"/>
      <c r="G52" s="1281"/>
      <c r="H52" s="1281"/>
      <c r="I52" s="1282"/>
    </row>
    <row r="53" spans="1:9">
      <c r="A53" s="1266" t="s">
        <v>4152</v>
      </c>
      <c r="B53" s="1266"/>
      <c r="C53" s="1266"/>
      <c r="D53" s="1266"/>
      <c r="E53" s="1266"/>
      <c r="F53" s="1266"/>
      <c r="G53" s="1266"/>
      <c r="H53" s="1266"/>
      <c r="I53" s="1266"/>
    </row>
    <row r="54" spans="1:9">
      <c r="F54" s="507"/>
    </row>
    <row r="55" spans="1:9" ht="15.75">
      <c r="A55" s="583" t="s">
        <v>4153</v>
      </c>
    </row>
    <row r="56" spans="1:9" ht="7.5" customHeight="1">
      <c r="A56" s="718"/>
      <c r="B56" s="718"/>
      <c r="C56" s="718"/>
      <c r="D56" s="718"/>
      <c r="E56" s="718"/>
      <c r="F56" s="718"/>
      <c r="G56" s="718"/>
      <c r="H56" s="718"/>
      <c r="I56" s="718"/>
    </row>
    <row r="57" spans="1:9" ht="26.25" thickBot="1">
      <c r="A57" s="721" t="s">
        <v>4154</v>
      </c>
      <c r="B57" s="760" t="s">
        <v>36</v>
      </c>
      <c r="C57" s="1290" t="s">
        <v>3358</v>
      </c>
      <c r="D57" s="1290"/>
      <c r="E57" s="720" t="s">
        <v>39</v>
      </c>
      <c r="F57" s="721" t="s">
        <v>4155</v>
      </c>
      <c r="G57" s="721" t="s">
        <v>4156</v>
      </c>
      <c r="H57" s="719" t="s">
        <v>4157</v>
      </c>
      <c r="I57" s="721" t="s">
        <v>4158</v>
      </c>
    </row>
    <row r="58" spans="1:9">
      <c r="A58" s="727" t="str">
        <f>IF(Aircraft!F4="","",Rating!C10)</f>
        <v/>
      </c>
      <c r="B58" s="728" t="str">
        <f>IF(A58="","",Aircraft!H4)</f>
        <v/>
      </c>
      <c r="C58" s="1291" t="str">
        <f>IF(A58="","",Rating!E10)</f>
        <v/>
      </c>
      <c r="D58" s="1291"/>
      <c r="E58" s="729" t="str">
        <f>IF(A58="","",IF(OR(Aircraft!P4=0,Aircraft!P4=""),0,Aircraft!P4))</f>
        <v/>
      </c>
      <c r="F58" s="727" t="str">
        <f>IF(A58="","",IF(Aircraft!S4="N","All Risk","Ground"))</f>
        <v/>
      </c>
      <c r="G58" s="815" t="str">
        <f>IF(A58="","",IF(E58=0,"N/A",Aircraft!BH4))</f>
        <v/>
      </c>
      <c r="H58" s="779" t="str">
        <f>IF(Aircraft!W4="","",Aircraft!W4)</f>
        <v>$500,000/EX</v>
      </c>
      <c r="I58" s="730">
        <f>IF(Aircraft!Y4="","",Aircraft!Y4)</f>
        <v>3000</v>
      </c>
    </row>
    <row r="59" spans="1:9">
      <c r="A59" s="731" t="str">
        <f>IF(Aircraft!F5="","",Rating!C11)</f>
        <v/>
      </c>
      <c r="B59" s="759" t="str">
        <f>IF(A59="","",Aircraft!H5)</f>
        <v/>
      </c>
      <c r="C59" s="1256" t="str">
        <f>IF(A59="","",Rating!E11)</f>
        <v/>
      </c>
      <c r="D59" s="1256"/>
      <c r="E59" s="761" t="str">
        <f>IF(A59="","",IF(OR(Aircraft!P5=0,Aircraft!P5=""),0,Aircraft!P5))</f>
        <v/>
      </c>
      <c r="F59" s="731" t="str">
        <f>IF(A59="","",IF(Aircraft!S5="N","All Risk","Ground"))</f>
        <v/>
      </c>
      <c r="G59" s="732" t="str">
        <f>IF(A59="","",IF(E59=0,"N/A",Aircraft!BH5))</f>
        <v/>
      </c>
      <c r="H59" s="780" t="str">
        <f>IF(Aircraft!W5="","",Aircraft!W5)</f>
        <v>$500,000/EX</v>
      </c>
      <c r="I59" s="762">
        <f>IF(Aircraft!Y5="","",Aircraft!Y5)</f>
        <v>5000</v>
      </c>
    </row>
    <row r="60" spans="1:9">
      <c r="A60" s="731" t="str">
        <f>IF(Aircraft!F6="","",Rating!C12)</f>
        <v/>
      </c>
      <c r="B60" s="759" t="str">
        <f>IF(A60="","",Aircraft!H6)</f>
        <v/>
      </c>
      <c r="C60" s="1256" t="str">
        <f>IF(A60="","",Rating!E12)</f>
        <v/>
      </c>
      <c r="D60" s="1256"/>
      <c r="E60" s="761" t="str">
        <f>IF(A60="","",IF(OR(Aircraft!P6=0,Aircraft!P6=""),0,Aircraft!P6))</f>
        <v/>
      </c>
      <c r="F60" s="731" t="str">
        <f>IF(A60="","",IF(Aircraft!S6="N","All Risk","Ground"))</f>
        <v/>
      </c>
      <c r="G60" s="732" t="str">
        <f>IF(A60="","",IF(E60=0,"N/A",Aircraft!BH6))</f>
        <v/>
      </c>
      <c r="H60" s="780" t="str">
        <f>IF(Aircraft!W6="","",Aircraft!W6)</f>
        <v>$500,000/EX</v>
      </c>
      <c r="I60" s="762">
        <f>IF(Aircraft!Y6="","",Aircraft!Y6)</f>
        <v>5000</v>
      </c>
    </row>
    <row r="61" spans="1:9" hidden="1">
      <c r="A61" s="731" t="str">
        <f>IF(Aircraft!F7="","",Rating!C13)</f>
        <v/>
      </c>
      <c r="B61" s="759" t="str">
        <f>IF(A61="","",Aircraft!H7)</f>
        <v/>
      </c>
      <c r="C61" s="1256" t="str">
        <f>IF(A61="","",Rating!E13)</f>
        <v/>
      </c>
      <c r="D61" s="1256"/>
      <c r="E61" s="761" t="str">
        <f>IF(A61="","",IF(OR(Aircraft!P7=0,Aircraft!P7=""),0,Aircraft!P7))</f>
        <v/>
      </c>
      <c r="F61" s="731" t="str">
        <f>IF(A61="","",IF(Aircraft!S7="N","All Risk","Ground"))</f>
        <v/>
      </c>
      <c r="G61" s="732" t="str">
        <f>IF(A61="","",IF(E61=0,"N/A",Aircraft!BH7))</f>
        <v/>
      </c>
      <c r="H61" s="780" t="str">
        <f>IF(Aircraft!W7="","",Aircraft!W7)</f>
        <v/>
      </c>
      <c r="I61" s="762" t="str">
        <f>IF(Aircraft!Y7="","",Aircraft!Y7)</f>
        <v/>
      </c>
    </row>
    <row r="62" spans="1:9" hidden="1">
      <c r="A62" s="731" t="str">
        <f>IF(Aircraft!F8="","",Rating!C14)</f>
        <v/>
      </c>
      <c r="B62" s="759" t="str">
        <f>IF(A62="","",Aircraft!H8)</f>
        <v/>
      </c>
      <c r="C62" s="1256" t="str">
        <f>IF(A62="","",Rating!E14)</f>
        <v/>
      </c>
      <c r="D62" s="1256"/>
      <c r="E62" s="761" t="str">
        <f>IF(A62="","",IF(OR(Aircraft!P8=0,Aircraft!P8=""),0,Aircraft!P8))</f>
        <v/>
      </c>
      <c r="F62" s="731" t="str">
        <f>IF(A62="","",IF(Aircraft!S8="N","All Risk","Ground"))</f>
        <v/>
      </c>
      <c r="G62" s="732" t="str">
        <f>IF(A62="","",IF(E62=0,"N/A",Aircraft!BH8))</f>
        <v/>
      </c>
      <c r="H62" s="780" t="str">
        <f>IF(Aircraft!W8="","",Aircraft!W8)</f>
        <v/>
      </c>
      <c r="I62" s="762" t="str">
        <f>IF(Aircraft!Y8="","",Aircraft!Y8)</f>
        <v/>
      </c>
    </row>
    <row r="63" spans="1:9" hidden="1">
      <c r="A63" s="731" t="str">
        <f>IF(Aircraft!F9="","",Rating!C15)</f>
        <v/>
      </c>
      <c r="B63" s="759" t="str">
        <f>IF(A63="","",Aircraft!H9)</f>
        <v/>
      </c>
      <c r="C63" s="1256" t="str">
        <f>IF(A63="","",Rating!E15)</f>
        <v/>
      </c>
      <c r="D63" s="1256"/>
      <c r="E63" s="761" t="str">
        <f>IF(A63="","",IF(OR(Aircraft!P9=0,Aircraft!P9=""),0,Aircraft!P9))</f>
        <v/>
      </c>
      <c r="F63" s="731" t="str">
        <f>IF(A63="","",IF(Aircraft!S9="N","All Risk","Ground"))</f>
        <v/>
      </c>
      <c r="G63" s="732" t="str">
        <f>IF(A63="","",IF(E63=0,"N/A",Aircraft!BH9))</f>
        <v/>
      </c>
      <c r="H63" s="780" t="str">
        <f>IF(Aircraft!W9="","",Aircraft!W9)</f>
        <v/>
      </c>
      <c r="I63" s="762" t="str">
        <f>IF(Aircraft!Y9="","",Aircraft!Y9)</f>
        <v/>
      </c>
    </row>
    <row r="64" spans="1:9" hidden="1">
      <c r="A64" s="731" t="str">
        <f>IF(Aircraft!F10="","",Rating!C16)</f>
        <v/>
      </c>
      <c r="B64" s="759" t="str">
        <f>IF(A64="","",Aircraft!H10)</f>
        <v/>
      </c>
      <c r="C64" s="1256" t="str">
        <f>IF(A64="","",Rating!E16)</f>
        <v/>
      </c>
      <c r="D64" s="1256"/>
      <c r="E64" s="761" t="str">
        <f>IF(A64="","",IF(OR(Aircraft!P10=0,Aircraft!P10=""),0,Aircraft!P10))</f>
        <v/>
      </c>
      <c r="F64" s="731" t="str">
        <f>IF(A64="","",IF(Aircraft!S10="N","All Risk","Ground"))</f>
        <v/>
      </c>
      <c r="G64" s="732" t="str">
        <f>IF(A64="","",IF(E64=0,"N/A",Aircraft!BH10))</f>
        <v/>
      </c>
      <c r="H64" s="780" t="str">
        <f>IF(Aircraft!W10="","",Aircraft!W10)</f>
        <v/>
      </c>
      <c r="I64" s="762" t="str">
        <f>IF(Aircraft!Y10="","",Aircraft!Y10)</f>
        <v/>
      </c>
    </row>
    <row r="65" spans="1:9" hidden="1">
      <c r="A65" s="731" t="str">
        <f>IF(Aircraft!F11="","",Rating!C17)</f>
        <v/>
      </c>
      <c r="B65" s="759" t="str">
        <f>IF(A65="","",Aircraft!H11)</f>
        <v/>
      </c>
      <c r="C65" s="1256" t="str">
        <f>IF(A65="","",Rating!E17)</f>
        <v/>
      </c>
      <c r="D65" s="1256"/>
      <c r="E65" s="761" t="str">
        <f>IF(A65="","",IF(OR(Aircraft!P11=0,Aircraft!P11=""),0,Aircraft!P11))</f>
        <v/>
      </c>
      <c r="F65" s="731" t="str">
        <f>IF(A65="","",IF(Aircraft!S11="N","All Risk","Ground"))</f>
        <v/>
      </c>
      <c r="G65" s="732" t="str">
        <f>IF(A65="","",IF(E65=0,"N/A",Aircraft!BH11))</f>
        <v/>
      </c>
      <c r="H65" s="780" t="str">
        <f>IF(Aircraft!W11="","",Aircraft!W11)</f>
        <v/>
      </c>
      <c r="I65" s="762" t="str">
        <f>IF(Aircraft!Y11="","",Aircraft!Y11)</f>
        <v/>
      </c>
    </row>
    <row r="66" spans="1:9" hidden="1">
      <c r="A66" s="731" t="str">
        <f>IF(Aircraft!F12="","",Rating!C18)</f>
        <v/>
      </c>
      <c r="B66" s="759" t="str">
        <f>IF(A66="","",Aircraft!H12)</f>
        <v/>
      </c>
      <c r="C66" s="1256" t="str">
        <f>IF(A66="","",Rating!E18)</f>
        <v/>
      </c>
      <c r="D66" s="1256"/>
      <c r="E66" s="761" t="str">
        <f>IF(A66="","",IF(OR(Aircraft!P12=0,Aircraft!P12=""),0,Aircraft!P12))</f>
        <v/>
      </c>
      <c r="F66" s="731" t="str">
        <f>IF(A66="","",IF(Aircraft!S12="N","All Risk","Ground"))</f>
        <v/>
      </c>
      <c r="G66" s="732" t="str">
        <f>IF(A66="","",IF(E66=0,"N/A",Aircraft!BH12))</f>
        <v/>
      </c>
      <c r="H66" s="780" t="str">
        <f>IF(Aircraft!W12="","",Aircraft!W12)</f>
        <v/>
      </c>
      <c r="I66" s="762" t="str">
        <f>IF(Aircraft!Y12="","",Aircraft!Y12)</f>
        <v/>
      </c>
    </row>
    <row r="67" spans="1:9" hidden="1">
      <c r="A67" s="731" t="str">
        <f>IF(Aircraft!F13="","",Rating!C19)</f>
        <v/>
      </c>
      <c r="B67" s="759" t="str">
        <f>IF(A67="","",Aircraft!H13)</f>
        <v/>
      </c>
      <c r="C67" s="1256" t="str">
        <f>IF(A67="","",Rating!E19)</f>
        <v/>
      </c>
      <c r="D67" s="1256"/>
      <c r="E67" s="761" t="str">
        <f>IF(A67="","",IF(OR(Aircraft!P13=0,Aircraft!P13=""),0,Aircraft!P13))</f>
        <v/>
      </c>
      <c r="F67" s="731" t="str">
        <f>IF(A67="","",IF(Aircraft!S13="N","All Risk","Ground"))</f>
        <v/>
      </c>
      <c r="G67" s="732" t="str">
        <f>IF(A67="","",IF(E67=0,"N/A",Aircraft!BH13))</f>
        <v/>
      </c>
      <c r="H67" s="780" t="str">
        <f>IF(Aircraft!W13="","",Aircraft!W13)</f>
        <v/>
      </c>
      <c r="I67" s="762" t="str">
        <f>IF(Aircraft!Y13="","",Aircraft!Y13)</f>
        <v/>
      </c>
    </row>
    <row r="68" spans="1:9" hidden="1">
      <c r="A68" s="731" t="str">
        <f>IF(Aircraft!F14="","",Rating!C20)</f>
        <v/>
      </c>
      <c r="B68" s="759" t="str">
        <f>IF(A68="","",Aircraft!H14)</f>
        <v/>
      </c>
      <c r="C68" s="1256" t="str">
        <f>IF(A68="","",Rating!E20)</f>
        <v/>
      </c>
      <c r="D68" s="1256"/>
      <c r="E68" s="761" t="str">
        <f>IF(A68="","",IF(OR(Aircraft!P14=0,Aircraft!P14=""),0,Aircraft!P14))</f>
        <v/>
      </c>
      <c r="F68" s="731" t="str">
        <f>IF(A68="","",IF(Aircraft!S14="N","All Risk","Ground"))</f>
        <v/>
      </c>
      <c r="G68" s="732" t="str">
        <f>IF(A68="","",IF(E68=0,"N/A",Aircraft!BH14))</f>
        <v/>
      </c>
      <c r="H68" s="780" t="str">
        <f>IF(Aircraft!W14="","",Aircraft!W14)</f>
        <v/>
      </c>
      <c r="I68" s="762" t="str">
        <f>IF(Aircraft!Y14="","",Aircraft!Y14)</f>
        <v/>
      </c>
    </row>
    <row r="69" spans="1:9" hidden="1">
      <c r="A69" s="731" t="str">
        <f>IF(Aircraft!F15="","",Rating!C21)</f>
        <v/>
      </c>
      <c r="B69" s="759" t="str">
        <f>IF(A69="","",Aircraft!H15)</f>
        <v/>
      </c>
      <c r="C69" s="1256" t="str">
        <f>IF(A69="","",Rating!E21)</f>
        <v/>
      </c>
      <c r="D69" s="1256"/>
      <c r="E69" s="761" t="str">
        <f>IF(A69="","",IF(OR(Aircraft!P15=0,Aircraft!P15=""),0,Aircraft!P15))</f>
        <v/>
      </c>
      <c r="F69" s="731" t="str">
        <f>IF(A69="","",IF(Aircraft!S15="N","All Risk","Ground"))</f>
        <v/>
      </c>
      <c r="G69" s="732" t="str">
        <f>IF(A69="","",IF(E69=0,"N/A",Aircraft!BH15))</f>
        <v/>
      </c>
      <c r="H69" s="780" t="str">
        <f>IF(Aircraft!W15="","",Aircraft!W15)</f>
        <v/>
      </c>
      <c r="I69" s="762" t="str">
        <f>IF(Aircraft!Y15="","",Aircraft!Y15)</f>
        <v/>
      </c>
    </row>
    <row r="70" spans="1:9" hidden="1">
      <c r="A70" s="731" t="str">
        <f>IF(Aircraft!F16="","",Rating!C22)</f>
        <v/>
      </c>
      <c r="B70" s="759" t="str">
        <f>IF(A70="","",Aircraft!H16)</f>
        <v/>
      </c>
      <c r="C70" s="1256" t="str">
        <f>IF(A70="","",Rating!E22)</f>
        <v/>
      </c>
      <c r="D70" s="1256"/>
      <c r="E70" s="761" t="str">
        <f>IF(A70="","",IF(OR(Aircraft!P16=0,Aircraft!P16=""),0,Aircraft!P16))</f>
        <v/>
      </c>
      <c r="F70" s="731" t="str">
        <f>IF(A70="","",IF(Aircraft!S16="N","All Risk","Ground"))</f>
        <v/>
      </c>
      <c r="G70" s="732" t="str">
        <f>IF(A70="","",IF(E70=0,"N/A",Aircraft!BH16))</f>
        <v/>
      </c>
      <c r="H70" s="780" t="str">
        <f>IF(Aircraft!W16="","",Aircraft!W16)</f>
        <v/>
      </c>
      <c r="I70" s="762" t="str">
        <f>IF(Aircraft!Y16="","",Aircraft!Y16)</f>
        <v/>
      </c>
    </row>
    <row r="71" spans="1:9" hidden="1">
      <c r="A71" s="731" t="str">
        <f>IF(Aircraft!F17="","",Rating!C23)</f>
        <v/>
      </c>
      <c r="B71" s="759" t="str">
        <f>IF(A71="","",Aircraft!H17)</f>
        <v/>
      </c>
      <c r="C71" s="1256" t="str">
        <f>IF(A71="","",Rating!E23)</f>
        <v/>
      </c>
      <c r="D71" s="1256"/>
      <c r="E71" s="761" t="str">
        <f>IF(A71="","",IF(OR(Aircraft!P17=0,Aircraft!P17=""),0,Aircraft!P17))</f>
        <v/>
      </c>
      <c r="F71" s="731" t="str">
        <f>IF(A71="","",IF(Aircraft!S17="N","All Risk","Ground"))</f>
        <v/>
      </c>
      <c r="G71" s="732" t="str">
        <f>IF(A71="","",IF(E71=0,"N/A",Aircraft!BH17))</f>
        <v/>
      </c>
      <c r="H71" s="780" t="str">
        <f>IF(Aircraft!W17="","",Aircraft!W17)</f>
        <v/>
      </c>
      <c r="I71" s="762" t="str">
        <f>IF(Aircraft!Y17="","",Aircraft!Y17)</f>
        <v/>
      </c>
    </row>
    <row r="72" spans="1:9">
      <c r="A72" t="s">
        <v>4159</v>
      </c>
      <c r="C72" s="1250"/>
      <c r="D72" s="1250"/>
      <c r="H72" s="387"/>
    </row>
    <row r="73" spans="1:9" ht="7.35" customHeight="1"/>
    <row r="74" spans="1:9" ht="26.25" thickBot="1">
      <c r="A74" s="726" t="s">
        <v>4154</v>
      </c>
      <c r="B74" s="1251" t="s">
        <v>3359</v>
      </c>
      <c r="C74" s="1252"/>
      <c r="D74" s="1253" t="s">
        <v>4160</v>
      </c>
      <c r="E74" s="1254"/>
      <c r="F74" s="1252"/>
    </row>
    <row r="75" spans="1:9">
      <c r="A75" s="727" t="str">
        <f>IF(Aircraft!F4="","",Rating!C10)</f>
        <v/>
      </c>
      <c r="B75" s="1255" t="str">
        <f>IF(A58="","",'Com Quote'!E11)</f>
        <v/>
      </c>
      <c r="C75" s="1255"/>
      <c r="D75" s="1255" t="str">
        <f>IF(A58="","","Industrial Aid")</f>
        <v/>
      </c>
      <c r="E75" s="1255"/>
      <c r="F75" s="1255"/>
    </row>
    <row r="76" spans="1:9">
      <c r="A76" s="731" t="str">
        <f>IF(Aircraft!F5="","",Rating!C11)</f>
        <v/>
      </c>
      <c r="B76" s="1241" t="str">
        <f>IF(A59="","",'Com Quote'!E12)</f>
        <v/>
      </c>
      <c r="C76" s="1241"/>
      <c r="D76" s="1241" t="str">
        <f t="shared" ref="D76:D88" si="0">IF(A59="","","Industrial Aid")</f>
        <v/>
      </c>
      <c r="E76" s="1241"/>
      <c r="F76" s="1241"/>
    </row>
    <row r="77" spans="1:9">
      <c r="A77" s="731" t="str">
        <f>IF(Aircraft!F6="","",Rating!C12)</f>
        <v/>
      </c>
      <c r="B77" s="1241" t="str">
        <f>IF(A60="","",'Com Quote'!E13)</f>
        <v/>
      </c>
      <c r="C77" s="1241"/>
      <c r="D77" s="1241" t="str">
        <f t="shared" si="0"/>
        <v/>
      </c>
      <c r="E77" s="1241"/>
      <c r="F77" s="1241"/>
    </row>
    <row r="78" spans="1:9" hidden="1">
      <c r="A78" s="731" t="str">
        <f>IF(Aircraft!F7="","",Rating!C13)</f>
        <v/>
      </c>
      <c r="B78" s="1241" t="str">
        <f>IF(A61="","",'Com Quote'!E14)</f>
        <v/>
      </c>
      <c r="C78" s="1241"/>
      <c r="D78" s="1241" t="str">
        <f t="shared" si="0"/>
        <v/>
      </c>
      <c r="E78" s="1241"/>
      <c r="F78" s="1241"/>
    </row>
    <row r="79" spans="1:9" hidden="1">
      <c r="A79" s="731" t="str">
        <f>IF(Aircraft!F8="","",Rating!C14)</f>
        <v/>
      </c>
      <c r="B79" s="1241" t="str">
        <f>IF(A62="","",'Com Quote'!E15)</f>
        <v/>
      </c>
      <c r="C79" s="1241"/>
      <c r="D79" s="1241" t="str">
        <f t="shared" si="0"/>
        <v/>
      </c>
      <c r="E79" s="1241"/>
      <c r="F79" s="1241"/>
    </row>
    <row r="80" spans="1:9" hidden="1">
      <c r="A80" s="731" t="str">
        <f>IF(Aircraft!F9="","",Rating!C15)</f>
        <v/>
      </c>
      <c r="B80" s="1241" t="str">
        <f>IF(A63="","",'Com Quote'!E16)</f>
        <v/>
      </c>
      <c r="C80" s="1241"/>
      <c r="D80" s="1241" t="str">
        <f t="shared" si="0"/>
        <v/>
      </c>
      <c r="E80" s="1241"/>
      <c r="F80" s="1241"/>
    </row>
    <row r="81" spans="1:9" hidden="1">
      <c r="A81" s="731" t="str">
        <f>IF(Aircraft!F10="","",Rating!C16)</f>
        <v/>
      </c>
      <c r="B81" s="1241" t="str">
        <f>IF(A64="","",'Com Quote'!E17)</f>
        <v/>
      </c>
      <c r="C81" s="1241"/>
      <c r="D81" s="1241" t="str">
        <f t="shared" si="0"/>
        <v/>
      </c>
      <c r="E81" s="1241"/>
      <c r="F81" s="1241"/>
    </row>
    <row r="82" spans="1:9" hidden="1">
      <c r="A82" s="731" t="str">
        <f>IF(Aircraft!F11="","",Rating!C17)</f>
        <v/>
      </c>
      <c r="B82" s="1241" t="str">
        <f>IF(A65="","",'Com Quote'!E18)</f>
        <v/>
      </c>
      <c r="C82" s="1241"/>
      <c r="D82" s="1241" t="str">
        <f t="shared" si="0"/>
        <v/>
      </c>
      <c r="E82" s="1241"/>
      <c r="F82" s="1241"/>
    </row>
    <row r="83" spans="1:9" hidden="1">
      <c r="A83" s="731" t="str">
        <f>IF(Aircraft!F12="","",Rating!C18)</f>
        <v/>
      </c>
      <c r="B83" s="1241" t="str">
        <f>IF(A66="","",'Com Quote'!E19)</f>
        <v/>
      </c>
      <c r="C83" s="1241"/>
      <c r="D83" s="1241" t="str">
        <f t="shared" si="0"/>
        <v/>
      </c>
      <c r="E83" s="1241"/>
      <c r="F83" s="1241"/>
    </row>
    <row r="84" spans="1:9" hidden="1">
      <c r="A84" s="731" t="str">
        <f>IF(Aircraft!F13="","",Rating!C19)</f>
        <v/>
      </c>
      <c r="B84" s="1241" t="str">
        <f>IF(A67="","",'Com Quote'!E20)</f>
        <v/>
      </c>
      <c r="C84" s="1241"/>
      <c r="D84" s="1241" t="str">
        <f t="shared" si="0"/>
        <v/>
      </c>
      <c r="E84" s="1241"/>
      <c r="F84" s="1241"/>
    </row>
    <row r="85" spans="1:9" hidden="1">
      <c r="A85" s="731" t="str">
        <f>IF(Aircraft!F14="","",Rating!C20)</f>
        <v/>
      </c>
      <c r="B85" s="1241" t="str">
        <f>IF(A68="","",'Com Quote'!E21)</f>
        <v/>
      </c>
      <c r="C85" s="1241"/>
      <c r="D85" s="1241" t="str">
        <f t="shared" si="0"/>
        <v/>
      </c>
      <c r="E85" s="1241"/>
      <c r="F85" s="1241"/>
    </row>
    <row r="86" spans="1:9" hidden="1">
      <c r="A86" s="731" t="str">
        <f>IF(Aircraft!F15="","",Rating!C21)</f>
        <v/>
      </c>
      <c r="B86" s="1241" t="str">
        <f>IF(A69="","",'Com Quote'!E22)</f>
        <v/>
      </c>
      <c r="C86" s="1241"/>
      <c r="D86" s="1241" t="str">
        <f t="shared" si="0"/>
        <v/>
      </c>
      <c r="E86" s="1241"/>
      <c r="F86" s="1241"/>
    </row>
    <row r="87" spans="1:9" hidden="1">
      <c r="A87" s="731" t="str">
        <f>IF(Aircraft!F16="","",Rating!C22)</f>
        <v/>
      </c>
      <c r="B87" s="1241" t="str">
        <f>IF(A70="","",'Com Quote'!E23)</f>
        <v/>
      </c>
      <c r="C87" s="1241"/>
      <c r="D87" s="1241" t="str">
        <f t="shared" si="0"/>
        <v/>
      </c>
      <c r="E87" s="1241"/>
      <c r="F87" s="1241"/>
    </row>
    <row r="88" spans="1:9" hidden="1">
      <c r="A88" s="731" t="str">
        <f>IF(Aircraft!F17="","",Rating!C23)</f>
        <v/>
      </c>
      <c r="B88" s="1241" t="str">
        <f>IF(A71="","",'Com Quote'!E24)</f>
        <v/>
      </c>
      <c r="C88" s="1241"/>
      <c r="D88" s="1241" t="str">
        <f t="shared" si="0"/>
        <v/>
      </c>
      <c r="E88" s="1241"/>
      <c r="F88" s="1241"/>
    </row>
    <row r="90" spans="1:9" ht="6" customHeight="1"/>
    <row r="91" spans="1:9">
      <c r="A91" s="1235" t="s">
        <v>4161</v>
      </c>
      <c r="B91" s="1235"/>
      <c r="C91" s="1235"/>
      <c r="D91" s="1235"/>
      <c r="E91" s="1235"/>
      <c r="F91" s="1235"/>
      <c r="G91" s="1235"/>
      <c r="H91" s="1235"/>
      <c r="I91" s="1235"/>
    </row>
    <row r="92" spans="1:9">
      <c r="A92" s="1235"/>
      <c r="B92" s="1235"/>
      <c r="C92" s="1235"/>
      <c r="D92" s="1235"/>
      <c r="E92" s="1235"/>
      <c r="F92" s="1235"/>
      <c r="G92" s="1235"/>
      <c r="H92" s="1235"/>
      <c r="I92" s="1235"/>
    </row>
    <row r="93" spans="1:9" ht="15.75">
      <c r="A93" s="583" t="s">
        <v>4162</v>
      </c>
    </row>
    <row r="94" spans="1:9">
      <c r="A94" s="722" t="s">
        <v>4163</v>
      </c>
      <c r="B94" s="723"/>
      <c r="C94" s="724" t="s">
        <v>4164</v>
      </c>
      <c r="D94" s="75"/>
      <c r="E94" s="75"/>
      <c r="F94" s="75"/>
      <c r="G94" s="75"/>
      <c r="H94" s="75"/>
      <c r="I94" s="76"/>
    </row>
    <row r="95" spans="1:9">
      <c r="A95" s="60"/>
      <c r="C95" s="725" t="s">
        <v>4165</v>
      </c>
      <c r="I95" s="61"/>
    </row>
    <row r="96" spans="1:9" ht="15">
      <c r="A96" s="62"/>
      <c r="B96" s="68"/>
      <c r="C96" s="68"/>
      <c r="D96" s="68"/>
      <c r="E96" s="68"/>
      <c r="F96" s="68"/>
      <c r="G96" s="734" t="s">
        <v>4166</v>
      </c>
      <c r="H96" s="1239">
        <f>'Platinum Coverages'!N6</f>
        <v>500000</v>
      </c>
      <c r="I96" s="1240"/>
    </row>
    <row r="97" spans="1:9" ht="7.35" customHeight="1"/>
    <row r="98" spans="1:9">
      <c r="A98" s="722" t="s">
        <v>4167</v>
      </c>
      <c r="B98" s="724"/>
      <c r="C98" s="724" t="s">
        <v>4168</v>
      </c>
      <c r="D98" s="724"/>
      <c r="E98" s="75"/>
      <c r="F98" s="75"/>
      <c r="G98" s="75"/>
      <c r="H98" s="75"/>
      <c r="I98" s="76"/>
    </row>
    <row r="99" spans="1:9">
      <c r="A99" s="60"/>
      <c r="G99" s="735" t="s">
        <v>4172</v>
      </c>
      <c r="H99" s="1242">
        <f>IF('Platinum Coverages'!C7="no","N/A",'Platinum Coverages'!N7)</f>
        <v>500000</v>
      </c>
      <c r="I99" s="1243"/>
    </row>
    <row r="100" spans="1:9">
      <c r="A100" s="62"/>
      <c r="B100" s="68"/>
      <c r="C100" s="68"/>
      <c r="D100" s="68"/>
      <c r="E100" s="68"/>
      <c r="F100" s="68"/>
      <c r="G100" s="734" t="s">
        <v>4169</v>
      </c>
      <c r="H100" s="1245">
        <f>IF(H99="N/A","N/A",'Platinum Coverages'!N8)</f>
        <v>30</v>
      </c>
      <c r="I100" s="1246"/>
    </row>
    <row r="101" spans="1:9" ht="7.35" customHeight="1"/>
    <row r="102" spans="1:9">
      <c r="A102" s="722" t="s">
        <v>4170</v>
      </c>
      <c r="B102" s="724"/>
      <c r="C102" s="724" t="s">
        <v>4171</v>
      </c>
      <c r="D102" s="75"/>
      <c r="E102" s="75"/>
      <c r="F102" s="75"/>
      <c r="G102" s="75"/>
      <c r="H102" s="75"/>
      <c r="I102" s="76"/>
    </row>
    <row r="103" spans="1:9">
      <c r="A103" s="60"/>
      <c r="C103" s="725"/>
      <c r="D103" s="725"/>
      <c r="E103" s="725"/>
      <c r="F103" s="725"/>
      <c r="G103" s="735" t="s">
        <v>4172</v>
      </c>
      <c r="H103" s="1242">
        <f>IF(OR(H99="N/A",'Platinum Coverages'!C9="No"),"N/A",'Platinum Coverages'!N9)</f>
        <v>100000</v>
      </c>
      <c r="I103" s="1243"/>
    </row>
    <row r="104" spans="1:9">
      <c r="A104" s="62"/>
      <c r="B104" s="68"/>
      <c r="C104" s="737" t="str">
        <f>CONCATENATE("Maximum Number of Seats: ",'Platinum Coverages'!N11)</f>
        <v>Maximum Number of Seats: 20</v>
      </c>
      <c r="D104" s="737"/>
      <c r="E104" s="737"/>
      <c r="F104" s="738"/>
      <c r="G104" s="734" t="s">
        <v>4169</v>
      </c>
      <c r="H104" s="1245">
        <f>IF(H103="N/A","N/A",'Platinum Coverages'!N10)</f>
        <v>30</v>
      </c>
      <c r="I104" s="1246"/>
    </row>
    <row r="105" spans="1:9" ht="7.35" customHeight="1"/>
    <row r="106" spans="1:9">
      <c r="A106" s="722" t="s">
        <v>4173</v>
      </c>
      <c r="B106" s="723"/>
      <c r="C106" s="724" t="s">
        <v>4174</v>
      </c>
      <c r="D106" s="723"/>
      <c r="E106" s="723"/>
      <c r="F106" s="723"/>
      <c r="G106" s="723"/>
      <c r="H106" s="723"/>
      <c r="I106" s="740"/>
    </row>
    <row r="107" spans="1:9">
      <c r="A107" s="741"/>
      <c r="B107" s="737"/>
      <c r="C107" s="737"/>
      <c r="D107" s="737"/>
      <c r="E107" s="737"/>
      <c r="F107" s="737"/>
      <c r="G107" s="734" t="s">
        <v>4172</v>
      </c>
      <c r="H107" s="1247" t="str">
        <f>IF('Platinum Coverages'!C12="No","N/A",'Platinum Coverages'!N12)</f>
        <v>N/A</v>
      </c>
      <c r="I107" s="1246"/>
    </row>
    <row r="108" spans="1:9" ht="7.35" customHeight="1">
      <c r="A108" s="725"/>
      <c r="B108" s="725"/>
      <c r="C108" s="725"/>
      <c r="D108" s="725"/>
      <c r="E108" s="725"/>
      <c r="F108" s="725"/>
      <c r="G108" s="725"/>
      <c r="H108" s="725"/>
      <c r="I108" s="725"/>
    </row>
    <row r="109" spans="1:9">
      <c r="A109" s="722" t="s">
        <v>4175</v>
      </c>
      <c r="B109" s="723"/>
      <c r="C109" s="1248" t="s">
        <v>4176</v>
      </c>
      <c r="D109" s="1248"/>
      <c r="E109" s="1248"/>
      <c r="F109" s="1248"/>
      <c r="G109" s="1248"/>
      <c r="H109" s="1248"/>
      <c r="I109" s="1249"/>
    </row>
    <row r="110" spans="1:9">
      <c r="A110" s="742"/>
      <c r="B110" s="725"/>
      <c r="C110" s="725" t="s">
        <v>4178</v>
      </c>
      <c r="D110" s="725"/>
      <c r="E110" s="725"/>
      <c r="F110" s="725"/>
      <c r="G110" s="725"/>
      <c r="H110" s="725"/>
      <c r="I110" s="743"/>
    </row>
    <row r="111" spans="1:9" ht="13.5" customHeight="1">
      <c r="A111" s="742"/>
      <c r="B111" s="725"/>
      <c r="C111" s="744" t="s">
        <v>4177</v>
      </c>
      <c r="D111" s="725"/>
      <c r="E111" s="725"/>
      <c r="F111" s="725"/>
      <c r="G111" s="725"/>
      <c r="H111" s="725"/>
      <c r="I111" s="743"/>
    </row>
    <row r="112" spans="1:9">
      <c r="A112" s="742"/>
      <c r="B112" s="725"/>
      <c r="C112" s="725"/>
      <c r="D112" s="725"/>
      <c r="E112" s="725"/>
      <c r="F112" s="735" t="s">
        <v>4179</v>
      </c>
      <c r="G112" s="750">
        <f>IF('Platinum Coverages'!C13="No","N/A",'Platinum Coverages'!N13)</f>
        <v>100000</v>
      </c>
      <c r="H112" s="725" t="s">
        <v>4181</v>
      </c>
      <c r="I112" s="61"/>
    </row>
    <row r="113" spans="1:9">
      <c r="A113" s="742"/>
      <c r="B113" s="725"/>
      <c r="C113" s="725"/>
      <c r="D113" s="725"/>
      <c r="E113" s="725"/>
      <c r="F113" s="735" t="s">
        <v>4180</v>
      </c>
      <c r="G113" s="750">
        <f>IF(AND('Platinum Coverages'!C13="Yes",'Platinum Coverages'!L14="Crew/Pax"),'Platinum Coverages'!N13,"N/A")</f>
        <v>100000</v>
      </c>
      <c r="H113" s="725" t="s">
        <v>4181</v>
      </c>
      <c r="I113" s="743"/>
    </row>
    <row r="114" spans="1:9">
      <c r="A114" s="742"/>
      <c r="B114" s="725"/>
      <c r="C114" s="744" t="s">
        <v>4182</v>
      </c>
      <c r="D114" s="725"/>
      <c r="E114" s="725"/>
      <c r="F114" s="725"/>
      <c r="G114" s="736"/>
      <c r="H114" s="725"/>
      <c r="I114" s="743"/>
    </row>
    <row r="115" spans="1:9">
      <c r="A115" s="742"/>
      <c r="B115" s="725"/>
      <c r="C115" s="725"/>
      <c r="D115" s="725"/>
      <c r="E115" s="725"/>
      <c r="F115" s="735" t="s">
        <v>4179</v>
      </c>
      <c r="G115" s="750">
        <f>IF(G112="N/A","N/A",G112)</f>
        <v>100000</v>
      </c>
      <c r="H115" s="725" t="s">
        <v>4181</v>
      </c>
      <c r="I115" s="743"/>
    </row>
    <row r="116" spans="1:9">
      <c r="A116" s="742"/>
      <c r="B116" s="725"/>
      <c r="C116" s="725"/>
      <c r="D116" s="725"/>
      <c r="E116" s="725"/>
      <c r="F116" s="735" t="s">
        <v>4180</v>
      </c>
      <c r="G116" s="750">
        <f>IF(G113="N/A","N/A",G113)</f>
        <v>100000</v>
      </c>
      <c r="H116" s="725" t="s">
        <v>4181</v>
      </c>
      <c r="I116" s="743"/>
    </row>
    <row r="117" spans="1:9">
      <c r="A117" s="742"/>
      <c r="B117" s="725"/>
      <c r="C117" s="725" t="s">
        <v>4183</v>
      </c>
      <c r="D117" s="725"/>
      <c r="E117" s="725"/>
      <c r="F117" s="725"/>
      <c r="G117" s="736"/>
      <c r="H117" s="725"/>
      <c r="I117" s="743"/>
    </row>
    <row r="118" spans="1:9">
      <c r="A118" s="742"/>
      <c r="B118" s="725"/>
      <c r="C118" s="725" t="s">
        <v>4184</v>
      </c>
      <c r="D118" s="725"/>
      <c r="E118" s="725"/>
      <c r="F118" s="725"/>
      <c r="G118" s="750">
        <f>IF(G115="N/A","N/A",MIN(H96,PRODUCT(G115,'Platinum Coverages'!N11)))</f>
        <v>500000</v>
      </c>
      <c r="H118" s="725" t="s">
        <v>4181</v>
      </c>
      <c r="I118" s="743"/>
    </row>
    <row r="119" spans="1:9">
      <c r="A119" s="742"/>
      <c r="B119" s="725"/>
      <c r="C119" s="725" t="s">
        <v>4187</v>
      </c>
      <c r="D119" s="725"/>
      <c r="E119" s="725"/>
      <c r="F119" s="725"/>
      <c r="G119" s="751">
        <f>IF(G112="N/A","N/A",'Platinum Coverages'!L16)</f>
        <v>1000</v>
      </c>
      <c r="H119" s="725" t="s">
        <v>4185</v>
      </c>
      <c r="I119" s="743"/>
    </row>
    <row r="120" spans="1:9">
      <c r="A120" s="741"/>
      <c r="B120" s="737"/>
      <c r="C120" s="745" t="s">
        <v>4188</v>
      </c>
      <c r="D120" s="737"/>
      <c r="E120" s="737"/>
      <c r="F120" s="737"/>
      <c r="G120" s="785">
        <f>IF(G112="N/A","N/A",'Platinum Coverages'!L15)</f>
        <v>52</v>
      </c>
      <c r="H120" s="737" t="s">
        <v>4186</v>
      </c>
      <c r="I120" s="739"/>
    </row>
    <row r="121" spans="1:9" ht="7.35" customHeight="1">
      <c r="A121" s="725"/>
      <c r="B121" s="725"/>
      <c r="C121" s="725"/>
      <c r="D121" s="725"/>
      <c r="E121" s="725"/>
      <c r="F121" s="725"/>
      <c r="G121" s="725"/>
      <c r="H121" s="725"/>
      <c r="I121" s="725"/>
    </row>
    <row r="122" spans="1:9">
      <c r="A122" s="722" t="s">
        <v>4189</v>
      </c>
      <c r="B122" s="723"/>
      <c r="C122" s="724" t="s">
        <v>4191</v>
      </c>
      <c r="D122" s="723"/>
      <c r="E122" s="723"/>
      <c r="F122" s="723"/>
      <c r="G122" s="723"/>
      <c r="H122" s="723"/>
      <c r="I122" s="740"/>
    </row>
    <row r="123" spans="1:9">
      <c r="A123" s="741"/>
      <c r="B123" s="737"/>
      <c r="C123" s="737"/>
      <c r="D123" s="737"/>
      <c r="E123" s="737"/>
      <c r="F123" s="737"/>
      <c r="G123" s="734" t="s">
        <v>4172</v>
      </c>
      <c r="H123" s="781">
        <f>IF('Platinum Coverages'!C17="No","N/A",'Platinum Coverages'!N17)</f>
        <v>500000</v>
      </c>
      <c r="I123" s="739"/>
    </row>
    <row r="124" spans="1:9" ht="7.35" customHeight="1">
      <c r="A124" s="725"/>
      <c r="B124" s="725"/>
      <c r="C124" s="725"/>
      <c r="D124" s="725"/>
      <c r="E124" s="725"/>
      <c r="F124" s="725"/>
      <c r="G124" s="725"/>
      <c r="H124" s="736"/>
      <c r="I124" s="725"/>
    </row>
    <row r="125" spans="1:9">
      <c r="A125" s="722" t="s">
        <v>4190</v>
      </c>
      <c r="B125" s="723"/>
      <c r="C125" s="724" t="s">
        <v>4192</v>
      </c>
      <c r="D125" s="723"/>
      <c r="E125" s="723"/>
      <c r="F125" s="723"/>
      <c r="G125" s="723"/>
      <c r="H125" s="724"/>
      <c r="I125" s="740"/>
    </row>
    <row r="126" spans="1:9">
      <c r="A126" s="741"/>
      <c r="B126" s="737"/>
      <c r="C126" s="737"/>
      <c r="D126" s="737"/>
      <c r="E126" s="737"/>
      <c r="F126" s="737"/>
      <c r="G126" s="734" t="s">
        <v>4172</v>
      </c>
      <c r="H126" s="748">
        <f>IF('Platinum Coverages'!N18="No","N/A",'Platinum Coverages'!N18)</f>
        <v>50000</v>
      </c>
      <c r="I126" s="739"/>
    </row>
    <row r="127" spans="1:9">
      <c r="A127" s="722" t="s">
        <v>4193</v>
      </c>
      <c r="B127" s="723"/>
      <c r="C127" s="724" t="s">
        <v>4194</v>
      </c>
      <c r="D127" s="723"/>
      <c r="E127" s="723"/>
      <c r="F127" s="723"/>
      <c r="G127" s="723"/>
      <c r="H127" s="724"/>
      <c r="I127" s="740"/>
    </row>
    <row r="128" spans="1:9">
      <c r="A128" s="741"/>
      <c r="B128" s="737"/>
      <c r="C128" s="737"/>
      <c r="D128" s="737"/>
      <c r="E128" s="737"/>
      <c r="F128" s="737"/>
      <c r="G128" s="734" t="s">
        <v>4172</v>
      </c>
      <c r="H128" s="781" t="str">
        <f>IF(OR('Platinum Coverages'!C19="No",H123="N/A"),"N/A",'Platinum Coverages'!N19)</f>
        <v>N/A</v>
      </c>
      <c r="I128" s="739"/>
    </row>
    <row r="129" spans="1:9" ht="7.35" customHeight="1">
      <c r="H129" s="83"/>
    </row>
    <row r="130" spans="1:9">
      <c r="A130" s="722" t="s">
        <v>4195</v>
      </c>
      <c r="B130" s="723"/>
      <c r="C130" s="724" t="s">
        <v>4196</v>
      </c>
      <c r="D130" s="723"/>
      <c r="E130" s="723"/>
      <c r="F130" s="723"/>
      <c r="G130" s="723"/>
      <c r="H130" s="724"/>
      <c r="I130" s="740"/>
    </row>
    <row r="131" spans="1:9">
      <c r="A131" s="741"/>
      <c r="B131" s="737"/>
      <c r="C131" s="737"/>
      <c r="D131" s="737"/>
      <c r="E131" s="737"/>
      <c r="F131" s="737"/>
      <c r="G131" s="734" t="s">
        <v>4172</v>
      </c>
      <c r="H131" s="781">
        <f>IF('Platinum Coverages'!C20="No","N/A",'Platinum Coverages'!N20)</f>
        <v>1000000</v>
      </c>
      <c r="I131" s="739"/>
    </row>
    <row r="132" spans="1:9" ht="7.35" customHeight="1"/>
    <row r="133" spans="1:9">
      <c r="A133" s="722" t="s">
        <v>4197</v>
      </c>
      <c r="B133" s="75"/>
      <c r="C133" s="724" t="s">
        <v>4198</v>
      </c>
      <c r="D133" s="75"/>
      <c r="E133" s="75"/>
      <c r="F133" s="75"/>
      <c r="G133" s="75"/>
      <c r="H133" s="75"/>
      <c r="I133" s="76"/>
    </row>
    <row r="134" spans="1:9" ht="15">
      <c r="A134" s="60"/>
      <c r="G134" s="464" t="s">
        <v>4199</v>
      </c>
      <c r="H134" s="853">
        <f>IF(OR('Platinum Coverages'!C21="No",H123="N/A"),"N/A",'Platinum Coverages'!N21)</f>
        <v>250000</v>
      </c>
      <c r="I134" s="61"/>
    </row>
    <row r="135" spans="1:9" ht="15">
      <c r="A135" s="60"/>
      <c r="G135" s="464" t="s">
        <v>4172</v>
      </c>
      <c r="H135" s="853">
        <f>IF(OR(H134="N/A",'Platinum Coverages'!C21="No"),"N/A",'Platinum Coverages'!N22)</f>
        <v>20000000</v>
      </c>
      <c r="I135" s="61"/>
    </row>
    <row r="136" spans="1:9" ht="15">
      <c r="A136" s="60"/>
      <c r="G136" s="464" t="s">
        <v>4200</v>
      </c>
      <c r="H136" s="853">
        <f>IF(OR(H134="N/A",'Platinum Coverages'!C21="No"),"N/A",'Platinum Coverages'!Q23)</f>
        <v>5000</v>
      </c>
      <c r="I136" s="61"/>
    </row>
    <row r="137" spans="1:9" ht="15">
      <c r="A137" s="62"/>
      <c r="B137" s="68"/>
      <c r="C137" s="68"/>
      <c r="D137" s="68"/>
      <c r="E137" s="68"/>
      <c r="F137" s="68"/>
      <c r="G137" s="733" t="s">
        <v>4201</v>
      </c>
      <c r="H137" s="854">
        <f>IF(OR('Platinum Coverages'!C21="No",H134="N/A"),"N/A",'Platinum Coverages'!Q24)</f>
        <v>10000</v>
      </c>
      <c r="I137" s="77"/>
    </row>
    <row r="138" spans="1:9" ht="7.35" customHeight="1">
      <c r="H138" s="83"/>
    </row>
    <row r="139" spans="1:9">
      <c r="A139" s="722" t="s">
        <v>4202</v>
      </c>
      <c r="B139" s="723"/>
      <c r="C139" s="724" t="s">
        <v>4203</v>
      </c>
      <c r="D139" s="723"/>
      <c r="E139" s="723"/>
      <c r="F139" s="723"/>
      <c r="G139" s="723"/>
      <c r="H139" s="724"/>
      <c r="I139" s="740"/>
    </row>
    <row r="140" spans="1:9">
      <c r="A140" s="742"/>
      <c r="B140" s="725"/>
      <c r="C140" s="725"/>
      <c r="D140" s="725"/>
      <c r="E140" s="725"/>
      <c r="F140" s="725"/>
      <c r="G140" s="735" t="s">
        <v>4204</v>
      </c>
      <c r="H140" s="855" t="str">
        <f>IF(OR(H123="N/A",'Platinum Coverages'!C25="No"),"N/A",'Platinum Coverages'!N25)</f>
        <v>N/A</v>
      </c>
      <c r="I140" s="743"/>
    </row>
    <row r="141" spans="1:9">
      <c r="A141" s="742"/>
      <c r="B141" s="725"/>
      <c r="C141" s="725"/>
      <c r="D141" s="725"/>
      <c r="E141" s="725"/>
      <c r="F141" s="725"/>
      <c r="G141" s="735" t="s">
        <v>4205</v>
      </c>
      <c r="H141" s="855" t="str">
        <f>IF(OR(H123="N/A",'Platinum Coverages'!C25="No"),"N/A",'Platinum Coverages'!N26)</f>
        <v>N/A</v>
      </c>
      <c r="I141" s="743"/>
    </row>
    <row r="142" spans="1:9">
      <c r="A142" s="741"/>
      <c r="B142" s="737"/>
      <c r="C142" s="737"/>
      <c r="D142" s="737"/>
      <c r="E142" s="737"/>
      <c r="F142" s="737"/>
      <c r="G142" s="734" t="s">
        <v>4206</v>
      </c>
      <c r="H142" s="856" t="str">
        <f>IF(OR(H123="N/A",H140="N/A"),"N/A",'Platinum Coverages'!Q27)</f>
        <v>N/A</v>
      </c>
      <c r="I142" s="739"/>
    </row>
    <row r="143" spans="1:9" ht="7.35" customHeight="1">
      <c r="A143" s="725"/>
      <c r="B143" s="725"/>
      <c r="C143" s="725"/>
      <c r="D143" s="725"/>
      <c r="E143" s="725"/>
      <c r="F143" s="725"/>
      <c r="G143" s="735"/>
      <c r="H143" s="746"/>
      <c r="I143" s="725"/>
    </row>
    <row r="144" spans="1:9">
      <c r="A144" s="722" t="s">
        <v>4207</v>
      </c>
      <c r="B144" s="723"/>
      <c r="C144" s="724" t="s">
        <v>4208</v>
      </c>
      <c r="D144" s="723"/>
      <c r="E144" s="723"/>
      <c r="F144" s="723"/>
      <c r="G144" s="723"/>
      <c r="H144" s="723"/>
      <c r="I144" s="740"/>
    </row>
    <row r="145" spans="1:9">
      <c r="A145" s="741"/>
      <c r="B145" s="737"/>
      <c r="C145" s="737"/>
      <c r="D145" s="737"/>
      <c r="E145" s="737"/>
      <c r="F145" s="737"/>
      <c r="G145" s="734" t="s">
        <v>4172</v>
      </c>
      <c r="H145" s="781">
        <f>IF(OR(H123="N/A",'Platinum Coverages'!C28="No"),"N/A",'Platinum Coverages'!N28)</f>
        <v>500000</v>
      </c>
      <c r="I145" s="739"/>
    </row>
    <row r="146" spans="1:9" ht="7.35" customHeight="1">
      <c r="A146" s="725"/>
      <c r="B146" s="725"/>
      <c r="C146" s="725"/>
      <c r="D146" s="725"/>
      <c r="E146" s="725"/>
      <c r="F146" s="725"/>
      <c r="G146" s="725"/>
      <c r="H146" s="725"/>
      <c r="I146" s="725"/>
    </row>
    <row r="147" spans="1:9">
      <c r="A147" s="722" t="s">
        <v>4209</v>
      </c>
      <c r="B147" s="723"/>
      <c r="C147" s="724" t="s">
        <v>4210</v>
      </c>
      <c r="D147" s="723"/>
      <c r="E147" s="723"/>
      <c r="F147" s="723"/>
      <c r="G147" s="723"/>
      <c r="H147" s="723"/>
      <c r="I147" s="740"/>
    </row>
    <row r="148" spans="1:9">
      <c r="A148" s="742"/>
      <c r="B148" s="725"/>
      <c r="C148" s="725"/>
      <c r="D148" s="725"/>
      <c r="E148" s="725"/>
      <c r="F148" s="725"/>
      <c r="G148" s="735" t="s">
        <v>4172</v>
      </c>
      <c r="H148" s="750">
        <f>IF('Platinum Coverages'!C29="no","N/A",'Platinum Coverages'!N29)</f>
        <v>250000</v>
      </c>
      <c r="I148" s="743"/>
    </row>
    <row r="149" spans="1:9">
      <c r="A149" s="741"/>
      <c r="B149" s="737"/>
      <c r="C149" s="737"/>
      <c r="D149" s="737"/>
      <c r="E149" s="737"/>
      <c r="F149" s="737"/>
      <c r="G149" s="734" t="s">
        <v>4201</v>
      </c>
      <c r="H149" s="748">
        <f>IF(H148="N/A","N/A",'Platinum Coverages'!Q29)</f>
        <v>2500</v>
      </c>
      <c r="I149" s="739"/>
    </row>
    <row r="150" spans="1:9" ht="7.35" customHeight="1">
      <c r="A150" s="725"/>
      <c r="B150" s="725"/>
      <c r="C150" s="725"/>
      <c r="D150" s="725"/>
      <c r="E150" s="725"/>
      <c r="F150" s="725"/>
      <c r="G150" s="725"/>
      <c r="H150" s="725"/>
      <c r="I150" s="725"/>
    </row>
    <row r="151" spans="1:9">
      <c r="A151" s="722" t="s">
        <v>4211</v>
      </c>
      <c r="B151" s="723"/>
      <c r="C151" s="724" t="s">
        <v>4212</v>
      </c>
      <c r="D151" s="723"/>
      <c r="E151" s="723"/>
      <c r="F151" s="723"/>
      <c r="G151" s="723"/>
      <c r="H151" s="723"/>
      <c r="I151" s="740"/>
    </row>
    <row r="152" spans="1:9">
      <c r="A152" s="741"/>
      <c r="B152" s="737"/>
      <c r="C152" s="737"/>
      <c r="D152" s="737"/>
      <c r="E152" s="737"/>
      <c r="F152" s="737"/>
      <c r="G152" s="734" t="s">
        <v>4213</v>
      </c>
      <c r="H152" s="748">
        <f>IF('Platinum Coverages'!C30="No","N/A",'Platinum Coverages'!N30)</f>
        <v>5000</v>
      </c>
      <c r="I152" s="739"/>
    </row>
    <row r="153" spans="1:9" ht="7.35" customHeight="1">
      <c r="A153" s="725"/>
      <c r="B153" s="725"/>
      <c r="C153" s="725"/>
      <c r="D153" s="725"/>
      <c r="E153" s="725"/>
      <c r="F153" s="725"/>
      <c r="G153" s="725"/>
      <c r="H153" s="725"/>
      <c r="I153" s="725"/>
    </row>
    <row r="154" spans="1:9">
      <c r="A154" s="722" t="s">
        <v>4214</v>
      </c>
      <c r="B154" s="723"/>
      <c r="C154" s="724" t="s">
        <v>4215</v>
      </c>
      <c r="D154" s="723"/>
      <c r="E154" s="723"/>
      <c r="F154" s="723"/>
      <c r="G154" s="723"/>
      <c r="H154" s="723"/>
      <c r="I154" s="740"/>
    </row>
    <row r="155" spans="1:9">
      <c r="A155" s="741"/>
      <c r="B155" s="737"/>
      <c r="C155" s="737"/>
      <c r="D155" s="737"/>
      <c r="E155" s="737"/>
      <c r="F155" s="737"/>
      <c r="G155" s="734" t="s">
        <v>4172</v>
      </c>
      <c r="H155" s="748">
        <f>IF('Platinum Coverages'!C31="No","N/A",'Platinum Coverages'!N31)</f>
        <v>500000</v>
      </c>
      <c r="I155" s="739"/>
    </row>
    <row r="156" spans="1:9" ht="7.35" customHeight="1">
      <c r="A156" s="725"/>
      <c r="B156" s="725"/>
      <c r="C156" s="725"/>
      <c r="D156" s="725"/>
      <c r="E156" s="725"/>
      <c r="F156" s="725"/>
      <c r="G156" s="725"/>
      <c r="H156" s="725"/>
      <c r="I156" s="725"/>
    </row>
    <row r="157" spans="1:9">
      <c r="A157" s="722" t="s">
        <v>4216</v>
      </c>
      <c r="B157" s="723"/>
      <c r="C157" s="724" t="s">
        <v>4217</v>
      </c>
      <c r="D157" s="723"/>
      <c r="E157" s="723"/>
      <c r="F157" s="723"/>
      <c r="G157" s="723"/>
      <c r="H157" s="723"/>
      <c r="I157" s="740"/>
    </row>
    <row r="158" spans="1:9">
      <c r="A158" s="741"/>
      <c r="B158" s="737"/>
      <c r="C158" s="737"/>
      <c r="D158" s="737"/>
      <c r="E158" s="737"/>
      <c r="F158" s="737"/>
      <c r="G158" s="734" t="s">
        <v>4172</v>
      </c>
      <c r="H158" s="856" t="str">
        <f>IF('Platinum Coverages'!C32="No","N/A",'Platinum Coverages'!N32)</f>
        <v>N/A</v>
      </c>
      <c r="I158" s="739"/>
    </row>
    <row r="159" spans="1:9" ht="7.35" customHeight="1">
      <c r="A159" s="725"/>
      <c r="B159" s="725"/>
      <c r="C159" s="725"/>
      <c r="D159" s="725"/>
      <c r="E159" s="725"/>
      <c r="F159" s="725"/>
      <c r="G159" s="725"/>
      <c r="H159" s="725"/>
      <c r="I159" s="725"/>
    </row>
    <row r="160" spans="1:9">
      <c r="A160" s="722" t="s">
        <v>4218</v>
      </c>
      <c r="B160" s="723"/>
      <c r="C160" s="724" t="s">
        <v>4219</v>
      </c>
      <c r="D160" s="723"/>
      <c r="E160" s="723"/>
      <c r="F160" s="723"/>
      <c r="G160" s="723"/>
      <c r="H160" s="723"/>
      <c r="I160" s="740"/>
    </row>
    <row r="161" spans="1:9">
      <c r="A161" s="741"/>
      <c r="B161" s="737"/>
      <c r="C161" s="737"/>
      <c r="D161" s="737"/>
      <c r="E161" s="737"/>
      <c r="F161" s="737"/>
      <c r="G161" s="734" t="s">
        <v>4220</v>
      </c>
      <c r="H161" s="781">
        <f>IF(OR(H123="N/A",'Platinum Coverages'!C33="No"),"N/A",'Platinum Coverages'!N33)</f>
        <v>500000</v>
      </c>
      <c r="I161" s="739"/>
    </row>
    <row r="162" spans="1:9" ht="7.35" customHeight="1">
      <c r="A162" s="725"/>
      <c r="B162" s="725"/>
      <c r="C162" s="725"/>
      <c r="D162" s="725"/>
      <c r="E162" s="725"/>
      <c r="F162" s="725"/>
      <c r="G162" s="725"/>
      <c r="H162" s="725"/>
      <c r="I162" s="725"/>
    </row>
    <row r="163" spans="1:9">
      <c r="A163" s="722" t="s">
        <v>4221</v>
      </c>
      <c r="B163" s="723"/>
      <c r="C163" s="724" t="s">
        <v>4222</v>
      </c>
      <c r="D163" s="723"/>
      <c r="E163" s="723"/>
      <c r="F163" s="723"/>
      <c r="G163" s="723"/>
      <c r="H163" s="723"/>
      <c r="I163" s="740"/>
    </row>
    <row r="164" spans="1:9">
      <c r="A164" s="741"/>
      <c r="B164" s="737"/>
      <c r="C164" s="737"/>
      <c r="D164" s="737"/>
      <c r="E164" s="737"/>
      <c r="F164" s="737"/>
      <c r="G164" s="734" t="s">
        <v>4172</v>
      </c>
      <c r="H164" s="748">
        <f>IF('Platinum Coverages'!C34="No","N/A",'Platinum Coverages'!N34)</f>
        <v>500000</v>
      </c>
      <c r="I164" s="739"/>
    </row>
    <row r="165" spans="1:9" ht="7.35" customHeight="1"/>
    <row r="166" spans="1:9">
      <c r="A166" s="722" t="s">
        <v>4223</v>
      </c>
      <c r="B166" s="723"/>
      <c r="C166" s="724" t="s">
        <v>4224</v>
      </c>
      <c r="D166" s="723"/>
      <c r="E166" s="723"/>
      <c r="F166" s="723"/>
      <c r="G166" s="723"/>
      <c r="H166" s="723"/>
      <c r="I166" s="740"/>
    </row>
    <row r="167" spans="1:9">
      <c r="A167" s="742"/>
      <c r="B167" s="725"/>
      <c r="D167" s="725"/>
      <c r="E167" s="725"/>
      <c r="F167" s="725"/>
      <c r="G167" s="735" t="s">
        <v>4226</v>
      </c>
      <c r="H167" s="747" t="str">
        <f>IF('Platinum Coverages'!C35="No","N/A",IF('Platinum Coverages'!N36="No","Excluded","Included"))</f>
        <v>Excluded</v>
      </c>
      <c r="I167" s="743"/>
    </row>
    <row r="168" spans="1:9">
      <c r="A168" s="741"/>
      <c r="B168" s="737"/>
      <c r="C168" s="737"/>
      <c r="D168" s="737"/>
      <c r="E168" s="737"/>
      <c r="F168" s="737"/>
      <c r="G168" s="734" t="s">
        <v>4225</v>
      </c>
      <c r="H168" s="748">
        <f>IF('Platinum Coverages'!C35="No","N/A",'Platinum Coverages'!N35)</f>
        <v>500000</v>
      </c>
      <c r="I168" s="739"/>
    </row>
    <row r="169" spans="1:9" ht="7.35" customHeight="1">
      <c r="A169" s="725"/>
      <c r="B169" s="725"/>
      <c r="C169" s="725"/>
      <c r="D169" s="725"/>
      <c r="E169" s="725"/>
      <c r="F169" s="725"/>
      <c r="G169" s="725"/>
      <c r="H169" s="725"/>
      <c r="I169" s="725"/>
    </row>
    <row r="170" spans="1:9" ht="15.75">
      <c r="A170" s="583" t="s">
        <v>4227</v>
      </c>
      <c r="B170" s="725"/>
      <c r="C170" s="725"/>
      <c r="D170" s="725"/>
      <c r="E170" s="725"/>
      <c r="F170" s="725"/>
      <c r="G170" s="725"/>
      <c r="H170" s="725"/>
      <c r="I170" s="725"/>
    </row>
    <row r="171" spans="1:9" ht="7.35" customHeight="1">
      <c r="A171" s="725"/>
      <c r="B171" s="725"/>
      <c r="C171" s="725"/>
      <c r="D171" s="725"/>
      <c r="E171" s="725"/>
      <c r="F171" s="725"/>
      <c r="G171" s="725"/>
      <c r="H171" s="725"/>
      <c r="I171" s="725"/>
    </row>
    <row r="172" spans="1:9">
      <c r="A172" s="722" t="s">
        <v>4228</v>
      </c>
      <c r="B172" s="723"/>
      <c r="C172" s="724" t="s">
        <v>4229</v>
      </c>
      <c r="D172" s="723"/>
      <c r="E172" s="723"/>
      <c r="F172" s="723"/>
      <c r="G172" s="723"/>
      <c r="H172" s="723"/>
      <c r="I172" s="740"/>
    </row>
    <row r="173" spans="1:9">
      <c r="A173" s="741"/>
      <c r="B173" s="737"/>
      <c r="C173" s="737" t="s">
        <v>4230</v>
      </c>
      <c r="D173" s="737"/>
      <c r="E173" s="737"/>
      <c r="F173" s="737"/>
      <c r="G173" s="737"/>
      <c r="H173" s="737"/>
      <c r="I173" s="739"/>
    </row>
    <row r="174" spans="1:9" ht="7.35" customHeight="1">
      <c r="A174" s="725"/>
      <c r="B174" s="725"/>
      <c r="C174" s="725"/>
      <c r="D174" s="725"/>
      <c r="E174" s="725"/>
      <c r="F174" s="725"/>
      <c r="G174" s="725"/>
      <c r="H174" s="725"/>
      <c r="I174" s="725"/>
    </row>
    <row r="175" spans="1:9">
      <c r="A175" s="722" t="s">
        <v>4231</v>
      </c>
      <c r="B175" s="724"/>
      <c r="C175" s="724" t="s">
        <v>4232</v>
      </c>
      <c r="D175" s="723"/>
      <c r="E175" s="723"/>
      <c r="F175" s="723"/>
      <c r="G175" s="723"/>
      <c r="H175" s="723"/>
      <c r="I175" s="740"/>
    </row>
    <row r="176" spans="1:9">
      <c r="A176" s="742"/>
      <c r="B176" s="725"/>
      <c r="C176" s="725"/>
      <c r="D176" s="725"/>
      <c r="E176" s="725"/>
      <c r="F176" s="725"/>
      <c r="G176" s="735" t="s">
        <v>4172</v>
      </c>
      <c r="H176" s="750" t="str">
        <f>IF('Platinum Coverages'!C38="No","N/A",'Platinum Coverages'!N38)</f>
        <v>N/A</v>
      </c>
      <c r="I176" s="743"/>
    </row>
    <row r="177" spans="1:9">
      <c r="A177" s="742"/>
      <c r="B177" s="725"/>
      <c r="C177" s="725"/>
      <c r="D177" s="725"/>
      <c r="E177" s="725"/>
      <c r="F177" s="735" t="s">
        <v>4233</v>
      </c>
      <c r="G177" s="751" t="str">
        <f>IF($H$176="N/A","N/A",'Platinum Coverages'!Q39)</f>
        <v>N/A</v>
      </c>
      <c r="H177" s="725" t="s">
        <v>4181</v>
      </c>
      <c r="I177" s="752"/>
    </row>
    <row r="178" spans="1:9">
      <c r="A178" s="741"/>
      <c r="B178" s="737"/>
      <c r="C178" s="737"/>
      <c r="D178" s="737"/>
      <c r="E178" s="737"/>
      <c r="F178" s="734" t="s">
        <v>4234</v>
      </c>
      <c r="G178" s="749" t="str">
        <f>IF($H$176="N/A","N/A",'Platinum Coverages'!Q40)</f>
        <v>N/A</v>
      </c>
      <c r="H178" s="737" t="s">
        <v>4181</v>
      </c>
      <c r="I178" s="739"/>
    </row>
    <row r="179" spans="1:9" ht="7.35" customHeight="1"/>
    <row r="180" spans="1:9">
      <c r="A180" s="722" t="s">
        <v>4235</v>
      </c>
      <c r="B180" s="724"/>
      <c r="C180" s="724" t="s">
        <v>4236</v>
      </c>
      <c r="D180" s="75"/>
      <c r="E180" s="75"/>
      <c r="F180" s="75"/>
      <c r="G180" s="75"/>
      <c r="H180" s="75"/>
      <c r="I180" s="76"/>
    </row>
    <row r="181" spans="1:9">
      <c r="A181" s="742"/>
      <c r="B181" s="725"/>
      <c r="C181" s="725"/>
      <c r="D181" s="725"/>
      <c r="E181" s="725"/>
      <c r="F181" s="725"/>
      <c r="G181" s="735" t="s">
        <v>4237</v>
      </c>
      <c r="H181" s="786">
        <f>IF('Platinum Coverages'!$C$42="No","N/A",'Platinum Coverages'!N42)</f>
        <v>110000.00000000001</v>
      </c>
      <c r="I181" s="743"/>
    </row>
    <row r="182" spans="1:9">
      <c r="A182" s="741"/>
      <c r="B182" s="737"/>
      <c r="C182" s="737"/>
      <c r="D182" s="737"/>
      <c r="E182" s="737"/>
      <c r="F182" s="737"/>
      <c r="G182" s="734" t="s">
        <v>4238</v>
      </c>
      <c r="H182" s="787">
        <f>IF('Platinum Coverages'!$C$42="No","N/A",'Platinum Coverages'!N43)</f>
        <v>250000</v>
      </c>
      <c r="I182" s="739"/>
    </row>
    <row r="183" spans="1:9" ht="7.35" customHeight="1">
      <c r="A183" s="725"/>
      <c r="B183" s="725"/>
      <c r="C183" s="725"/>
      <c r="D183" s="725"/>
      <c r="E183" s="725"/>
      <c r="F183" s="725"/>
      <c r="G183" s="725"/>
      <c r="H183" s="725"/>
      <c r="I183" s="725"/>
    </row>
    <row r="184" spans="1:9">
      <c r="A184" s="722" t="s">
        <v>4239</v>
      </c>
      <c r="B184" s="724"/>
      <c r="C184" s="724" t="s">
        <v>4240</v>
      </c>
      <c r="D184" s="723"/>
      <c r="E184" s="723"/>
      <c r="F184" s="723"/>
      <c r="G184" s="723"/>
      <c r="H184" s="723"/>
      <c r="I184" s="740"/>
    </row>
    <row r="185" spans="1:9">
      <c r="A185" s="742"/>
      <c r="B185" s="725"/>
      <c r="C185" s="725"/>
      <c r="D185" s="725"/>
      <c r="E185" s="725"/>
      <c r="F185" s="725"/>
      <c r="G185" s="735" t="s">
        <v>4241</v>
      </c>
      <c r="H185" s="857">
        <f>IF(OR(H123="N/A",'Platinum Coverages'!C44="no"),"N/A",'Platinum Coverages'!N45)</f>
        <v>5000</v>
      </c>
      <c r="I185" s="743"/>
    </row>
    <row r="186" spans="1:9">
      <c r="A186" s="742"/>
      <c r="B186" s="725"/>
      <c r="C186" s="725"/>
      <c r="D186" s="725"/>
      <c r="E186" s="725"/>
      <c r="F186" s="725"/>
      <c r="G186" s="735" t="s">
        <v>4172</v>
      </c>
      <c r="H186" s="857">
        <f>IF(H185="N/A","N/A",'Platinum Coverages'!N44)</f>
        <v>5000</v>
      </c>
      <c r="I186" s="743"/>
    </row>
    <row r="187" spans="1:9">
      <c r="A187" s="741"/>
      <c r="B187" s="737"/>
      <c r="C187" s="737"/>
      <c r="D187" s="737"/>
      <c r="E187" s="737" t="s">
        <v>4243</v>
      </c>
      <c r="F187" s="749">
        <f>IF(H185="N/A","N/A",'Platinum Coverages'!Q44)</f>
        <v>500</v>
      </c>
      <c r="G187" s="737" t="s">
        <v>4242</v>
      </c>
      <c r="H187" s="737"/>
      <c r="I187" s="739"/>
    </row>
    <row r="188" spans="1:9" ht="7.35" customHeight="1">
      <c r="A188" s="725"/>
      <c r="B188" s="725"/>
      <c r="C188" s="725"/>
      <c r="D188" s="725"/>
      <c r="E188" s="725"/>
      <c r="F188" s="725"/>
      <c r="G188" s="725"/>
      <c r="H188" s="725"/>
      <c r="I188" s="725"/>
    </row>
    <row r="189" spans="1:9" ht="15.75">
      <c r="A189" s="583" t="s">
        <v>4244</v>
      </c>
      <c r="B189" s="725"/>
      <c r="C189" s="725"/>
      <c r="D189" s="725"/>
      <c r="E189" s="725"/>
      <c r="F189" s="725"/>
      <c r="G189" s="725"/>
      <c r="H189" s="725"/>
      <c r="I189" s="725"/>
    </row>
    <row r="190" spans="1:9" ht="7.35" customHeight="1">
      <c r="A190" s="725"/>
      <c r="B190" s="725"/>
      <c r="C190" s="725"/>
      <c r="D190" s="725"/>
      <c r="E190" s="725"/>
      <c r="F190" s="725"/>
      <c r="G190" s="725"/>
      <c r="H190" s="725"/>
      <c r="I190" s="725"/>
    </row>
    <row r="191" spans="1:9">
      <c r="A191" s="722" t="s">
        <v>4245</v>
      </c>
      <c r="B191" s="724"/>
      <c r="C191" s="724" t="s">
        <v>4246</v>
      </c>
      <c r="D191" s="723"/>
      <c r="E191" s="723"/>
      <c r="F191" s="723"/>
      <c r="G191" s="723"/>
      <c r="H191" s="723"/>
      <c r="I191" s="740"/>
    </row>
    <row r="192" spans="1:9">
      <c r="A192" s="742"/>
      <c r="B192" s="725"/>
      <c r="C192" s="725"/>
      <c r="D192" s="725"/>
      <c r="E192" s="725"/>
      <c r="F192" s="725"/>
      <c r="G192" s="735" t="s">
        <v>4247</v>
      </c>
      <c r="H192" s="750">
        <f>IF('Platinum Coverages'!$C$47="No","N/A",'Platinum Coverages'!N47)</f>
        <v>50000</v>
      </c>
      <c r="I192" s="743"/>
    </row>
    <row r="193" spans="1:9">
      <c r="A193" s="742"/>
      <c r="B193" s="725"/>
      <c r="C193" s="725"/>
      <c r="D193" s="725"/>
      <c r="E193" s="725"/>
      <c r="F193" s="725"/>
      <c r="G193" s="735" t="s">
        <v>4248</v>
      </c>
      <c r="H193" s="784">
        <f>IF('Platinum Coverages'!$C$47="No","N/A",'Platinum Coverages'!N48)</f>
        <v>5</v>
      </c>
      <c r="I193" s="743" t="s">
        <v>4249</v>
      </c>
    </row>
    <row r="194" spans="1:9" ht="27" customHeight="1">
      <c r="A194" s="741"/>
      <c r="B194" s="737"/>
      <c r="C194" s="737"/>
      <c r="D194" s="737"/>
      <c r="E194" s="737"/>
      <c r="F194" s="737"/>
      <c r="G194" s="753" t="s">
        <v>4254</v>
      </c>
      <c r="H194" s="788">
        <f>IF('Platinum Coverages'!$C$47="No","N/A",'Platinum Coverages'!N49)</f>
        <v>30</v>
      </c>
      <c r="I194" s="754" t="s">
        <v>4250</v>
      </c>
    </row>
    <row r="195" spans="1:9" ht="7.35" customHeight="1">
      <c r="A195" s="725"/>
      <c r="B195" s="725"/>
      <c r="C195" s="725"/>
      <c r="D195" s="725"/>
      <c r="E195" s="725"/>
      <c r="F195" s="725"/>
      <c r="G195" s="725"/>
      <c r="H195" s="725"/>
      <c r="I195" s="725"/>
    </row>
    <row r="196" spans="1:9">
      <c r="A196" s="722" t="s">
        <v>4251</v>
      </c>
      <c r="B196" s="723"/>
      <c r="C196" s="724" t="s">
        <v>4252</v>
      </c>
      <c r="D196" s="723"/>
      <c r="E196" s="723"/>
      <c r="F196" s="723"/>
      <c r="G196" s="723"/>
      <c r="H196" s="723"/>
      <c r="I196" s="740"/>
    </row>
    <row r="197" spans="1:9">
      <c r="A197" s="742"/>
      <c r="B197" s="725"/>
      <c r="C197" s="725"/>
      <c r="D197" s="725"/>
      <c r="E197" s="725"/>
      <c r="F197" s="725"/>
      <c r="G197" s="735" t="s">
        <v>4253</v>
      </c>
      <c r="H197" s="750">
        <f>IF('Platinum Coverages'!$C$50="No","N/A",'Platinum Coverages'!N51)</f>
        <v>5000</v>
      </c>
      <c r="I197" s="743"/>
    </row>
    <row r="198" spans="1:9">
      <c r="A198" s="742"/>
      <c r="B198" s="725"/>
      <c r="C198" s="725"/>
      <c r="D198" s="725"/>
      <c r="E198" s="725"/>
      <c r="F198" s="725"/>
      <c r="G198" s="735" t="s">
        <v>4172</v>
      </c>
      <c r="H198" s="750">
        <f>IF('Platinum Coverages'!$C$50="No","N/A",'Platinum Coverages'!N50)</f>
        <v>300000</v>
      </c>
      <c r="I198" s="743"/>
    </row>
    <row r="199" spans="1:9">
      <c r="A199" s="742"/>
      <c r="B199" s="725"/>
      <c r="C199" s="725"/>
      <c r="D199" s="725"/>
      <c r="E199" s="725"/>
      <c r="F199" s="725"/>
      <c r="G199" s="735" t="s">
        <v>4248</v>
      </c>
      <c r="H199" s="784">
        <f>IF('Platinum Coverages'!$C$50="No","N/A",'Platinum Coverages'!N52)</f>
        <v>0</v>
      </c>
      <c r="I199" s="743" t="s">
        <v>4249</v>
      </c>
    </row>
    <row r="200" spans="1:9" ht="27.75" customHeight="1">
      <c r="A200" s="741"/>
      <c r="B200" s="737"/>
      <c r="C200" s="737"/>
      <c r="D200" s="737"/>
      <c r="E200" s="737"/>
      <c r="F200" s="737"/>
      <c r="G200" s="753" t="s">
        <v>4254</v>
      </c>
      <c r="H200" s="788">
        <f>IF('Platinum Coverages'!$C$50="No","N/A",'Platinum Coverages'!N53)</f>
        <v>3</v>
      </c>
      <c r="I200" s="754" t="s">
        <v>4250</v>
      </c>
    </row>
    <row r="201" spans="1:9" ht="7.35" customHeight="1">
      <c r="A201" s="725"/>
      <c r="B201" s="725"/>
      <c r="C201" s="725"/>
      <c r="D201" s="725"/>
      <c r="E201" s="725"/>
      <c r="F201" s="725"/>
      <c r="G201" s="725"/>
      <c r="H201" s="725"/>
      <c r="I201" s="725"/>
    </row>
    <row r="202" spans="1:9">
      <c r="A202" s="722" t="s">
        <v>4255</v>
      </c>
      <c r="B202" s="724"/>
      <c r="C202" s="724" t="s">
        <v>4256</v>
      </c>
      <c r="D202" s="723"/>
      <c r="E202" s="723"/>
      <c r="F202" s="723"/>
      <c r="G202" s="723"/>
      <c r="H202" s="723"/>
      <c r="I202" s="740"/>
    </row>
    <row r="203" spans="1:9">
      <c r="A203" s="741"/>
      <c r="B203" s="737"/>
      <c r="C203" s="737"/>
      <c r="D203" s="737"/>
      <c r="E203" s="737"/>
      <c r="F203" s="737"/>
      <c r="G203" s="734" t="s">
        <v>4247</v>
      </c>
      <c r="H203" s="748">
        <f>IF('Platinum Coverages'!C54="No","N/A",'Platinum Coverages'!N54)</f>
        <v>250000</v>
      </c>
      <c r="I203" s="739"/>
    </row>
    <row r="204" spans="1:9" ht="7.35" customHeight="1">
      <c r="A204" s="725"/>
      <c r="B204" s="725"/>
      <c r="C204" s="725"/>
      <c r="D204" s="725"/>
      <c r="E204" s="725"/>
      <c r="F204" s="725"/>
      <c r="G204" s="725"/>
      <c r="H204" s="725"/>
      <c r="I204" s="725"/>
    </row>
    <row r="205" spans="1:9">
      <c r="A205" s="722" t="s">
        <v>4257</v>
      </c>
      <c r="B205" s="724"/>
      <c r="C205" s="724" t="s">
        <v>4258</v>
      </c>
      <c r="D205" s="723"/>
      <c r="E205" s="723"/>
      <c r="F205" s="723"/>
      <c r="G205" s="723"/>
      <c r="H205" s="723"/>
      <c r="I205" s="740"/>
    </row>
    <row r="206" spans="1:9">
      <c r="A206" s="741"/>
      <c r="B206" s="737"/>
      <c r="C206" s="737"/>
      <c r="D206" s="737"/>
      <c r="E206" s="737"/>
      <c r="F206" s="737"/>
      <c r="G206" s="734" t="s">
        <v>4247</v>
      </c>
      <c r="H206" s="748">
        <f>IF('Platinum Coverages'!C55="No","N/A",'Platinum Coverages'!N55)</f>
        <v>250000</v>
      </c>
      <c r="I206" s="739"/>
    </row>
    <row r="207" spans="1:9" ht="7.35" customHeight="1">
      <c r="A207" s="725"/>
      <c r="B207" s="725"/>
      <c r="C207" s="725"/>
      <c r="D207" s="725"/>
      <c r="E207" s="725"/>
      <c r="F207" s="725"/>
      <c r="G207" s="725"/>
      <c r="H207" s="725"/>
      <c r="I207" s="725"/>
    </row>
    <row r="208" spans="1:9">
      <c r="A208" s="722" t="s">
        <v>4259</v>
      </c>
      <c r="B208" s="724"/>
      <c r="C208" s="724" t="s">
        <v>4260</v>
      </c>
      <c r="D208" s="723"/>
      <c r="E208" s="723"/>
      <c r="F208" s="723"/>
      <c r="G208" s="723"/>
      <c r="H208" s="723"/>
      <c r="I208" s="740"/>
    </row>
    <row r="209" spans="1:9">
      <c r="A209" s="741"/>
      <c r="B209" s="737"/>
      <c r="C209" s="737"/>
      <c r="D209" s="737"/>
      <c r="E209" s="737"/>
      <c r="F209" s="737"/>
      <c r="G209" s="734" t="s">
        <v>4261</v>
      </c>
      <c r="H209" s="748">
        <f>IF('Platinum Coverages'!C56="No","N/A",'Platinum Coverages'!N56)</f>
        <v>10000</v>
      </c>
      <c r="I209" s="739"/>
    </row>
    <row r="210" spans="1:9" ht="7.35" customHeight="1">
      <c r="A210" s="725"/>
      <c r="B210" s="725"/>
      <c r="C210" s="725"/>
      <c r="D210" s="725"/>
      <c r="E210" s="725"/>
      <c r="F210" s="725"/>
      <c r="G210" s="725"/>
      <c r="H210" s="725"/>
      <c r="I210" s="725"/>
    </row>
    <row r="211" spans="1:9">
      <c r="A211" s="722" t="s">
        <v>4371</v>
      </c>
      <c r="B211" s="724"/>
      <c r="C211" s="724" t="s">
        <v>4372</v>
      </c>
      <c r="D211" s="723"/>
      <c r="E211" s="723"/>
      <c r="F211" s="723"/>
      <c r="G211" s="723"/>
      <c r="H211" s="723"/>
      <c r="I211" s="740"/>
    </row>
    <row r="212" spans="1:9">
      <c r="A212" s="741"/>
      <c r="B212" s="737"/>
      <c r="C212" s="737"/>
      <c r="D212" s="737"/>
      <c r="E212" s="737"/>
      <c r="F212" s="737"/>
      <c r="G212" s="734" t="s">
        <v>4373</v>
      </c>
      <c r="H212" s="748">
        <f>IF('Platinum Coverages'!C57="No","N/A",'Platinum Coverages'!N57)</f>
        <v>100000</v>
      </c>
      <c r="I212" s="739"/>
    </row>
    <row r="213" spans="1:9" ht="7.35" customHeight="1">
      <c r="A213" s="725"/>
      <c r="B213" s="725"/>
      <c r="C213" s="725"/>
      <c r="D213" s="725"/>
      <c r="E213" s="725"/>
      <c r="F213" s="725"/>
      <c r="G213" s="725"/>
      <c r="H213" s="725"/>
      <c r="I213" s="725"/>
    </row>
    <row r="214" spans="1:9" ht="15.75">
      <c r="A214" s="583" t="s">
        <v>4263</v>
      </c>
      <c r="B214" s="725"/>
      <c r="C214" s="725"/>
      <c r="D214" s="725"/>
      <c r="E214" s="725"/>
      <c r="F214" s="725"/>
      <c r="G214" s="725"/>
      <c r="H214" s="725"/>
      <c r="I214" s="725"/>
    </row>
    <row r="215" spans="1:9" ht="7.35" customHeight="1">
      <c r="A215" s="725"/>
      <c r="B215" s="725"/>
      <c r="C215" s="725"/>
      <c r="D215" s="725"/>
      <c r="E215" s="725"/>
      <c r="F215" s="725"/>
      <c r="G215" s="725"/>
      <c r="H215" s="725"/>
      <c r="I215" s="725"/>
    </row>
    <row r="216" spans="1:9">
      <c r="A216" s="722" t="s">
        <v>4262</v>
      </c>
      <c r="B216" s="723"/>
      <c r="C216" s="724" t="s">
        <v>4264</v>
      </c>
      <c r="D216" s="723"/>
      <c r="E216" s="723"/>
      <c r="F216" s="723"/>
      <c r="G216" s="723"/>
      <c r="H216" s="723"/>
      <c r="I216" s="740"/>
    </row>
    <row r="217" spans="1:9">
      <c r="A217" s="742"/>
      <c r="B217" s="725"/>
      <c r="C217" s="744" t="s">
        <v>4265</v>
      </c>
      <c r="D217" s="725"/>
      <c r="E217" s="725"/>
      <c r="F217" s="725"/>
      <c r="G217" s="725"/>
      <c r="H217" s="725"/>
      <c r="I217" s="743"/>
    </row>
    <row r="218" spans="1:9">
      <c r="A218" s="742"/>
      <c r="B218" s="725"/>
      <c r="C218" s="725"/>
      <c r="D218" s="725"/>
      <c r="E218" s="725"/>
      <c r="F218" s="735" t="s">
        <v>4179</v>
      </c>
      <c r="G218" s="750">
        <f>IF('Platinum Coverages'!C60="No","N/A",'Platinum Coverages'!N60)</f>
        <v>5000</v>
      </c>
      <c r="H218" s="725" t="s">
        <v>4181</v>
      </c>
      <c r="I218" s="743"/>
    </row>
    <row r="219" spans="1:9">
      <c r="A219" s="742"/>
      <c r="B219" s="725"/>
      <c r="C219" s="725"/>
      <c r="D219" s="725"/>
      <c r="E219" s="725"/>
      <c r="F219" s="735" t="s">
        <v>4180</v>
      </c>
      <c r="G219" s="750">
        <f>IF('Platinum Coverages'!C60="No","N/A",IF('Platinum Coverages'!L61="Crew/Pax",'Platinum Coverages'!N60,"N/A"))</f>
        <v>5000</v>
      </c>
      <c r="H219" s="725" t="s">
        <v>4181</v>
      </c>
      <c r="I219" s="743"/>
    </row>
    <row r="220" spans="1:9">
      <c r="A220" s="742"/>
      <c r="B220" s="725"/>
      <c r="C220" s="744" t="s">
        <v>4266</v>
      </c>
      <c r="D220" s="725"/>
      <c r="E220" s="725"/>
      <c r="F220" s="725"/>
      <c r="G220" s="736"/>
      <c r="H220" s="725"/>
      <c r="I220" s="743"/>
    </row>
    <row r="221" spans="1:9">
      <c r="A221" s="742"/>
      <c r="B221" s="725"/>
      <c r="C221" s="725"/>
      <c r="D221" s="725"/>
      <c r="E221" s="725"/>
      <c r="F221" s="735" t="s">
        <v>4179</v>
      </c>
      <c r="G221" s="750">
        <f>IF(G218="N/A","N/A",G218)</f>
        <v>5000</v>
      </c>
      <c r="H221" s="725" t="s">
        <v>4181</v>
      </c>
      <c r="I221" s="743"/>
    </row>
    <row r="222" spans="1:9">
      <c r="A222" s="741"/>
      <c r="B222" s="737"/>
      <c r="C222" s="737"/>
      <c r="D222" s="737"/>
      <c r="E222" s="737"/>
      <c r="F222" s="734" t="s">
        <v>4180</v>
      </c>
      <c r="G222" s="748">
        <f>IF(G219="N/A","N/A",G219)</f>
        <v>5000</v>
      </c>
      <c r="H222" s="737" t="s">
        <v>4181</v>
      </c>
      <c r="I222" s="739"/>
    </row>
    <row r="223" spans="1:9" ht="7.35" customHeight="1">
      <c r="A223" s="725"/>
      <c r="B223" s="725"/>
      <c r="C223" s="725"/>
      <c r="D223" s="725"/>
      <c r="E223" s="725"/>
      <c r="F223" s="725"/>
      <c r="G223" s="725"/>
      <c r="H223" s="725"/>
      <c r="I223" s="725"/>
    </row>
    <row r="224" spans="1:9">
      <c r="A224" s="722" t="s">
        <v>4267</v>
      </c>
      <c r="B224" s="723"/>
      <c r="C224" s="724" t="s">
        <v>4268</v>
      </c>
      <c r="D224" s="723"/>
      <c r="E224" s="723"/>
      <c r="F224" s="723"/>
      <c r="G224" s="723"/>
      <c r="H224" s="723"/>
      <c r="I224" s="740"/>
    </row>
    <row r="225" spans="1:9">
      <c r="A225" s="742"/>
      <c r="B225" s="725"/>
      <c r="C225" s="725"/>
      <c r="D225" s="725"/>
      <c r="E225" s="725"/>
      <c r="F225" s="725"/>
      <c r="G225" s="735" t="s">
        <v>4269</v>
      </c>
      <c r="H225" s="750">
        <f>IF('Platinum Coverages'!$C$62="No","N/A",'Platinum Coverages'!N63)</f>
        <v>5000</v>
      </c>
      <c r="I225" s="743"/>
    </row>
    <row r="226" spans="1:9">
      <c r="A226" s="741"/>
      <c r="B226" s="737"/>
      <c r="C226" s="737"/>
      <c r="D226" s="737"/>
      <c r="E226" s="737"/>
      <c r="F226" s="737"/>
      <c r="G226" s="734" t="s">
        <v>4172</v>
      </c>
      <c r="H226" s="748">
        <f>IF('Platinum Coverages'!$C$62="No","N/A",'Platinum Coverages'!N62)</f>
        <v>10000</v>
      </c>
      <c r="I226" s="739"/>
    </row>
    <row r="228" spans="1:9">
      <c r="A228" s="755" t="s">
        <v>4270</v>
      </c>
      <c r="B228" s="756"/>
      <c r="C228" s="756"/>
      <c r="D228" s="756"/>
      <c r="E228" s="756"/>
      <c r="F228" s="756"/>
      <c r="G228" s="756"/>
      <c r="H228" s="756"/>
      <c r="I228" s="756"/>
    </row>
    <row r="229" spans="1:9">
      <c r="A229" s="756" t="s">
        <v>4271</v>
      </c>
      <c r="B229" s="756"/>
      <c r="C229" s="756"/>
      <c r="D229" s="756"/>
      <c r="E229" s="756"/>
      <c r="F229" s="756"/>
      <c r="G229" s="756"/>
      <c r="H229" s="756"/>
      <c r="I229" s="756"/>
    </row>
    <row r="230" spans="1:9">
      <c r="A230" s="756"/>
      <c r="B230" s="756" t="s">
        <v>4272</v>
      </c>
      <c r="C230" s="756"/>
      <c r="D230" s="756"/>
      <c r="E230" s="756"/>
      <c r="F230" s="756"/>
      <c r="G230" s="756"/>
      <c r="H230" s="756"/>
      <c r="I230" s="756"/>
    </row>
    <row r="231" spans="1:9">
      <c r="A231" s="756"/>
      <c r="B231" s="756" t="s">
        <v>4273</v>
      </c>
      <c r="C231" s="756"/>
      <c r="D231" s="756"/>
      <c r="E231" s="756"/>
      <c r="F231" s="756"/>
      <c r="G231" s="756"/>
      <c r="H231" s="756"/>
      <c r="I231" s="756"/>
    </row>
    <row r="232" spans="1:9" ht="28.5" customHeight="1">
      <c r="A232" s="756"/>
      <c r="B232" s="1235" t="s">
        <v>4274</v>
      </c>
      <c r="C232" s="1235"/>
      <c r="D232" s="1235"/>
      <c r="E232" s="1235"/>
      <c r="F232" s="1235"/>
      <c r="G232" s="1235"/>
      <c r="H232" s="1235"/>
      <c r="I232" s="1235"/>
    </row>
    <row r="233" spans="1:9">
      <c r="A233" s="756"/>
      <c r="B233" s="756" t="s">
        <v>4275</v>
      </c>
      <c r="C233" s="756"/>
      <c r="D233" s="756"/>
      <c r="E233" s="756"/>
      <c r="F233" s="756"/>
      <c r="G233" s="756"/>
      <c r="H233" s="756"/>
      <c r="I233" s="756"/>
    </row>
    <row r="234" spans="1:9">
      <c r="A234" s="68"/>
      <c r="B234" s="68"/>
      <c r="C234" s="68"/>
      <c r="D234" s="68"/>
      <c r="E234" s="68"/>
      <c r="F234" s="68"/>
      <c r="G234" s="68"/>
      <c r="H234" s="68"/>
      <c r="I234" s="68"/>
    </row>
    <row r="235" spans="1:9" ht="15.75">
      <c r="A235" s="583" t="s">
        <v>4276</v>
      </c>
    </row>
    <row r="236" spans="1:9" ht="7.35" customHeight="1">
      <c r="A236" s="583"/>
    </row>
    <row r="237" spans="1:9">
      <c r="B237" t="s">
        <v>4277</v>
      </c>
    </row>
    <row r="238" spans="1:9" ht="7.35" customHeight="1"/>
    <row r="243" spans="1:9" ht="15.75">
      <c r="A243" s="583" t="s">
        <v>4279</v>
      </c>
    </row>
    <row r="244" spans="1:9" ht="7.35" customHeight="1"/>
    <row r="245" spans="1:9">
      <c r="B245" t="s">
        <v>4278</v>
      </c>
    </row>
    <row r="246" spans="1:9">
      <c r="B246" s="1244" t="str">
        <f>OPC!CB82</f>
        <v xml:space="preserve">
All pilots, whether named or meeting the open pilot clause above, shall have completed a manufacturer’s approved ground and flight training course, or its equivalent course approved by the company, within the 12 months preceding any flight in the insured aircraft, and annually thereafter.</v>
      </c>
      <c r="C246" s="1244"/>
      <c r="D246" s="1244"/>
      <c r="E246" s="1244"/>
      <c r="F246" s="1244"/>
      <c r="G246" s="1244"/>
      <c r="H246" s="1244"/>
      <c r="I246" s="1244"/>
    </row>
    <row r="247" spans="1:9">
      <c r="B247" s="1244"/>
      <c r="C247" s="1244"/>
      <c r="D247" s="1244"/>
      <c r="E247" s="1244"/>
      <c r="F247" s="1244"/>
      <c r="G247" s="1244"/>
      <c r="H247" s="1244"/>
      <c r="I247" s="1244"/>
    </row>
    <row r="248" spans="1:9">
      <c r="B248" s="1244"/>
      <c r="C248" s="1244"/>
      <c r="D248" s="1244"/>
      <c r="E248" s="1244"/>
      <c r="F248" s="1244"/>
      <c r="G248" s="1244"/>
      <c r="H248" s="1244"/>
      <c r="I248" s="1244"/>
    </row>
    <row r="249" spans="1:9">
      <c r="B249" s="1244"/>
      <c r="C249" s="1244"/>
      <c r="D249" s="1244"/>
      <c r="E249" s="1244"/>
      <c r="F249" s="1244"/>
      <c r="G249" s="1244"/>
      <c r="H249" s="1244"/>
      <c r="I249" s="1244"/>
    </row>
    <row r="250" spans="1:9">
      <c r="B250" s="1244"/>
      <c r="C250" s="1244"/>
      <c r="D250" s="1244"/>
      <c r="E250" s="1244"/>
      <c r="F250" s="1244"/>
      <c r="G250" s="1244"/>
      <c r="H250" s="1244"/>
      <c r="I250" s="1244"/>
    </row>
    <row r="251" spans="1:9">
      <c r="B251" s="1244"/>
      <c r="C251" s="1244"/>
      <c r="D251" s="1244"/>
      <c r="E251" s="1244"/>
      <c r="F251" s="1244"/>
      <c r="G251" s="1244"/>
      <c r="H251" s="1244"/>
      <c r="I251" s="1244"/>
    </row>
    <row r="252" spans="1:9">
      <c r="B252" s="1244"/>
      <c r="C252" s="1244"/>
      <c r="D252" s="1244"/>
      <c r="E252" s="1244"/>
      <c r="F252" s="1244"/>
      <c r="G252" s="1244"/>
      <c r="H252" s="1244"/>
      <c r="I252" s="1244"/>
    </row>
    <row r="253" spans="1:9">
      <c r="B253" s="1244"/>
      <c r="C253" s="1244"/>
      <c r="D253" s="1244"/>
      <c r="E253" s="1244"/>
      <c r="F253" s="1244"/>
      <c r="G253" s="1244"/>
      <c r="H253" s="1244"/>
      <c r="I253" s="1244"/>
    </row>
    <row r="254" spans="1:9">
      <c r="B254" s="1244"/>
      <c r="C254" s="1244"/>
      <c r="D254" s="1244"/>
      <c r="E254" s="1244"/>
      <c r="F254" s="1244"/>
      <c r="G254" s="1244"/>
      <c r="H254" s="1244"/>
      <c r="I254" s="1244"/>
    </row>
    <row r="255" spans="1:9">
      <c r="B255" s="1244"/>
      <c r="C255" s="1244"/>
      <c r="D255" s="1244"/>
      <c r="E255" s="1244"/>
      <c r="F255" s="1244"/>
      <c r="G255" s="1244"/>
      <c r="H255" s="1244"/>
      <c r="I255" s="1244"/>
    </row>
    <row r="256" spans="1:9">
      <c r="B256" s="1244"/>
      <c r="C256" s="1244"/>
      <c r="D256" s="1244"/>
      <c r="E256" s="1244"/>
      <c r="F256" s="1244"/>
      <c r="G256" s="1244"/>
      <c r="H256" s="1244"/>
      <c r="I256" s="1244"/>
    </row>
    <row r="257" spans="1:9">
      <c r="B257" s="1244"/>
      <c r="C257" s="1244"/>
      <c r="D257" s="1244"/>
      <c r="E257" s="1244"/>
      <c r="F257" s="1244"/>
      <c r="G257" s="1244"/>
      <c r="H257" s="1244"/>
      <c r="I257" s="1244"/>
    </row>
    <row r="258" spans="1:9">
      <c r="B258" s="1244"/>
      <c r="C258" s="1244"/>
      <c r="D258" s="1244"/>
      <c r="E258" s="1244"/>
      <c r="F258" s="1244"/>
      <c r="G258" s="1244"/>
      <c r="H258" s="1244"/>
      <c r="I258" s="1244"/>
    </row>
    <row r="259" spans="1:9">
      <c r="B259" s="1244"/>
      <c r="C259" s="1244"/>
      <c r="D259" s="1244"/>
      <c r="E259" s="1244"/>
      <c r="F259" s="1244"/>
      <c r="G259" s="1244"/>
      <c r="H259" s="1244"/>
      <c r="I259" s="1244"/>
    </row>
    <row r="260" spans="1:9">
      <c r="B260" s="1244"/>
      <c r="C260" s="1244"/>
      <c r="D260" s="1244"/>
      <c r="E260" s="1244"/>
      <c r="F260" s="1244"/>
      <c r="G260" s="1244"/>
      <c r="H260" s="1244"/>
      <c r="I260" s="1244"/>
    </row>
    <row r="261" spans="1:9">
      <c r="B261" s="1244"/>
      <c r="C261" s="1244"/>
      <c r="D261" s="1244"/>
      <c r="E261" s="1244"/>
      <c r="F261" s="1244"/>
      <c r="G261" s="1244"/>
      <c r="H261" s="1244"/>
      <c r="I261" s="1244"/>
    </row>
    <row r="262" spans="1:9">
      <c r="B262" s="1244"/>
      <c r="C262" s="1244"/>
      <c r="D262" s="1244"/>
      <c r="E262" s="1244"/>
      <c r="F262" s="1244"/>
      <c r="G262" s="1244"/>
      <c r="H262" s="1244"/>
      <c r="I262" s="1244"/>
    </row>
    <row r="263" spans="1:9">
      <c r="B263" s="1244"/>
      <c r="C263" s="1244"/>
      <c r="D263" s="1244"/>
      <c r="E263" s="1244"/>
      <c r="F263" s="1244"/>
      <c r="G263" s="1244"/>
      <c r="H263" s="1244"/>
      <c r="I263" s="1244"/>
    </row>
    <row r="264" spans="1:9">
      <c r="B264" s="757"/>
      <c r="C264" s="757"/>
      <c r="D264" s="757"/>
      <c r="E264" s="757"/>
      <c r="F264" s="757"/>
      <c r="G264" s="757"/>
      <c r="H264" s="757"/>
      <c r="I264" s="757"/>
    </row>
    <row r="265" spans="1:9" ht="15.75">
      <c r="A265" s="758" t="s">
        <v>4280</v>
      </c>
      <c r="B265" s="75"/>
      <c r="C265" s="75"/>
      <c r="D265" s="75"/>
      <c r="E265" s="75"/>
      <c r="F265" s="75"/>
      <c r="G265" s="75"/>
      <c r="H265" s="75"/>
      <c r="I265" s="75"/>
    </row>
    <row r="266" spans="1:9" ht="7.35" customHeight="1">
      <c r="A266" s="583"/>
    </row>
    <row r="267" spans="1:9" ht="14.25" customHeight="1">
      <c r="A267" s="1235" t="str">
        <f>'Platinum Endt-Ancillary'!I67</f>
        <v>AVP 00 01 - AIRCRAFT PLATINUM POLICY DECLARATIONS, AVP 00 02 - AIRCRAFT PLATINUM POLICY, AV 00 03 - FORMS SCHEDULE, AVP 02 31 - PILOT CLAUSE ENDORSEMENT,  and any state amendatory endorsements and notices.</v>
      </c>
      <c r="B267" s="1235"/>
      <c r="C267" s="1235"/>
      <c r="D267" s="1235"/>
      <c r="E267" s="1235"/>
      <c r="F267" s="1235"/>
      <c r="G267" s="1235"/>
      <c r="H267" s="1235"/>
      <c r="I267" s="1235"/>
    </row>
    <row r="268" spans="1:9">
      <c r="A268" s="1235"/>
      <c r="B268" s="1235"/>
      <c r="C268" s="1235"/>
      <c r="D268" s="1235"/>
      <c r="E268" s="1235"/>
      <c r="F268" s="1235"/>
      <c r="G268" s="1235"/>
      <c r="H268" s="1235"/>
      <c r="I268" s="1235"/>
    </row>
    <row r="269" spans="1:9">
      <c r="A269" s="1235"/>
      <c r="B269" s="1235"/>
      <c r="C269" s="1235"/>
      <c r="D269" s="1235"/>
      <c r="E269" s="1235"/>
      <c r="F269" s="1235"/>
      <c r="G269" s="1235"/>
      <c r="H269" s="1235"/>
      <c r="I269" s="1235"/>
    </row>
    <row r="270" spans="1:9">
      <c r="A270" s="1235"/>
      <c r="B270" s="1235"/>
      <c r="C270" s="1235"/>
      <c r="D270" s="1235"/>
      <c r="E270" s="1235"/>
      <c r="F270" s="1235"/>
      <c r="G270" s="1235"/>
      <c r="H270" s="1235"/>
      <c r="I270" s="1235"/>
    </row>
    <row r="271" spans="1:9">
      <c r="A271" s="1235"/>
      <c r="B271" s="1235"/>
      <c r="C271" s="1235"/>
      <c r="D271" s="1235"/>
      <c r="E271" s="1235"/>
      <c r="F271" s="1235"/>
      <c r="G271" s="1235"/>
      <c r="H271" s="1235"/>
      <c r="I271" s="1235"/>
    </row>
    <row r="272" spans="1:9">
      <c r="A272" s="1235"/>
      <c r="B272" s="1235"/>
      <c r="C272" s="1235"/>
      <c r="D272" s="1235"/>
      <c r="E272" s="1235"/>
      <c r="F272" s="1235"/>
      <c r="G272" s="1235"/>
      <c r="H272" s="1235"/>
      <c r="I272" s="1235"/>
    </row>
    <row r="273" spans="1:9">
      <c r="A273" s="1235"/>
      <c r="B273" s="1235"/>
      <c r="C273" s="1235"/>
      <c r="D273" s="1235"/>
      <c r="E273" s="1235"/>
      <c r="F273" s="1235"/>
      <c r="G273" s="1235"/>
      <c r="H273" s="1235"/>
      <c r="I273" s="1235"/>
    </row>
    <row r="274" spans="1:9">
      <c r="A274" s="1235"/>
      <c r="B274" s="1235"/>
      <c r="C274" s="1235"/>
      <c r="D274" s="1235"/>
      <c r="E274" s="1235"/>
      <c r="F274" s="1235"/>
      <c r="G274" s="1235"/>
      <c r="H274" s="1235"/>
      <c r="I274" s="1235"/>
    </row>
    <row r="275" spans="1:9">
      <c r="A275" s="1235"/>
      <c r="B275" s="1235"/>
      <c r="C275" s="1235"/>
      <c r="D275" s="1235"/>
      <c r="E275" s="1235"/>
      <c r="F275" s="1235"/>
      <c r="G275" s="1235"/>
      <c r="H275" s="1235"/>
      <c r="I275" s="1235"/>
    </row>
    <row r="276" spans="1:9">
      <c r="A276" s="1235"/>
      <c r="B276" s="1235"/>
      <c r="C276" s="1235"/>
      <c r="D276" s="1235"/>
      <c r="E276" s="1235"/>
      <c r="F276" s="1235"/>
      <c r="G276" s="1235"/>
      <c r="H276" s="1235"/>
      <c r="I276" s="1235"/>
    </row>
    <row r="277" spans="1:9">
      <c r="A277" s="1235"/>
      <c r="B277" s="1235"/>
      <c r="C277" s="1235"/>
      <c r="D277" s="1235"/>
      <c r="E277" s="1235"/>
      <c r="F277" s="1235"/>
      <c r="G277" s="1235"/>
      <c r="H277" s="1235"/>
      <c r="I277" s="1235"/>
    </row>
    <row r="278" spans="1:9">
      <c r="A278" s="1235"/>
      <c r="B278" s="1235"/>
      <c r="C278" s="1235"/>
      <c r="D278" s="1235"/>
      <c r="E278" s="1235"/>
      <c r="F278" s="1235"/>
      <c r="G278" s="1235"/>
      <c r="H278" s="1235"/>
      <c r="I278" s="1235"/>
    </row>
    <row r="279" spans="1:9">
      <c r="A279" s="1235"/>
      <c r="B279" s="1235"/>
      <c r="C279" s="1235"/>
      <c r="D279" s="1235"/>
      <c r="E279" s="1235"/>
      <c r="F279" s="1235"/>
      <c r="G279" s="1235"/>
      <c r="H279" s="1235"/>
      <c r="I279" s="1235"/>
    </row>
    <row r="280" spans="1:9">
      <c r="A280" s="1235"/>
      <c r="B280" s="1235"/>
      <c r="C280" s="1235"/>
      <c r="D280" s="1235"/>
      <c r="E280" s="1235"/>
      <c r="F280" s="1235"/>
      <c r="G280" s="1235"/>
      <c r="H280" s="1235"/>
      <c r="I280" s="1235"/>
    </row>
    <row r="281" spans="1:9">
      <c r="A281" s="1235"/>
      <c r="B281" s="1235"/>
      <c r="C281" s="1235"/>
      <c r="D281" s="1235"/>
      <c r="E281" s="1235"/>
      <c r="F281" s="1235"/>
      <c r="G281" s="1235"/>
      <c r="H281" s="1235"/>
      <c r="I281" s="1235"/>
    </row>
    <row r="282" spans="1:9">
      <c r="A282" s="1235"/>
      <c r="B282" s="1235"/>
      <c r="C282" s="1235"/>
      <c r="D282" s="1235"/>
      <c r="E282" s="1235"/>
      <c r="F282" s="1235"/>
      <c r="G282" s="1235"/>
      <c r="H282" s="1235"/>
      <c r="I282" s="1235"/>
    </row>
    <row r="283" spans="1:9">
      <c r="A283" s="1235"/>
      <c r="B283" s="1235"/>
      <c r="C283" s="1235"/>
      <c r="D283" s="1235"/>
      <c r="E283" s="1235"/>
      <c r="F283" s="1235"/>
      <c r="G283" s="1235"/>
      <c r="H283" s="1235"/>
      <c r="I283" s="1235"/>
    </row>
    <row r="284" spans="1:9">
      <c r="A284" s="1235"/>
      <c r="B284" s="1235"/>
      <c r="C284" s="1235"/>
      <c r="D284" s="1235"/>
      <c r="E284" s="1235"/>
      <c r="F284" s="1235"/>
      <c r="G284" s="1235"/>
      <c r="H284" s="1235"/>
      <c r="I284" s="1235"/>
    </row>
    <row r="285" spans="1:9">
      <c r="A285" s="1235"/>
      <c r="B285" s="1235"/>
      <c r="C285" s="1235"/>
      <c r="D285" s="1235"/>
      <c r="E285" s="1235"/>
      <c r="F285" s="1235"/>
      <c r="G285" s="1235"/>
      <c r="H285" s="1235"/>
      <c r="I285" s="1235"/>
    </row>
    <row r="286" spans="1:9">
      <c r="A286" s="1235"/>
      <c r="B286" s="1235"/>
      <c r="C286" s="1235"/>
      <c r="D286" s="1235"/>
      <c r="E286" s="1235"/>
      <c r="F286" s="1235"/>
      <c r="G286" s="1235"/>
      <c r="H286" s="1235"/>
      <c r="I286" s="1235"/>
    </row>
    <row r="287" spans="1:9">
      <c r="A287" s="1235"/>
      <c r="B287" s="1235"/>
      <c r="C287" s="1235"/>
      <c r="D287" s="1235"/>
      <c r="E287" s="1235"/>
      <c r="F287" s="1235"/>
      <c r="G287" s="1235"/>
      <c r="H287" s="1235"/>
      <c r="I287" s="1235"/>
    </row>
  </sheetData>
  <mergeCells count="83">
    <mergeCell ref="A42:C42"/>
    <mergeCell ref="C62:D62"/>
    <mergeCell ref="C63:D63"/>
    <mergeCell ref="C64:D64"/>
    <mergeCell ref="C65:D65"/>
    <mergeCell ref="A43:D43"/>
    <mergeCell ref="C66:D66"/>
    <mergeCell ref="C57:D57"/>
    <mergeCell ref="C58:D58"/>
    <mergeCell ref="C59:D59"/>
    <mergeCell ref="C60:D60"/>
    <mergeCell ref="C61:D61"/>
    <mergeCell ref="A14:I19"/>
    <mergeCell ref="F20:I20"/>
    <mergeCell ref="A53:I53"/>
    <mergeCell ref="A29:I33"/>
    <mergeCell ref="B34:H35"/>
    <mergeCell ref="A36:I37"/>
    <mergeCell ref="C23:I23"/>
    <mergeCell ref="C24:I24"/>
    <mergeCell ref="C26:D26"/>
    <mergeCell ref="F26:I26"/>
    <mergeCell ref="A28:I28"/>
    <mergeCell ref="A44:H44"/>
    <mergeCell ref="A52:I52"/>
    <mergeCell ref="A39:I39"/>
    <mergeCell ref="A40:C40"/>
    <mergeCell ref="A41:C41"/>
    <mergeCell ref="A5:I5"/>
    <mergeCell ref="A6:I6"/>
    <mergeCell ref="A7:I7"/>
    <mergeCell ref="A9:I9"/>
    <mergeCell ref="A11:I12"/>
    <mergeCell ref="C67:D67"/>
    <mergeCell ref="C68:D68"/>
    <mergeCell ref="C69:D69"/>
    <mergeCell ref="C70:D70"/>
    <mergeCell ref="C71:D71"/>
    <mergeCell ref="B80:C80"/>
    <mergeCell ref="D80:F80"/>
    <mergeCell ref="B81:C81"/>
    <mergeCell ref="D81:F81"/>
    <mergeCell ref="C72:D72"/>
    <mergeCell ref="B77:C77"/>
    <mergeCell ref="D77:F77"/>
    <mergeCell ref="B78:C78"/>
    <mergeCell ref="D78:F78"/>
    <mergeCell ref="B74:C74"/>
    <mergeCell ref="D74:F74"/>
    <mergeCell ref="D75:F75"/>
    <mergeCell ref="B75:C75"/>
    <mergeCell ref="B76:C76"/>
    <mergeCell ref="D76:F76"/>
    <mergeCell ref="D85:F85"/>
    <mergeCell ref="B82:C82"/>
    <mergeCell ref="D82:F82"/>
    <mergeCell ref="B83:C83"/>
    <mergeCell ref="D83:F83"/>
    <mergeCell ref="B85:C85"/>
    <mergeCell ref="H99:I99"/>
    <mergeCell ref="B246:I263"/>
    <mergeCell ref="H100:I100"/>
    <mergeCell ref="H103:I103"/>
    <mergeCell ref="H107:I107"/>
    <mergeCell ref="C109:I109"/>
    <mergeCell ref="B232:I232"/>
    <mergeCell ref="H104:I104"/>
    <mergeCell ref="A267:I287"/>
    <mergeCell ref="A21:C21"/>
    <mergeCell ref="D21:I22"/>
    <mergeCell ref="A20:C20"/>
    <mergeCell ref="A91:I92"/>
    <mergeCell ref="H96:I96"/>
    <mergeCell ref="B86:C86"/>
    <mergeCell ref="D86:F86"/>
    <mergeCell ref="B87:C87"/>
    <mergeCell ref="D87:F87"/>
    <mergeCell ref="B88:C88"/>
    <mergeCell ref="D88:F88"/>
    <mergeCell ref="B79:C79"/>
    <mergeCell ref="D79:F79"/>
    <mergeCell ref="B84:C84"/>
    <mergeCell ref="D84:F84"/>
  </mergeCells>
  <pageMargins left="0.7" right="0.7" top="0.75" bottom="0.75" header="0.3" footer="0.3"/>
  <pageSetup scale="95" fitToHeight="0" orientation="portrait" r:id="rId1"/>
  <headerFooter scaleWithDoc="0">
    <oddFooter>&amp;L&amp;"Arial,Bold"&amp;8IAT Platinum Proposal&amp;C&amp;8Includes copyrighted material of Insurance Services Office, Inc., with its permission.&amp;R&amp;"Arial,Bold"&amp;8&amp;P of &amp;N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1FC66-BFB7-4C87-A39C-737ECEE76F8B}">
  <sheetPr codeName="Sheet35">
    <tabColor rgb="FFF00224"/>
    <pageSetUpPr fitToPage="1"/>
  </sheetPr>
  <dimension ref="B1:XFC55"/>
  <sheetViews>
    <sheetView showGridLines="0" zoomScale="120" zoomScaleNormal="120" workbookViewId="0">
      <selection activeCell="L12" sqref="L12:N12"/>
    </sheetView>
  </sheetViews>
  <sheetFormatPr defaultColWidth="0" defaultRowHeight="0" customHeight="1" zeroHeight="1"/>
  <cols>
    <col min="1" max="1" width="5.625" customWidth="1"/>
    <col min="2" max="2" width="9" customWidth="1"/>
    <col min="3" max="3" width="9.375" bestFit="1" customWidth="1"/>
    <col min="4" max="4" width="13.625" customWidth="1"/>
    <col min="5" max="5" width="16.375" customWidth="1"/>
    <col min="6" max="6" width="8.375" bestFit="1" customWidth="1"/>
    <col min="7" max="7" width="7.75" customWidth="1"/>
    <col min="8" max="8" width="4.25" customWidth="1"/>
    <col min="9" max="9" width="6.25" customWidth="1"/>
    <col min="10" max="10" width="8.875" customWidth="1"/>
    <col min="11" max="11" width="4.625" customWidth="1"/>
    <col min="12" max="12" width="10.875" customWidth="1"/>
    <col min="13" max="13" width="1.875" customWidth="1"/>
    <col min="14" max="14" width="1.5" hidden="1" customWidth="1"/>
    <col min="15" max="49" width="0" hidden="1" customWidth="1"/>
    <col min="50" max="50" width="9" hidden="1" customWidth="1"/>
    <col min="51" max="16383" width="9" hidden="1"/>
    <col min="16384" max="16384" width="2.375" customWidth="1"/>
  </cols>
  <sheetData>
    <row r="1" spans="2:19" ht="14.25" customHeight="1">
      <c r="B1" s="113"/>
      <c r="C1" s="113"/>
      <c r="D1" s="113"/>
      <c r="E1" s="1198" t="s">
        <v>4023</v>
      </c>
      <c r="F1" s="1198"/>
      <c r="G1" s="1198"/>
      <c r="H1" s="1198"/>
      <c r="I1" s="1198"/>
      <c r="J1" s="1198"/>
      <c r="K1" s="401"/>
      <c r="L1" s="325"/>
      <c r="M1" s="325"/>
      <c r="N1" s="325"/>
      <c r="O1" s="325"/>
      <c r="Q1" s="113"/>
      <c r="R1" s="113"/>
    </row>
    <row r="2" spans="2:19" ht="14.25" customHeight="1">
      <c r="B2" s="113"/>
      <c r="C2" s="113"/>
      <c r="D2" s="113"/>
      <c r="E2" s="1198"/>
      <c r="F2" s="1198"/>
      <c r="G2" s="1198"/>
      <c r="H2" s="1198"/>
      <c r="I2" s="1198"/>
      <c r="J2" s="1198"/>
      <c r="K2" s="401"/>
      <c r="L2" s="325"/>
      <c r="M2" s="325"/>
      <c r="O2" s="325"/>
      <c r="R2" s="113"/>
    </row>
    <row r="3" spans="2:19" ht="14.25">
      <c r="C3" s="52"/>
      <c r="D3" s="52"/>
      <c r="E3" s="52"/>
      <c r="F3" s="52"/>
      <c r="G3" s="52"/>
    </row>
    <row r="4" spans="2:19" ht="14.25" customHeight="1">
      <c r="C4" s="52"/>
      <c r="D4" s="52"/>
      <c r="E4" s="52"/>
      <c r="F4" s="52"/>
      <c r="G4" s="52"/>
      <c r="H4" s="316"/>
      <c r="I4" s="316"/>
      <c r="J4" s="316"/>
      <c r="K4" s="316"/>
      <c r="L4" s="316"/>
      <c r="M4" s="316"/>
      <c r="N4" s="316"/>
      <c r="O4" s="316"/>
      <c r="P4" s="316"/>
    </row>
    <row r="5" spans="2:19" ht="18.75" customHeight="1">
      <c r="B5" s="92" t="str">
        <f>CONCATENATE("NAMED INSURED:"," ",'Data-UW'!F4)</f>
        <v xml:space="preserve">NAMED INSURED: </v>
      </c>
      <c r="C5" s="52"/>
      <c r="D5" s="52"/>
      <c r="E5" s="52"/>
      <c r="F5" s="52"/>
      <c r="G5" s="316"/>
      <c r="H5" s="316"/>
      <c r="I5" s="316"/>
      <c r="J5" s="316"/>
      <c r="K5" s="316"/>
      <c r="L5" s="316"/>
      <c r="M5" s="316"/>
      <c r="O5" s="316"/>
      <c r="P5" s="316"/>
    </row>
    <row r="6" spans="2:19" ht="15.75" customHeight="1">
      <c r="B6" s="92"/>
      <c r="C6" s="52"/>
      <c r="D6" t="str">
        <f>CONCATENATE('Data-UW'!F11,IF(OR('Data-UW'!F11="",'Data-UW'!F12=""),"",", "),'Data-UW'!F12,IF('Data-UW'!F11="","",", "),'Data-UW'!F13,", ",'Data-UW'!I13," ",'Data-UW'!K13)</f>
        <v xml:space="preserve">,  </v>
      </c>
      <c r="E6" s="52"/>
      <c r="F6" s="52"/>
      <c r="G6" s="316"/>
      <c r="H6" s="316"/>
      <c r="I6" s="316"/>
      <c r="J6" s="316"/>
      <c r="K6" s="316"/>
      <c r="L6" s="316"/>
      <c r="M6" s="316"/>
      <c r="O6" s="316"/>
      <c r="P6" s="316"/>
    </row>
    <row r="7" spans="2:19" ht="26.25">
      <c r="B7" s="92" t="str">
        <f>CONCATENATE("AGENCY:"," ",'Data-UW'!F2)</f>
        <v xml:space="preserve">AGENCY: </v>
      </c>
      <c r="C7" s="52"/>
      <c r="D7" s="52"/>
      <c r="E7" s="1294" t="str">
        <f>IF('Data-UW'!B2="Yes",CONCATENATE("Binder - Policy #: ",'Data-UW'!D2),IF('Data-UW'!D2="",CONCATENATE("Quote for - ",LEFT('Data-UW'!F4,15)),IF(AND('Data-UW'!F1="Yes",'Data-UW'!D2&gt;""),CONCATENATE("Midterm Quote for Policy ",'Data-UW'!D2),CONCATENATE("Renewal Quote for Policy ",'Data-UW'!D2))))</f>
        <v xml:space="preserve">Quote for - </v>
      </c>
      <c r="F7" s="1294"/>
      <c r="G7" s="1294"/>
      <c r="H7" s="1294"/>
      <c r="I7" s="1294"/>
      <c r="J7" s="1294"/>
      <c r="K7" s="400"/>
      <c r="L7" s="400"/>
      <c r="M7" s="400"/>
      <c r="O7" s="400"/>
      <c r="P7" s="400"/>
    </row>
    <row r="8" spans="2:19" ht="15.75">
      <c r="B8" s="93" t="str">
        <f>CONCATENATE("Producer:"," ",'Data-UW'!F3)</f>
        <v xml:space="preserve">Producer: </v>
      </c>
    </row>
    <row r="9" spans="2:19" ht="15.75">
      <c r="B9" s="95" t="str">
        <f>CONCATENATE("Underwriter: ",'Data-UW'!D4)</f>
        <v xml:space="preserve">Underwriter: </v>
      </c>
      <c r="I9" s="1315" t="s">
        <v>3386</v>
      </c>
      <c r="J9" s="1315"/>
      <c r="K9" s="1197">
        <f ca="1">TODAY()</f>
        <v>46149</v>
      </c>
      <c r="L9" s="1197"/>
      <c r="S9" s="93"/>
    </row>
    <row r="10" spans="2:19" ht="15.75">
      <c r="B10" s="579" t="s">
        <v>3388</v>
      </c>
      <c r="C10" s="587">
        <f>'Data-UW'!B4</f>
        <v>0.15</v>
      </c>
      <c r="I10" s="83"/>
      <c r="J10" s="560"/>
      <c r="K10" s="560"/>
      <c r="S10" s="93"/>
    </row>
    <row r="11" spans="2:19" ht="15.75">
      <c r="B11" s="95" t="str">
        <f>IF('Data-UW'!F10="","",CONCATENATE("Effective:"," ",TEXT('Data-UW'!F10,"MM/DD/YYYY")," To ",TEXT('Data-UW'!I10,"MM/DD/YYYY")))</f>
        <v/>
      </c>
      <c r="I11" s="83"/>
      <c r="J11" s="560"/>
      <c r="K11" s="560"/>
      <c r="S11" s="93"/>
    </row>
    <row r="12" spans="2:19" ht="15.75" thickBot="1">
      <c r="B12" s="83" t="s">
        <v>3</v>
      </c>
      <c r="F12" s="939" t="s">
        <v>3402</v>
      </c>
      <c r="G12" s="939"/>
      <c r="H12" s="939" t="s">
        <v>3403</v>
      </c>
      <c r="I12" s="939"/>
      <c r="J12" s="939"/>
      <c r="L12" s="939" t="s">
        <v>3404</v>
      </c>
      <c r="M12" s="939"/>
      <c r="N12" s="939"/>
    </row>
    <row r="13" spans="2:19" ht="15" thickTop="1">
      <c r="B13" s="1313"/>
      <c r="C13" s="1313"/>
      <c r="D13" s="1313"/>
      <c r="E13" s="1313"/>
      <c r="F13" s="1312"/>
      <c r="G13" s="1312"/>
      <c r="H13" s="1296"/>
      <c r="I13" s="1296"/>
      <c r="J13" s="1296"/>
      <c r="K13" s="563"/>
      <c r="L13" s="1297" t="str">
        <f t="shared" ref="L13:L34" si="0">IF(OR(F13="",H13=""),"",ROUND(PRODUCT(F13,H13),2))</f>
        <v/>
      </c>
      <c r="M13" s="1297"/>
      <c r="N13" s="1297"/>
      <c r="O13" s="326"/>
      <c r="P13" s="326"/>
      <c r="Q13" s="326"/>
      <c r="R13" s="326"/>
      <c r="S13" s="326"/>
    </row>
    <row r="14" spans="2:19" ht="14.25">
      <c r="B14" s="1301"/>
      <c r="C14" s="1301"/>
      <c r="D14" s="1301"/>
      <c r="E14" s="1301"/>
      <c r="F14" s="1300"/>
      <c r="G14" s="1300"/>
      <c r="H14" s="1299"/>
      <c r="I14" s="1299"/>
      <c r="J14" s="1299"/>
      <c r="K14" s="564"/>
      <c r="L14" s="1298" t="str">
        <f t="shared" si="0"/>
        <v/>
      </c>
      <c r="M14" s="1298"/>
      <c r="N14" s="1298"/>
      <c r="O14" s="326"/>
      <c r="P14" s="326"/>
      <c r="Q14" s="326"/>
      <c r="R14" s="326"/>
      <c r="S14" s="326"/>
    </row>
    <row r="15" spans="2:19" ht="14.25">
      <c r="B15" s="1308"/>
      <c r="C15" s="1308"/>
      <c r="D15" s="1308"/>
      <c r="E15" s="1308"/>
      <c r="F15" s="1309"/>
      <c r="G15" s="1309"/>
      <c r="H15" s="1310"/>
      <c r="I15" s="1310"/>
      <c r="J15" s="1310"/>
      <c r="K15" s="565"/>
      <c r="L15" s="1311" t="str">
        <f t="shared" si="0"/>
        <v/>
      </c>
      <c r="M15" s="1311"/>
      <c r="N15" s="1311"/>
      <c r="O15" s="326"/>
      <c r="P15" s="326"/>
      <c r="Q15" s="326"/>
      <c r="R15" s="326"/>
      <c r="S15" s="326"/>
    </row>
    <row r="16" spans="2:19" ht="14.25" customHeight="1">
      <c r="B16" s="1301"/>
      <c r="C16" s="1301"/>
      <c r="D16" s="1301"/>
      <c r="E16" s="1301"/>
      <c r="F16" s="1300"/>
      <c r="G16" s="1300"/>
      <c r="H16" s="1299"/>
      <c r="I16" s="1299"/>
      <c r="J16" s="1299"/>
      <c r="K16" s="564"/>
      <c r="L16" s="1298" t="str">
        <f t="shared" si="0"/>
        <v/>
      </c>
      <c r="M16" s="1298"/>
      <c r="N16" s="1298"/>
      <c r="O16" s="326"/>
      <c r="P16" s="326"/>
      <c r="Q16" s="326"/>
      <c r="R16" s="326"/>
      <c r="S16" s="326"/>
    </row>
    <row r="17" spans="2:19" ht="14.25" hidden="1" customHeight="1">
      <c r="B17" s="1308"/>
      <c r="C17" s="1308"/>
      <c r="D17" s="1308"/>
      <c r="E17" s="1308"/>
      <c r="F17" s="1309"/>
      <c r="G17" s="1309"/>
      <c r="H17" s="1310"/>
      <c r="I17" s="1310"/>
      <c r="J17" s="1310"/>
      <c r="K17" s="565"/>
      <c r="L17" s="1311" t="str">
        <f t="shared" si="0"/>
        <v/>
      </c>
      <c r="M17" s="1311"/>
      <c r="N17" s="1311"/>
      <c r="O17" s="326"/>
      <c r="P17" s="326"/>
      <c r="Q17" s="326"/>
      <c r="R17" s="326"/>
      <c r="S17" s="326"/>
    </row>
    <row r="18" spans="2:19" ht="14.25" hidden="1" customHeight="1">
      <c r="B18" s="1301"/>
      <c r="C18" s="1301"/>
      <c r="D18" s="1301"/>
      <c r="E18" s="1301"/>
      <c r="F18" s="1300"/>
      <c r="G18" s="1300"/>
      <c r="H18" s="1299"/>
      <c r="I18" s="1299"/>
      <c r="J18" s="1299"/>
      <c r="K18" s="564"/>
      <c r="L18" s="1298" t="str">
        <f t="shared" si="0"/>
        <v/>
      </c>
      <c r="M18" s="1298"/>
      <c r="N18" s="1298"/>
      <c r="O18" s="326"/>
      <c r="P18" s="326"/>
      <c r="Q18" s="326"/>
      <c r="R18" s="326"/>
      <c r="S18" s="326"/>
    </row>
    <row r="19" spans="2:19" ht="14.25" hidden="1" customHeight="1">
      <c r="B19" s="1308"/>
      <c r="C19" s="1308"/>
      <c r="D19" s="1308"/>
      <c r="E19" s="1308"/>
      <c r="F19" s="1309"/>
      <c r="G19" s="1309"/>
      <c r="H19" s="1310"/>
      <c r="I19" s="1310"/>
      <c r="J19" s="1310"/>
      <c r="K19" s="565"/>
      <c r="L19" s="1311" t="str">
        <f t="shared" si="0"/>
        <v/>
      </c>
      <c r="M19" s="1311"/>
      <c r="N19" s="1311"/>
      <c r="O19" s="326"/>
      <c r="P19" s="326"/>
      <c r="Q19" s="326"/>
      <c r="R19" s="326"/>
      <c r="S19" s="326"/>
    </row>
    <row r="20" spans="2:19" ht="14.25" hidden="1" customHeight="1">
      <c r="B20" s="1301"/>
      <c r="C20" s="1301"/>
      <c r="D20" s="1301"/>
      <c r="E20" s="1301"/>
      <c r="F20" s="1300"/>
      <c r="G20" s="1300"/>
      <c r="H20" s="1299"/>
      <c r="I20" s="1299"/>
      <c r="J20" s="1299"/>
      <c r="K20" s="564"/>
      <c r="L20" s="1298" t="str">
        <f t="shared" si="0"/>
        <v/>
      </c>
      <c r="M20" s="1298"/>
      <c r="N20" s="1298"/>
    </row>
    <row r="21" spans="2:19" ht="14.25" hidden="1" customHeight="1">
      <c r="B21" s="1308"/>
      <c r="C21" s="1308"/>
      <c r="D21" s="1308"/>
      <c r="E21" s="1308"/>
      <c r="F21" s="1309"/>
      <c r="G21" s="1309"/>
      <c r="H21" s="1310"/>
      <c r="I21" s="1310"/>
      <c r="J21" s="1310"/>
      <c r="K21" s="565"/>
      <c r="L21" s="1311" t="str">
        <f t="shared" si="0"/>
        <v/>
      </c>
      <c r="M21" s="1311"/>
      <c r="N21" s="1311"/>
    </row>
    <row r="22" spans="2:19" ht="14.25" hidden="1" customHeight="1">
      <c r="B22" s="1301"/>
      <c r="C22" s="1301"/>
      <c r="D22" s="1301"/>
      <c r="E22" s="1301"/>
      <c r="F22" s="1300"/>
      <c r="G22" s="1300"/>
      <c r="H22" s="1299"/>
      <c r="I22" s="1299"/>
      <c r="J22" s="1299"/>
      <c r="K22" s="564"/>
      <c r="L22" s="1298" t="str">
        <f t="shared" si="0"/>
        <v/>
      </c>
      <c r="M22" s="1298"/>
      <c r="N22" s="1298"/>
    </row>
    <row r="23" spans="2:19" ht="14.25" hidden="1" customHeight="1">
      <c r="B23" s="1308"/>
      <c r="C23" s="1308"/>
      <c r="D23" s="1308"/>
      <c r="E23" s="1308"/>
      <c r="F23" s="1309"/>
      <c r="G23" s="1309"/>
      <c r="H23" s="1310"/>
      <c r="I23" s="1310"/>
      <c r="J23" s="1310"/>
      <c r="K23" s="565"/>
      <c r="L23" s="1311" t="str">
        <f t="shared" si="0"/>
        <v/>
      </c>
      <c r="M23" s="1311"/>
      <c r="N23" s="1311"/>
    </row>
    <row r="24" spans="2:19" ht="14.25" hidden="1" customHeight="1">
      <c r="B24" s="1301"/>
      <c r="C24" s="1301"/>
      <c r="D24" s="1301"/>
      <c r="E24" s="1301"/>
      <c r="F24" s="1300"/>
      <c r="G24" s="1300"/>
      <c r="H24" s="1299"/>
      <c r="I24" s="1299"/>
      <c r="J24" s="1299"/>
      <c r="K24" s="564"/>
      <c r="L24" s="1298" t="str">
        <f t="shared" si="0"/>
        <v/>
      </c>
      <c r="M24" s="1298"/>
      <c r="N24" s="1298"/>
    </row>
    <row r="25" spans="2:19" ht="14.25" hidden="1" customHeight="1">
      <c r="B25" s="1308"/>
      <c r="C25" s="1308"/>
      <c r="D25" s="1308"/>
      <c r="E25" s="1308"/>
      <c r="F25" s="1309"/>
      <c r="G25" s="1309"/>
      <c r="H25" s="1310"/>
      <c r="I25" s="1310"/>
      <c r="J25" s="1310"/>
      <c r="K25" s="565"/>
      <c r="L25" s="1311" t="str">
        <f t="shared" si="0"/>
        <v/>
      </c>
      <c r="M25" s="1311"/>
      <c r="N25" s="1311"/>
    </row>
    <row r="26" spans="2:19" ht="14.25" hidden="1" customHeight="1">
      <c r="B26" s="1301"/>
      <c r="C26" s="1301"/>
      <c r="D26" s="1301"/>
      <c r="E26" s="1301"/>
      <c r="F26" s="1300"/>
      <c r="G26" s="1300"/>
      <c r="H26" s="1299"/>
      <c r="I26" s="1299"/>
      <c r="J26" s="1299"/>
      <c r="K26" s="564"/>
      <c r="L26" s="1298" t="str">
        <f t="shared" si="0"/>
        <v/>
      </c>
      <c r="M26" s="1298"/>
      <c r="N26" s="1298"/>
    </row>
    <row r="27" spans="2:19" ht="14.25" hidden="1">
      <c r="B27" s="1308"/>
      <c r="C27" s="1308"/>
      <c r="D27" s="1308"/>
      <c r="E27" s="1308"/>
      <c r="F27" s="1309"/>
      <c r="G27" s="1309"/>
      <c r="H27" s="1310"/>
      <c r="I27" s="1310"/>
      <c r="J27" s="1310"/>
      <c r="K27" s="565"/>
      <c r="L27" s="1311" t="str">
        <f t="shared" si="0"/>
        <v/>
      </c>
      <c r="M27" s="1311"/>
      <c r="N27" s="1311"/>
    </row>
    <row r="28" spans="2:19" ht="14.25" hidden="1" customHeight="1">
      <c r="B28" s="1301"/>
      <c r="C28" s="1301"/>
      <c r="D28" s="1301"/>
      <c r="E28" s="1301"/>
      <c r="F28" s="1300"/>
      <c r="G28" s="1300"/>
      <c r="H28" s="1299"/>
      <c r="I28" s="1299"/>
      <c r="J28" s="1299"/>
      <c r="K28" s="564"/>
      <c r="L28" s="1298" t="str">
        <f t="shared" si="0"/>
        <v/>
      </c>
      <c r="M28" s="1298"/>
      <c r="N28" s="1298"/>
    </row>
    <row r="29" spans="2:19" ht="14.45" hidden="1" customHeight="1">
      <c r="B29" s="1308"/>
      <c r="C29" s="1308"/>
      <c r="D29" s="1308"/>
      <c r="E29" s="1308"/>
      <c r="F29" s="1309"/>
      <c r="G29" s="1309"/>
      <c r="H29" s="1310"/>
      <c r="I29" s="1310"/>
      <c r="J29" s="1310"/>
      <c r="K29" s="565"/>
      <c r="L29" s="1311" t="str">
        <f t="shared" si="0"/>
        <v/>
      </c>
      <c r="M29" s="1311"/>
      <c r="N29" s="1311"/>
    </row>
    <row r="30" spans="2:19" ht="14.45" hidden="1" customHeight="1">
      <c r="B30" s="1301"/>
      <c r="C30" s="1301"/>
      <c r="D30" s="1301"/>
      <c r="E30" s="1301"/>
      <c r="F30" s="1300"/>
      <c r="G30" s="1300"/>
      <c r="H30" s="1299"/>
      <c r="I30" s="1299"/>
      <c r="J30" s="1299"/>
      <c r="K30" s="564"/>
      <c r="L30" s="1298" t="str">
        <f t="shared" si="0"/>
        <v/>
      </c>
      <c r="M30" s="1298"/>
      <c r="N30" s="1298"/>
    </row>
    <row r="31" spans="2:19" ht="14.25" hidden="1">
      <c r="B31" s="1308"/>
      <c r="C31" s="1308"/>
      <c r="D31" s="1308"/>
      <c r="E31" s="1308"/>
      <c r="F31" s="1309"/>
      <c r="G31" s="1309"/>
      <c r="H31" s="1310"/>
      <c r="I31" s="1310"/>
      <c r="J31" s="1310"/>
      <c r="K31" s="565"/>
      <c r="L31" s="1311" t="str">
        <f t="shared" si="0"/>
        <v/>
      </c>
      <c r="M31" s="1311"/>
      <c r="N31" s="1311"/>
    </row>
    <row r="32" spans="2:19" ht="14.25" hidden="1">
      <c r="B32" s="1301"/>
      <c r="C32" s="1301"/>
      <c r="D32" s="1301"/>
      <c r="E32" s="1301"/>
      <c r="F32" s="1300"/>
      <c r="G32" s="1300"/>
      <c r="H32" s="1299"/>
      <c r="I32" s="1299"/>
      <c r="J32" s="1299"/>
      <c r="K32" s="564"/>
      <c r="L32" s="1298" t="str">
        <f t="shared" si="0"/>
        <v/>
      </c>
      <c r="M32" s="1298"/>
      <c r="N32" s="1298"/>
    </row>
    <row r="33" spans="2:14" ht="14.25" hidden="1">
      <c r="B33" s="1308"/>
      <c r="C33" s="1308"/>
      <c r="D33" s="1308"/>
      <c r="E33" s="1308"/>
      <c r="F33" s="1309"/>
      <c r="G33" s="1309"/>
      <c r="H33" s="1310"/>
      <c r="I33" s="1310"/>
      <c r="J33" s="1310"/>
      <c r="K33" s="565"/>
      <c r="L33" s="1311" t="str">
        <f t="shared" si="0"/>
        <v/>
      </c>
      <c r="M33" s="1311"/>
      <c r="N33" s="1311"/>
    </row>
    <row r="34" spans="2:14" ht="15" hidden="1" thickBot="1">
      <c r="B34" s="1301"/>
      <c r="C34" s="1301"/>
      <c r="D34" s="1301"/>
      <c r="E34" s="1301"/>
      <c r="F34" s="1300"/>
      <c r="G34" s="1300"/>
      <c r="H34" s="1299"/>
      <c r="I34" s="1299"/>
      <c r="J34" s="1299"/>
      <c r="K34" s="564"/>
      <c r="L34" s="1298" t="str">
        <f t="shared" si="0"/>
        <v/>
      </c>
      <c r="M34" s="1298"/>
      <c r="N34" s="1298"/>
    </row>
    <row r="35" spans="2:14" ht="15" hidden="1" thickTop="1">
      <c r="B35" s="1302"/>
      <c r="C35" s="1302"/>
      <c r="D35" s="1302"/>
      <c r="E35" s="1302"/>
      <c r="F35" s="1303"/>
      <c r="G35" s="1303"/>
      <c r="H35" s="1304"/>
      <c r="I35" s="1304"/>
      <c r="J35" s="1304"/>
      <c r="K35" s="331"/>
      <c r="L35" s="1305">
        <f>SUM(L13:N34)</f>
        <v>0</v>
      </c>
      <c r="M35" s="1305"/>
      <c r="N35" s="1305"/>
    </row>
    <row r="36" spans="2:14" ht="14.25" customHeight="1">
      <c r="B36" s="1314" t="s">
        <v>3960</v>
      </c>
      <c r="C36" s="1314"/>
      <c r="D36" s="1314"/>
      <c r="E36" s="1314"/>
      <c r="F36" s="1314"/>
      <c r="G36" s="1314"/>
      <c r="H36" s="1306"/>
      <c r="I36" s="1306"/>
      <c r="J36" s="1306"/>
      <c r="K36" s="566"/>
      <c r="L36" s="1307"/>
      <c r="M36" s="1307"/>
      <c r="N36" s="1307"/>
    </row>
    <row r="37" spans="2:14" ht="18">
      <c r="B37" s="567"/>
    </row>
    <row r="38" spans="2:14" ht="76.5" customHeight="1">
      <c r="B38" s="1295" t="s">
        <v>3405</v>
      </c>
      <c r="C38" s="1169"/>
      <c r="D38" s="1169"/>
      <c r="E38" s="1169"/>
      <c r="F38" s="1169"/>
      <c r="G38" s="1169"/>
      <c r="H38" s="1169"/>
      <c r="I38" s="1169"/>
      <c r="J38" s="1169"/>
      <c r="K38" s="1169"/>
      <c r="L38" s="1169"/>
      <c r="M38" s="1169"/>
      <c r="N38" s="1169"/>
    </row>
    <row r="39" spans="2:14" ht="14.25" customHeight="1">
      <c r="B39" s="154"/>
      <c r="C39" s="154"/>
      <c r="D39" s="154"/>
      <c r="E39" s="154"/>
      <c r="F39" s="154"/>
      <c r="G39" s="154"/>
      <c r="H39" s="154"/>
      <c r="I39" s="154"/>
      <c r="J39" s="154"/>
      <c r="K39" s="154"/>
      <c r="L39" s="154"/>
      <c r="M39" s="154"/>
    </row>
    <row r="40" spans="2:14" ht="14.25" customHeight="1" thickBot="1">
      <c r="B40" s="83" t="s">
        <v>3380</v>
      </c>
    </row>
    <row r="41" spans="2:14" ht="14.25" customHeight="1" thickTop="1">
      <c r="B41" s="1183"/>
      <c r="C41" s="1184"/>
      <c r="D41" s="1184"/>
      <c r="E41" s="1184"/>
      <c r="F41" s="1184"/>
      <c r="G41" s="1184"/>
      <c r="H41" s="1184"/>
      <c r="I41" s="1184"/>
      <c r="J41" s="1184"/>
      <c r="K41" s="1184"/>
      <c r="L41" s="1185"/>
    </row>
    <row r="42" spans="2:14" ht="14.25" customHeight="1">
      <c r="B42" s="1186"/>
      <c r="C42" s="1187"/>
      <c r="D42" s="1187"/>
      <c r="E42" s="1187"/>
      <c r="F42" s="1187"/>
      <c r="G42" s="1187"/>
      <c r="H42" s="1187"/>
      <c r="I42" s="1187"/>
      <c r="J42" s="1187"/>
      <c r="K42" s="1187"/>
      <c r="L42" s="1188"/>
    </row>
    <row r="43" spans="2:14" ht="14.25" customHeight="1">
      <c r="B43" s="1186"/>
      <c r="C43" s="1187"/>
      <c r="D43" s="1187"/>
      <c r="E43" s="1187"/>
      <c r="F43" s="1187"/>
      <c r="G43" s="1187"/>
      <c r="H43" s="1187"/>
      <c r="I43" s="1187"/>
      <c r="J43" s="1187"/>
      <c r="K43" s="1187"/>
      <c r="L43" s="1188"/>
    </row>
    <row r="44" spans="2:14" ht="14.25" customHeight="1">
      <c r="B44" s="1186"/>
      <c r="C44" s="1187"/>
      <c r="D44" s="1187"/>
      <c r="E44" s="1187"/>
      <c r="F44" s="1187"/>
      <c r="G44" s="1187"/>
      <c r="H44" s="1187"/>
      <c r="I44" s="1187"/>
      <c r="J44" s="1187"/>
      <c r="K44" s="1187"/>
      <c r="L44" s="1188"/>
    </row>
    <row r="45" spans="2:14" ht="14.25" customHeight="1">
      <c r="B45" s="1186"/>
      <c r="C45" s="1187"/>
      <c r="D45" s="1187"/>
      <c r="E45" s="1187"/>
      <c r="F45" s="1187"/>
      <c r="G45" s="1187"/>
      <c r="H45" s="1187"/>
      <c r="I45" s="1187"/>
      <c r="J45" s="1187"/>
      <c r="K45" s="1187"/>
      <c r="L45" s="1188"/>
    </row>
    <row r="46" spans="2:14" ht="14.25" customHeight="1">
      <c r="B46" s="1186"/>
      <c r="C46" s="1187"/>
      <c r="D46" s="1187"/>
      <c r="E46" s="1187"/>
      <c r="F46" s="1187"/>
      <c r="G46" s="1187"/>
      <c r="H46" s="1187"/>
      <c r="I46" s="1187"/>
      <c r="J46" s="1187"/>
      <c r="K46" s="1187"/>
      <c r="L46" s="1188"/>
    </row>
    <row r="47" spans="2:14" ht="14.25" customHeight="1" thickBot="1">
      <c r="B47" s="1189"/>
      <c r="C47" s="1190"/>
      <c r="D47" s="1190"/>
      <c r="E47" s="1190"/>
      <c r="F47" s="1190"/>
      <c r="G47" s="1190"/>
      <c r="H47" s="1190"/>
      <c r="I47" s="1190"/>
      <c r="J47" s="1190"/>
      <c r="K47" s="1190"/>
      <c r="L47" s="1191"/>
    </row>
    <row r="48" spans="2:14" ht="14.25" customHeight="1" thickTop="1"/>
    <row r="49" ht="14.25" customHeight="1"/>
    <row r="50" ht="14.25" customHeight="1"/>
    <row r="51" ht="14.25" customHeight="1"/>
    <row r="52" ht="14.25" customHeight="1"/>
    <row r="53" ht="14.25" customHeight="1"/>
    <row r="54" ht="14.25" customHeight="1"/>
    <row r="55" ht="14.25" customHeight="1"/>
  </sheetData>
  <sheetProtection algorithmName="SHA-512" hashValue="LE+XaDWP5+scm627puR4XUH2rfv3co1DkrWSo3xo8qt5+RWyfR/W7Cgz3LOK8F0YC3SToz08UB48YHOHIaW/TA==" saltValue="SdJHBLmCvqYyn2/1qZVM2g==" spinCount="100000" sheet="1" formatColumns="0" formatRows="0"/>
  <mergeCells count="104">
    <mergeCell ref="B36:G36"/>
    <mergeCell ref="B41:L47"/>
    <mergeCell ref="I9:J9"/>
    <mergeCell ref="B18:E18"/>
    <mergeCell ref="F18:G18"/>
    <mergeCell ref="H18:J18"/>
    <mergeCell ref="L18:N18"/>
    <mergeCell ref="B15:E15"/>
    <mergeCell ref="F15:G15"/>
    <mergeCell ref="H15:J15"/>
    <mergeCell ref="B23:E23"/>
    <mergeCell ref="F23:G23"/>
    <mergeCell ref="H23:J23"/>
    <mergeCell ref="L23:N23"/>
    <mergeCell ref="B24:E24"/>
    <mergeCell ref="F24:G24"/>
    <mergeCell ref="H24:J24"/>
    <mergeCell ref="L24:N24"/>
    <mergeCell ref="B21:E21"/>
    <mergeCell ref="F21:G21"/>
    <mergeCell ref="H21:J21"/>
    <mergeCell ref="L21:N21"/>
    <mergeCell ref="B22:E22"/>
    <mergeCell ref="F22:G22"/>
    <mergeCell ref="E1:J2"/>
    <mergeCell ref="B19:E19"/>
    <mergeCell ref="F19:G19"/>
    <mergeCell ref="H19:J19"/>
    <mergeCell ref="L19:N19"/>
    <mergeCell ref="B20:E20"/>
    <mergeCell ref="F20:G20"/>
    <mergeCell ref="H20:J20"/>
    <mergeCell ref="L20:N20"/>
    <mergeCell ref="L15:N15"/>
    <mergeCell ref="B16:E16"/>
    <mergeCell ref="F16:G16"/>
    <mergeCell ref="H16:J16"/>
    <mergeCell ref="L16:N16"/>
    <mergeCell ref="B17:E17"/>
    <mergeCell ref="F17:G17"/>
    <mergeCell ref="H17:J17"/>
    <mergeCell ref="L17:N17"/>
    <mergeCell ref="K9:L9"/>
    <mergeCell ref="F12:G12"/>
    <mergeCell ref="F13:G13"/>
    <mergeCell ref="B13:E13"/>
    <mergeCell ref="L12:N12"/>
    <mergeCell ref="H12:J12"/>
    <mergeCell ref="L22:N22"/>
    <mergeCell ref="B27:E27"/>
    <mergeCell ref="F27:G27"/>
    <mergeCell ref="H27:J27"/>
    <mergeCell ref="L27:N27"/>
    <mergeCell ref="B28:E28"/>
    <mergeCell ref="F28:G28"/>
    <mergeCell ref="H28:J28"/>
    <mergeCell ref="L28:N28"/>
    <mergeCell ref="B25:E25"/>
    <mergeCell ref="F25:G25"/>
    <mergeCell ref="H25:J25"/>
    <mergeCell ref="L25:N25"/>
    <mergeCell ref="B26:E26"/>
    <mergeCell ref="F26:G26"/>
    <mergeCell ref="H26:J26"/>
    <mergeCell ref="L26:N26"/>
    <mergeCell ref="H22:J22"/>
    <mergeCell ref="H31:J31"/>
    <mergeCell ref="L31:N31"/>
    <mergeCell ref="B32:E32"/>
    <mergeCell ref="F32:G32"/>
    <mergeCell ref="H32:J32"/>
    <mergeCell ref="L32:N32"/>
    <mergeCell ref="B29:E29"/>
    <mergeCell ref="F29:G29"/>
    <mergeCell ref="H29:J29"/>
    <mergeCell ref="L29:N29"/>
    <mergeCell ref="B30:E30"/>
    <mergeCell ref="F30:G30"/>
    <mergeCell ref="H30:J30"/>
    <mergeCell ref="L30:N30"/>
    <mergeCell ref="E7:J7"/>
    <mergeCell ref="B38:N38"/>
    <mergeCell ref="H13:J13"/>
    <mergeCell ref="L13:N13"/>
    <mergeCell ref="L14:N14"/>
    <mergeCell ref="H14:J14"/>
    <mergeCell ref="F14:G14"/>
    <mergeCell ref="B14:E14"/>
    <mergeCell ref="B35:E35"/>
    <mergeCell ref="F35:G35"/>
    <mergeCell ref="H35:J35"/>
    <mergeCell ref="L35:N35"/>
    <mergeCell ref="H36:J36"/>
    <mergeCell ref="L36:N36"/>
    <mergeCell ref="B33:E33"/>
    <mergeCell ref="F33:G33"/>
    <mergeCell ref="H33:J33"/>
    <mergeCell ref="L33:N33"/>
    <mergeCell ref="B34:E34"/>
    <mergeCell ref="F34:G34"/>
    <mergeCell ref="H34:J34"/>
    <mergeCell ref="L34:N34"/>
    <mergeCell ref="B31:E31"/>
    <mergeCell ref="F31:G31"/>
  </mergeCells>
  <conditionalFormatting sqref="C10">
    <cfRule type="cellIs" dxfId="43" priority="2" operator="lessThan">
      <formula>0.15</formula>
    </cfRule>
    <cfRule type="cellIs" dxfId="42" priority="3" operator="greaterThan">
      <formula>0.15</formula>
    </cfRule>
  </conditionalFormatting>
  <pageMargins left="0.7" right="0.7" top="0.75" bottom="0.75" header="0.3" footer="0.3"/>
  <pageSetup scale="56" orientation="portrait" horizontalDpi="1200" verticalDpi="1200" r:id="rId1"/>
  <rowBreaks count="1" manualBreakCount="1">
    <brk id="18"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1" id="{94C4E23F-15EB-4208-82C2-6AE4BD47D0B2}">
            <xm:f>'Data-UW'!$D$2=""</xm:f>
            <x14:dxf>
              <font>
                <color theme="0"/>
              </font>
              <fill>
                <patternFill>
                  <bgColor theme="0"/>
                </patternFill>
              </fill>
            </x14:dxf>
          </x14:cfRule>
          <xm:sqref>E7:J7</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0070C0"/>
  </sheetPr>
  <dimension ref="A1:T56"/>
  <sheetViews>
    <sheetView showGridLines="0" zoomScale="178" zoomScaleNormal="178" zoomScaleSheetLayoutView="166" workbookViewId="0">
      <selection activeCell="C19" sqref="C19:K19"/>
    </sheetView>
  </sheetViews>
  <sheetFormatPr defaultColWidth="0" defaultRowHeight="15" zeroHeight="1"/>
  <cols>
    <col min="1" max="1" width="8" style="167" customWidth="1"/>
    <col min="2" max="2" width="8.5" style="167" customWidth="1"/>
    <col min="3" max="8" width="8" style="167" customWidth="1"/>
    <col min="9" max="9" width="9.625" style="167" customWidth="1"/>
    <col min="10" max="11" width="8" style="167" customWidth="1"/>
    <col min="12" max="20" width="8" style="167" hidden="1" customWidth="1"/>
    <col min="21" max="21" width="0" style="167" hidden="1" customWidth="1"/>
    <col min="22" max="16384" width="0" style="167" hidden="1"/>
  </cols>
  <sheetData>
    <row r="1" spans="1:19">
      <c r="A1" s="1316" t="s">
        <v>3451</v>
      </c>
      <c r="B1" s="1316"/>
      <c r="C1" s="1316"/>
      <c r="D1" s="1316"/>
      <c r="E1" s="1316"/>
      <c r="G1" s="1316" t="s">
        <v>3452</v>
      </c>
      <c r="H1" s="1316"/>
      <c r="I1" s="1316"/>
      <c r="J1" s="1316"/>
      <c r="K1" s="1316"/>
    </row>
    <row r="2" spans="1:19">
      <c r="A2" s="1326">
        <f>'Data-UW'!F4</f>
        <v>0</v>
      </c>
      <c r="B2" s="1327"/>
      <c r="C2" s="1327"/>
      <c r="D2" s="1327"/>
      <c r="E2" s="1328"/>
      <c r="G2" s="1321">
        <f>'Data-UW'!F2</f>
        <v>0</v>
      </c>
      <c r="H2" s="1322"/>
      <c r="I2" s="1322"/>
      <c r="J2" s="1322"/>
      <c r="K2" s="1323"/>
      <c r="S2" s="176" t="str">
        <f>CONCATENATE(G2," / ",G4)</f>
        <v>0 / 0</v>
      </c>
    </row>
    <row r="3" spans="1:19">
      <c r="A3" s="1329"/>
      <c r="B3" s="1330"/>
      <c r="C3" s="1330"/>
      <c r="D3" s="1330"/>
      <c r="E3" s="1331"/>
      <c r="G3" s="1335" t="s">
        <v>3453</v>
      </c>
      <c r="H3" s="1335"/>
      <c r="I3" s="1335"/>
      <c r="J3" s="1335"/>
      <c r="K3" s="1335"/>
    </row>
    <row r="4" spans="1:19">
      <c r="A4" s="1332"/>
      <c r="B4" s="1333"/>
      <c r="C4" s="1333"/>
      <c r="D4" s="1333"/>
      <c r="E4" s="1334"/>
      <c r="G4" s="1321">
        <f>'Data-UW'!F3</f>
        <v>0</v>
      </c>
      <c r="H4" s="1322"/>
      <c r="I4" s="1322"/>
      <c r="J4" s="1322"/>
      <c r="K4" s="1323"/>
    </row>
    <row r="5" spans="1:19">
      <c r="A5" s="1335" t="s">
        <v>3454</v>
      </c>
      <c r="B5" s="1335"/>
      <c r="C5" s="1335"/>
      <c r="D5" s="1335"/>
      <c r="E5" s="1335"/>
    </row>
    <row r="6" spans="1:19">
      <c r="A6" s="1326" t="str">
        <f>'Data-UW'!F11&amp;CHAR(10)&amp;'Data-UW'!F12</f>
        <v xml:space="preserve">
</v>
      </c>
      <c r="B6" s="1327"/>
      <c r="C6" s="1327"/>
      <c r="D6" s="1327"/>
      <c r="E6" s="1328"/>
      <c r="G6" s="1316" t="s">
        <v>19</v>
      </c>
      <c r="H6" s="1316"/>
      <c r="I6" s="1316"/>
      <c r="J6" s="1316"/>
      <c r="K6" s="1316"/>
    </row>
    <row r="7" spans="1:19">
      <c r="A7" s="1332"/>
      <c r="B7" s="1333"/>
      <c r="C7" s="1333"/>
      <c r="D7" s="1333"/>
      <c r="E7" s="1334"/>
      <c r="G7" s="1321">
        <f>'Data-UW'!D4</f>
        <v>0</v>
      </c>
      <c r="H7" s="1322"/>
      <c r="I7" s="1322"/>
      <c r="J7" s="1322"/>
      <c r="K7" s="1323"/>
      <c r="M7" s="168" t="s">
        <v>2802</v>
      </c>
      <c r="N7" s="167" t="s">
        <v>3455</v>
      </c>
    </row>
    <row r="8" spans="1:19">
      <c r="A8" s="1316" t="s">
        <v>1802</v>
      </c>
      <c r="B8" s="1316"/>
      <c r="C8" s="1316"/>
      <c r="D8" s="409" t="s">
        <v>1869</v>
      </c>
      <c r="E8" s="409" t="s">
        <v>3456</v>
      </c>
      <c r="M8" s="168" t="s">
        <v>2803</v>
      </c>
      <c r="N8" s="167" t="s">
        <v>3457</v>
      </c>
      <c r="P8" s="167" t="s">
        <v>9</v>
      </c>
    </row>
    <row r="9" spans="1:19">
      <c r="A9" s="1317">
        <f>'Data-UW'!F13</f>
        <v>0</v>
      </c>
      <c r="B9" s="1318"/>
      <c r="C9" s="1318"/>
      <c r="D9" s="175">
        <f>'Data-UW'!I13</f>
        <v>0</v>
      </c>
      <c r="E9" s="433">
        <f>'Data-UW'!K13</f>
        <v>0</v>
      </c>
      <c r="I9" s="174" t="s">
        <v>3458</v>
      </c>
      <c r="M9" s="168" t="s">
        <v>2804</v>
      </c>
      <c r="N9" s="167" t="s">
        <v>3459</v>
      </c>
      <c r="P9" s="167" t="s">
        <v>11</v>
      </c>
    </row>
    <row r="10" spans="1:19">
      <c r="A10" s="170"/>
      <c r="B10" s="170"/>
      <c r="C10" s="170"/>
      <c r="D10" s="410"/>
      <c r="E10" s="171"/>
      <c r="I10" s="173" t="s">
        <v>11</v>
      </c>
      <c r="J10" s="171"/>
      <c r="M10" s="168" t="s">
        <v>2805</v>
      </c>
      <c r="N10" s="167" t="s">
        <v>3460</v>
      </c>
    </row>
    <row r="11" spans="1:19">
      <c r="A11" s="1316" t="s">
        <v>3461</v>
      </c>
      <c r="B11" s="1316"/>
      <c r="C11" s="409" t="s">
        <v>14</v>
      </c>
      <c r="D11" s="1316" t="str">
        <f>IF(A12="","",IF(A12="Yes","Exp. Policy #:",IF(C12="Yes","New Policy #","Quote #:")))</f>
        <v>Quote #:</v>
      </c>
      <c r="E11" s="1316"/>
      <c r="I11" s="172" t="s">
        <v>3462</v>
      </c>
      <c r="J11" s="171"/>
      <c r="M11" s="168" t="s">
        <v>2806</v>
      </c>
      <c r="N11" s="167" t="s">
        <v>3463</v>
      </c>
    </row>
    <row r="12" spans="1:19">
      <c r="A12" s="1324" t="s">
        <v>11</v>
      </c>
      <c r="B12" s="1325"/>
      <c r="C12" s="613" t="s">
        <v>11</v>
      </c>
      <c r="D12" s="1319"/>
      <c r="E12" s="1320"/>
      <c r="G12" s="1356"/>
      <c r="H12" s="1341"/>
      <c r="I12" s="1341"/>
      <c r="J12" s="1341"/>
      <c r="K12" s="1342"/>
      <c r="M12" s="168" t="s">
        <v>2807</v>
      </c>
    </row>
    <row r="13" spans="1:19">
      <c r="A13" s="1349" t="s">
        <v>3464</v>
      </c>
      <c r="B13" s="1349"/>
      <c r="C13" s="1349"/>
      <c r="D13" s="1353" t="s">
        <v>3465</v>
      </c>
      <c r="E13" s="1353"/>
      <c r="G13" s="1343"/>
      <c r="H13" s="1344"/>
      <c r="I13" s="1344"/>
      <c r="J13" s="1344"/>
      <c r="K13" s="1345"/>
      <c r="M13" s="168" t="s">
        <v>855</v>
      </c>
      <c r="N13" s="614" t="s">
        <v>3466</v>
      </c>
    </row>
    <row r="14" spans="1:19">
      <c r="A14" s="1350">
        <f>'Data-UW'!F10</f>
        <v>0</v>
      </c>
      <c r="B14" s="1351"/>
      <c r="C14" s="1352"/>
      <c r="D14" s="1354" t="s">
        <v>9</v>
      </c>
      <c r="E14" s="1355"/>
      <c r="G14" s="1346"/>
      <c r="H14" s="1347"/>
      <c r="I14" s="1347"/>
      <c r="J14" s="1347"/>
      <c r="K14" s="1348"/>
      <c r="M14" s="168" t="s">
        <v>2808</v>
      </c>
      <c r="N14" s="615" t="s">
        <v>3467</v>
      </c>
    </row>
    <row r="15" spans="1:19">
      <c r="A15" s="1360" t="s">
        <v>3468</v>
      </c>
      <c r="B15" s="1360"/>
      <c r="C15" s="1360"/>
      <c r="D15" s="1360"/>
      <c r="E15" s="1360"/>
      <c r="F15" s="1360"/>
      <c r="G15" s="1360"/>
      <c r="H15" s="1360"/>
      <c r="I15" s="1360"/>
      <c r="J15" s="170"/>
      <c r="K15" s="170"/>
      <c r="M15" s="168" t="s">
        <v>2810</v>
      </c>
      <c r="N15" s="614" t="s">
        <v>3469</v>
      </c>
    </row>
    <row r="16" spans="1:19">
      <c r="A16" s="1357"/>
      <c r="B16" s="1358"/>
      <c r="C16" s="1358"/>
      <c r="D16" s="1358"/>
      <c r="E16" s="1358"/>
      <c r="F16" s="1358"/>
      <c r="G16" s="1358"/>
      <c r="H16" s="1358"/>
      <c r="I16" s="1358"/>
      <c r="J16" s="1358"/>
      <c r="K16" s="1359"/>
      <c r="M16" s="168" t="s">
        <v>2811</v>
      </c>
      <c r="N16" s="614" t="s">
        <v>3470</v>
      </c>
    </row>
    <row r="17" spans="1:14" ht="18" customHeight="1">
      <c r="A17" s="1361" t="s">
        <v>3471</v>
      </c>
      <c r="B17" s="1361"/>
      <c r="C17" s="1362"/>
      <c r="D17" s="1363"/>
      <c r="E17" s="1363"/>
      <c r="F17" s="1363"/>
      <c r="G17" s="1363"/>
      <c r="H17" s="1363"/>
      <c r="I17" s="1363"/>
      <c r="J17" s="1363"/>
      <c r="K17" s="1364"/>
      <c r="M17" s="168" t="s">
        <v>2812</v>
      </c>
      <c r="N17" s="615" t="s">
        <v>3472</v>
      </c>
    </row>
    <row r="18" spans="1:14">
      <c r="A18" s="169"/>
      <c r="B18" s="169"/>
      <c r="C18" s="169"/>
      <c r="D18" s="169"/>
      <c r="E18" s="169"/>
      <c r="F18" s="169"/>
      <c r="G18" s="169"/>
      <c r="H18" s="169"/>
      <c r="I18" s="169"/>
      <c r="J18" s="169"/>
      <c r="K18" s="169"/>
      <c r="M18" s="168" t="s">
        <v>2813</v>
      </c>
      <c r="N18" s="615" t="s">
        <v>3473</v>
      </c>
    </row>
    <row r="19" spans="1:14" ht="15" customHeight="1">
      <c r="A19" s="1336" t="s">
        <v>3474</v>
      </c>
      <c r="B19" s="1336"/>
      <c r="C19" s="1337" t="s">
        <v>4544</v>
      </c>
      <c r="D19" s="1338"/>
      <c r="E19" s="1338"/>
      <c r="F19" s="1338"/>
      <c r="G19" s="1338"/>
      <c r="H19" s="1338"/>
      <c r="I19" s="1338"/>
      <c r="J19" s="1338"/>
      <c r="K19" s="1339"/>
      <c r="M19" s="168" t="s">
        <v>2814</v>
      </c>
    </row>
    <row r="20" spans="1:14">
      <c r="A20" s="169"/>
      <c r="B20" s="169"/>
      <c r="C20" s="169"/>
      <c r="D20" s="169"/>
      <c r="E20" s="169"/>
      <c r="F20" s="169"/>
      <c r="G20" s="169"/>
      <c r="H20" s="169"/>
      <c r="I20" s="169"/>
      <c r="J20" s="169"/>
      <c r="K20" s="169"/>
      <c r="M20" s="168" t="s">
        <v>2815</v>
      </c>
    </row>
    <row r="21" spans="1:14">
      <c r="A21" s="1316" t="s">
        <v>3475</v>
      </c>
      <c r="B21" s="1316"/>
      <c r="C21" s="1316"/>
      <c r="D21" s="1316"/>
      <c r="E21" s="1316"/>
      <c r="F21" s="1316"/>
      <c r="G21" s="1316"/>
      <c r="H21" s="1316"/>
      <c r="I21" s="1316"/>
      <c r="J21" s="1316"/>
      <c r="K21" s="1316"/>
      <c r="M21" s="168" t="s">
        <v>2816</v>
      </c>
    </row>
    <row r="22" spans="1:14">
      <c r="A22" s="1340"/>
      <c r="B22" s="1341"/>
      <c r="C22" s="1341"/>
      <c r="D22" s="1341"/>
      <c r="E22" s="1341"/>
      <c r="F22" s="1341"/>
      <c r="G22" s="1341"/>
      <c r="H22" s="1341"/>
      <c r="I22" s="1341"/>
      <c r="J22" s="1341"/>
      <c r="K22" s="1342"/>
      <c r="M22" s="168" t="s">
        <v>2817</v>
      </c>
    </row>
    <row r="23" spans="1:14">
      <c r="A23" s="1343"/>
      <c r="B23" s="1344"/>
      <c r="C23" s="1344"/>
      <c r="D23" s="1344"/>
      <c r="E23" s="1344"/>
      <c r="F23" s="1344"/>
      <c r="G23" s="1344"/>
      <c r="H23" s="1344"/>
      <c r="I23" s="1344"/>
      <c r="J23" s="1344"/>
      <c r="K23" s="1345"/>
      <c r="M23" s="168" t="s">
        <v>1853</v>
      </c>
    </row>
    <row r="24" spans="1:14">
      <c r="A24" s="1343"/>
      <c r="B24" s="1344"/>
      <c r="C24" s="1344"/>
      <c r="D24" s="1344"/>
      <c r="E24" s="1344"/>
      <c r="F24" s="1344"/>
      <c r="G24" s="1344"/>
      <c r="H24" s="1344"/>
      <c r="I24" s="1344"/>
      <c r="J24" s="1344"/>
      <c r="K24" s="1345"/>
      <c r="M24" s="168" t="s">
        <v>2818</v>
      </c>
    </row>
    <row r="25" spans="1:14">
      <c r="A25" s="1343"/>
      <c r="B25" s="1344"/>
      <c r="C25" s="1344"/>
      <c r="D25" s="1344"/>
      <c r="E25" s="1344"/>
      <c r="F25" s="1344"/>
      <c r="G25" s="1344"/>
      <c r="H25" s="1344"/>
      <c r="I25" s="1344"/>
      <c r="J25" s="1344"/>
      <c r="K25" s="1345"/>
      <c r="M25" s="168" t="s">
        <v>2819</v>
      </c>
    </row>
    <row r="26" spans="1:14">
      <c r="A26" s="1343"/>
      <c r="B26" s="1344"/>
      <c r="C26" s="1344"/>
      <c r="D26" s="1344"/>
      <c r="E26" s="1344"/>
      <c r="F26" s="1344"/>
      <c r="G26" s="1344"/>
      <c r="H26" s="1344"/>
      <c r="I26" s="1344"/>
      <c r="J26" s="1344"/>
      <c r="K26" s="1345"/>
      <c r="M26" s="168" t="s">
        <v>2820</v>
      </c>
    </row>
    <row r="27" spans="1:14">
      <c r="A27" s="1346"/>
      <c r="B27" s="1347"/>
      <c r="C27" s="1347"/>
      <c r="D27" s="1347"/>
      <c r="E27" s="1347"/>
      <c r="F27" s="1347"/>
      <c r="G27" s="1347"/>
      <c r="H27" s="1347"/>
      <c r="I27" s="1347"/>
      <c r="J27" s="1347"/>
      <c r="K27" s="1348"/>
      <c r="M27" s="168" t="s">
        <v>2821</v>
      </c>
    </row>
    <row r="28" spans="1:14">
      <c r="M28" s="168" t="s">
        <v>2822</v>
      </c>
    </row>
    <row r="29" spans="1:14">
      <c r="M29" s="168" t="s">
        <v>2823</v>
      </c>
    </row>
    <row r="30" spans="1:14">
      <c r="M30" s="168" t="s">
        <v>2824</v>
      </c>
    </row>
    <row r="31" spans="1:14">
      <c r="M31" s="168" t="s">
        <v>2825</v>
      </c>
    </row>
    <row r="32" spans="1:14">
      <c r="M32" s="168" t="s">
        <v>2826</v>
      </c>
    </row>
    <row r="33" spans="13:13">
      <c r="M33" s="168" t="s">
        <v>2827</v>
      </c>
    </row>
    <row r="34" spans="13:13">
      <c r="M34" s="168" t="s">
        <v>2828</v>
      </c>
    </row>
    <row r="35" spans="13:13">
      <c r="M35" s="168" t="s">
        <v>2829</v>
      </c>
    </row>
    <row r="36" spans="13:13">
      <c r="M36" s="168" t="s">
        <v>1842</v>
      </c>
    </row>
    <row r="37" spans="13:13">
      <c r="M37" s="168" t="s">
        <v>2830</v>
      </c>
    </row>
    <row r="38" spans="13:13">
      <c r="M38" s="168" t="s">
        <v>2831</v>
      </c>
    </row>
    <row r="39" spans="13:13">
      <c r="M39" s="168" t="s">
        <v>2832</v>
      </c>
    </row>
    <row r="40" spans="13:13">
      <c r="M40" s="168" t="s">
        <v>2833</v>
      </c>
    </row>
    <row r="41" spans="13:13">
      <c r="M41" s="168" t="s">
        <v>2834</v>
      </c>
    </row>
    <row r="42" spans="13:13">
      <c r="M42" s="168" t="s">
        <v>2835</v>
      </c>
    </row>
    <row r="43" spans="13:13">
      <c r="M43" s="168" t="s">
        <v>2836</v>
      </c>
    </row>
    <row r="44" spans="13:13">
      <c r="M44" s="168" t="s">
        <v>2837</v>
      </c>
    </row>
    <row r="45" spans="13:13">
      <c r="M45" s="168" t="s">
        <v>2838</v>
      </c>
    </row>
    <row r="46" spans="13:13">
      <c r="M46" s="168" t="s">
        <v>2839</v>
      </c>
    </row>
    <row r="47" spans="13:13">
      <c r="M47" s="168" t="s">
        <v>2840</v>
      </c>
    </row>
    <row r="48" spans="13:13">
      <c r="M48" s="168" t="s">
        <v>2841</v>
      </c>
    </row>
    <row r="49" spans="13:13">
      <c r="M49" s="168" t="s">
        <v>2842</v>
      </c>
    </row>
    <row r="50" spans="13:13">
      <c r="M50" s="168" t="s">
        <v>2843</v>
      </c>
    </row>
    <row r="51" spans="13:13">
      <c r="M51" s="168" t="s">
        <v>2844</v>
      </c>
    </row>
    <row r="52" spans="13:13">
      <c r="M52" s="168" t="s">
        <v>2845</v>
      </c>
    </row>
    <row r="53" spans="13:13">
      <c r="M53" s="168" t="s">
        <v>2846</v>
      </c>
    </row>
    <row r="54" spans="13:13">
      <c r="M54" s="168" t="s">
        <v>1847</v>
      </c>
    </row>
    <row r="55" spans="13:13">
      <c r="M55" s="168" t="s">
        <v>2847</v>
      </c>
    </row>
    <row r="56" spans="13:13">
      <c r="M56" s="168" t="s">
        <v>2848</v>
      </c>
    </row>
  </sheetData>
  <sheetProtection algorithmName="SHA-512" hashValue="PXUzerK8HjSJL6bdAgZxejb93FXF50LjZKyUPqomyxoBoDHo+TFKv/2Sa7aYYsrA1JQBsh/34d1xbFFKk1B04A==" saltValue="NxltBvPbYO2J+OhnNlyqnw==" spinCount="100000" sheet="1" selectLockedCells="1"/>
  <mergeCells count="29">
    <mergeCell ref="A19:B19"/>
    <mergeCell ref="C19:K19"/>
    <mergeCell ref="A22:K27"/>
    <mergeCell ref="A21:K21"/>
    <mergeCell ref="A13:C13"/>
    <mergeCell ref="A14:C14"/>
    <mergeCell ref="D13:E13"/>
    <mergeCell ref="D14:E14"/>
    <mergeCell ref="G12:K14"/>
    <mergeCell ref="A16:K16"/>
    <mergeCell ref="A15:I15"/>
    <mergeCell ref="A17:B17"/>
    <mergeCell ref="C17:K17"/>
    <mergeCell ref="A2:E4"/>
    <mergeCell ref="A1:E1"/>
    <mergeCell ref="A5:E5"/>
    <mergeCell ref="A6:E7"/>
    <mergeCell ref="G1:K1"/>
    <mergeCell ref="G2:K2"/>
    <mergeCell ref="G3:K3"/>
    <mergeCell ref="G4:K4"/>
    <mergeCell ref="G6:K6"/>
    <mergeCell ref="A8:C8"/>
    <mergeCell ref="A9:C9"/>
    <mergeCell ref="D11:E11"/>
    <mergeCell ref="D12:E12"/>
    <mergeCell ref="G7:K7"/>
    <mergeCell ref="A11:B11"/>
    <mergeCell ref="A12:B12"/>
  </mergeCells>
  <dataValidations count="2">
    <dataValidation type="list" allowBlank="1" showInputMessage="1" showErrorMessage="1" sqref="I10 D14:E14 A12 C12" xr:uid="{00000000-0002-0000-1000-000000000000}">
      <formula1>$P$7:$P$9</formula1>
    </dataValidation>
    <dataValidation type="list" allowBlank="1" showInputMessage="1" showErrorMessage="1" sqref="C17:K17" xr:uid="{00000000-0002-0000-1000-000001000000}">
      <formula1>$N$13:$N$18</formula1>
    </dataValidation>
  </dataValidations>
  <pageMargins left="0.7" right="0.7" top="0.75" bottom="0.75" header="0.3" footer="0.3"/>
  <pageSetup scale="66"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tabColor rgb="FF0070C0"/>
  </sheetPr>
  <dimension ref="A1:AG85"/>
  <sheetViews>
    <sheetView showGridLines="0" topLeftCell="B42" zoomScale="130" zoomScaleNormal="130" zoomScaleSheetLayoutView="100" workbookViewId="0">
      <selection activeCell="F8" sqref="F8:G8"/>
    </sheetView>
  </sheetViews>
  <sheetFormatPr defaultColWidth="0" defaultRowHeight="15" zeroHeight="1"/>
  <cols>
    <col min="1" max="3" width="8" style="167" customWidth="1"/>
    <col min="4" max="4" width="10.25" style="167" customWidth="1"/>
    <col min="5" max="5" width="10" style="167" customWidth="1"/>
    <col min="6" max="7" width="8" style="167" customWidth="1"/>
    <col min="8" max="8" width="9.125" style="167" customWidth="1"/>
    <col min="9" max="9" width="10.75" style="167" customWidth="1"/>
    <col min="10" max="10" width="8" style="167" customWidth="1"/>
    <col min="11" max="11" width="7.75" style="167" customWidth="1"/>
    <col min="12" max="13" width="8" style="167" customWidth="1"/>
    <col min="14" max="16" width="8" style="425" customWidth="1"/>
    <col min="17" max="17" width="13" style="425" customWidth="1"/>
    <col min="18" max="18" width="9.875" style="425" bestFit="1" customWidth="1"/>
    <col min="19" max="19" width="10.875" style="425" customWidth="1"/>
    <col min="20" max="33" width="8" style="425" customWidth="1"/>
    <col min="34" max="16384" width="8" style="425" hidden="1"/>
  </cols>
  <sheetData>
    <row r="1" spans="1:19">
      <c r="B1" s="1316" t="s">
        <v>3476</v>
      </c>
      <c r="C1" s="1316"/>
      <c r="D1" s="1316"/>
      <c r="E1" s="1316"/>
      <c r="F1" s="1316"/>
      <c r="G1" s="1316"/>
      <c r="H1" s="1316"/>
      <c r="I1" s="1316"/>
    </row>
    <row r="2" spans="1:19">
      <c r="B2" s="1408"/>
      <c r="C2" s="1409"/>
      <c r="D2" s="1409"/>
      <c r="E2" s="1409"/>
      <c r="F2" s="1409"/>
      <c r="G2" s="1409"/>
      <c r="H2" s="1409"/>
      <c r="I2" s="1409"/>
      <c r="N2" s="426"/>
    </row>
    <row r="3" spans="1:19">
      <c r="B3" s="1410"/>
      <c r="C3" s="1411"/>
      <c r="D3" s="1411"/>
      <c r="E3" s="1411"/>
      <c r="F3" s="1411"/>
      <c r="G3" s="1411"/>
      <c r="H3" s="1411"/>
      <c r="I3" s="1411"/>
      <c r="N3" s="426"/>
    </row>
    <row r="4" spans="1:19" ht="15.75" thickBot="1">
      <c r="B4" s="167" t="s">
        <v>3477</v>
      </c>
      <c r="D4" s="1407" t="str">
        <f>IF(B2&gt;"","","COMPLETE UNDERWRITER THOUGHT PROCESS AND RATING")</f>
        <v>COMPLETE UNDERWRITER THOUGHT PROCESS AND RATING</v>
      </c>
      <c r="E4" s="1407"/>
      <c r="F4" s="1407"/>
      <c r="G4" s="1407"/>
      <c r="H4" s="1407"/>
      <c r="I4" s="1407"/>
      <c r="N4" s="426"/>
      <c r="Q4" s="425" t="s">
        <v>3478</v>
      </c>
    </row>
    <row r="5" spans="1:19" ht="16.5" thickTop="1" thickBot="1">
      <c r="B5" s="1381" t="s">
        <v>3493</v>
      </c>
      <c r="C5" s="1382"/>
      <c r="D5" s="1382"/>
      <c r="E5" s="1382"/>
      <c r="F5" s="1383"/>
      <c r="H5" s="1413"/>
      <c r="I5" s="1413"/>
      <c r="N5" s="426"/>
      <c r="Q5" s="425" t="s">
        <v>3479</v>
      </c>
    </row>
    <row r="6" spans="1:19" ht="15.75" thickTop="1">
      <c r="H6" s="1365" t="s">
        <v>3480</v>
      </c>
      <c r="I6" s="1365"/>
      <c r="Q6" s="425" t="s">
        <v>3481</v>
      </c>
    </row>
    <row r="7" spans="1:19">
      <c r="A7" s="615"/>
      <c r="B7" s="167" t="s">
        <v>3482</v>
      </c>
      <c r="F7" s="1365" t="s">
        <v>3483</v>
      </c>
      <c r="G7" s="1365"/>
      <c r="H7" s="1390">
        <v>3</v>
      </c>
      <c r="I7" s="1391"/>
      <c r="Q7" s="425" t="s">
        <v>3484</v>
      </c>
    </row>
    <row r="8" spans="1:19">
      <c r="B8" s="1384" t="s">
        <v>3485</v>
      </c>
      <c r="C8" s="1385"/>
      <c r="D8" s="1385"/>
      <c r="E8" s="187"/>
      <c r="F8" s="1388" t="s">
        <v>2864</v>
      </c>
      <c r="G8" s="1389"/>
      <c r="H8" s="1392" t="s">
        <v>5</v>
      </c>
      <c r="I8" s="1335"/>
      <c r="Q8" s="425" t="s">
        <v>3486</v>
      </c>
    </row>
    <row r="9" spans="1:19">
      <c r="B9" s="1386" t="s">
        <v>3487</v>
      </c>
      <c r="C9" s="1387"/>
      <c r="D9" s="1387"/>
      <c r="F9" s="1369">
        <v>4000000</v>
      </c>
      <c r="G9" s="1389"/>
      <c r="H9" s="1367">
        <f>'GL_Calculation Sheet'!B22</f>
        <v>27775</v>
      </c>
      <c r="I9" s="1368"/>
      <c r="Q9" s="425" t="s">
        <v>3488</v>
      </c>
    </row>
    <row r="10" spans="1:19">
      <c r="B10" s="197"/>
      <c r="C10" s="167" t="s">
        <v>3489</v>
      </c>
      <c r="F10" s="1388">
        <v>500</v>
      </c>
      <c r="G10" s="1389"/>
      <c r="H10" s="197"/>
      <c r="K10" s="409" t="s">
        <v>3490</v>
      </c>
      <c r="Q10" s="425" t="s">
        <v>3491</v>
      </c>
    </row>
    <row r="11" spans="1:19">
      <c r="B11" s="197" t="s">
        <v>3492</v>
      </c>
      <c r="F11" s="1369">
        <v>50000</v>
      </c>
      <c r="G11" s="1389"/>
      <c r="H11" s="1367" t="str">
        <f>IF(F11="","N/A",IF(K11="Yes","Included",'GL_Calculation Sheet'!I14))</f>
        <v>Included</v>
      </c>
      <c r="I11" s="1368"/>
      <c r="K11" s="198" t="s">
        <v>9</v>
      </c>
      <c r="Q11" s="425" t="s">
        <v>3493</v>
      </c>
    </row>
    <row r="12" spans="1:19">
      <c r="B12" s="197" t="s">
        <v>3494</v>
      </c>
      <c r="F12" s="1369">
        <v>50000</v>
      </c>
      <c r="G12" s="1389"/>
      <c r="H12" s="1367" t="str">
        <f>IF(OR(F12=0,F12=""),"N/A",IF(K12="yes","Included",'GL_Calculation Sheet'!I22))</f>
        <v>Included</v>
      </c>
      <c r="I12" s="1368"/>
      <c r="K12" s="198" t="s">
        <v>9</v>
      </c>
      <c r="Q12" s="425" t="s">
        <v>3495</v>
      </c>
      <c r="S12" s="425" t="s">
        <v>44</v>
      </c>
    </row>
    <row r="13" spans="1:19">
      <c r="B13" s="197" t="s">
        <v>3496</v>
      </c>
      <c r="D13" s="1374" t="str">
        <f>IF(F13="","",IF(F13=F9,"",IF(F13&gt;F9,"Correct Limit to Match Occ.","")))</f>
        <v/>
      </c>
      <c r="E13" s="1375"/>
      <c r="F13" s="1369">
        <v>500000</v>
      </c>
      <c r="G13" s="1389"/>
      <c r="H13" s="1367" t="str">
        <f>IF(F13="","N/A","Included")</f>
        <v>Included</v>
      </c>
      <c r="I13" s="1368"/>
      <c r="Q13" s="432">
        <v>100000</v>
      </c>
      <c r="S13" s="427">
        <v>1000</v>
      </c>
    </row>
    <row r="14" spans="1:19">
      <c r="B14" s="197"/>
      <c r="F14" s="1371"/>
      <c r="G14" s="1371"/>
      <c r="H14" s="197"/>
      <c r="Q14" s="432">
        <v>250000</v>
      </c>
      <c r="S14" s="427">
        <v>3000</v>
      </c>
    </row>
    <row r="15" spans="1:19">
      <c r="B15" s="197" t="s">
        <v>3497</v>
      </c>
      <c r="F15" s="1395"/>
      <c r="G15" s="1396"/>
      <c r="Q15" s="432">
        <v>500000</v>
      </c>
      <c r="R15" s="426" t="s">
        <v>2864</v>
      </c>
      <c r="S15" s="427">
        <v>5000</v>
      </c>
    </row>
    <row r="16" spans="1:19">
      <c r="B16" s="197"/>
      <c r="C16" s="167" t="s">
        <v>3498</v>
      </c>
      <c r="F16" s="1369">
        <v>250000</v>
      </c>
      <c r="G16" s="1370"/>
      <c r="H16" s="1367">
        <f>IF(F17="","N/A",IF(F16="","N/A",'GL_Calculation Sheet'!V24))</f>
        <v>2125</v>
      </c>
      <c r="I16" s="1368"/>
      <c r="Q16" s="432">
        <v>1000000</v>
      </c>
      <c r="R16" s="432">
        <v>1000000</v>
      </c>
      <c r="S16" s="427">
        <v>10000</v>
      </c>
    </row>
    <row r="17" spans="2:19">
      <c r="B17" s="197"/>
      <c r="C17" s="167" t="s">
        <v>3499</v>
      </c>
      <c r="F17" s="1369">
        <v>1000000</v>
      </c>
      <c r="G17" s="1370"/>
      <c r="Q17" s="432">
        <v>2000000</v>
      </c>
      <c r="R17" s="432">
        <v>2000000</v>
      </c>
      <c r="S17" s="427">
        <v>25000</v>
      </c>
    </row>
    <row r="18" spans="2:19">
      <c r="B18" s="197"/>
      <c r="C18" s="167" t="s">
        <v>3000</v>
      </c>
      <c r="F18" s="1369">
        <v>250000</v>
      </c>
      <c r="G18" s="1370"/>
      <c r="Q18" s="432">
        <v>3000000</v>
      </c>
      <c r="R18" s="432">
        <v>3000000</v>
      </c>
      <c r="S18" s="427">
        <v>50000</v>
      </c>
    </row>
    <row r="19" spans="2:19">
      <c r="B19" s="197"/>
      <c r="F19" s="1371"/>
      <c r="G19" s="1371"/>
      <c r="H19" s="197"/>
      <c r="Q19" s="432">
        <v>4000000</v>
      </c>
      <c r="R19" s="432">
        <v>4000000</v>
      </c>
    </row>
    <row r="20" spans="2:19">
      <c r="B20" s="197" t="s">
        <v>3500</v>
      </c>
      <c r="F20" s="1372"/>
      <c r="G20" s="1373"/>
      <c r="Q20" s="432">
        <v>5000000</v>
      </c>
      <c r="R20" s="432">
        <v>5000000</v>
      </c>
      <c r="S20" s="425" t="s">
        <v>3501</v>
      </c>
    </row>
    <row r="21" spans="2:19">
      <c r="B21" s="197"/>
      <c r="C21" s="167" t="s">
        <v>3502</v>
      </c>
      <c r="F21" s="1369">
        <v>200000</v>
      </c>
      <c r="G21" s="1370"/>
      <c r="H21" s="1367" t="str">
        <f>IF(F21&gt;F22,"N/A",IF(F22="","N/A",IF(F21="","N/A",'GL_Calculation Sheet'!M12)))</f>
        <v>N/A</v>
      </c>
      <c r="I21" s="1368"/>
      <c r="Q21" s="432">
        <v>10000000</v>
      </c>
      <c r="R21" s="432">
        <v>10000000</v>
      </c>
      <c r="S21" s="427">
        <v>50000</v>
      </c>
    </row>
    <row r="22" spans="2:19">
      <c r="B22" s="197"/>
      <c r="C22" s="167" t="s">
        <v>3503</v>
      </c>
      <c r="F22" s="1369">
        <v>100000</v>
      </c>
      <c r="G22" s="1370"/>
      <c r="Q22" s="432">
        <v>15000000</v>
      </c>
      <c r="R22" s="429"/>
      <c r="S22" s="427">
        <v>75000</v>
      </c>
    </row>
    <row r="23" spans="2:19">
      <c r="B23" s="197"/>
      <c r="C23" s="167" t="s">
        <v>3504</v>
      </c>
      <c r="F23" s="1369"/>
      <c r="G23" s="1370"/>
      <c r="Q23" s="432">
        <v>20000000</v>
      </c>
      <c r="R23" s="429"/>
      <c r="S23" s="427">
        <v>100000</v>
      </c>
    </row>
    <row r="24" spans="2:19">
      <c r="B24" s="196"/>
      <c r="C24" s="186" t="s">
        <v>3505</v>
      </c>
      <c r="D24" s="186"/>
      <c r="E24" s="186"/>
      <c r="F24" s="1369"/>
      <c r="G24" s="1370"/>
      <c r="H24" s="1365" t="s">
        <v>3506</v>
      </c>
      <c r="I24" s="1365"/>
      <c r="O24" s="425" t="s">
        <v>3507</v>
      </c>
      <c r="Q24" s="432">
        <v>25000000</v>
      </c>
      <c r="R24" s="429"/>
      <c r="S24" s="427">
        <v>150000</v>
      </c>
    </row>
    <row r="25" spans="2:19">
      <c r="H25" s="1398">
        <f>SUM(H9,H11,H12,H13,H16,H21)</f>
        <v>29900</v>
      </c>
      <c r="I25" s="1399"/>
      <c r="N25" s="425">
        <v>1</v>
      </c>
      <c r="O25" s="425" t="s">
        <v>3508</v>
      </c>
      <c r="Q25" s="432">
        <v>50000000</v>
      </c>
      <c r="R25" s="429"/>
      <c r="S25" s="427">
        <v>200000</v>
      </c>
    </row>
    <row r="26" spans="2:19">
      <c r="B26" s="1378" t="s">
        <v>3509</v>
      </c>
      <c r="C26" s="1378"/>
      <c r="D26" s="575" t="s">
        <v>9</v>
      </c>
      <c r="E26" s="1379" t="str">
        <f>IF(D26="Yes","Manager approval required and documented in file.","")</f>
        <v>Manager approval required and documented in file.</v>
      </c>
      <c r="F26" s="1379"/>
      <c r="G26" s="1379"/>
      <c r="H26" s="1379"/>
      <c r="I26" s="1379"/>
      <c r="N26" s="425">
        <v>1</v>
      </c>
      <c r="O26" s="425" t="s">
        <v>3510</v>
      </c>
      <c r="Q26" s="432">
        <v>75000000</v>
      </c>
      <c r="R26" s="429"/>
      <c r="S26" s="427">
        <v>250000</v>
      </c>
    </row>
    <row r="27" spans="2:19">
      <c r="B27" s="195" t="s">
        <v>3511</v>
      </c>
      <c r="C27" s="195"/>
      <c r="D27" s="195"/>
      <c r="E27" s="186"/>
      <c r="H27" s="194"/>
      <c r="I27" s="194"/>
      <c r="N27" s="425">
        <v>1</v>
      </c>
      <c r="O27" s="428" t="s">
        <v>3512</v>
      </c>
      <c r="Q27" s="432">
        <v>100000000</v>
      </c>
      <c r="R27" s="429"/>
      <c r="S27" s="427">
        <v>300000</v>
      </c>
    </row>
    <row r="28" spans="2:19">
      <c r="B28" s="1377" t="s">
        <v>3508</v>
      </c>
      <c r="C28" s="1377"/>
      <c r="D28" s="1377" t="s">
        <v>3510</v>
      </c>
      <c r="E28" s="1377"/>
      <c r="F28" s="1377"/>
      <c r="G28" s="1377"/>
      <c r="H28" s="1380"/>
      <c r="I28" s="1380"/>
      <c r="N28" s="425">
        <v>1</v>
      </c>
      <c r="O28" s="425" t="s">
        <v>3513</v>
      </c>
      <c r="Q28" s="432">
        <v>150000000</v>
      </c>
      <c r="R28" s="429"/>
      <c r="S28" s="427">
        <v>400000</v>
      </c>
    </row>
    <row r="29" spans="2:19">
      <c r="B29" s="1377"/>
      <c r="C29" s="1377"/>
      <c r="D29" s="1377"/>
      <c r="E29" s="1377"/>
      <c r="F29" s="1377"/>
      <c r="G29" s="1377"/>
      <c r="H29" s="1380"/>
      <c r="I29" s="1380"/>
      <c r="N29" s="425">
        <v>1</v>
      </c>
      <c r="O29" s="428" t="s">
        <v>3514</v>
      </c>
      <c r="Q29" s="432">
        <v>200000000</v>
      </c>
      <c r="R29" s="429"/>
      <c r="S29" s="427">
        <v>500000</v>
      </c>
    </row>
    <row r="30" spans="2:19">
      <c r="B30" s="1377"/>
      <c r="C30" s="1377"/>
      <c r="D30" s="1377"/>
      <c r="E30" s="1377"/>
      <c r="F30" s="1377"/>
      <c r="G30" s="1377"/>
      <c r="H30" s="1380"/>
      <c r="I30" s="1380"/>
      <c r="N30" s="425">
        <v>1</v>
      </c>
      <c r="O30" s="428" t="s">
        <v>3515</v>
      </c>
      <c r="Q30" s="432">
        <v>250000000</v>
      </c>
      <c r="R30" s="429"/>
      <c r="S30" s="427">
        <v>750000</v>
      </c>
    </row>
    <row r="31" spans="2:19">
      <c r="B31" s="1377"/>
      <c r="C31" s="1377"/>
      <c r="D31" s="1377"/>
      <c r="E31" s="1412"/>
      <c r="F31" s="1412"/>
      <c r="G31" s="1412"/>
      <c r="H31" s="1412"/>
      <c r="I31" s="1412"/>
      <c r="N31" s="425">
        <v>1</v>
      </c>
      <c r="O31" s="428" t="s">
        <v>3516</v>
      </c>
      <c r="Q31" s="432">
        <v>300000000</v>
      </c>
      <c r="R31" s="429"/>
      <c r="S31" s="427">
        <v>1000000</v>
      </c>
    </row>
    <row r="32" spans="2:19">
      <c r="B32" s="1412"/>
      <c r="C32" s="1412"/>
      <c r="D32" s="1412"/>
      <c r="E32" s="1412"/>
      <c r="F32" s="1412"/>
      <c r="G32" s="1412"/>
      <c r="H32" s="1412"/>
      <c r="I32" s="194"/>
      <c r="M32" s="425"/>
      <c r="N32" s="425">
        <v>1</v>
      </c>
      <c r="O32" s="428" t="s">
        <v>3517</v>
      </c>
      <c r="R32" s="429"/>
      <c r="S32" s="427">
        <v>1500000</v>
      </c>
    </row>
    <row r="33" spans="1:19">
      <c r="A33" s="609" t="str">
        <f>IF(AND(D26="no",M34&gt;0),"PRODUCT SELECTION ABOVE IS REQUIRED","")</f>
        <v/>
      </c>
      <c r="B33" s="1365" t="str">
        <f>IF(AND(D26="no",M34&gt;0),"PRODUCT SELECTION ABOVE IS REQUIRED","")</f>
        <v/>
      </c>
      <c r="C33" s="1365"/>
      <c r="D33" s="1365"/>
      <c r="E33" s="1365"/>
      <c r="F33" s="1365"/>
      <c r="G33" s="1365"/>
      <c r="H33" s="1365"/>
      <c r="I33" s="1365"/>
      <c r="J33" s="1365"/>
      <c r="K33" s="1366" t="str">
        <f>IF(AND(D26="no",M34&gt;0),"PRODUCT SELECTION ABOVE IS REQUIRED","")</f>
        <v/>
      </c>
      <c r="M33" s="425"/>
      <c r="N33" s="425">
        <v>1</v>
      </c>
      <c r="O33" s="428" t="s">
        <v>3518</v>
      </c>
      <c r="Q33" s="430" t="s">
        <v>3519</v>
      </c>
      <c r="R33" s="429"/>
      <c r="S33" s="427">
        <v>2000000</v>
      </c>
    </row>
    <row r="34" spans="1:19" ht="19.5" thickBot="1">
      <c r="A34" s="609"/>
      <c r="B34" s="1397" t="s">
        <v>3520</v>
      </c>
      <c r="C34" s="1397"/>
      <c r="D34" s="1397"/>
      <c r="E34" s="1397"/>
      <c r="F34" s="1397"/>
      <c r="G34" s="1397"/>
      <c r="H34" s="1397"/>
      <c r="I34" s="1397"/>
      <c r="J34" s="1397"/>
      <c r="K34" s="1366"/>
      <c r="M34" s="427">
        <f>SUM(E36:E38,J36:J38,E42:E45,J42:J45,E49:E52,J48,J51:J52,E56:E59,J55,J58,E61,J61,J63,E64,E67:E72)</f>
        <v>400000</v>
      </c>
      <c r="N34" s="425">
        <v>1</v>
      </c>
      <c r="O34" s="428" t="s">
        <v>3521</v>
      </c>
      <c r="Q34" s="430" t="s">
        <v>3522</v>
      </c>
      <c r="R34" s="429"/>
      <c r="S34" s="427">
        <v>2500000</v>
      </c>
    </row>
    <row r="35" spans="1:19" ht="15.75" thickTop="1">
      <c r="A35" s="609"/>
      <c r="B35" s="1402" t="s">
        <v>3508</v>
      </c>
      <c r="C35" s="1403"/>
      <c r="D35" s="193"/>
      <c r="E35" s="411" t="s">
        <v>3519</v>
      </c>
      <c r="F35" s="193"/>
      <c r="G35" s="1402" t="s">
        <v>3523</v>
      </c>
      <c r="H35" s="1403"/>
      <c r="I35" s="1403"/>
      <c r="J35" s="192" t="s">
        <v>3519</v>
      </c>
      <c r="K35" s="1366"/>
      <c r="M35" s="425"/>
      <c r="N35" s="427">
        <f>SUM(E36,E37,E38,J36,J37,J38,J42,J43,J44,J45,E42,E43,E44,E45,E49,E50,E51,E52,J48,J51,J52,J55,E56,E57,E58,E59,J58,J61,J63,E61,E64,E67,E68,E69,E70,E71,E72,)</f>
        <v>400000</v>
      </c>
      <c r="O35" s="428" t="s">
        <v>3524</v>
      </c>
      <c r="R35" s="429"/>
      <c r="S35" s="427">
        <v>3000000</v>
      </c>
    </row>
    <row r="36" spans="1:19">
      <c r="A36" s="609"/>
      <c r="B36" s="184"/>
      <c r="C36" s="1379" t="s">
        <v>3525</v>
      </c>
      <c r="D36" s="1379"/>
      <c r="E36" s="183">
        <v>400000</v>
      </c>
      <c r="G36" s="184"/>
      <c r="I36" s="167" t="s">
        <v>3526</v>
      </c>
      <c r="J36" s="185">
        <v>0</v>
      </c>
      <c r="K36" s="1366"/>
      <c r="N36" s="425">
        <v>1</v>
      </c>
      <c r="O36" s="428" t="s">
        <v>3527</v>
      </c>
      <c r="Q36" s="427">
        <v>100000</v>
      </c>
      <c r="R36" s="429"/>
      <c r="S36" s="427">
        <v>5000000</v>
      </c>
    </row>
    <row r="37" spans="1:19">
      <c r="A37" s="609"/>
      <c r="B37" s="184"/>
      <c r="C37" s="1379" t="s">
        <v>3528</v>
      </c>
      <c r="D37" s="1379"/>
      <c r="E37" s="183">
        <v>0</v>
      </c>
      <c r="G37" s="184"/>
      <c r="I37" s="167" t="s">
        <v>3529</v>
      </c>
      <c r="J37" s="185">
        <v>0</v>
      </c>
      <c r="K37" s="1366"/>
      <c r="N37" s="425">
        <v>1</v>
      </c>
      <c r="O37" s="428" t="s">
        <v>3530</v>
      </c>
      <c r="Q37" s="427">
        <v>250000</v>
      </c>
      <c r="R37" s="429"/>
      <c r="S37" s="427">
        <v>10000000</v>
      </c>
    </row>
    <row r="38" spans="1:19">
      <c r="A38" s="609"/>
      <c r="B38" s="184"/>
      <c r="C38" s="1379" t="s">
        <v>3531</v>
      </c>
      <c r="D38" s="1379"/>
      <c r="E38" s="183">
        <v>0</v>
      </c>
      <c r="G38" s="184"/>
      <c r="I38" s="167" t="s">
        <v>3532</v>
      </c>
      <c r="J38" s="185">
        <v>0</v>
      </c>
      <c r="K38" s="1366"/>
      <c r="N38" s="425">
        <v>1</v>
      </c>
      <c r="O38" s="428" t="s">
        <v>3533</v>
      </c>
      <c r="Q38" s="427">
        <v>500000</v>
      </c>
      <c r="R38" s="429"/>
      <c r="S38" s="427">
        <v>15000000</v>
      </c>
    </row>
    <row r="39" spans="1:19">
      <c r="A39" s="609"/>
      <c r="B39" s="184"/>
      <c r="G39" s="184"/>
      <c r="J39" s="182"/>
      <c r="K39" s="1366"/>
      <c r="N39" s="425">
        <v>1</v>
      </c>
      <c r="O39" s="428" t="s">
        <v>3534</v>
      </c>
      <c r="Q39" s="427">
        <v>1000000</v>
      </c>
      <c r="R39" s="429"/>
      <c r="S39" s="427">
        <v>20000000</v>
      </c>
    </row>
    <row r="40" spans="1:19">
      <c r="A40" s="609"/>
      <c r="B40" s="1404" t="s">
        <v>3535</v>
      </c>
      <c r="C40" s="1365"/>
      <c r="F40" s="410" t="s">
        <v>3536</v>
      </c>
      <c r="G40" s="1394" t="s">
        <v>3537</v>
      </c>
      <c r="H40" s="1379"/>
      <c r="I40" s="1379"/>
      <c r="J40" s="1406"/>
      <c r="K40" s="1366"/>
      <c r="O40" s="428" t="s">
        <v>3538</v>
      </c>
      <c r="R40" s="429"/>
      <c r="S40" s="427">
        <v>25000000</v>
      </c>
    </row>
    <row r="41" spans="1:19">
      <c r="A41" s="609"/>
      <c r="B41" s="184"/>
      <c r="C41" s="1379" t="s">
        <v>3539</v>
      </c>
      <c r="D41" s="1379"/>
      <c r="E41" s="191"/>
      <c r="F41" s="191"/>
      <c r="G41" s="184"/>
      <c r="J41" s="182" t="s">
        <v>3519</v>
      </c>
      <c r="K41" s="1366"/>
      <c r="R41" s="429"/>
      <c r="S41" s="427">
        <v>50000000</v>
      </c>
    </row>
    <row r="42" spans="1:19">
      <c r="A42" s="609"/>
      <c r="B42" s="184"/>
      <c r="C42" s="1379" t="s">
        <v>2914</v>
      </c>
      <c r="D42" s="1379"/>
      <c r="E42" s="183">
        <v>0</v>
      </c>
      <c r="F42" s="183" t="s">
        <v>3522</v>
      </c>
      <c r="G42" s="184"/>
      <c r="I42" s="167" t="s">
        <v>2914</v>
      </c>
      <c r="J42" s="185">
        <v>0</v>
      </c>
      <c r="K42" s="1366"/>
    </row>
    <row r="43" spans="1:19">
      <c r="A43" s="609"/>
      <c r="B43" s="184"/>
      <c r="C43" s="1379" t="s">
        <v>3540</v>
      </c>
      <c r="D43" s="1379"/>
      <c r="E43" s="183">
        <v>0</v>
      </c>
      <c r="F43" s="183" t="s">
        <v>3519</v>
      </c>
      <c r="G43" s="184"/>
      <c r="I43" s="167" t="s">
        <v>3540</v>
      </c>
      <c r="J43" s="185">
        <v>0</v>
      </c>
      <c r="K43" s="1366"/>
      <c r="Q43" s="427">
        <v>50000</v>
      </c>
    </row>
    <row r="44" spans="1:19">
      <c r="A44" s="609"/>
      <c r="B44" s="184"/>
      <c r="C44" s="1379" t="s">
        <v>3541</v>
      </c>
      <c r="D44" s="1379"/>
      <c r="E44" s="183">
        <v>0</v>
      </c>
      <c r="F44" s="183" t="s">
        <v>3519</v>
      </c>
      <c r="G44" s="184"/>
      <c r="I44" s="167" t="s">
        <v>2856</v>
      </c>
      <c r="J44" s="185">
        <v>0</v>
      </c>
      <c r="K44" s="1366"/>
      <c r="Q44" s="427">
        <v>100000</v>
      </c>
    </row>
    <row r="45" spans="1:19">
      <c r="A45" s="609"/>
      <c r="B45" s="184"/>
      <c r="C45" s="1379" t="s">
        <v>3542</v>
      </c>
      <c r="D45" s="1379"/>
      <c r="E45" s="183">
        <v>0</v>
      </c>
      <c r="F45" s="190" t="s">
        <v>3519</v>
      </c>
      <c r="G45" s="184"/>
      <c r="I45" s="167" t="s">
        <v>3543</v>
      </c>
      <c r="J45" s="185">
        <v>0</v>
      </c>
      <c r="K45" s="1366"/>
      <c r="Q45" s="427">
        <v>150000</v>
      </c>
    </row>
    <row r="46" spans="1:19">
      <c r="A46" s="609"/>
      <c r="B46" s="184"/>
      <c r="E46" s="189"/>
      <c r="G46" s="184"/>
      <c r="J46" s="182"/>
      <c r="K46" s="1366"/>
      <c r="Q46" s="427">
        <v>200000</v>
      </c>
    </row>
    <row r="47" spans="1:19">
      <c r="A47" s="609"/>
      <c r="B47" s="1400" t="s">
        <v>3544</v>
      </c>
      <c r="C47" s="1401"/>
      <c r="D47" s="1401"/>
      <c r="E47" s="1401"/>
      <c r="F47" s="1401"/>
      <c r="G47" s="184" t="s">
        <v>3545</v>
      </c>
      <c r="J47" s="182" t="s">
        <v>3546</v>
      </c>
      <c r="K47" s="1366"/>
      <c r="Q47" s="427">
        <v>250000</v>
      </c>
    </row>
    <row r="48" spans="1:19">
      <c r="A48" s="609"/>
      <c r="B48" s="184"/>
      <c r="E48" s="167" t="s">
        <v>3519</v>
      </c>
      <c r="G48" s="184"/>
      <c r="H48" s="1405" t="s">
        <v>3547</v>
      </c>
      <c r="I48" s="1405"/>
      <c r="J48" s="185">
        <v>0</v>
      </c>
      <c r="K48" s="1366"/>
    </row>
    <row r="49" spans="1:18">
      <c r="A49" s="609"/>
      <c r="B49" s="184"/>
      <c r="C49" s="167" t="s">
        <v>2914</v>
      </c>
      <c r="E49" s="183">
        <v>0</v>
      </c>
      <c r="G49" s="184"/>
      <c r="J49" s="182"/>
      <c r="K49" s="1366"/>
    </row>
    <row r="50" spans="1:18">
      <c r="A50" s="609"/>
      <c r="B50" s="184"/>
      <c r="C50" s="167" t="s">
        <v>3540</v>
      </c>
      <c r="E50" s="183">
        <v>0</v>
      </c>
      <c r="G50" s="184" t="s">
        <v>3548</v>
      </c>
      <c r="J50" s="182" t="s">
        <v>3546</v>
      </c>
      <c r="K50" s="1366"/>
      <c r="R50" s="425" t="str">
        <f>IF(AND(Q51&gt;"",OR(Q52&gt;"",Q53&gt;"",Q54&gt;"",Q55&gt;"",Q56&gt;"",Q57&gt;"",Q58&gt;"",Q59&gt;"",Q60&gt;"",Q61&gt;"",Q62&gt;"",Q63&gt;"",Q64&gt;"",Q65&gt;"")),"**  ","")</f>
        <v/>
      </c>
    </row>
    <row r="51" spans="1:18">
      <c r="A51" s="609"/>
      <c r="B51" s="184"/>
      <c r="C51" s="167" t="s">
        <v>3532</v>
      </c>
      <c r="E51" s="183">
        <v>0</v>
      </c>
      <c r="G51" s="184"/>
      <c r="H51" s="1374" t="s">
        <v>3549</v>
      </c>
      <c r="I51" s="1375"/>
      <c r="J51" s="185">
        <v>0</v>
      </c>
      <c r="K51" s="1366"/>
      <c r="Q51" s="425" t="str">
        <f>IF(OR(E36&gt;0,E37&gt;0,E38&gt;0),CONCATENATE(B35," - ",C36,": ",E36,", ",C37,": ",E37,", ",C38,": ",E38),"")</f>
        <v>Sale of Aircraft - Used Piston A/C &amp; RW: 400000, New Piston A/C: 0, Turbine Fixed Wing: 0</v>
      </c>
      <c r="R51" s="425" t="str">
        <f>IF(AND(Q52&gt;"",OR(Q53&gt;"",Q54&gt;"",Q55&gt;"",Q56&gt;"",Q57&gt;"",Q58&gt;"",Q59&gt;"",Q60&gt;"",Q61&gt;"",Q62&gt;"",Q63&gt;"",Q64&gt;"",Q65&gt;"")),"**  ","")</f>
        <v/>
      </c>
    </row>
    <row r="52" spans="1:18">
      <c r="A52" s="609"/>
      <c r="B52" s="184"/>
      <c r="C52" s="167" t="s">
        <v>3550</v>
      </c>
      <c r="E52" s="183">
        <v>0</v>
      </c>
      <c r="G52" s="184"/>
      <c r="H52" s="1374" t="s">
        <v>3551</v>
      </c>
      <c r="I52" s="1375"/>
      <c r="J52" s="185">
        <v>0</v>
      </c>
      <c r="K52" s="1366"/>
      <c r="Q52" s="425" t="str">
        <f>IF(OR(J36&gt;0,J37&gt;0,J38&gt;0),CONCATENATE(G35," - ",I36,": ",J36,", ",I37,": ",J37,", ",I38,": ",J38),"")</f>
        <v/>
      </c>
      <c r="R52" s="425" t="str">
        <f>IF(AND(Q53&gt;"",OR(Q54&gt;"",Q55&gt;"",Q56&gt;"",Q57&gt;"",Q58&gt;"",Q59&gt;"",Q60&gt;"",Q61&gt;"",Q62&gt;"",Q63&gt;"",Q64&gt;"",Q65&gt;"")),"**  ","")</f>
        <v/>
      </c>
    </row>
    <row r="53" spans="1:18">
      <c r="A53" s="609"/>
      <c r="B53" s="184"/>
      <c r="G53" s="184"/>
      <c r="J53" s="182"/>
      <c r="K53" s="1366"/>
      <c r="Q53" s="425" t="str">
        <f>IF(OR(E42&gt;0,E43&gt;0,E44&gt;0,E45&gt;0),CONCATENATE(B40," - ",C42,": ",E42," (",F42,")",", ",C43,": ",E43,"(",F43,") ",", ",C44,": ",E44," (",F44,") ",", ",C45,": ",E45," (",F45,") "),"")</f>
        <v/>
      </c>
      <c r="R53" s="425" t="str">
        <f>IF(AND(Q54&gt;"",OR(Q55&gt;"",Q56&gt;"",Q57&gt;"",Q58&gt;"",Q59&gt;"",Q60&gt;"",Q61&gt;"",Q62&gt;"",Q63&gt;"",Q64&gt;"",Q65&gt;"")),"**  ","")</f>
        <v/>
      </c>
    </row>
    <row r="54" spans="1:18">
      <c r="A54" s="609"/>
      <c r="B54" s="1400" t="s">
        <v>3552</v>
      </c>
      <c r="C54" s="1401"/>
      <c r="D54" s="1401"/>
      <c r="E54" s="1401"/>
      <c r="F54" s="1401"/>
      <c r="G54" s="184" t="s">
        <v>3553</v>
      </c>
      <c r="J54" s="182" t="s">
        <v>3546</v>
      </c>
      <c r="K54" s="1366"/>
      <c r="Q54" s="425" t="str">
        <f>IF(OR(J42&gt;0,J43&gt;0,J44&gt;0,J45&gt;0),CONCATENATE(G40," - ",I42,": ",J42,", ",I43,": ",J43,", ",I44,": ",J44,", ",I45,": ",J45),"")</f>
        <v/>
      </c>
      <c r="R54" s="425" t="str">
        <f>IF(AND(Q55&gt;"",OR(Q56&gt;"",Q57&gt;"",Q58&gt;"",Q59&gt;"",Q60&gt;"",Q61&gt;"",Q62&gt;"",Q63&gt;"",Q64&gt;"",Q65&gt;"")),"**  ","")</f>
        <v/>
      </c>
    </row>
    <row r="55" spans="1:18">
      <c r="A55" s="609"/>
      <c r="B55" s="184"/>
      <c r="D55" s="188"/>
      <c r="E55" s="167" t="s">
        <v>3519</v>
      </c>
      <c r="G55" s="184"/>
      <c r="J55" s="185">
        <v>0</v>
      </c>
      <c r="K55" s="1366"/>
      <c r="Q55" s="425" t="str">
        <f>IF(OR(E49&gt;0,E50&gt;0,E51&gt;0,E52&gt;0),CONCATENATE(B47," - ",C49,": ",E49,", ",C50,": ",E50,", ",C51,": ",E51,", ",C52,": ",E52),"")</f>
        <v/>
      </c>
      <c r="R55" s="425" t="str">
        <f>IF(AND(Q56&gt;"",OR(Q57&gt;"",Q58&gt;"",Q59&gt;"",Q60&gt;"",Q61&gt;"",Q62&gt;"",Q63&gt;"",Q64&gt;"",Q65&gt;"")),"**  ","")</f>
        <v/>
      </c>
    </row>
    <row r="56" spans="1:18">
      <c r="A56" s="609"/>
      <c r="B56" s="184"/>
      <c r="C56" s="167" t="s">
        <v>2914</v>
      </c>
      <c r="D56" s="188"/>
      <c r="E56" s="183">
        <v>0</v>
      </c>
      <c r="G56" s="184"/>
      <c r="J56" s="182"/>
      <c r="K56" s="1366"/>
      <c r="Q56" s="425" t="str">
        <f>IF(OR(E56&gt;0,E57&gt;0,E58&gt;0,E59&gt;0),CONCATENATE(B54," - ",C56,": ",E56,", ",C57,": ",E57,", ",C58,": ",E58,", ",C59,": ",E59),"")</f>
        <v/>
      </c>
      <c r="R56" s="425" t="str">
        <f>IF(AND(Q57&gt;"",OR(Q58&gt;"",Q59&gt;"",Q60&gt;"",Q61&gt;"",Q62&gt;"",Q63&gt;"",Q64&gt;"",Q65&gt;"")),"**  ","")</f>
        <v/>
      </c>
    </row>
    <row r="57" spans="1:18">
      <c r="A57" s="609"/>
      <c r="B57" s="184"/>
      <c r="C57" s="167" t="s">
        <v>3540</v>
      </c>
      <c r="D57" s="188"/>
      <c r="E57" s="183">
        <v>0</v>
      </c>
      <c r="G57" s="184" t="s">
        <v>3554</v>
      </c>
      <c r="J57" s="182" t="s">
        <v>3546</v>
      </c>
      <c r="K57" s="1366"/>
      <c r="Q57" s="425" t="str">
        <f>IF(OR(J51&gt;0,J52&gt;0),CONCATENATE(G50," - ",H51,": ",J51,", ",H52,": ",J52),"")</f>
        <v/>
      </c>
      <c r="R57" s="425" t="str">
        <f>IF(AND(Q58&gt;"",OR(Q59&gt;"",Q60&gt;"",Q61&gt;"",Q62&gt;"",Q63&gt;"",Q64&gt;"",Q65&gt;"")),"**  ","")</f>
        <v/>
      </c>
    </row>
    <row r="58" spans="1:18">
      <c r="A58" s="609"/>
      <c r="B58" s="184"/>
      <c r="C58" s="167" t="s">
        <v>3532</v>
      </c>
      <c r="D58" s="188"/>
      <c r="E58" s="183">
        <v>0</v>
      </c>
      <c r="G58" s="184"/>
      <c r="J58" s="185">
        <v>0</v>
      </c>
      <c r="K58" s="1366"/>
      <c r="Q58" s="425" t="str">
        <f>IF(J48&gt;0,CONCATENATE(G47," - ",H48," ",J48),"")</f>
        <v/>
      </c>
      <c r="R58" s="425" t="str">
        <f>IF(AND(Q59&gt;"",OR(Q60&gt;"",Q61&gt;"",Q62&gt;"",Q63&gt;"",Q64&gt;"",Q65&gt;"")),"**  ","")</f>
        <v/>
      </c>
    </row>
    <row r="59" spans="1:18">
      <c r="A59" s="609"/>
      <c r="B59" s="184"/>
      <c r="C59" s="167" t="s">
        <v>3550</v>
      </c>
      <c r="E59" s="183">
        <v>0</v>
      </c>
      <c r="G59" s="184"/>
      <c r="J59" s="182"/>
      <c r="K59" s="1366"/>
      <c r="Q59" s="425" t="str">
        <f>IF(J55&gt;0,CONCATENATE(G54," - ",J55),"")</f>
        <v/>
      </c>
      <c r="R59" s="425" t="str">
        <f>IF(AND(Q60&gt;"",OR(Q61&gt;"",Q62&gt;"",Q63&gt;"",Q64&gt;"",Q65&gt;"")),"**  ","")</f>
        <v/>
      </c>
    </row>
    <row r="60" spans="1:18">
      <c r="A60" s="609"/>
      <c r="B60" s="1394" t="s">
        <v>3555</v>
      </c>
      <c r="C60" s="1379"/>
      <c r="E60" s="187" t="s">
        <v>3519</v>
      </c>
      <c r="F60" s="182"/>
      <c r="G60" s="1376" t="s">
        <v>3556</v>
      </c>
      <c r="H60" s="1376"/>
      <c r="I60" s="1376"/>
      <c r="J60" s="182" t="s">
        <v>3546</v>
      </c>
      <c r="K60" s="1366"/>
      <c r="Q60" s="425" t="str">
        <f>IF(J58&gt;0,CONCATENATE(G57," - ",J58),"")</f>
        <v/>
      </c>
      <c r="R60" s="425" t="str">
        <f>IF(AND(Q61&gt;"",OR(Q62&gt;"",Q63&gt;"",Q64&gt;"",Q65&gt;"")),"**  ","")</f>
        <v/>
      </c>
    </row>
    <row r="61" spans="1:18">
      <c r="A61" s="609"/>
      <c r="B61" s="184"/>
      <c r="C61" s="1376" t="s">
        <v>3557</v>
      </c>
      <c r="D61" s="1393"/>
      <c r="E61" s="183">
        <v>0</v>
      </c>
      <c r="F61" s="182"/>
      <c r="J61" s="185">
        <v>0</v>
      </c>
      <c r="K61" s="1366"/>
      <c r="Q61" s="425" t="str">
        <f>IF(J61&gt;0,CONCATENATE(G60," - ",J61),"")</f>
        <v/>
      </c>
      <c r="R61" s="425" t="str">
        <f>IF(AND(Q62&gt;"",OR(Q63&gt;"",Q64&gt;"",Q65&gt;"")),"**  ","")</f>
        <v/>
      </c>
    </row>
    <row r="62" spans="1:18">
      <c r="A62" s="609"/>
      <c r="B62" s="184"/>
      <c r="F62" s="182"/>
      <c r="G62" s="1400" t="s">
        <v>3558</v>
      </c>
      <c r="H62" s="1401"/>
      <c r="I62" s="1401"/>
      <c r="J62" s="182" t="s">
        <v>3546</v>
      </c>
      <c r="K62" s="1366"/>
      <c r="Q62" s="425" t="str">
        <f>IF(J63&gt;0,CONCATENATE(G62," - ",J63),"")</f>
        <v/>
      </c>
      <c r="R62" s="425" t="str">
        <f>IF(AND(Q63&gt;"",OR(Q64&gt;"",Q65&gt;"")),"**  ","")</f>
        <v/>
      </c>
    </row>
    <row r="63" spans="1:18">
      <c r="A63" s="609"/>
      <c r="B63" s="184" t="s">
        <v>3530</v>
      </c>
      <c r="E63" s="186" t="s">
        <v>3519</v>
      </c>
      <c r="F63" s="182"/>
      <c r="J63" s="185">
        <v>0</v>
      </c>
      <c r="K63" s="1366"/>
      <c r="Q63" s="425" t="str">
        <f>IF(E61&gt;0,CONCATENATE(C61," - ",E61),"")</f>
        <v/>
      </c>
      <c r="R63" s="425" t="str">
        <f>IF(AND(Q64&gt;"",OR(Q65&gt;"")),"**  ","")</f>
        <v/>
      </c>
    </row>
    <row r="64" spans="1:18" ht="15.75" thickBot="1">
      <c r="A64" s="609"/>
      <c r="B64" s="184"/>
      <c r="E64" s="183">
        <v>0</v>
      </c>
      <c r="F64" s="182"/>
      <c r="G64" s="181"/>
      <c r="H64" s="180"/>
      <c r="I64" s="180"/>
      <c r="J64" s="178"/>
      <c r="K64" s="1366"/>
      <c r="Q64" s="425" t="str">
        <f>IF(E64&gt;0,CONCATENATE(B63," - ",E64),"")</f>
        <v/>
      </c>
      <c r="R64" s="425" t="str">
        <f>IF(Q65&gt;"","**  ","")</f>
        <v/>
      </c>
    </row>
    <row r="65" spans="1:29" ht="15.75" customHeight="1" thickTop="1">
      <c r="A65" s="609"/>
      <c r="B65" s="184"/>
      <c r="F65" s="182"/>
      <c r="K65" s="1366"/>
      <c r="Q65" s="425" t="str">
        <f>IF(OR(E67&gt;0,E68&gt;0,E69&gt;0,E70&gt;0,E71&gt;0,E72&gt;0),CONCATENATE(B66," - ",C67,": ",E67,", ",C68,": ",E68,", ",C69,": ",E69,", ",C70,": ",E70,", ",C71,": ",E71,", ",C72,": ",E72),"")</f>
        <v/>
      </c>
      <c r="R65" s="431"/>
      <c r="S65" s="431"/>
      <c r="T65" s="431"/>
      <c r="U65" s="431"/>
      <c r="V65" s="431"/>
      <c r="W65" s="431"/>
      <c r="X65" s="431"/>
      <c r="Y65" s="431"/>
      <c r="Z65" s="431"/>
      <c r="AA65" s="431"/>
      <c r="AB65" s="431"/>
      <c r="AC65" s="431"/>
    </row>
    <row r="66" spans="1:29" ht="15.75" customHeight="1">
      <c r="A66" s="609"/>
      <c r="B66" s="184" t="s">
        <v>3559</v>
      </c>
      <c r="E66" s="167" t="s">
        <v>3546</v>
      </c>
      <c r="F66" s="182"/>
      <c r="K66" s="1366"/>
      <c r="Q66" s="431" t="str">
        <f>IF(OR(Q51&gt;"",Q52&gt;"",Q53&gt;"",Q54&gt;"",Q55&gt;"",Q56&gt;"",Q57&gt;"",Q58&gt;"",Q59&gt;"",Q60&gt;"",Q61&gt;"",Q62&gt;"",Q63&gt;"",Q64&gt;"",Q65&gt;""),CONCATENATE(Q51,R50,Q52,R51,Q53,R52,Q54,R53,Q55,R54,Q56,R55,Q57,R56,Q58,R57,Q59,R58,Q60,R59,Q61,R60,Q62,R61,Q63,R62,Q64,R63,Q65,R64))</f>
        <v>Sale of Aircraft - Used Piston A/C &amp; RW: 400000, New Piston A/C: 0, Turbine Fixed Wing: 0</v>
      </c>
      <c r="R66" s="431"/>
      <c r="S66" s="431"/>
      <c r="T66" s="431"/>
      <c r="U66" s="431"/>
      <c r="V66" s="431"/>
      <c r="W66" s="431"/>
      <c r="X66" s="431"/>
      <c r="Y66" s="431"/>
      <c r="Z66" s="431"/>
      <c r="AA66" s="431"/>
      <c r="AB66" s="431"/>
      <c r="AC66" s="431"/>
    </row>
    <row r="67" spans="1:29">
      <c r="A67" s="609"/>
      <c r="B67" s="184"/>
      <c r="C67" s="167" t="s">
        <v>3560</v>
      </c>
      <c r="E67" s="183">
        <v>0</v>
      </c>
      <c r="F67" s="182"/>
      <c r="K67" s="1366"/>
      <c r="Q67" s="431"/>
      <c r="R67" s="431"/>
      <c r="S67" s="431"/>
      <c r="T67" s="431"/>
      <c r="U67" s="431"/>
      <c r="V67" s="431"/>
      <c r="W67" s="431"/>
      <c r="X67" s="431"/>
      <c r="Y67" s="431"/>
      <c r="Z67" s="431"/>
      <c r="AA67" s="431"/>
      <c r="AB67" s="431"/>
      <c r="AC67" s="431"/>
    </row>
    <row r="68" spans="1:29">
      <c r="A68" s="609"/>
      <c r="B68" s="184"/>
      <c r="C68" s="167" t="s">
        <v>3561</v>
      </c>
      <c r="E68" s="183">
        <v>0</v>
      </c>
      <c r="F68" s="182"/>
      <c r="K68" s="1366"/>
      <c r="Q68" s="431"/>
      <c r="R68" s="431"/>
      <c r="S68" s="431"/>
      <c r="T68" s="431"/>
      <c r="U68" s="431"/>
      <c r="V68" s="431"/>
      <c r="W68" s="431"/>
      <c r="X68" s="431"/>
      <c r="Y68" s="431"/>
      <c r="Z68" s="431"/>
      <c r="AA68" s="431"/>
      <c r="AB68" s="431"/>
      <c r="AC68" s="431"/>
    </row>
    <row r="69" spans="1:29">
      <c r="A69" s="609"/>
      <c r="B69" s="184"/>
      <c r="C69" s="167" t="s">
        <v>3562</v>
      </c>
      <c r="E69" s="183">
        <v>0</v>
      </c>
      <c r="F69" s="182"/>
      <c r="K69" s="1366"/>
      <c r="Q69" s="431"/>
      <c r="R69" s="431"/>
      <c r="S69" s="431"/>
      <c r="T69" s="431"/>
      <c r="U69" s="431"/>
      <c r="V69" s="431"/>
      <c r="W69" s="431"/>
      <c r="X69" s="431"/>
      <c r="Y69" s="431"/>
      <c r="Z69" s="431"/>
      <c r="AA69" s="431"/>
      <c r="AB69" s="431"/>
      <c r="AC69" s="431"/>
    </row>
    <row r="70" spans="1:29">
      <c r="A70" s="609"/>
      <c r="B70" s="184"/>
      <c r="C70" s="167" t="s">
        <v>3563</v>
      </c>
      <c r="E70" s="183">
        <v>0</v>
      </c>
      <c r="F70" s="182"/>
      <c r="K70" s="1366"/>
      <c r="Q70" s="431"/>
      <c r="R70" s="431"/>
      <c r="S70" s="431"/>
      <c r="T70" s="431"/>
      <c r="U70" s="431"/>
      <c r="V70" s="431"/>
      <c r="W70" s="431"/>
      <c r="X70" s="431"/>
      <c r="Y70" s="431"/>
      <c r="Z70" s="431"/>
      <c r="AA70" s="431"/>
      <c r="AB70" s="431"/>
      <c r="AC70" s="431"/>
    </row>
    <row r="71" spans="1:29">
      <c r="A71" s="609"/>
      <c r="B71" s="184"/>
      <c r="C71" s="167" t="s">
        <v>3532</v>
      </c>
      <c r="E71" s="183">
        <v>0</v>
      </c>
      <c r="F71" s="182"/>
      <c r="K71" s="1366"/>
      <c r="Q71" s="431"/>
      <c r="R71" s="431"/>
      <c r="S71" s="431"/>
      <c r="T71" s="431"/>
      <c r="U71" s="431"/>
      <c r="V71" s="431"/>
      <c r="W71" s="431"/>
      <c r="X71" s="431"/>
      <c r="Y71" s="431"/>
      <c r="Z71" s="431"/>
      <c r="AA71" s="431"/>
      <c r="AB71" s="431"/>
      <c r="AC71" s="431"/>
    </row>
    <row r="72" spans="1:29" ht="15.75" thickBot="1">
      <c r="A72" s="609"/>
      <c r="B72" s="181"/>
      <c r="C72" s="180" t="s">
        <v>3543</v>
      </c>
      <c r="D72" s="180"/>
      <c r="E72" s="179">
        <v>0</v>
      </c>
      <c r="F72" s="178"/>
      <c r="K72" s="1366"/>
      <c r="Q72" s="431"/>
      <c r="R72" s="431"/>
      <c r="S72" s="431"/>
      <c r="T72" s="431"/>
      <c r="U72" s="431"/>
      <c r="V72" s="431"/>
      <c r="W72" s="431"/>
      <c r="X72" s="431"/>
      <c r="Y72" s="431"/>
      <c r="Z72" s="431"/>
      <c r="AA72" s="431"/>
      <c r="AB72" s="431"/>
      <c r="AC72" s="431"/>
    </row>
    <row r="73" spans="1:29" ht="16.5" thickTop="1" thickBot="1">
      <c r="B73" s="1316" t="s">
        <v>3564</v>
      </c>
      <c r="C73" s="1316"/>
      <c r="D73" s="1316"/>
      <c r="E73" s="1316"/>
      <c r="F73" s="1316"/>
      <c r="G73" s="1316"/>
      <c r="H73" s="1316"/>
      <c r="I73" s="1316"/>
      <c r="J73" s="1316"/>
      <c r="Q73" s="431"/>
      <c r="R73" s="431"/>
      <c r="S73" s="431"/>
      <c r="T73" s="431"/>
      <c r="U73" s="431"/>
      <c r="V73" s="431"/>
      <c r="W73" s="431"/>
      <c r="X73" s="431"/>
      <c r="Y73" s="431"/>
      <c r="Z73" s="431"/>
      <c r="AA73" s="431"/>
      <c r="AB73" s="431"/>
      <c r="AC73" s="431"/>
    </row>
    <row r="74" spans="1:29">
      <c r="B74" s="616" t="s">
        <v>3565</v>
      </c>
      <c r="C74" s="282"/>
      <c r="D74" s="493"/>
      <c r="E74" s="282" t="s">
        <v>3566</v>
      </c>
      <c r="F74" s="282"/>
      <c r="G74" s="282"/>
      <c r="H74" s="493"/>
      <c r="I74" s="617" t="s">
        <v>3567</v>
      </c>
      <c r="J74" s="494"/>
      <c r="Q74" s="431"/>
      <c r="R74" s="431"/>
      <c r="S74" s="431"/>
      <c r="T74" s="431"/>
      <c r="U74" s="431"/>
      <c r="V74" s="431"/>
      <c r="W74" s="431"/>
      <c r="X74" s="431"/>
      <c r="Y74" s="431"/>
      <c r="Z74" s="431"/>
      <c r="AA74" s="431"/>
      <c r="AB74" s="431"/>
      <c r="AC74" s="431"/>
    </row>
    <row r="75" spans="1:29" ht="15.75" thickBot="1">
      <c r="B75" s="618" t="s">
        <v>3568</v>
      </c>
      <c r="C75" s="273"/>
      <c r="D75" s="495"/>
      <c r="E75" s="619"/>
      <c r="F75" s="273"/>
      <c r="G75" s="620" t="s">
        <v>3569</v>
      </c>
      <c r="H75" s="495"/>
      <c r="I75" s="273"/>
      <c r="J75" s="272"/>
      <c r="Q75" s="431"/>
      <c r="R75" s="431"/>
      <c r="S75" s="431"/>
      <c r="T75" s="431"/>
      <c r="U75" s="431"/>
      <c r="V75" s="431"/>
      <c r="W75" s="431"/>
      <c r="X75" s="431"/>
      <c r="Y75" s="431"/>
      <c r="Z75" s="431"/>
      <c r="AA75" s="431"/>
      <c r="AB75" s="431"/>
      <c r="AC75" s="431"/>
    </row>
    <row r="76" spans="1:29" hidden="1">
      <c r="B76" s="177" t="s">
        <v>3570</v>
      </c>
      <c r="C76" s="177"/>
      <c r="D76" s="177"/>
      <c r="Q76" s="431"/>
      <c r="R76" s="431"/>
      <c r="S76" s="431"/>
      <c r="T76" s="431"/>
      <c r="U76" s="431"/>
      <c r="V76" s="431"/>
      <c r="W76" s="431"/>
      <c r="X76" s="431"/>
      <c r="Y76" s="431"/>
      <c r="Z76" s="431"/>
      <c r="AA76" s="431"/>
      <c r="AB76" s="431"/>
      <c r="AC76" s="431"/>
    </row>
    <row r="77" spans="1:29" hidden="1">
      <c r="B77" s="1356"/>
      <c r="C77" s="1341"/>
      <c r="D77" s="1341"/>
      <c r="E77" s="1341"/>
      <c r="F77" s="1341"/>
      <c r="G77" s="1341"/>
      <c r="H77" s="1341"/>
      <c r="I77" s="1341"/>
      <c r="J77" s="1342"/>
      <c r="Q77" s="431"/>
      <c r="R77" s="431"/>
      <c r="S77" s="431"/>
      <c r="T77" s="431"/>
      <c r="U77" s="431"/>
      <c r="V77" s="431"/>
      <c r="W77" s="431"/>
      <c r="X77" s="431"/>
      <c r="Y77" s="431"/>
      <c r="Z77" s="431"/>
      <c r="AA77" s="431"/>
      <c r="AB77" s="431"/>
      <c r="AC77" s="431"/>
    </row>
    <row r="78" spans="1:29" hidden="1">
      <c r="B78" s="1343"/>
      <c r="C78" s="1344"/>
      <c r="D78" s="1344"/>
      <c r="E78" s="1344"/>
      <c r="F78" s="1344"/>
      <c r="G78" s="1344"/>
      <c r="H78" s="1344"/>
      <c r="I78" s="1344"/>
      <c r="J78" s="1345"/>
      <c r="Q78" s="431"/>
      <c r="R78" s="431"/>
      <c r="S78" s="431"/>
      <c r="T78" s="431"/>
      <c r="U78" s="431"/>
      <c r="V78" s="431"/>
      <c r="W78" s="431"/>
      <c r="X78" s="431"/>
      <c r="Y78" s="431"/>
      <c r="Z78" s="431"/>
      <c r="AA78" s="431"/>
      <c r="AB78" s="431"/>
      <c r="AC78" s="431"/>
    </row>
    <row r="79" spans="1:29" hidden="1">
      <c r="B79" s="1346"/>
      <c r="C79" s="1347"/>
      <c r="D79" s="1347"/>
      <c r="E79" s="1347"/>
      <c r="F79" s="1347"/>
      <c r="G79" s="1347"/>
      <c r="H79" s="1347"/>
      <c r="I79" s="1347"/>
      <c r="J79" s="1348"/>
      <c r="Q79" s="431"/>
      <c r="R79" s="431"/>
      <c r="S79" s="431"/>
      <c r="T79" s="431"/>
      <c r="U79" s="431"/>
      <c r="V79" s="431"/>
      <c r="W79" s="431"/>
      <c r="X79" s="431"/>
      <c r="Y79" s="431"/>
      <c r="Z79" s="431"/>
      <c r="AA79" s="431"/>
      <c r="AB79" s="431"/>
      <c r="AC79" s="431"/>
    </row>
    <row r="80" spans="1:29">
      <c r="B80" s="177" t="s">
        <v>3571</v>
      </c>
      <c r="Q80" s="431"/>
      <c r="R80" s="431"/>
      <c r="S80" s="431"/>
      <c r="T80" s="431"/>
      <c r="U80" s="431"/>
      <c r="V80" s="431"/>
      <c r="W80" s="431"/>
      <c r="X80" s="431"/>
      <c r="Y80" s="431"/>
      <c r="Z80" s="431"/>
      <c r="AA80" s="431"/>
      <c r="AB80" s="431"/>
      <c r="AC80" s="431"/>
    </row>
    <row r="81" spans="2:29">
      <c r="B81" s="1340"/>
      <c r="C81" s="1341"/>
      <c r="D81" s="1341"/>
      <c r="E81" s="1341"/>
      <c r="F81" s="1341"/>
      <c r="G81" s="1341"/>
      <c r="H81" s="1341"/>
      <c r="I81" s="1341"/>
      <c r="J81" s="1342"/>
      <c r="Q81" s="431"/>
      <c r="R81" s="431"/>
      <c r="S81" s="431"/>
      <c r="T81" s="431"/>
      <c r="U81" s="431"/>
      <c r="V81" s="431"/>
      <c r="W81" s="431"/>
      <c r="X81" s="431"/>
      <c r="Y81" s="431"/>
      <c r="Z81" s="431"/>
      <c r="AA81" s="431"/>
      <c r="AB81" s="431"/>
      <c r="AC81" s="431"/>
    </row>
    <row r="82" spans="2:29">
      <c r="B82" s="1343"/>
      <c r="C82" s="1344"/>
      <c r="D82" s="1344"/>
      <c r="E82" s="1344"/>
      <c r="F82" s="1344"/>
      <c r="G82" s="1344"/>
      <c r="H82" s="1344"/>
      <c r="I82" s="1344"/>
      <c r="J82" s="1345"/>
      <c r="Q82" s="431"/>
      <c r="R82" s="431"/>
      <c r="S82" s="431"/>
      <c r="T82" s="431"/>
      <c r="U82" s="431"/>
      <c r="V82" s="431"/>
      <c r="W82" s="431"/>
      <c r="X82" s="431"/>
      <c r="Y82" s="431"/>
      <c r="Z82" s="431"/>
      <c r="AA82" s="431"/>
      <c r="AB82" s="431"/>
      <c r="AC82" s="431"/>
    </row>
    <row r="83" spans="2:29">
      <c r="B83" s="1346"/>
      <c r="C83" s="1347"/>
      <c r="D83" s="1347"/>
      <c r="E83" s="1347"/>
      <c r="F83" s="1347"/>
      <c r="G83" s="1347"/>
      <c r="H83" s="1347"/>
      <c r="I83" s="1347"/>
      <c r="J83" s="1348"/>
      <c r="Q83" s="431"/>
      <c r="R83" s="431"/>
      <c r="S83" s="431"/>
      <c r="T83" s="431"/>
      <c r="U83" s="431"/>
      <c r="V83" s="431"/>
      <c r="W83" s="431"/>
      <c r="X83" s="431"/>
      <c r="Y83" s="431"/>
      <c r="Z83" s="431"/>
      <c r="AA83" s="431"/>
      <c r="AB83" s="431"/>
      <c r="AC83" s="431"/>
    </row>
    <row r="84" spans="2:29">
      <c r="Q84" s="431"/>
      <c r="R84" s="431"/>
      <c r="S84" s="431"/>
      <c r="T84" s="431"/>
      <c r="U84" s="431"/>
      <c r="V84" s="431"/>
      <c r="W84" s="431"/>
      <c r="X84" s="431"/>
      <c r="Y84" s="431"/>
      <c r="Z84" s="431"/>
      <c r="AA84" s="431"/>
      <c r="AB84" s="431"/>
      <c r="AC84" s="431"/>
    </row>
    <row r="85" spans="2:29">
      <c r="Q85" s="431"/>
    </row>
  </sheetData>
  <sheetProtection algorithmName="SHA-512" hashValue="JrMNtoqtTFh/Vx1YfzCL9cEN77y/A4HbZqDt6c+x0cBhHJq6QaBP4pN5T9oimyv7efA0x8S6xr7SjfRLlC2RzA==" saltValue="mTRVlWWdgcSXk06AOX5ivQ==" spinCount="100000" sheet="1" selectLockedCells="1"/>
  <mergeCells count="82">
    <mergeCell ref="D4:I4"/>
    <mergeCell ref="B1:I1"/>
    <mergeCell ref="B2:I3"/>
    <mergeCell ref="F32:H32"/>
    <mergeCell ref="H30:I30"/>
    <mergeCell ref="B31:D31"/>
    <mergeCell ref="E31:F31"/>
    <mergeCell ref="G31:I31"/>
    <mergeCell ref="B29:C29"/>
    <mergeCell ref="H29:I29"/>
    <mergeCell ref="D29:G29"/>
    <mergeCell ref="B32:E32"/>
    <mergeCell ref="F10:G10"/>
    <mergeCell ref="F11:G11"/>
    <mergeCell ref="F12:G12"/>
    <mergeCell ref="H5:I5"/>
    <mergeCell ref="G62:I62"/>
    <mergeCell ref="B77:J79"/>
    <mergeCell ref="B54:F54"/>
    <mergeCell ref="B73:J73"/>
    <mergeCell ref="G35:I35"/>
    <mergeCell ref="B40:C40"/>
    <mergeCell ref="B35:C35"/>
    <mergeCell ref="C41:D41"/>
    <mergeCell ref="C42:D42"/>
    <mergeCell ref="H48:I48"/>
    <mergeCell ref="G40:J40"/>
    <mergeCell ref="C36:D36"/>
    <mergeCell ref="C37:D37"/>
    <mergeCell ref="C38:D38"/>
    <mergeCell ref="C43:D43"/>
    <mergeCell ref="C44:D44"/>
    <mergeCell ref="B81:J83"/>
    <mergeCell ref="C61:D61"/>
    <mergeCell ref="B60:C60"/>
    <mergeCell ref="C45:D45"/>
    <mergeCell ref="H12:I12"/>
    <mergeCell ref="H13:I13"/>
    <mergeCell ref="F14:G14"/>
    <mergeCell ref="F15:G15"/>
    <mergeCell ref="F13:G13"/>
    <mergeCell ref="B30:C30"/>
    <mergeCell ref="D30:E30"/>
    <mergeCell ref="F30:G30"/>
    <mergeCell ref="B34:J34"/>
    <mergeCell ref="H24:I24"/>
    <mergeCell ref="H25:I25"/>
    <mergeCell ref="B47:F47"/>
    <mergeCell ref="H6:I6"/>
    <mergeCell ref="H7:I7"/>
    <mergeCell ref="H9:I9"/>
    <mergeCell ref="H8:I8"/>
    <mergeCell ref="H11:I11"/>
    <mergeCell ref="B5:F5"/>
    <mergeCell ref="B8:D8"/>
    <mergeCell ref="B9:D9"/>
    <mergeCell ref="F7:G7"/>
    <mergeCell ref="F8:G8"/>
    <mergeCell ref="F9:G9"/>
    <mergeCell ref="D13:E13"/>
    <mergeCell ref="B28:C28"/>
    <mergeCell ref="D28:E28"/>
    <mergeCell ref="F28:G28"/>
    <mergeCell ref="B26:C26"/>
    <mergeCell ref="E26:I26"/>
    <mergeCell ref="H28:I28"/>
    <mergeCell ref="B33:J33"/>
    <mergeCell ref="K33:K72"/>
    <mergeCell ref="H16:I16"/>
    <mergeCell ref="F24:G24"/>
    <mergeCell ref="F16:G16"/>
    <mergeCell ref="F17:G17"/>
    <mergeCell ref="F18:G18"/>
    <mergeCell ref="F19:G19"/>
    <mergeCell ref="F20:G20"/>
    <mergeCell ref="H21:I21"/>
    <mergeCell ref="F21:G21"/>
    <mergeCell ref="F22:G22"/>
    <mergeCell ref="F23:G23"/>
    <mergeCell ref="H51:I51"/>
    <mergeCell ref="H52:I52"/>
    <mergeCell ref="G60:I60"/>
  </mergeCells>
  <conditionalFormatting sqref="A33:A72">
    <cfRule type="expression" dxfId="40" priority="8">
      <formula>$K$33&gt;""</formula>
    </cfRule>
  </conditionalFormatting>
  <conditionalFormatting sqref="B2:I3">
    <cfRule type="expression" dxfId="39" priority="5">
      <formula>$B$2=""</formula>
    </cfRule>
  </conditionalFormatting>
  <conditionalFormatting sqref="B33:J33">
    <cfRule type="expression" dxfId="38" priority="10">
      <formula>$B$33&gt;""</formula>
    </cfRule>
  </conditionalFormatting>
  <conditionalFormatting sqref="B77:J79">
    <cfRule type="expression" dxfId="37" priority="6">
      <formula>$B$77=""</formula>
    </cfRule>
  </conditionalFormatting>
  <conditionalFormatting sqref="D13:E13">
    <cfRule type="expression" priority="11" stopIfTrue="1">
      <formula>$F$13=""</formula>
    </cfRule>
    <cfRule type="expression" dxfId="36" priority="12">
      <formula>$D$13&gt;""</formula>
    </cfRule>
  </conditionalFormatting>
  <conditionalFormatting sqref="D4:I4">
    <cfRule type="expression" dxfId="35" priority="1">
      <formula>$D$4&gt;""</formula>
    </cfRule>
  </conditionalFormatting>
  <conditionalFormatting sqref="E26">
    <cfRule type="expression" dxfId="34" priority="7">
      <formula>$E$26&gt;""</formula>
    </cfRule>
  </conditionalFormatting>
  <conditionalFormatting sqref="H5:I5">
    <cfRule type="expression" dxfId="33" priority="13">
      <formula>$B$5=$Q$5</formula>
    </cfRule>
  </conditionalFormatting>
  <conditionalFormatting sqref="K33:K72">
    <cfRule type="expression" dxfId="32" priority="9">
      <formula>$K$33&gt;""</formula>
    </cfRule>
  </conditionalFormatting>
  <dataValidations count="28">
    <dataValidation type="list" allowBlank="1" showInputMessage="1" showErrorMessage="1" sqref="F9:G9" xr:uid="{00000000-0002-0000-1100-000000000000}">
      <formula1>$Q$14:$Q$21</formula1>
    </dataValidation>
    <dataValidation type="list" allowBlank="1" showInputMessage="1" showErrorMessage="1" sqref="K11:K12 D26" xr:uid="{00000000-0002-0000-1100-000001000000}">
      <formula1>"No, Yes"</formula1>
    </dataValidation>
    <dataValidation type="list" allowBlank="1" showInputMessage="1" showErrorMessage="1" sqref="F13:G13" xr:uid="{00000000-0002-0000-1100-000002000000}">
      <formula1>$Q$13:$Q$21</formula1>
    </dataValidation>
    <dataValidation type="list" allowBlank="1" showInputMessage="1" showErrorMessage="1" sqref="F12:G12" xr:uid="{00000000-0002-0000-1100-000003000000}">
      <formula1>$Q$42:$Q$47</formula1>
    </dataValidation>
    <dataValidation type="list" allowBlank="1" showInputMessage="1" showErrorMessage="1" sqref="F42:F45" xr:uid="{00000000-0002-0000-1100-000005000000}">
      <formula1>$Q$33:$Q$34</formula1>
    </dataValidation>
    <dataValidation type="list" allowBlank="1" showInputMessage="1" showErrorMessage="1" sqref="F21:G22" xr:uid="{00000000-0002-0000-1100-000006000000}">
      <formula1>$S$21:$S$37</formula1>
    </dataValidation>
    <dataValidation type="list" allowBlank="1" showInputMessage="1" showErrorMessage="1" sqref="F18:G18" xr:uid="{00000000-0002-0000-1100-000007000000}">
      <formula1>$Q$13:$Q$16</formula1>
    </dataValidation>
    <dataValidation type="list" allowBlank="1" showInputMessage="1" showErrorMessage="1" sqref="F11:G11" xr:uid="{00000000-0002-0000-1100-000008000000}">
      <formula1>$S$13:$S$18</formula1>
    </dataValidation>
    <dataValidation type="list" allowBlank="1" showInputMessage="1" showErrorMessage="1" sqref="F17:G17" xr:uid="{00000000-0002-0000-1100-000009000000}">
      <formula1>$Q$15:$Q$20</formula1>
    </dataValidation>
    <dataValidation type="list" allowBlank="1" showInputMessage="1" showErrorMessage="1" sqref="F16:G16" xr:uid="{00000000-0002-0000-1100-00000A000000}">
      <formula1>$Q$14:$Q$20</formula1>
    </dataValidation>
    <dataValidation type="list" allowBlank="1" showInputMessage="1" showErrorMessage="1" sqref="B28:C28" xr:uid="{00000000-0002-0000-1100-00000C000000}">
      <formula1>$O$25</formula1>
    </dataValidation>
    <dataValidation type="list" allowBlank="1" showInputMessage="1" showErrorMessage="1" sqref="D28:E28" xr:uid="{00000000-0002-0000-1100-00000D000000}">
      <formula1>$O$26</formula1>
    </dataValidation>
    <dataValidation type="list" allowBlank="1" showInputMessage="1" showErrorMessage="1" sqref="F28:G28" xr:uid="{00000000-0002-0000-1100-00000E000000}">
      <formula1>$O$27</formula1>
    </dataValidation>
    <dataValidation type="list" allowBlank="1" showInputMessage="1" showErrorMessage="1" sqref="H28:I28" xr:uid="{00000000-0002-0000-1100-00000F000000}">
      <formula1>$O$28</formula1>
    </dataValidation>
    <dataValidation type="list" allowBlank="1" showInputMessage="1" showErrorMessage="1" sqref="B29:C29" xr:uid="{00000000-0002-0000-1100-000010000000}">
      <formula1>$O$29</formula1>
    </dataValidation>
    <dataValidation type="list" allowBlank="1" showInputMessage="1" showErrorMessage="1" sqref="D29" xr:uid="{00000000-0002-0000-1100-000011000000}">
      <formula1>$O$30</formula1>
    </dataValidation>
    <dataValidation type="list" allowBlank="1" showInputMessage="1" showErrorMessage="1" sqref="H29:I29" xr:uid="{00000000-0002-0000-1100-000012000000}">
      <formula1>$O$31</formula1>
    </dataValidation>
    <dataValidation type="list" allowBlank="1" showInputMessage="1" showErrorMessage="1" sqref="B30:C30" xr:uid="{00000000-0002-0000-1100-000013000000}">
      <formula1>$O$32</formula1>
    </dataValidation>
    <dataValidation type="list" allowBlank="1" showInputMessage="1" showErrorMessage="1" sqref="D30:E30" xr:uid="{00000000-0002-0000-1100-000014000000}">
      <formula1>$O$33</formula1>
    </dataValidation>
    <dataValidation type="list" allowBlank="1" showInputMessage="1" showErrorMessage="1" sqref="F30:G30" xr:uid="{00000000-0002-0000-1100-000015000000}">
      <formula1>$O$34</formula1>
    </dataValidation>
    <dataValidation type="list" allowBlank="1" showInputMessage="1" showErrorMessage="1" sqref="H30:I30" xr:uid="{00000000-0002-0000-1100-000016000000}">
      <formula1>$O$35</formula1>
    </dataValidation>
    <dataValidation type="list" allowBlank="1" showInputMessage="1" showErrorMessage="1" sqref="B31:D31" xr:uid="{00000000-0002-0000-1100-000017000000}">
      <formula1>$O$36</formula1>
    </dataValidation>
    <dataValidation type="list" allowBlank="1" showInputMessage="1" showErrorMessage="1" sqref="E31:F31" xr:uid="{00000000-0002-0000-1100-000018000000}">
      <formula1>$O$37</formula1>
    </dataValidation>
    <dataValidation type="list" allowBlank="1" showInputMessage="1" showErrorMessage="1" sqref="G31:I31" xr:uid="{00000000-0002-0000-1100-000019000000}">
      <formula1>$O$38</formula1>
    </dataValidation>
    <dataValidation type="list" allowBlank="1" showInputMessage="1" showErrorMessage="1" sqref="B32:E32" xr:uid="{00000000-0002-0000-1100-00001A000000}">
      <formula1>$O$39</formula1>
    </dataValidation>
    <dataValidation type="list" allowBlank="1" showInputMessage="1" showErrorMessage="1" sqref="F32:H32" xr:uid="{00000000-0002-0000-1100-00001B000000}">
      <formula1>$O$40</formula1>
    </dataValidation>
    <dataValidation type="list" allowBlank="1" showInputMessage="1" showErrorMessage="1" sqref="F8:G8" xr:uid="{3E969DAA-99DF-4F7F-BB61-7542FE9D9698}">
      <formula1>$R$15:$R$21</formula1>
    </dataValidation>
    <dataValidation type="list" allowBlank="1" showInputMessage="1" showErrorMessage="1" sqref="B5:F5" xr:uid="{00000000-0002-0000-1100-00000B000000}">
      <formula1>$Q$4:$Q$11</formula1>
    </dataValidation>
  </dataValidations>
  <pageMargins left="0.7" right="0.7" top="0.75" bottom="0.75" header="0.3" footer="0.3"/>
  <pageSetup scale="72" orientation="portrait" horizontalDpi="200" verticalDpi="200" r:id="rId1"/>
  <rowBreaks count="1" manualBreakCount="1">
    <brk id="64" max="10" man="1"/>
  </rowBreaks>
  <colBreaks count="1" manualBreakCount="1">
    <brk id="11" max="50" man="1"/>
  </colBreaks>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6"/>
  <dimension ref="A1:G45"/>
  <sheetViews>
    <sheetView workbookViewId="0">
      <selection activeCell="A35" sqref="A35"/>
    </sheetView>
  </sheetViews>
  <sheetFormatPr defaultColWidth="9" defaultRowHeight="15"/>
  <cols>
    <col min="1" max="1" width="9" style="167"/>
    <col min="2" max="2" width="9.625" style="167" customWidth="1"/>
    <col min="3" max="3" width="9" style="167"/>
    <col min="4" max="4" width="55.5" style="167" bestFit="1" customWidth="1"/>
    <col min="5" max="16384" width="9" style="167"/>
  </cols>
  <sheetData>
    <row r="1" spans="1:7">
      <c r="B1" s="167" t="s">
        <v>3572</v>
      </c>
      <c r="G1" s="167" t="s">
        <v>3573</v>
      </c>
    </row>
    <row r="2" spans="1:7">
      <c r="A2" s="167" t="b">
        <f>IFERROR(IF(MATCH('GL Coverage Screen'!B28,'GL Coverage Screen'!O25)=1,TRUE,FALSE),FALSE)</f>
        <v>1</v>
      </c>
      <c r="B2" s="167" t="str">
        <f>IF(A2=TRUE,"Sale of Aircraft","")</f>
        <v>Sale of Aircraft</v>
      </c>
      <c r="D2" s="167" t="str">
        <f>IF(AND(B2&gt;"",OR(B3&gt;"",B4&gt;"",B5&gt;"",B6&gt;"",B7&gt;"",B8&gt;"",B9&gt;"",B10&gt;"",B11&gt;"",B12&gt;"",B13&gt;"",B14&gt;"",B15&gt;"",B16&gt;"",B17&gt;"")),", ","")</f>
        <v xml:space="preserve">, </v>
      </c>
      <c r="G2" s="167" t="b">
        <v>0</v>
      </c>
    </row>
    <row r="3" spans="1:7">
      <c r="A3" s="167" t="b">
        <f>IFERROR(IF(MATCH('GL Coverage Screen'!D28,'GL Coverage Screen'!O26)=1,TRUE,FALSE),FALSE)</f>
        <v>1</v>
      </c>
      <c r="B3" s="167" t="str">
        <f>IF(A3=TRUE,"Sale of Parts Not Installed","")</f>
        <v>Sale of Parts Not Installed</v>
      </c>
      <c r="D3" s="167" t="str">
        <f>IF(AND(B3&gt;"",OR(B4&gt;"",B5&gt;"",B6&gt;"",B7&gt;"",B8&gt;"",B9&gt;"",B10&gt;"",B11&gt;"",B12&gt;"",B13&gt;"",B14&gt;"",B15&gt;"",B16&gt;"",B17&gt;"")),", ","")</f>
        <v/>
      </c>
      <c r="G3" s="167" t="b">
        <v>0</v>
      </c>
    </row>
    <row r="4" spans="1:7">
      <c r="A4" s="167" t="b">
        <f>IFERROR(IF(MATCH('GL Coverage Screen'!F28,'GL Coverage Screen'!O27)=1,TRUE,FALSE),FALSE)</f>
        <v>0</v>
      </c>
      <c r="B4" s="167" t="str">
        <f>IF(A4=TRUE,"Sale of Parts Installed","")</f>
        <v/>
      </c>
      <c r="D4" s="167" t="str">
        <f>IF(AND(B4&gt;"",OR(B5&gt;"",B6&gt;"",B7&gt;"",B8&gt;"",B9&gt;"",B10&gt;"",B11&gt;"",B12&gt;"",B13&gt;"",B14&gt;"",B15&gt;"",B16&gt;"",B17&gt;"")),", ","")</f>
        <v/>
      </c>
      <c r="G4" s="167" t="b">
        <v>1</v>
      </c>
    </row>
    <row r="5" spans="1:7">
      <c r="A5" s="167" t="b">
        <f>IFERROR(IF(MATCH('GL Coverage Screen'!H28,'GL Coverage Screen'!O28)=1,TRUE,FALSE),FALSE)</f>
        <v>0</v>
      </c>
      <c r="B5" s="167" t="str">
        <f>IF(A5=TRUE,"Sale of Fuel &amp; Oil","")</f>
        <v/>
      </c>
      <c r="D5" s="167" t="str">
        <f>IF(AND(B5&gt;"",OR(B6&gt;"",B7&gt;"",B8&gt;"",B9&gt;"",B10&gt;"",B11&gt;"",B12&gt;"",B13&gt;"",B14&gt;"",B15&gt;"",B16&gt;"",B17&gt;"")),", ","")</f>
        <v/>
      </c>
      <c r="G5" s="167" t="b">
        <v>0</v>
      </c>
    </row>
    <row r="6" spans="1:7">
      <c r="A6" s="167" t="b">
        <f>IFERROR(IF(MATCH('GL Coverage Screen'!B29,'GL Coverage Screen'!O29)=1,TRUE,FALSE), FALSE)</f>
        <v>0</v>
      </c>
      <c r="B6" s="167" t="str">
        <f>IF(A6=TRUE,"General Maintenance","")</f>
        <v/>
      </c>
      <c r="D6" s="167" t="str">
        <f>IF(AND(B6&gt;"",OR(B7&gt;"",B8&gt;"",B9&gt;"",B10&gt;"",B11&gt;"",B12&gt;"",B13&gt;"",B14&gt;"",B15&gt;"",B16&gt;"",B17&gt;"")),", ","")</f>
        <v/>
      </c>
      <c r="G6" s="167" t="b">
        <v>0</v>
      </c>
    </row>
    <row r="7" spans="1:7">
      <c r="A7" s="167" t="b">
        <f>IFERROR(IF(MATCH('GL Coverage Screen'!D29,'GL Coverage Screen'!O30)=1,TRUE,FALSE),FALSE)</f>
        <v>0</v>
      </c>
      <c r="B7" s="167" t="str">
        <f>IF(A7=TRUE,"Heavy Maintenance / Aircraft Mod","")</f>
        <v/>
      </c>
      <c r="D7" s="167" t="str">
        <f>IF(AND(B7&gt;"",OR(B8&gt;"",B9&gt;"",B10&gt;"",B11&gt;"",B12&gt;"",B13&gt;"",B14&gt;"",B15&gt;"",B16&gt;"",B17&gt;"")),", ","")</f>
        <v/>
      </c>
      <c r="G7" s="167" t="b">
        <v>0</v>
      </c>
    </row>
    <row r="8" spans="1:7">
      <c r="A8" s="167" t="b">
        <f>IFERROR(IF(MATCH('GL Coverage Screen'!B30,'GL Coverage Screen'!O32)=1,TRUE,FALSE),FALSE)</f>
        <v>0</v>
      </c>
      <c r="B8" s="167" t="str">
        <f>IF(A8=TRUE,"Aircraft Deicing","")</f>
        <v/>
      </c>
      <c r="D8" s="167" t="str">
        <f>IF(AND(B8&gt;"",OR(B9&gt;"",B10&gt;"",B11&gt;"",B12&gt;"",B13&gt;"",B14&gt;"",B15&gt;"",B16&gt;"",B17&gt;"")),", ","")</f>
        <v/>
      </c>
    </row>
    <row r="9" spans="1:7">
      <c r="A9" s="167" t="b">
        <f>IFERROR(IF(MATCH('GL Coverage Screen'!D30,'GL Coverage Screen'!O32)=1,TRUE,FALSE),FALSE)</f>
        <v>0</v>
      </c>
      <c r="B9" s="167" t="str">
        <f>IF(A9=TRUE,"R&amp;S Avionics / Interior / Cleaning","")</f>
        <v/>
      </c>
      <c r="D9" s="167" t="str">
        <f>IF(AND(B9&gt;"",OR(B10&gt;"",B11&gt;"",B12&gt;"",B13&gt;"",B14&gt;"",B15&gt;"",B16&gt;"",B17&gt;"")),", ","")</f>
        <v/>
      </c>
    </row>
    <row r="10" spans="1:7">
      <c r="A10" s="167" t="b">
        <f>IFERROR(IF(MATCH('GL Coverage Screen'!F30,'GL Coverage Screen'!O34)=1,TRUE,FALSE),FALSE)</f>
        <v>0</v>
      </c>
      <c r="B10" s="167" t="str">
        <f>IF(A10=TRUE,"Aircraft Painting","")</f>
        <v/>
      </c>
      <c r="D10" s="167" t="str">
        <f>IF(AND(B10&gt;"",OR(B11&gt;"",B12&gt;"",B13&gt;"",B14&gt;"",B15&gt;"",B16&gt;"",B17&gt;"")),", ","")</f>
        <v/>
      </c>
    </row>
    <row r="11" spans="1:7">
      <c r="A11" s="167" t="b">
        <f>IFERROR(IF(MATCH('GL Coverage Screen'!H30,'GL Coverage Screen'!O34)=1,TRUE,FALSE),FALSE)</f>
        <v>0</v>
      </c>
      <c r="B11" s="167" t="str">
        <f>IF(A11=TRUE,"Sale of Airport Ground Equipment","")</f>
        <v/>
      </c>
      <c r="D11" s="167" t="str">
        <f>IF(AND(B11&gt;"",OR(B12&gt;"",B13&gt;"",B14&gt;"",B15&gt;"",B16&gt;"",B17&gt;"")),", ","")</f>
        <v/>
      </c>
    </row>
    <row r="12" spans="1:7">
      <c r="A12" s="167" t="b">
        <f>IFERROR(IF(MATCH('GL Coverage Screen'!H30,'GL Coverage Screen'!O35)=1,TRUE,FALSE),FALSE)</f>
        <v>0</v>
      </c>
      <c r="B12" s="167" t="str">
        <f>IF(A12=TRUE,"Maintenance of Airport Ground Equipment","")</f>
        <v/>
      </c>
      <c r="D12" s="167" t="str">
        <f>IF(AND(B12&gt;"",OR(B13&gt;"",B14&gt;"",B15&gt;"",B16&gt;"",B17&gt;"")),", ","")</f>
        <v/>
      </c>
    </row>
    <row r="13" spans="1:7">
      <c r="A13" s="167" t="b">
        <f>IFERROR(IF(MATCH('GL Coverage Screen'!E31,'GL Coverage Screen'!O37)=1,TRUE,FALSE),FALSE)</f>
        <v>0</v>
      </c>
      <c r="B13" s="167" t="str">
        <f>IF(A13=TRUE,"Employee Leasing","")</f>
        <v/>
      </c>
      <c r="D13" s="167" t="str">
        <f>IF(AND(B13&gt;"",OR(B14&gt;"",B15&gt;"",B16&gt;"",B17&gt;"")),", ","")</f>
        <v/>
      </c>
    </row>
    <row r="14" spans="1:7">
      <c r="A14" s="167" t="b">
        <f>IFERROR(IF(MATCH('GL Coverage Screen'!G31,'GL Coverage Screen'!O38)=1,TRUE,FALSE), FALSE)</f>
        <v>0</v>
      </c>
      <c r="B14" s="167" t="str">
        <f>IF(A14=TRUE,"Airport Services / Maintenance","")</f>
        <v/>
      </c>
      <c r="D14" s="167" t="str">
        <f>IF(AND(B14&gt;"",OR(B15&gt;"",B16&gt;"",B17&gt;"")),", ","")</f>
        <v/>
      </c>
    </row>
    <row r="15" spans="1:7">
      <c r="A15" s="167" t="b">
        <f>IFERROR(IF(MATCH('GL Coverage Screen'!B32,'GL Coverage Screen'!O38)=1,TRUE,FALSE), FALSE)</f>
        <v>0</v>
      </c>
      <c r="B15" s="167" t="str">
        <f>IF(A15=TRUE,"Major Repairs / Overhauls","")</f>
        <v/>
      </c>
      <c r="D15" s="167" t="str">
        <f>IF(AND(B15&gt;"",OR(B16&gt;"",B17&gt;"")),", ","")</f>
        <v/>
      </c>
    </row>
    <row r="16" spans="1:7">
      <c r="A16" s="167" t="b">
        <f>IFERROR(IF(MATCH('GL Coverage Screen'!H29,'GL Coverage Screen'!O31)=1,TRUE,FALSE),FALSE)</f>
        <v>0</v>
      </c>
      <c r="B16" s="167" t="str">
        <f>IF(A16=TRUE,"Sale of Food &amp; Beverage","")</f>
        <v/>
      </c>
      <c r="D16" s="167" t="str">
        <f>IF(AND(B16&gt;"",OR(B17&gt;"")),", ","")</f>
        <v/>
      </c>
    </row>
    <row r="17" spans="1:6">
      <c r="A17" s="167" t="b">
        <f>IFERROR(IF(MATCH('GL Coverage Screen'!F32,'GL Coverage Screen'!O40)=1,TRUE,FALSE),FALSE)</f>
        <v>0</v>
      </c>
      <c r="B17" s="167" t="str">
        <f>IF(A17=TRUE,"Component Overhaul","")</f>
        <v/>
      </c>
    </row>
    <row r="18" spans="1:6">
      <c r="A18" s="615">
        <f>COUNTIF(A2:A17,TRUE)</f>
        <v>2</v>
      </c>
      <c r="B18" s="167" t="str">
        <f>IF(A18&gt;0,CONCATENATE(B2,D2,B3,D3,B4,D4,B5,D5,B6,D6,B7,D7,B8,D8,B9,D9,B10,D10,B11,D11,B12,D12,B13,D13,B14,D14,B15,D15,B16,D16,B17,D17),"")</f>
        <v>Sale of Aircraft, Sale of Parts Not Installed</v>
      </c>
    </row>
    <row r="20" spans="1:6">
      <c r="F20" s="167" t="str">
        <f>IF(OR(A23=TRUE,A24=TRUE),"Harco National Insurance Company",IF(A25=TRUE,"Acceptance Indemnity Insurance Company",IF(A26=TRUE,"Occidental Fire &amp; Casualty Company of North Carolina","")))</f>
        <v>Harco National Insurance Company</v>
      </c>
    </row>
    <row r="22" spans="1:6">
      <c r="B22" s="167" t="s">
        <v>3381</v>
      </c>
    </row>
    <row r="23" spans="1:6">
      <c r="A23" s="167" t="b">
        <f>IF(OR('GL NI Information'!D9="HI",'GL NI Information'!D9="KS",'GL NI Information'!D9="OH",'GL NI Information'!D9="VA"),FALSE,TRUE)</f>
        <v>1</v>
      </c>
      <c r="B23" s="167" t="s">
        <v>3574</v>
      </c>
      <c r="C23" s="167" t="s">
        <v>3575</v>
      </c>
      <c r="D23" s="167" t="s">
        <v>3576</v>
      </c>
      <c r="F23" s="167" t="str">
        <f t="shared" ref="F23:F40" si="0">IF(A23=FALSE,"",CONCATENATE(B23,C23,D23,", "))</f>
        <v xml:space="preserve">AVG 00 02  - Declarations - Harco, </v>
      </c>
    </row>
    <row r="24" spans="1:6">
      <c r="A24" s="167" t="b">
        <f>IF('GL NI Information'!D9="VA",TRUE,FALSE)</f>
        <v>0</v>
      </c>
      <c r="B24" s="167" t="s">
        <v>3574</v>
      </c>
      <c r="C24" s="167" t="s">
        <v>3575</v>
      </c>
      <c r="D24" s="167" t="s">
        <v>3576</v>
      </c>
      <c r="F24" s="167" t="str">
        <f t="shared" si="0"/>
        <v/>
      </c>
    </row>
    <row r="25" spans="1:6">
      <c r="A25" s="167" t="b">
        <f>IF(OR('GL NI Information'!D9="HI",'GL NI Information'!D9="KS"),TRUE,FALSE)</f>
        <v>0</v>
      </c>
      <c r="B25" s="167" t="s">
        <v>3577</v>
      </c>
      <c r="C25" s="167" t="s">
        <v>3575</v>
      </c>
      <c r="D25" s="167" t="s">
        <v>3578</v>
      </c>
      <c r="F25" s="167" t="str">
        <f t="shared" si="0"/>
        <v/>
      </c>
    </row>
    <row r="26" spans="1:6">
      <c r="A26" s="167" t="b">
        <f>IF('GL NI Information'!D9="OH",TRUE,FALSE)</f>
        <v>0</v>
      </c>
      <c r="B26" s="167" t="s">
        <v>3579</v>
      </c>
      <c r="C26" s="167" t="s">
        <v>3575</v>
      </c>
      <c r="D26" s="167" t="s">
        <v>3580</v>
      </c>
      <c r="F26" s="167" t="str">
        <f t="shared" si="0"/>
        <v/>
      </c>
    </row>
    <row r="27" spans="1:6">
      <c r="A27" s="167" t="b">
        <v>1</v>
      </c>
      <c r="B27" s="167" t="s">
        <v>3581</v>
      </c>
      <c r="C27" s="167" t="s">
        <v>3575</v>
      </c>
      <c r="D27" s="167" t="s">
        <v>3582</v>
      </c>
      <c r="F27" s="167" t="str">
        <f t="shared" si="0"/>
        <v xml:space="preserve">AVG 00 01  - Aviation General Liability Coverage Form, </v>
      </c>
    </row>
    <row r="28" spans="1:6">
      <c r="A28" s="167" t="b">
        <v>1</v>
      </c>
      <c r="B28" s="167" t="s">
        <v>3583</v>
      </c>
      <c r="C28" s="167" t="s">
        <v>3575</v>
      </c>
      <c r="D28" s="167" t="s">
        <v>3584</v>
      </c>
      <c r="F28" s="167" t="str">
        <f t="shared" si="0"/>
        <v xml:space="preserve">AVG 00 03  - Forms Schedule, </v>
      </c>
    </row>
    <row r="29" spans="1:6">
      <c r="A29" s="167" t="b">
        <f>IFERROR(IF(MATCH('GL Additional Coverages'!M6,'GL Additional Coverages'!A6,0),TRUE,IF(MATCH('GL Additional Coverages'!M6,'GL Additional Coverages'!A10,0),TRUE,IF(MATCH('GL Additional Coverages'!M6,'GL Additional Coverages'!A14,0),TRUE,IF(MATCH('GL Additional Coverages'!M6,'GL Additional Coverages'!A18,0),TRUE,FALSE)))),FALSE)</f>
        <v>0</v>
      </c>
      <c r="B29" s="167" t="s">
        <v>3585</v>
      </c>
      <c r="C29" s="167" t="s">
        <v>3575</v>
      </c>
      <c r="D29" s="167" t="s">
        <v>3586</v>
      </c>
      <c r="F29" s="167" t="str">
        <f t="shared" si="0"/>
        <v/>
      </c>
    </row>
    <row r="30" spans="1:6">
      <c r="A30" s="167" t="b">
        <f>IF(OR('GL Additional Coverages'!A6="AI",'GL Additional Coverages'!A10="AI",'GL Additional Coverages'!A14="AI",'GL Additional Coverages'!A18="AI"),TRUE,FALSE)</f>
        <v>0</v>
      </c>
      <c r="B30" s="167" t="s">
        <v>3587</v>
      </c>
      <c r="C30" s="167" t="s">
        <v>3575</v>
      </c>
      <c r="D30" s="167" t="s">
        <v>3588</v>
      </c>
      <c r="F30" s="167" t="str">
        <f t="shared" si="0"/>
        <v/>
      </c>
    </row>
    <row r="31" spans="1:6">
      <c r="A31" s="167" t="b">
        <f>IF('GL Additional Coverages'!E24="Yes",TRUE,FALSE)</f>
        <v>0</v>
      </c>
      <c r="B31" s="167" t="s">
        <v>3589</v>
      </c>
      <c r="C31" s="167" t="s">
        <v>3575</v>
      </c>
      <c r="D31" s="167" t="s">
        <v>3590</v>
      </c>
      <c r="F31" s="167" t="str">
        <f t="shared" si="0"/>
        <v/>
      </c>
    </row>
    <row r="32" spans="1:6">
      <c r="A32" s="167" t="b">
        <f>IF('GL Additional Coverages'!E26="Yes",TRUE,FALSE)</f>
        <v>0</v>
      </c>
      <c r="B32" s="167" t="s">
        <v>3591</v>
      </c>
      <c r="C32" s="167" t="s">
        <v>3575</v>
      </c>
      <c r="D32" s="167" t="s">
        <v>3592</v>
      </c>
      <c r="F32" s="167" t="str">
        <f t="shared" si="0"/>
        <v/>
      </c>
    </row>
    <row r="33" spans="1:6">
      <c r="A33" s="167" t="b">
        <f>IF('GL Additional Coverages'!E28="Yes",TRUE,FALSE)</f>
        <v>0</v>
      </c>
      <c r="B33" s="167" t="s">
        <v>3593</v>
      </c>
      <c r="C33" s="167" t="s">
        <v>3575</v>
      </c>
      <c r="D33" s="167" t="s">
        <v>3594</v>
      </c>
      <c r="F33" s="167" t="str">
        <f t="shared" si="0"/>
        <v/>
      </c>
    </row>
    <row r="34" spans="1:6">
      <c r="A34" s="167" t="b">
        <f>IF(AND('GL Quote Sheet'!B53&gt;"",'GL Coverage Screen'!D26="No"),TRUE,FALSE)</f>
        <v>0</v>
      </c>
      <c r="B34" s="167" t="s">
        <v>3595</v>
      </c>
      <c r="C34" s="167" t="s">
        <v>3575</v>
      </c>
      <c r="D34" s="167" t="s">
        <v>3596</v>
      </c>
      <c r="F34" s="167" t="str">
        <f t="shared" si="0"/>
        <v/>
      </c>
    </row>
    <row r="35" spans="1:6">
      <c r="A35" s="167" t="b">
        <f>IF('GL Additional Coverages'!E30="YES",TRUE,FALSE)</f>
        <v>0</v>
      </c>
      <c r="B35" s="167" t="s">
        <v>3597</v>
      </c>
      <c r="C35" s="167" t="s">
        <v>3575</v>
      </c>
      <c r="D35" s="167" t="s">
        <v>3598</v>
      </c>
      <c r="F35" s="167" t="str">
        <f t="shared" si="0"/>
        <v/>
      </c>
    </row>
    <row r="36" spans="1:6">
      <c r="A36" s="167" t="b">
        <f>IF('GL Additional Coverages'!E33="Yes",TRUE,FALSE)</f>
        <v>0</v>
      </c>
      <c r="B36" s="615" t="s">
        <v>3599</v>
      </c>
      <c r="C36" s="167" t="s">
        <v>3575</v>
      </c>
      <c r="D36" s="615" t="s">
        <v>3600</v>
      </c>
      <c r="F36" s="167" t="str">
        <f t="shared" si="0"/>
        <v/>
      </c>
    </row>
    <row r="37" spans="1:6">
      <c r="A37" s="167" t="b">
        <f>IF('GL Additional Coverages'!E35="Yes",TRUE,FALSE)</f>
        <v>0</v>
      </c>
      <c r="B37" s="615" t="s">
        <v>3601</v>
      </c>
      <c r="C37" s="167" t="s">
        <v>3575</v>
      </c>
      <c r="D37" s="167" t="s">
        <v>3602</v>
      </c>
      <c r="F37" s="167" t="str">
        <f t="shared" si="0"/>
        <v/>
      </c>
    </row>
    <row r="38" spans="1:6">
      <c r="A38" s="167" t="b">
        <f>IF('GL Additional Coverages'!E37="Yes",TRUE,FALSE)</f>
        <v>0</v>
      </c>
      <c r="B38" s="615" t="s">
        <v>3603</v>
      </c>
      <c r="C38" s="167" t="s">
        <v>3575</v>
      </c>
      <c r="D38" s="167" t="s">
        <v>3017</v>
      </c>
      <c r="F38" s="167" t="str">
        <f t="shared" si="0"/>
        <v/>
      </c>
    </row>
    <row r="39" spans="1:6">
      <c r="A39" s="167" t="b">
        <f>IF('GL Additional Coverages'!E22="Yes",TRUE, FALSE)</f>
        <v>0</v>
      </c>
      <c r="B39" s="615" t="s">
        <v>3604</v>
      </c>
      <c r="C39" s="167" t="s">
        <v>3575</v>
      </c>
      <c r="D39" s="167" t="s">
        <v>3605</v>
      </c>
      <c r="F39" s="167" t="str">
        <f t="shared" si="0"/>
        <v/>
      </c>
    </row>
    <row r="40" spans="1:6">
      <c r="A40" s="167" t="b">
        <f>IF('GL Additional Coverages'!E39="Yes",TRUE,FALSE)</f>
        <v>0</v>
      </c>
      <c r="B40" s="615" t="s">
        <v>3606</v>
      </c>
      <c r="C40" s="167" t="s">
        <v>3575</v>
      </c>
      <c r="D40" s="167" t="s">
        <v>3073</v>
      </c>
      <c r="F40" s="167" t="str">
        <f t="shared" si="0"/>
        <v/>
      </c>
    </row>
    <row r="41" spans="1:6">
      <c r="F41" s="167" t="s">
        <v>3607</v>
      </c>
    </row>
    <row r="44" spans="1:6">
      <c r="C44" s="167" t="s">
        <v>3608</v>
      </c>
    </row>
    <row r="45" spans="1:6">
      <c r="F45" s="167" t="str">
        <f>CONCATENATE(F23,F24,F25,F26,F27,F28,F29,F30,F31,F32,F33,F34,F35,F36,F37,F38,F39,F40,F41)</f>
        <v>AVG 00 02  - Declarations - Harco, AVG 00 01  - Aviation General Liability Coverage Form, AVG 00 03  - Forms Schedule, Any Applicable State Amendatory Endorsements.</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dimension ref="A1:W64"/>
  <sheetViews>
    <sheetView workbookViewId="0">
      <selection activeCell="V9" sqref="V9"/>
    </sheetView>
  </sheetViews>
  <sheetFormatPr defaultColWidth="9" defaultRowHeight="15"/>
  <cols>
    <col min="1" max="1" width="10.125" style="167" customWidth="1"/>
    <col min="2" max="4" width="9" style="167"/>
    <col min="5" max="5" width="10.375" style="167" customWidth="1"/>
    <col min="6" max="10" width="9" style="167"/>
    <col min="11" max="11" width="10.125" style="167" bestFit="1" customWidth="1"/>
    <col min="12" max="17" width="9" style="167"/>
    <col min="18" max="18" width="8.875" style="227" bestFit="1" customWidth="1"/>
    <col min="19" max="19" width="9" style="167"/>
    <col min="20" max="20" width="8.875" style="167" bestFit="1" customWidth="1"/>
    <col min="21" max="16384" width="9" style="167"/>
  </cols>
  <sheetData>
    <row r="1" spans="1:23">
      <c r="U1" s="621" t="s">
        <v>3609</v>
      </c>
      <c r="V1" s="188">
        <f>'GL Coverage Screen'!N35</f>
        <v>400000</v>
      </c>
    </row>
    <row r="2" spans="1:23" ht="15.75" thickBot="1">
      <c r="V2" s="1414" t="s">
        <v>3610</v>
      </c>
      <c r="W2" s="1365"/>
    </row>
    <row r="3" spans="1:23" ht="16.5" thickTop="1" thickBot="1">
      <c r="E3" s="261"/>
      <c r="P3" s="243"/>
      <c r="Q3" s="242"/>
      <c r="R3" s="246"/>
      <c r="S3" s="242"/>
      <c r="T3" s="241"/>
      <c r="U3" s="167">
        <v>1</v>
      </c>
      <c r="V3" s="167">
        <v>100000</v>
      </c>
      <c r="W3" s="167">
        <v>0.75</v>
      </c>
    </row>
    <row r="4" spans="1:23" ht="15.75" thickTop="1">
      <c r="B4" s="245" t="s">
        <v>3611</v>
      </c>
      <c r="C4" s="187"/>
      <c r="D4" s="187"/>
      <c r="E4" s="622" t="s">
        <v>3612</v>
      </c>
      <c r="H4" s="167" t="s">
        <v>3613</v>
      </c>
      <c r="L4" s="243" t="s">
        <v>3614</v>
      </c>
      <c r="M4" s="242"/>
      <c r="N4" s="241"/>
      <c r="P4" s="233" t="s">
        <v>3615</v>
      </c>
      <c r="U4" s="167">
        <v>2</v>
      </c>
      <c r="V4" s="167">
        <v>250000</v>
      </c>
      <c r="W4" s="167">
        <v>0.85</v>
      </c>
    </row>
    <row r="5" spans="1:23" ht="15.75" thickBot="1">
      <c r="B5" s="240">
        <f>MATCH('GL Coverage Screen'!B5,GL_Rates!B4:B11,0)</f>
        <v>8</v>
      </c>
      <c r="C5" s="239">
        <f>VLOOKUP(B5,GL_Rates!A4:C11,3)</f>
        <v>5500</v>
      </c>
      <c r="D5" s="191">
        <f>IF('GL Coverage Screen'!B5='GL Coverage Screen'!Q5,PRODUCT('GL Coverage Screen'!H5,'GL_Calculation Sheet'!C5),'GL_Calculation Sheet'!C5)</f>
        <v>5500</v>
      </c>
      <c r="E5" s="261">
        <f>ROUND(ROUND(D5/115%,0)*B7,0)</f>
        <v>5500</v>
      </c>
      <c r="H5" s="1395">
        <f>ROUND(PRODUCT((VLOOKUP('GL Coverage Screen'!F11,GL_Rates!J31:K36,2)/1.15),B7),0)</f>
        <v>200</v>
      </c>
      <c r="I5" s="1395"/>
      <c r="L5" s="1418">
        <f>IF('GL Coverage Screen'!F21="","",ROUND(ROUND(GL_Rates!L4/115%,0)*$B$7,0))</f>
        <v>0</v>
      </c>
      <c r="M5" s="1419"/>
      <c r="N5" s="1420"/>
      <c r="P5" s="237">
        <f>IF('GL Coverage Screen'!F16="","",T6)</f>
        <v>2500</v>
      </c>
      <c r="T5" s="232"/>
      <c r="U5" s="167">
        <v>3</v>
      </c>
      <c r="V5" s="167">
        <v>500000</v>
      </c>
      <c r="W5" s="167">
        <v>0.9</v>
      </c>
    </row>
    <row r="6" spans="1:23" ht="15.75" thickTop="1">
      <c r="P6" s="233"/>
      <c r="T6" s="236">
        <f>ROUND(IF(SUM(R8:R10,R12:R14,R17:R20,R23:R26,R29:R32,R35:R38,R41:R46,R48,R51,R52,R54,R56,R58,R60,R62)&gt;2500,SUM(R8:R10,R12:R14,R17:R20,R23:R26,R29:R32,R35:R38,R41:R46,R48,R51,R52,R54,R56,R58,R60,R62),2500),0)</f>
        <v>2500</v>
      </c>
      <c r="U6" s="167">
        <v>4</v>
      </c>
      <c r="V6" s="167">
        <v>1000000</v>
      </c>
      <c r="W6" s="167">
        <v>0.95</v>
      </c>
    </row>
    <row r="7" spans="1:23">
      <c r="A7" s="589" t="s">
        <v>18</v>
      </c>
      <c r="B7" s="212">
        <f>1+'Data-UW'!B4</f>
        <v>1.1499999999999999</v>
      </c>
      <c r="L7" s="167" t="s">
        <v>3616</v>
      </c>
      <c r="P7" s="233" t="s">
        <v>3508</v>
      </c>
      <c r="T7" s="232"/>
    </row>
    <row r="8" spans="1:23" ht="15.75" thickBot="1">
      <c r="P8" s="233"/>
      <c r="Q8" s="167" t="s">
        <v>2914</v>
      </c>
      <c r="R8" s="227">
        <f>PRODUCT('GL Coverage Screen'!E36/1000,GL_Rates!D18)</f>
        <v>2000</v>
      </c>
      <c r="T8" s="232"/>
      <c r="V8" s="167" t="s">
        <v>3617</v>
      </c>
    </row>
    <row r="9" spans="1:23" ht="15.75" thickTop="1">
      <c r="A9" s="213"/>
      <c r="B9" s="193" t="s">
        <v>3618</v>
      </c>
      <c r="C9" s="193"/>
      <c r="D9" s="193"/>
      <c r="E9" s="193"/>
      <c r="F9" s="193"/>
      <c r="G9" s="192"/>
      <c r="H9" s="167" t="s">
        <v>3619</v>
      </c>
      <c r="M9" s="167" t="s">
        <v>3620</v>
      </c>
      <c r="P9" s="233"/>
      <c r="Q9" s="167" t="s">
        <v>3540</v>
      </c>
      <c r="R9" s="227">
        <f>PRODUCT('GL Coverage Screen'!E37/1000,GL_Rates!D19)</f>
        <v>0</v>
      </c>
      <c r="T9" s="232"/>
      <c r="U9" s="167">
        <f>MATCH('GL Coverage Screen'!F17,LimitsGLMatch,0)</f>
        <v>3</v>
      </c>
      <c r="V9" s="212">
        <f>VLOOKUP(U9,LimitsIncreaseFactorGL,4)</f>
        <v>0.9</v>
      </c>
    </row>
    <row r="10" spans="1:23">
      <c r="A10" s="184">
        <f>MATCH('GL Coverage Screen'!F9,LimitsGLMatch,0)</f>
        <v>6</v>
      </c>
      <c r="B10" s="212">
        <f>VLOOKUP(A10,LimitsIncreaseFactorGL,4)</f>
        <v>1.65</v>
      </c>
      <c r="G10" s="182"/>
      <c r="H10" s="167" t="s">
        <v>3621</v>
      </c>
      <c r="M10" s="222">
        <f>SUM(1,'GL DebitCredit'!I43,'GL DebitCredit'!H53)</f>
        <v>1</v>
      </c>
      <c r="P10" s="233"/>
      <c r="Q10" s="167" t="s">
        <v>2856</v>
      </c>
      <c r="R10" s="227">
        <f>PRODUCT('GL Coverage Screen'!E38/1000,GL_Rates!D20)</f>
        <v>0</v>
      </c>
      <c r="T10" s="232"/>
    </row>
    <row r="11" spans="1:23" ht="15.75" thickBot="1">
      <c r="A11" s="184"/>
      <c r="G11" s="182"/>
      <c r="H11" s="1422">
        <f>IF('GL Coverage Screen'!H7=0,1,IF('GL Coverage Screen'!H7="",1,IF(B13=0,1,B13)))</f>
        <v>3</v>
      </c>
      <c r="I11" s="1423"/>
      <c r="J11" s="1423"/>
      <c r="P11" s="1417" t="s">
        <v>3523</v>
      </c>
      <c r="Q11" s="1379"/>
      <c r="R11" s="1379"/>
      <c r="T11" s="232"/>
      <c r="V11" s="167" t="s">
        <v>3620</v>
      </c>
    </row>
    <row r="12" spans="1:23" ht="16.5" thickTop="1" thickBot="1">
      <c r="A12" s="184"/>
      <c r="B12" s="167" t="s">
        <v>3622</v>
      </c>
      <c r="G12" s="182"/>
      <c r="M12" s="234">
        <f>ROUND(PRODUCT(L5,M10),0)</f>
        <v>0</v>
      </c>
      <c r="P12" s="233"/>
      <c r="Q12" s="167" t="s">
        <v>2914</v>
      </c>
      <c r="R12" s="227">
        <f>PRODUCT('GL Coverage Screen'!J36/1000,GL_Rates!D23)</f>
        <v>0</v>
      </c>
      <c r="T12" s="232"/>
      <c r="V12" s="212">
        <f>SUM(V9,'GL DebitCredit'!I58)</f>
        <v>0.9</v>
      </c>
    </row>
    <row r="13" spans="1:23" ht="16.5" thickTop="1" thickBot="1">
      <c r="A13" s="184"/>
      <c r="B13" s="222">
        <f>VLOOKUP('GL Coverage Screen'!H7,GL_Rates!G92:I101,3)</f>
        <v>3</v>
      </c>
      <c r="G13" s="182"/>
      <c r="H13" s="1404" t="s">
        <v>3623</v>
      </c>
      <c r="I13" s="1365"/>
      <c r="J13" s="1365"/>
      <c r="P13" s="233"/>
      <c r="Q13" s="167" t="s">
        <v>3540</v>
      </c>
      <c r="R13" s="227">
        <f>PRODUCT('GL Coverage Screen'!J37/1000,GL_Rates!D24)</f>
        <v>0</v>
      </c>
      <c r="T13" s="232"/>
    </row>
    <row r="14" spans="1:23" ht="16.5" thickTop="1" thickBot="1">
      <c r="A14" s="184"/>
      <c r="G14" s="182"/>
      <c r="I14" s="234">
        <f>ROUND(IF('GL Coverage Screen'!F11="","N/A",ROUND(PRODUCT(H5*'GL Coverage Screen'!H7,H11),0)),0)</f>
        <v>1800</v>
      </c>
      <c r="P14" s="233"/>
      <c r="Q14" s="167" t="s">
        <v>2856</v>
      </c>
      <c r="R14" s="227">
        <f>PRODUCT('GL Coverage Screen'!J38/1000,GL_Rates!D25)</f>
        <v>0</v>
      </c>
      <c r="T14" s="232"/>
      <c r="V14" s="167" t="s">
        <v>3624</v>
      </c>
    </row>
    <row r="15" spans="1:23" ht="16.5" thickTop="1" thickBot="1">
      <c r="A15" s="184"/>
      <c r="G15" s="182"/>
      <c r="P15" s="1421" t="s">
        <v>3535</v>
      </c>
      <c r="Q15" s="1365"/>
      <c r="T15" s="232"/>
      <c r="V15" s="235">
        <f>IF(ROUND(PRODUCT(P5,V12,V19),0)&lt;2500,2500,ROUND(PRODUCT(P5,V12,V19),0))</f>
        <v>2500</v>
      </c>
    </row>
    <row r="16" spans="1:23" ht="15.75" thickTop="1">
      <c r="A16" s="184"/>
      <c r="B16" s="222"/>
      <c r="G16" s="182"/>
      <c r="P16" s="1417" t="s">
        <v>3539</v>
      </c>
      <c r="Q16" s="1379"/>
      <c r="T16" s="232"/>
      <c r="V16" s="623" t="s">
        <v>3625</v>
      </c>
    </row>
    <row r="17" spans="1:22">
      <c r="A17" s="184"/>
      <c r="G17" s="182"/>
      <c r="I17" s="167" t="s">
        <v>3626</v>
      </c>
      <c r="K17" s="167">
        <f>50/115%</f>
        <v>43.478260869565219</v>
      </c>
      <c r="P17" s="1417" t="s">
        <v>2914</v>
      </c>
      <c r="Q17" s="1379"/>
      <c r="R17" s="227">
        <f>PRODUCT('GL Coverage Screen'!E42/1000,GL_Rates!D29)</f>
        <v>0</v>
      </c>
      <c r="T17" s="232"/>
      <c r="V17" s="188">
        <f>ROUND(ROUND(V15/115%,0)*B7,0)</f>
        <v>2500</v>
      </c>
    </row>
    <row r="18" spans="1:22">
      <c r="A18" s="184"/>
      <c r="B18" s="167" t="s">
        <v>3627</v>
      </c>
      <c r="G18" s="182"/>
      <c r="I18" s="188">
        <f>IF(B7=115%,VLOOKUP('GL Coverage Screen'!F12,GL_Rates!J39:K43,2),ROUND(ROUND(VLOOKUP('GL Coverage Screen'!F12,GL_Rates!J39:K43,2)/115%,0)*B7,0))</f>
        <v>50</v>
      </c>
      <c r="K18" s="590">
        <f>K17*115%</f>
        <v>50</v>
      </c>
      <c r="P18" s="1417" t="s">
        <v>3540</v>
      </c>
      <c r="Q18" s="1379"/>
      <c r="R18" s="227">
        <f>PRODUCT('GL Coverage Screen'!E43/1000,GL_Rates!D30)</f>
        <v>0</v>
      </c>
      <c r="T18" s="232"/>
      <c r="V18" s="623" t="s">
        <v>3628</v>
      </c>
    </row>
    <row r="19" spans="1:22">
      <c r="A19" s="184"/>
      <c r="B19" s="212">
        <f>SUM(B10*B13,IF(OR(B5=5,B5=8),'GL DebitCredit'!I5,'GL DebitCredit'!I26))</f>
        <v>5.0499999999999989</v>
      </c>
      <c r="G19" s="182"/>
      <c r="P19" s="1417" t="s">
        <v>3541</v>
      </c>
      <c r="Q19" s="1379"/>
      <c r="R19" s="227">
        <f>PRODUCT('GL Coverage Screen'!E44/1000,GL_Rates!D31)</f>
        <v>0</v>
      </c>
      <c r="T19" s="232"/>
      <c r="V19" s="222">
        <f>VLOOKUP(V1,RevenuGLSizeFactor,3)</f>
        <v>1</v>
      </c>
    </row>
    <row r="20" spans="1:22">
      <c r="A20" s="184"/>
      <c r="B20" s="624">
        <f>G31</f>
        <v>0</v>
      </c>
      <c r="C20" s="615" t="s">
        <v>3629</v>
      </c>
      <c r="G20" s="182"/>
      <c r="P20" s="1417" t="s">
        <v>3542</v>
      </c>
      <c r="Q20" s="1379"/>
      <c r="R20" s="227">
        <f>PRODUCT('GL Coverage Screen'!E45/1000,GL_Rates!D32)</f>
        <v>0</v>
      </c>
      <c r="T20" s="232"/>
    </row>
    <row r="21" spans="1:22" ht="15.75" thickBot="1">
      <c r="A21" s="184"/>
      <c r="B21" s="167" t="s">
        <v>3623</v>
      </c>
      <c r="G21" s="182"/>
      <c r="I21" s="167" t="s">
        <v>3630</v>
      </c>
      <c r="P21" s="233"/>
      <c r="T21" s="232"/>
      <c r="V21" s="167" t="s">
        <v>3631</v>
      </c>
    </row>
    <row r="22" spans="1:22" ht="16.5" thickTop="1" thickBot="1">
      <c r="A22" s="181"/>
      <c r="B22" s="234">
        <f>ROUND(PRODUCT(E5,B19),0)+B20</f>
        <v>27775</v>
      </c>
      <c r="C22" s="180"/>
      <c r="D22" s="180"/>
      <c r="E22" s="180"/>
      <c r="F22" s="180"/>
      <c r="G22" s="178"/>
      <c r="I22" s="234">
        <f>IF('GL Coverage Screen'!F12="","N/A",ROUND(PRODUCT(I18*'GL Coverage Screen'!H7,H11),0))</f>
        <v>450</v>
      </c>
      <c r="P22" s="1417" t="s">
        <v>3537</v>
      </c>
      <c r="Q22" s="1379"/>
      <c r="R22" s="1379"/>
      <c r="S22" s="1379"/>
      <c r="T22" s="232"/>
      <c r="V22" s="167">
        <f>IFERROR(VLOOKUP(MATCH('GL Coverage Screen'!$F$18,'GL_Calculation Sheet'!V3:V6,0),'GL_Calculation Sheet'!U3:W6,3),1)</f>
        <v>0.85</v>
      </c>
    </row>
    <row r="23" spans="1:22" ht="16.5" thickTop="1" thickBot="1">
      <c r="P23" s="233" t="s">
        <v>2914</v>
      </c>
      <c r="R23" s="227">
        <f>PRODUCT('GL Coverage Screen'!J42/1000,GL_Rates!D35)</f>
        <v>0</v>
      </c>
      <c r="T23" s="232"/>
      <c r="V23" s="167" t="s">
        <v>3632</v>
      </c>
    </row>
    <row r="24" spans="1:22" ht="16.5" thickTop="1" thickBot="1">
      <c r="P24" s="233" t="s">
        <v>3540</v>
      </c>
      <c r="R24" s="227">
        <f>PRODUCT('GL Coverage Screen'!J43/1000,GL_Rates!D36)</f>
        <v>0</v>
      </c>
      <c r="T24" s="232"/>
      <c r="V24" s="234">
        <f>ROUND(PRODUCT(V17*V22),0)</f>
        <v>2125</v>
      </c>
    </row>
    <row r="25" spans="1:22" ht="15.75" thickTop="1">
      <c r="P25" s="233" t="s">
        <v>2856</v>
      </c>
      <c r="R25" s="227">
        <f>PRODUCT('GL Coverage Screen'!J44/1000,GL_Rates!D37)</f>
        <v>0</v>
      </c>
      <c r="T25" s="232"/>
    </row>
    <row r="26" spans="1:22">
      <c r="D26" s="188">
        <f>B22</f>
        <v>27775</v>
      </c>
      <c r="F26" s="621" t="s">
        <v>3633</v>
      </c>
      <c r="G26" s="625" t="str">
        <f>IF(OR('GL Coverage Screen'!D74="",'GL Coverage Screen'!D74=0),"",ROUND('GL Coverage Screen'!D74*GL_Rates!N32,0))</f>
        <v/>
      </c>
      <c r="P26" s="233" t="s">
        <v>3543</v>
      </c>
      <c r="R26" s="227">
        <f>PRODUCT('GL Coverage Screen'!J45/1000,GL_Rates!D38)</f>
        <v>0</v>
      </c>
      <c r="T26" s="232"/>
    </row>
    <row r="27" spans="1:22">
      <c r="F27" s="621" t="s">
        <v>3634</v>
      </c>
      <c r="G27" s="625" t="str">
        <f>IF(OR('GL Coverage Screen'!D75="",'GL Coverage Screen'!D75=0),"",ROUND('GL Coverage Screen'!D75*GL_Rates!N33,0))</f>
        <v/>
      </c>
      <c r="P27" s="233"/>
      <c r="T27" s="232"/>
    </row>
    <row r="28" spans="1:22">
      <c r="F28" s="621" t="s">
        <v>3635</v>
      </c>
      <c r="G28" s="625" t="str">
        <f>IF(OR('GL Coverage Screen'!H74="",'GL Coverage Screen'!H74=0),"",ROUND('GL Coverage Screen'!H74*GL_Rates!N34,0))</f>
        <v/>
      </c>
      <c r="P28" s="1415" t="s">
        <v>3636</v>
      </c>
      <c r="Q28" s="1401"/>
      <c r="R28" s="1401"/>
      <c r="S28" s="1401"/>
      <c r="T28" s="1416"/>
    </row>
    <row r="29" spans="1:22">
      <c r="F29" s="621" t="s">
        <v>3637</v>
      </c>
      <c r="G29" s="625" t="str">
        <f>IF(OR('GL Coverage Screen'!H75="",'GL Coverage Screen'!H75=0),"",ROUND('GL Coverage Screen'!H75*GL_Rates!N35,0))</f>
        <v/>
      </c>
      <c r="P29" s="233" t="s">
        <v>2914</v>
      </c>
      <c r="R29" s="227">
        <f>PRODUCT('GL Coverage Screen'!E49/1000,GL_Rates!D41)</f>
        <v>0</v>
      </c>
      <c r="T29" s="232"/>
    </row>
    <row r="30" spans="1:22">
      <c r="F30" s="626" t="s">
        <v>3638</v>
      </c>
      <c r="G30" s="625" t="str">
        <f>IF(OR('GL Coverage Screen'!J74="",'GL Coverage Screen'!J74=0),"",ROUND('GL Coverage Screen'!J74*GL_Rates!N36,0))</f>
        <v/>
      </c>
      <c r="P30" s="233" t="s">
        <v>3540</v>
      </c>
      <c r="R30" s="227">
        <f>PRODUCT('GL Coverage Screen'!E50/1000,GL_Rates!D42)</f>
        <v>0</v>
      </c>
      <c r="T30" s="232"/>
    </row>
    <row r="31" spans="1:22">
      <c r="G31" s="625">
        <f>IF(OR(B5=5,B5=8),SUM(G26:G30),0)</f>
        <v>0</v>
      </c>
      <c r="P31" s="233" t="s">
        <v>2856</v>
      </c>
      <c r="R31" s="227">
        <f>PRODUCT('GL Coverage Screen'!E51/1000,GL_Rates!D43)</f>
        <v>0</v>
      </c>
      <c r="T31" s="232"/>
    </row>
    <row r="32" spans="1:22">
      <c r="P32" s="233" t="s">
        <v>3543</v>
      </c>
      <c r="R32" s="227">
        <f>PRODUCT('GL Coverage Screen'!E52/1000,GL_Rates!D44)</f>
        <v>0</v>
      </c>
      <c r="T32" s="232"/>
    </row>
    <row r="33" spans="16:20">
      <c r="P33" s="233"/>
      <c r="T33" s="232"/>
    </row>
    <row r="34" spans="16:20">
      <c r="P34" s="1415" t="s">
        <v>3552</v>
      </c>
      <c r="Q34" s="1401"/>
      <c r="R34" s="1401"/>
      <c r="S34" s="1401"/>
      <c r="T34" s="1416"/>
    </row>
    <row r="35" spans="16:20">
      <c r="P35" s="233" t="s">
        <v>2914</v>
      </c>
      <c r="R35" s="227">
        <f>PRODUCT('GL Coverage Screen'!E56/1000,GL_Rates!D47)</f>
        <v>0</v>
      </c>
      <c r="T35" s="232"/>
    </row>
    <row r="36" spans="16:20">
      <c r="P36" s="233" t="s">
        <v>3540</v>
      </c>
      <c r="R36" s="227">
        <f>PRODUCT('GL Coverage Screen'!E57/1000,GL_Rates!D48)</f>
        <v>0</v>
      </c>
      <c r="T36" s="232"/>
    </row>
    <row r="37" spans="16:20">
      <c r="P37" s="233" t="s">
        <v>2856</v>
      </c>
      <c r="R37" s="227">
        <f>PRODUCT('GL Coverage Screen'!E58/1000,GL_Rates!D49)</f>
        <v>0</v>
      </c>
      <c r="T37" s="232"/>
    </row>
    <row r="38" spans="16:20">
      <c r="P38" s="233" t="s">
        <v>3543</v>
      </c>
      <c r="R38" s="227">
        <f>PRODUCT('GL Coverage Screen'!E59/1000,GL_Rates!D50)</f>
        <v>0</v>
      </c>
      <c r="T38" s="232"/>
    </row>
    <row r="39" spans="16:20">
      <c r="P39" s="233"/>
      <c r="T39" s="232"/>
    </row>
    <row r="40" spans="16:20">
      <c r="P40" s="233" t="s">
        <v>3559</v>
      </c>
      <c r="T40" s="232"/>
    </row>
    <row r="41" spans="16:20">
      <c r="P41" s="233"/>
      <c r="Q41" s="167" t="s">
        <v>3639</v>
      </c>
      <c r="R41" s="227">
        <f>PRODUCT('GL Coverage Screen'!E67/1000,GL_Rates!D53)</f>
        <v>0</v>
      </c>
      <c r="T41" s="232"/>
    </row>
    <row r="42" spans="16:20">
      <c r="P42" s="233"/>
      <c r="Q42" s="167" t="s">
        <v>3640</v>
      </c>
      <c r="R42" s="227">
        <f>PRODUCT('GL Coverage Screen'!E68/1000,GL_Rates!D54)</f>
        <v>0</v>
      </c>
      <c r="T42" s="232"/>
    </row>
    <row r="43" spans="16:20">
      <c r="P43" s="233"/>
      <c r="Q43" s="167" t="s">
        <v>3641</v>
      </c>
      <c r="R43" s="227">
        <f>PRODUCT('GL Coverage Screen'!E69/1000,GL_Rates!D55)</f>
        <v>0</v>
      </c>
      <c r="T43" s="232"/>
    </row>
    <row r="44" spans="16:20">
      <c r="P44" s="233"/>
      <c r="Q44" s="167" t="s">
        <v>3642</v>
      </c>
      <c r="R44" s="227">
        <f>PRODUCT('GL Coverage Screen'!E70/1000,GL_Rates!D56)</f>
        <v>0</v>
      </c>
      <c r="T44" s="232"/>
    </row>
    <row r="45" spans="16:20">
      <c r="P45" s="233"/>
      <c r="Q45" s="167" t="s">
        <v>3532</v>
      </c>
      <c r="R45" s="227">
        <f>PRODUCT('GL Coverage Screen'!E71/1000,GL_Rates!D57)</f>
        <v>0</v>
      </c>
      <c r="T45" s="232"/>
    </row>
    <row r="46" spans="16:20">
      <c r="P46" s="233"/>
      <c r="Q46" s="167" t="s">
        <v>3543</v>
      </c>
      <c r="R46" s="227">
        <f>PRODUCT('GL Coverage Screen'!E72/1000,GL_Rates!D58)</f>
        <v>0</v>
      </c>
      <c r="T46" s="232"/>
    </row>
    <row r="47" spans="16:20">
      <c r="P47" s="233"/>
      <c r="T47" s="232"/>
    </row>
    <row r="48" spans="16:20">
      <c r="P48" s="233" t="s">
        <v>3643</v>
      </c>
      <c r="R48" s="227">
        <f>PRODUCT('GL Coverage Screen'!J48/1000,GL_Rates!D60)</f>
        <v>0</v>
      </c>
      <c r="T48" s="232"/>
    </row>
    <row r="49" spans="16:20">
      <c r="P49" s="233"/>
      <c r="T49" s="232"/>
    </row>
    <row r="50" spans="16:20">
      <c r="P50" s="233" t="s">
        <v>3644</v>
      </c>
      <c r="T50" s="232"/>
    </row>
    <row r="51" spans="16:20">
      <c r="P51" s="233" t="s">
        <v>3645</v>
      </c>
      <c r="R51" s="227">
        <f>PRODUCT('GL Coverage Screen'!J51/1000,GL_Rates!D63)</f>
        <v>0</v>
      </c>
      <c r="T51" s="232"/>
    </row>
    <row r="52" spans="16:20">
      <c r="P52" s="233" t="s">
        <v>3646</v>
      </c>
      <c r="R52" s="227">
        <f>PRODUCT('GL Coverage Screen'!J52/1000,GL_Rates!D64)</f>
        <v>0</v>
      </c>
      <c r="T52" s="232"/>
    </row>
    <row r="53" spans="16:20">
      <c r="P53" s="233"/>
      <c r="T53" s="232"/>
    </row>
    <row r="54" spans="16:20">
      <c r="P54" s="233" t="s">
        <v>3647</v>
      </c>
      <c r="R54" s="227">
        <f>PRODUCT('GL Coverage Screen'!J55/1000,GL_Rates!D66)</f>
        <v>0</v>
      </c>
      <c r="T54" s="232"/>
    </row>
    <row r="55" spans="16:20">
      <c r="P55" s="233"/>
      <c r="T55" s="232"/>
    </row>
    <row r="56" spans="16:20">
      <c r="P56" s="233" t="s">
        <v>3648</v>
      </c>
      <c r="R56" s="227">
        <f>PRODUCT('GL Coverage Screen'!J58/1000,GL_Rates!D68)</f>
        <v>0</v>
      </c>
      <c r="T56" s="232"/>
    </row>
    <row r="57" spans="16:20">
      <c r="P57" s="233"/>
      <c r="T57" s="232"/>
    </row>
    <row r="58" spans="16:20">
      <c r="P58" s="1417" t="s">
        <v>3649</v>
      </c>
      <c r="Q58" s="1379"/>
      <c r="R58" s="227">
        <f>PRODUCT('GL Coverage Screen'!E61/1000,GL_Rates!D72)</f>
        <v>0</v>
      </c>
      <c r="T58" s="232"/>
    </row>
    <row r="59" spans="16:20">
      <c r="P59" s="233"/>
      <c r="T59" s="232"/>
    </row>
    <row r="60" spans="16:20">
      <c r="P60" s="233" t="s">
        <v>3530</v>
      </c>
      <c r="R60" s="227">
        <f>PRODUCT('GL Coverage Screen'!E64/1000,GL_Rates!D74)</f>
        <v>0</v>
      </c>
      <c r="T60" s="232"/>
    </row>
    <row r="61" spans="16:20">
      <c r="P61" s="233"/>
      <c r="T61" s="232"/>
    </row>
    <row r="62" spans="16:20">
      <c r="P62" s="233" t="s">
        <v>3650</v>
      </c>
      <c r="R62" s="227">
        <f>PRODUCT('GL Coverage Screen'!J63/1000,GL_Rates!D76)</f>
        <v>0</v>
      </c>
      <c r="T62" s="232"/>
    </row>
    <row r="63" spans="16:20" ht="15.75" thickBot="1">
      <c r="P63" s="231"/>
      <c r="Q63" s="229"/>
      <c r="R63" s="230"/>
      <c r="S63" s="229"/>
      <c r="T63" s="228"/>
    </row>
    <row r="64" spans="16:20" ht="15.75" thickTop="1"/>
  </sheetData>
  <mergeCells count="16">
    <mergeCell ref="L5:N5"/>
    <mergeCell ref="H5:I5"/>
    <mergeCell ref="P11:R11"/>
    <mergeCell ref="P15:Q15"/>
    <mergeCell ref="P22:S22"/>
    <mergeCell ref="P19:Q19"/>
    <mergeCell ref="P20:Q20"/>
    <mergeCell ref="H11:J11"/>
    <mergeCell ref="H13:J13"/>
    <mergeCell ref="V2:W2"/>
    <mergeCell ref="P34:T34"/>
    <mergeCell ref="P58:Q58"/>
    <mergeCell ref="P16:Q16"/>
    <mergeCell ref="P17:Q17"/>
    <mergeCell ref="P18:Q18"/>
    <mergeCell ref="P28:T28"/>
  </mergeCell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tabColor rgb="FF0070C0"/>
  </sheetPr>
  <dimension ref="A1:XFD85"/>
  <sheetViews>
    <sheetView showGridLines="0" zoomScale="120" zoomScaleNormal="120" zoomScaleSheetLayoutView="100" workbookViewId="0">
      <selection activeCell="D15" sqref="D15"/>
    </sheetView>
  </sheetViews>
  <sheetFormatPr defaultColWidth="8" defaultRowHeight="15" zeroHeight="1"/>
  <cols>
    <col min="1" max="1" width="8" style="167" customWidth="1"/>
    <col min="2" max="2" width="7.25" style="167" customWidth="1"/>
    <col min="3" max="3" width="8" style="167" customWidth="1"/>
    <col min="4" max="4" width="8.125" style="167" bestFit="1" customWidth="1"/>
    <col min="5" max="5" width="10" style="167" customWidth="1"/>
    <col min="6" max="7" width="8" style="167" customWidth="1"/>
    <col min="8" max="8" width="8.125" style="167" bestFit="1" customWidth="1"/>
    <col min="9" max="9" width="10.5" style="167" bestFit="1" customWidth="1"/>
    <col min="10" max="10" width="8" style="202" customWidth="1"/>
    <col min="11" max="11" width="8" style="167" customWidth="1"/>
    <col min="12" max="12" width="32.5" style="167" customWidth="1"/>
    <col min="13" max="22" width="8" style="167" hidden="1" customWidth="1"/>
    <col min="23" max="16378" width="0" style="167" hidden="1" customWidth="1"/>
    <col min="16379" max="16379" width="0.875" style="167" hidden="1" customWidth="1"/>
    <col min="16380" max="16380" width="3.375" style="167" hidden="1" customWidth="1"/>
    <col min="16381" max="16381" width="2" style="167" hidden="1" customWidth="1"/>
    <col min="16382" max="16382" width="0.75" style="167" hidden="1" customWidth="1"/>
    <col min="16383" max="16383" width="2.25" style="167" hidden="1" customWidth="1"/>
    <col min="16384" max="16384" width="10.375" style="167" hidden="1" customWidth="1"/>
  </cols>
  <sheetData>
    <row r="1" spans="1:12 16384:16384" ht="15" customHeight="1">
      <c r="A1" s="627"/>
      <c r="B1" s="177" t="s">
        <v>3651</v>
      </c>
      <c r="C1" s="177"/>
      <c r="D1" s="177"/>
      <c r="E1" s="1316" t="s">
        <v>3652</v>
      </c>
      <c r="F1" s="1316"/>
      <c r="G1" s="1316"/>
      <c r="H1" s="177"/>
      <c r="I1" s="177"/>
      <c r="J1" s="177"/>
      <c r="K1" s="177"/>
      <c r="L1" s="1426" t="str">
        <f>IF(A1&gt;"",XFD1&amp;XFD2&amp;XFD3,"")</f>
        <v/>
      </c>
      <c r="XFD1" s="615" t="s">
        <v>3653</v>
      </c>
    </row>
    <row r="2" spans="1:12 16384:16384" ht="15.75" customHeight="1" thickBot="1">
      <c r="A2" s="1397" t="s">
        <v>3654</v>
      </c>
      <c r="B2" s="1397"/>
      <c r="C2" s="1397"/>
      <c r="D2" s="1397"/>
      <c r="E2" s="1397"/>
      <c r="F2" s="1397"/>
      <c r="G2" s="1397"/>
      <c r="H2" s="1397"/>
      <c r="I2" s="1397"/>
      <c r="J2" s="1397"/>
      <c r="K2" s="1397"/>
      <c r="L2" s="1426"/>
      <c r="XFD2" s="615" t="s">
        <v>3655</v>
      </c>
    </row>
    <row r="3" spans="1:12 16384:16384" ht="15.75" thickTop="1">
      <c r="B3" s="213"/>
      <c r="C3" s="193"/>
      <c r="D3" s="193"/>
      <c r="E3" s="193"/>
      <c r="F3" s="1427" t="str">
        <f>IF(A1&gt;"","Uncapped IRPM Override:","")</f>
        <v/>
      </c>
      <c r="G3" s="1428"/>
      <c r="H3" s="1428"/>
      <c r="I3" s="548">
        <v>0</v>
      </c>
      <c r="L3" s="1426"/>
      <c r="XFD3" s="615" t="s">
        <v>3656</v>
      </c>
    </row>
    <row r="4" spans="1:12 16384:16384" ht="15.75" thickBot="1">
      <c r="B4" s="1404" t="s">
        <v>3657</v>
      </c>
      <c r="C4" s="1365"/>
      <c r="D4" s="1365"/>
      <c r="E4" s="1365"/>
      <c r="F4" s="212">
        <v>-0.5</v>
      </c>
      <c r="G4" s="167" t="s">
        <v>3658</v>
      </c>
      <c r="I4" s="182" t="s">
        <v>3659</v>
      </c>
      <c r="L4" s="1426"/>
    </row>
    <row r="5" spans="1:12 16384:16384" ht="17.25" thickTop="1" thickBot="1">
      <c r="B5" s="184"/>
      <c r="F5" s="212">
        <v>1</v>
      </c>
      <c r="G5" s="167" t="s">
        <v>3660</v>
      </c>
      <c r="I5" s="544">
        <f>IF(I3&gt;0,I3,IF(SUM(H7,H9,H11,H13,H15,H17,H19,H21)&lt;-50%,-50%,IF(SUM(H7,H9,H11,H13,H15,H17,H19,H21)&gt;100%,100%,SUM(H7,H9,H11,H13,H15,H17,H19,H21))))</f>
        <v>0.1</v>
      </c>
      <c r="J5" s="1429" t="s">
        <v>3661</v>
      </c>
      <c r="K5" s="1430"/>
      <c r="L5" s="1426"/>
    </row>
    <row r="6" spans="1:12 16384:16384" ht="15.75" thickTop="1">
      <c r="B6" s="213" t="s">
        <v>3662</v>
      </c>
      <c r="C6" s="193"/>
      <c r="D6" s="193" t="s">
        <v>3663</v>
      </c>
      <c r="E6" s="193"/>
      <c r="F6" s="193"/>
      <c r="G6" s="193"/>
      <c r="H6" s="193" t="s">
        <v>3664</v>
      </c>
      <c r="I6" s="192"/>
      <c r="J6" s="547" t="s">
        <v>3665</v>
      </c>
      <c r="K6" s="182"/>
      <c r="L6" s="1426"/>
    </row>
    <row r="7" spans="1:12 16384:16384">
      <c r="B7" s="184"/>
      <c r="D7" s="225">
        <v>0.1</v>
      </c>
      <c r="H7" s="209">
        <f>IF(D7=0,0,IF(D7="",0,IF(D7&lt;-25%,-25%,IF(D7&gt;25%,25%,D7))))</f>
        <v>0.1</v>
      </c>
      <c r="I7" s="182"/>
      <c r="J7" s="1439">
        <f>'GL Coverage Screen'!H9</f>
        <v>27775</v>
      </c>
      <c r="K7" s="1440"/>
      <c r="L7" s="1426"/>
    </row>
    <row r="8" spans="1:12 16384:16384">
      <c r="B8" s="184" t="s">
        <v>3666</v>
      </c>
      <c r="D8" s="167" t="s">
        <v>3663</v>
      </c>
      <c r="I8" s="182"/>
      <c r="L8" s="1426"/>
    </row>
    <row r="9" spans="1:12 16384:16384">
      <c r="B9" s="184"/>
      <c r="D9" s="225">
        <v>0</v>
      </c>
      <c r="H9" s="209">
        <f>IF(D9=0,0,IF(D9="",0,IF(D9&lt;-25%,-25%,IF(D9&gt;25%,25%,D9))))</f>
        <v>0</v>
      </c>
      <c r="I9" s="182"/>
      <c r="L9" s="1426"/>
    </row>
    <row r="10" spans="1:12 16384:16384">
      <c r="B10" s="1441" t="s">
        <v>3667</v>
      </c>
      <c r="C10" s="1376"/>
      <c r="D10" s="167" t="s">
        <v>3668</v>
      </c>
      <c r="H10" s="226"/>
      <c r="I10" s="182"/>
      <c r="J10" s="1424" t="str">
        <f>IF($A$1&gt;"","Uncapped Justification","")</f>
        <v/>
      </c>
      <c r="K10" s="1425"/>
      <c r="L10" s="1425"/>
    </row>
    <row r="11" spans="1:12 16384:16384">
      <c r="B11" s="184"/>
      <c r="D11" s="225">
        <v>0</v>
      </c>
      <c r="H11" s="209">
        <f>IF(D11=0,0,IF(D11="",0,IF(D11&lt;-10%,-10%,IF(D11&gt;20%,20%,D11))))</f>
        <v>0</v>
      </c>
      <c r="I11" s="182"/>
      <c r="J11" s="1431"/>
      <c r="K11" s="1432"/>
      <c r="L11" s="1432"/>
    </row>
    <row r="12" spans="1:12 16384:16384">
      <c r="B12" s="184" t="s">
        <v>3669</v>
      </c>
      <c r="I12" s="182"/>
      <c r="J12" s="1431"/>
      <c r="K12" s="1432"/>
      <c r="L12" s="1432"/>
    </row>
    <row r="13" spans="1:12 16384:16384">
      <c r="B13" s="184"/>
      <c r="D13" s="175"/>
      <c r="H13" s="209">
        <f>IF(D13="Yes",-10%,0%)</f>
        <v>0</v>
      </c>
      <c r="I13" s="182"/>
      <c r="J13" s="1431"/>
      <c r="K13" s="1432"/>
      <c r="L13" s="1432"/>
    </row>
    <row r="14" spans="1:12 16384:16384">
      <c r="B14" s="184" t="s">
        <v>3670</v>
      </c>
      <c r="D14" s="167" t="s">
        <v>3671</v>
      </c>
      <c r="H14" s="226"/>
      <c r="I14" s="182"/>
      <c r="J14" s="1431"/>
      <c r="K14" s="1432"/>
      <c r="L14" s="1432"/>
    </row>
    <row r="15" spans="1:12 16384:16384">
      <c r="B15" s="184"/>
      <c r="D15" s="225">
        <v>0</v>
      </c>
      <c r="H15" s="209">
        <f>IF(D15=0,0,IF(D15="",0,IF(D15&lt;0%,0%,IF(D15&gt;50%,50%,D15))))</f>
        <v>0</v>
      </c>
      <c r="I15" s="182"/>
      <c r="J15" s="1431"/>
      <c r="K15" s="1432"/>
      <c r="L15" s="1432"/>
    </row>
    <row r="16" spans="1:12 16384:16384">
      <c r="B16" s="184" t="s">
        <v>3672</v>
      </c>
      <c r="H16" s="226"/>
      <c r="I16" s="182"/>
      <c r="J16" s="1431"/>
      <c r="K16" s="1432"/>
      <c r="L16" s="1432"/>
    </row>
    <row r="17" spans="1:16">
      <c r="B17" s="184"/>
      <c r="D17" s="225">
        <v>0</v>
      </c>
      <c r="H17" s="209">
        <f>IF(D17=0,0,IF(D17="",0,IF(D17&lt;0%,0%,IF(D17&gt;25%,25%,D17))))</f>
        <v>0</v>
      </c>
      <c r="I17" s="182"/>
      <c r="J17" s="1431"/>
      <c r="K17" s="1432"/>
      <c r="L17" s="1432"/>
    </row>
    <row r="18" spans="1:16">
      <c r="B18" s="184" t="s">
        <v>3673</v>
      </c>
      <c r="I18" s="182"/>
      <c r="J18" s="1431"/>
      <c r="K18" s="1432"/>
      <c r="L18" s="1432"/>
    </row>
    <row r="19" spans="1:16">
      <c r="B19" s="184"/>
      <c r="D19" s="225">
        <v>0</v>
      </c>
      <c r="H19" s="209">
        <f>IF(D19=0,0,IF(D19="",0,IF(D19&lt;0%,0%,IF(D19&gt;20%,20%,D19))))</f>
        <v>0</v>
      </c>
      <c r="I19" s="182"/>
    </row>
    <row r="20" spans="1:16">
      <c r="B20" s="184" t="s">
        <v>3674</v>
      </c>
      <c r="D20" s="167" t="s">
        <v>3675</v>
      </c>
      <c r="I20" s="182"/>
    </row>
    <row r="21" spans="1:16">
      <c r="B21" s="184"/>
      <c r="D21" s="225">
        <v>0</v>
      </c>
      <c r="H21" s="209">
        <f>IF(D21=0,0,IF(D21="",0,IF(D21&lt;0%,0%,IF(D21&gt;50%,50%,D21))))</f>
        <v>0</v>
      </c>
      <c r="I21" s="182"/>
    </row>
    <row r="22" spans="1:16" ht="15.75" thickBot="1">
      <c r="B22" s="181"/>
      <c r="C22" s="180"/>
      <c r="D22" s="180"/>
      <c r="E22" s="180"/>
      <c r="F22" s="180"/>
      <c r="G22" s="180"/>
      <c r="H22" s="180"/>
      <c r="I22" s="178"/>
    </row>
    <row r="23" spans="1:16" ht="16.5" customHeight="1" thickTop="1" thickBot="1">
      <c r="A23" s="1397" t="s">
        <v>3676</v>
      </c>
      <c r="B23" s="1397"/>
      <c r="C23" s="1397"/>
      <c r="D23" s="1397"/>
      <c r="E23" s="1397"/>
      <c r="F23" s="1397"/>
      <c r="G23" s="1397"/>
      <c r="H23" s="1397"/>
      <c r="I23" s="1397"/>
      <c r="J23" s="1397"/>
      <c r="K23" s="1397"/>
    </row>
    <row r="24" spans="1:16" ht="15.75" thickTop="1">
      <c r="B24" s="213"/>
      <c r="C24" s="193"/>
      <c r="D24" s="193"/>
      <c r="E24" s="193"/>
      <c r="F24" s="1428" t="str">
        <f>IF($A$1&gt;"","Uncapped IRPM Override","")</f>
        <v/>
      </c>
      <c r="G24" s="1428"/>
      <c r="H24" s="1428"/>
      <c r="I24" s="548">
        <v>0</v>
      </c>
      <c r="J24" s="224"/>
      <c r="K24" s="192"/>
    </row>
    <row r="25" spans="1:16">
      <c r="B25" s="184"/>
      <c r="C25" s="167" t="s">
        <v>3677</v>
      </c>
      <c r="F25" s="167" t="s">
        <v>3678</v>
      </c>
      <c r="I25" s="182" t="s">
        <v>3659</v>
      </c>
      <c r="K25" s="182"/>
    </row>
    <row r="26" spans="1:16" ht="16.5" thickBot="1">
      <c r="B26" s="184"/>
      <c r="F26" s="167" t="s">
        <v>3679</v>
      </c>
      <c r="I26" s="214">
        <f>IF(I24&gt;0,I24,IF(SUM(H29,H31,H33,H37,H35)&lt;-50%,-50%,IF(SUM(H29,H31,H33,H37,H35)&gt;50%,50%,SUM(H29,H31,H33,H37,H35))))</f>
        <v>0.5</v>
      </c>
      <c r="J26" s="223" t="s">
        <v>3665</v>
      </c>
      <c r="K26" s="182"/>
    </row>
    <row r="27" spans="1:16" ht="15.75" thickTop="1">
      <c r="B27" s="213"/>
      <c r="C27" s="193"/>
      <c r="D27" s="193"/>
      <c r="E27" s="193"/>
      <c r="F27" s="193"/>
      <c r="G27" s="193"/>
      <c r="H27" s="193"/>
      <c r="I27" s="192"/>
      <c r="J27" s="1452">
        <f>'GL Coverage Screen'!H9</f>
        <v>27775</v>
      </c>
      <c r="K27" s="1453"/>
    </row>
    <row r="28" spans="1:16">
      <c r="B28" s="184" t="s">
        <v>3680</v>
      </c>
      <c r="G28" s="1365" t="s">
        <v>3664</v>
      </c>
      <c r="H28" s="1365"/>
      <c r="I28" s="1462"/>
      <c r="J28" s="1424" t="str">
        <f>IF($A$1&gt;"","Uncapped Justification","")</f>
        <v/>
      </c>
      <c r="K28" s="1425"/>
      <c r="L28" s="1425"/>
    </row>
    <row r="29" spans="1:16">
      <c r="B29" s="184"/>
      <c r="C29" s="167" t="s">
        <v>3681</v>
      </c>
      <c r="F29" s="1316" t="s">
        <v>3682</v>
      </c>
      <c r="G29" s="1316"/>
      <c r="H29" s="209">
        <f>IF(D30=0,0,IF(D30="",0,IF(D30&lt;-25%,-25%,IF(D30&gt;50%,50%,D30))))</f>
        <v>0.08</v>
      </c>
      <c r="I29" s="182"/>
      <c r="J29" s="1431"/>
      <c r="K29" s="1432"/>
      <c r="L29" s="1432"/>
    </row>
    <row r="30" spans="1:16">
      <c r="B30" s="184"/>
      <c r="D30" s="211">
        <v>0.08</v>
      </c>
      <c r="I30" s="182"/>
      <c r="J30" s="1431"/>
      <c r="K30" s="1432"/>
      <c r="L30" s="1432"/>
      <c r="M30" s="167">
        <f>MATCH(D32,M31:M34,0)</f>
        <v>2</v>
      </c>
    </row>
    <row r="31" spans="1:16">
      <c r="B31" s="184"/>
      <c r="C31" s="167" t="s">
        <v>3683</v>
      </c>
      <c r="F31" s="1316"/>
      <c r="G31" s="1316"/>
      <c r="H31" s="209">
        <f>IF(D32="",0,VLOOKUP(M30,O31:P34,2))</f>
        <v>0.2</v>
      </c>
      <c r="I31" s="182"/>
      <c r="J31" s="1431"/>
      <c r="K31" s="1432"/>
      <c r="L31" s="1432"/>
      <c r="M31" s="167" t="s">
        <v>3684</v>
      </c>
      <c r="O31" s="167">
        <v>1</v>
      </c>
      <c r="P31" s="167">
        <v>0</v>
      </c>
    </row>
    <row r="32" spans="1:16">
      <c r="B32" s="184"/>
      <c r="D32" s="1463" t="s">
        <v>3685</v>
      </c>
      <c r="E32" s="1464"/>
      <c r="F32" s="1465"/>
      <c r="I32" s="182"/>
      <c r="J32" s="1431"/>
      <c r="K32" s="1432"/>
      <c r="L32" s="1432"/>
      <c r="M32" s="167" t="s">
        <v>3685</v>
      </c>
      <c r="O32" s="167">
        <v>2</v>
      </c>
      <c r="P32" s="212">
        <v>0.2</v>
      </c>
    </row>
    <row r="33" spans="1:16">
      <c r="B33" s="184"/>
      <c r="C33" s="167" t="s">
        <v>3686</v>
      </c>
      <c r="F33" s="1316" t="s">
        <v>3671</v>
      </c>
      <c r="G33" s="1316"/>
      <c r="H33" s="209">
        <f>IF(D34=0,0,IF(D34="",0,IF(D34&lt;0%,0%,IF(D34&gt;50%,50%,D34))))</f>
        <v>0.05</v>
      </c>
      <c r="I33" s="182"/>
      <c r="J33" s="1431"/>
      <c r="K33" s="1432"/>
      <c r="L33" s="1432"/>
      <c r="M33" s="167" t="s">
        <v>3687</v>
      </c>
      <c r="O33" s="167">
        <v>3</v>
      </c>
      <c r="P33" s="212">
        <v>0.1</v>
      </c>
    </row>
    <row r="34" spans="1:16">
      <c r="B34" s="184"/>
      <c r="D34" s="211">
        <v>0.05</v>
      </c>
      <c r="I34" s="182"/>
      <c r="J34" s="1431"/>
      <c r="K34" s="1432"/>
      <c r="L34" s="1432"/>
      <c r="M34" s="167" t="s">
        <v>3688</v>
      </c>
      <c r="O34" s="167">
        <v>4</v>
      </c>
      <c r="P34" s="167">
        <v>0</v>
      </c>
    </row>
    <row r="35" spans="1:16">
      <c r="B35" s="184"/>
      <c r="C35" s="167" t="s">
        <v>3689</v>
      </c>
      <c r="D35" s="222"/>
      <c r="F35" s="1316" t="s">
        <v>3663</v>
      </c>
      <c r="G35" s="1316"/>
      <c r="H35" s="209">
        <f>IF(D36=0,0,IF(D36="",0,IF(D36&lt;-25%,-25%,IF(D36&gt;25%,25%,D36))))</f>
        <v>0.2</v>
      </c>
      <c r="I35" s="182"/>
      <c r="J35" s="1431"/>
      <c r="K35" s="1432"/>
      <c r="L35" s="1432"/>
    </row>
    <row r="36" spans="1:16">
      <c r="B36" s="184"/>
      <c r="D36" s="211">
        <v>0.2</v>
      </c>
      <c r="I36" s="182"/>
      <c r="J36" s="1431"/>
      <c r="K36" s="1432"/>
      <c r="L36" s="1432"/>
      <c r="M36" s="167">
        <f>MATCH(C38,M37:M40,0)</f>
        <v>3</v>
      </c>
    </row>
    <row r="37" spans="1:16">
      <c r="B37" s="184" t="s">
        <v>3690</v>
      </c>
      <c r="F37" s="1316" t="s">
        <v>3691</v>
      </c>
      <c r="G37" s="1316"/>
      <c r="H37" s="628">
        <v>0</v>
      </c>
      <c r="I37" s="182"/>
      <c r="J37" s="219"/>
      <c r="M37" s="167" t="s">
        <v>3692</v>
      </c>
      <c r="N37" s="167">
        <v>1</v>
      </c>
      <c r="O37" s="221" t="s">
        <v>3693</v>
      </c>
    </row>
    <row r="38" spans="1:16" ht="15.75" thickBot="1">
      <c r="B38" s="181"/>
      <c r="C38" s="1433" t="s">
        <v>3696</v>
      </c>
      <c r="D38" s="1434"/>
      <c r="E38" s="1435"/>
      <c r="F38" s="1458" t="str">
        <f>IF(C38="","",VLOOKUP(M36,N37:O40,2))</f>
        <v xml:space="preserve"> +10 to +25%</v>
      </c>
      <c r="G38" s="1459"/>
      <c r="H38" s="180"/>
      <c r="I38" s="178"/>
      <c r="J38" s="219"/>
      <c r="M38" s="167" t="s">
        <v>3694</v>
      </c>
      <c r="N38" s="167">
        <v>2</v>
      </c>
      <c r="O38" s="221" t="s">
        <v>3695</v>
      </c>
    </row>
    <row r="39" spans="1:16" ht="15.75" thickTop="1">
      <c r="M39" s="167" t="s">
        <v>3696</v>
      </c>
      <c r="N39" s="167">
        <v>3</v>
      </c>
      <c r="O39" s="221" t="s">
        <v>3697</v>
      </c>
    </row>
    <row r="40" spans="1:16" ht="19.5" thickBot="1">
      <c r="A40" s="1397" t="s">
        <v>3698</v>
      </c>
      <c r="B40" s="1397"/>
      <c r="C40" s="1397"/>
      <c r="D40" s="1397"/>
      <c r="E40" s="1397"/>
      <c r="F40" s="1397"/>
      <c r="G40" s="1397"/>
      <c r="H40" s="1397"/>
      <c r="I40" s="1397"/>
      <c r="J40" s="1397"/>
      <c r="K40" s="1397"/>
      <c r="M40" s="167" t="s">
        <v>3699</v>
      </c>
      <c r="N40" s="167">
        <v>4</v>
      </c>
      <c r="O40" s="221" t="s">
        <v>3700</v>
      </c>
    </row>
    <row r="41" spans="1:16" ht="15.75" thickTop="1">
      <c r="B41" s="213"/>
      <c r="C41" s="193"/>
      <c r="D41" s="193"/>
      <c r="E41" s="193"/>
      <c r="F41" s="1428" t="str">
        <f>IF($A$1&gt;"","Uncapped IRPM Override","")</f>
        <v/>
      </c>
      <c r="G41" s="1428"/>
      <c r="H41" s="1428"/>
      <c r="I41" s="548">
        <v>0</v>
      </c>
    </row>
    <row r="42" spans="1:16">
      <c r="B42" s="184"/>
      <c r="C42" s="167" t="s">
        <v>3677</v>
      </c>
      <c r="F42" s="167" t="s">
        <v>3678</v>
      </c>
      <c r="H42" s="212"/>
      <c r="I42" s="220" t="s">
        <v>3659</v>
      </c>
    </row>
    <row r="43" spans="1:16" ht="16.5" thickBot="1">
      <c r="B43" s="181"/>
      <c r="C43" s="180"/>
      <c r="D43" s="180"/>
      <c r="E43" s="180"/>
      <c r="F43" s="180" t="s">
        <v>3679</v>
      </c>
      <c r="G43" s="180"/>
      <c r="H43" s="218"/>
      <c r="I43" s="214">
        <f>IF(I41&gt;0,I41,IF(SUM(H45,H47,H49,H51)&lt;-50%,-50%,IF(SUM(H45,H47,H49,H51)&gt;50%,50%,SUM(H45,H47,H49,H51))))</f>
        <v>0</v>
      </c>
      <c r="J43" s="1455" t="s">
        <v>3701</v>
      </c>
      <c r="K43" s="1455"/>
    </row>
    <row r="44" spans="1:16" ht="15.75" thickTop="1">
      <c r="B44" s="184"/>
      <c r="G44" s="1365" t="s">
        <v>3664</v>
      </c>
      <c r="H44" s="1365"/>
      <c r="I44" s="1462"/>
      <c r="J44" s="1439" t="str">
        <f>'GL Coverage Screen'!H21</f>
        <v>N/A</v>
      </c>
      <c r="K44" s="1454"/>
      <c r="M44" s="167" t="e">
        <f>MATCH(D52,M45:M46,0)</f>
        <v>#N/A</v>
      </c>
    </row>
    <row r="45" spans="1:16">
      <c r="B45" s="184" t="s">
        <v>3702</v>
      </c>
      <c r="F45" s="1316" t="s">
        <v>3663</v>
      </c>
      <c r="G45" s="1316"/>
      <c r="H45" s="209">
        <f>IF(D46=0,0,IF(D46="",0,IF(D46&lt;-25%,-25%,IF(D46&gt;25%,25%,D46))))</f>
        <v>0</v>
      </c>
      <c r="I45" s="182"/>
      <c r="J45" s="1424" t="str">
        <f>IF($A$1&gt;"","Uncapped Justification","")</f>
        <v/>
      </c>
      <c r="K45" s="1425"/>
      <c r="L45" s="1425"/>
      <c r="M45" s="167" t="s">
        <v>3703</v>
      </c>
      <c r="N45" s="167">
        <v>1</v>
      </c>
      <c r="O45" s="212">
        <v>-0.1</v>
      </c>
    </row>
    <row r="46" spans="1:16">
      <c r="B46" s="184"/>
      <c r="D46" s="211">
        <v>0</v>
      </c>
      <c r="I46" s="182"/>
      <c r="J46" s="1468"/>
      <c r="K46" s="1469"/>
      <c r="L46" s="1469"/>
      <c r="M46" s="167" t="s">
        <v>3704</v>
      </c>
      <c r="N46" s="167">
        <v>2</v>
      </c>
      <c r="O46" s="212">
        <v>-0.05</v>
      </c>
    </row>
    <row r="47" spans="1:16">
      <c r="B47" s="184" t="s">
        <v>3705</v>
      </c>
      <c r="F47" s="1316" t="s">
        <v>3663</v>
      </c>
      <c r="G47" s="1316"/>
      <c r="H47" s="209">
        <f>IF(D48=0,0,IF(D48="",0,IF(D48&lt;-25%,-25%,IF(D48&gt;25%,25%,D48))))</f>
        <v>0</v>
      </c>
      <c r="I47" s="182"/>
      <c r="J47" s="1470"/>
      <c r="K47" s="1469"/>
      <c r="L47" s="1469"/>
    </row>
    <row r="48" spans="1:16">
      <c r="B48" s="184"/>
      <c r="D48" s="211">
        <v>0</v>
      </c>
      <c r="I48" s="182"/>
      <c r="J48" s="1470"/>
      <c r="K48" s="1469"/>
      <c r="L48" s="1469"/>
      <c r="M48" s="167" t="e">
        <f>MATCH(C54,M49:M50,0)</f>
        <v>#N/A</v>
      </c>
    </row>
    <row r="49" spans="1:20">
      <c r="B49" s="184" t="s">
        <v>3706</v>
      </c>
      <c r="F49" s="1316" t="s">
        <v>3707</v>
      </c>
      <c r="G49" s="1316"/>
      <c r="H49" s="209">
        <f>IF(D50=0,0,IF(D50="",0,IF(D50&lt;-25%,-25%,IF(D50&gt;-10%,-10%,D50))))</f>
        <v>0</v>
      </c>
      <c r="I49" s="182"/>
      <c r="J49" s="1470"/>
      <c r="K49" s="1469"/>
      <c r="L49" s="1469"/>
      <c r="M49" s="167" t="s">
        <v>3708</v>
      </c>
      <c r="Q49" s="167">
        <v>1</v>
      </c>
      <c r="R49" s="212">
        <v>-0.5</v>
      </c>
    </row>
    <row r="50" spans="1:20">
      <c r="B50" s="184"/>
      <c r="D50" s="211">
        <v>0</v>
      </c>
      <c r="I50" s="182"/>
      <c r="J50" s="1470"/>
      <c r="K50" s="1469"/>
      <c r="L50" s="1469"/>
      <c r="M50" s="167" t="s">
        <v>3709</v>
      </c>
      <c r="Q50" s="167">
        <v>2</v>
      </c>
      <c r="R50" s="212">
        <v>-0.9</v>
      </c>
    </row>
    <row r="51" spans="1:20">
      <c r="B51" s="184" t="s">
        <v>3710</v>
      </c>
      <c r="H51" s="209">
        <f>IF(D52="",0,VLOOKUP(M44,N45:O46,2))</f>
        <v>0</v>
      </c>
      <c r="I51" s="182"/>
      <c r="J51" s="1470"/>
      <c r="K51" s="1469"/>
      <c r="L51" s="1469"/>
    </row>
    <row r="52" spans="1:20" ht="15.75" thickBot="1">
      <c r="B52" s="181"/>
      <c r="C52" s="180"/>
      <c r="D52" s="1433"/>
      <c r="E52" s="1434"/>
      <c r="F52" s="1435"/>
      <c r="G52" s="180"/>
      <c r="H52" s="180"/>
      <c r="I52" s="178"/>
      <c r="J52" s="1470"/>
      <c r="K52" s="1469"/>
      <c r="L52" s="1469"/>
    </row>
    <row r="53" spans="1:20" ht="15.75" thickTop="1">
      <c r="B53" s="217" t="s">
        <v>3711</v>
      </c>
      <c r="C53" s="193"/>
      <c r="D53" s="193"/>
      <c r="E53" s="193"/>
      <c r="F53" s="193"/>
      <c r="G53" s="193"/>
      <c r="H53" s="216">
        <f>IF(C54="",0,VLOOKUP(M48,Q49:R50,2))</f>
        <v>0</v>
      </c>
      <c r="I53" s="192"/>
      <c r="J53" s="1470"/>
      <c r="K53" s="1469"/>
      <c r="L53" s="1469"/>
    </row>
    <row r="54" spans="1:20" ht="15.75" thickBot="1">
      <c r="B54" s="181"/>
      <c r="C54" s="1436"/>
      <c r="D54" s="1437"/>
      <c r="E54" s="1437"/>
      <c r="F54" s="1437"/>
      <c r="G54" s="1438"/>
      <c r="H54" s="180"/>
      <c r="I54" s="178"/>
    </row>
    <row r="55" spans="1:20" ht="16.5" customHeight="1" thickTop="1" thickBot="1">
      <c r="A55" s="1397" t="s">
        <v>3712</v>
      </c>
      <c r="B55" s="1397"/>
      <c r="C55" s="1397"/>
      <c r="D55" s="1397"/>
      <c r="E55" s="1397"/>
      <c r="F55" s="1397"/>
      <c r="G55" s="1397"/>
      <c r="H55" s="1397"/>
      <c r="I55" s="1397"/>
      <c r="J55" s="1397"/>
      <c r="K55" s="1397"/>
    </row>
    <row r="56" spans="1:20" ht="16.5" customHeight="1" thickTop="1">
      <c r="A56" s="543"/>
      <c r="B56" s="545"/>
      <c r="C56" s="546"/>
      <c r="D56" s="546"/>
      <c r="E56" s="546"/>
      <c r="F56" s="1428" t="str">
        <f>IF($A$1&gt;"","Uncapped IRPM Override","")</f>
        <v/>
      </c>
      <c r="G56" s="1428"/>
      <c r="H56" s="1428"/>
      <c r="I56" s="548">
        <v>0</v>
      </c>
      <c r="J56" s="543"/>
      <c r="K56" s="543"/>
    </row>
    <row r="57" spans="1:20">
      <c r="B57" s="184"/>
      <c r="C57" s="167" t="s">
        <v>3677</v>
      </c>
      <c r="G57" s="167" t="s">
        <v>3713</v>
      </c>
      <c r="I57" s="182"/>
    </row>
    <row r="58" spans="1:20" ht="19.5" thickBot="1">
      <c r="B58" s="215"/>
      <c r="C58" s="180"/>
      <c r="D58" s="180"/>
      <c r="E58" s="180"/>
      <c r="F58" s="180"/>
      <c r="G58" s="180" t="s">
        <v>3714</v>
      </c>
      <c r="H58" s="180"/>
      <c r="I58" s="214">
        <f>IF(I56&gt;0,I56,IF(SUM(H60,H62,H65,H67,H69,H71,H73,H75)&lt;-25%,-25%,IF(SUM(H60,H62,H65,H67,H69,H71,H73,H75)&gt;100%,100%,SUM(H60,H62,H65,H67,H69,H71,H73,H75))))</f>
        <v>0</v>
      </c>
      <c r="J58" s="1455" t="s">
        <v>3715</v>
      </c>
      <c r="K58" s="1455"/>
      <c r="T58" s="167" t="s">
        <v>9</v>
      </c>
    </row>
    <row r="59" spans="1:20" ht="15.75" thickTop="1">
      <c r="B59" s="213" t="s">
        <v>3680</v>
      </c>
      <c r="C59" s="193"/>
      <c r="D59" s="193"/>
      <c r="E59" s="193"/>
      <c r="F59" s="193"/>
      <c r="G59" s="1460" t="s">
        <v>3664</v>
      </c>
      <c r="H59" s="1460"/>
      <c r="I59" s="1461"/>
      <c r="J59" s="1439">
        <f>'GL Coverage Screen'!H16</f>
        <v>2125</v>
      </c>
      <c r="K59" s="1454"/>
      <c r="O59" s="167" t="e">
        <f>MATCH(C65,M60:M62,0)</f>
        <v>#N/A</v>
      </c>
      <c r="T59" s="167" t="s">
        <v>11</v>
      </c>
    </row>
    <row r="60" spans="1:20">
      <c r="B60" s="184"/>
      <c r="C60" s="167" t="s">
        <v>3681</v>
      </c>
      <c r="F60" s="1316" t="s">
        <v>3682</v>
      </c>
      <c r="G60" s="1316"/>
      <c r="H60" s="209">
        <f>IF(D61=0,0,IF(D61="",0,IF(D61&lt;-25%,-25%,IF(D61&gt;50%,50%,D61))))</f>
        <v>0</v>
      </c>
      <c r="I60" s="182"/>
      <c r="J60" s="1424" t="str">
        <f>IF($A$1&gt;"","Uncapped Justification","")</f>
        <v/>
      </c>
      <c r="K60" s="1425"/>
      <c r="L60" s="1425"/>
      <c r="M60" s="167" t="s">
        <v>3685</v>
      </c>
      <c r="O60" s="167">
        <v>1</v>
      </c>
      <c r="P60" s="212">
        <v>0.2</v>
      </c>
    </row>
    <row r="61" spans="1:20">
      <c r="B61" s="184"/>
      <c r="D61" s="211">
        <v>0</v>
      </c>
      <c r="I61" s="182"/>
      <c r="J61" s="1468"/>
      <c r="K61" s="1432"/>
      <c r="L61" s="1432"/>
      <c r="M61" s="167" t="s">
        <v>3687</v>
      </c>
      <c r="O61" s="167">
        <v>2</v>
      </c>
      <c r="P61" s="212">
        <v>0.1</v>
      </c>
    </row>
    <row r="62" spans="1:20">
      <c r="B62" s="184"/>
      <c r="C62" s="167" t="s">
        <v>3716</v>
      </c>
      <c r="F62" s="1316" t="s">
        <v>3682</v>
      </c>
      <c r="G62" s="1316"/>
      <c r="H62" s="209">
        <f>IF(D63=0,0,IF(D63="",0,IF(D63&lt;-25%,-25%,IF(D63&gt;50%,50%,D63))))</f>
        <v>0</v>
      </c>
      <c r="I62" s="182"/>
      <c r="J62" s="1431"/>
      <c r="K62" s="1432"/>
      <c r="L62" s="1432"/>
      <c r="M62" s="167" t="s">
        <v>3688</v>
      </c>
      <c r="O62" s="167">
        <v>3</v>
      </c>
      <c r="P62" s="167">
        <v>0</v>
      </c>
    </row>
    <row r="63" spans="1:20">
      <c r="B63" s="184"/>
      <c r="D63" s="211">
        <v>0</v>
      </c>
      <c r="I63" s="182"/>
      <c r="J63" s="1431"/>
      <c r="K63" s="1432"/>
      <c r="L63" s="1432"/>
    </row>
    <row r="64" spans="1:20">
      <c r="B64" s="184" t="s">
        <v>3683</v>
      </c>
      <c r="E64" s="1316"/>
      <c r="F64" s="1316"/>
      <c r="I64" s="182"/>
      <c r="J64" s="1431"/>
      <c r="K64" s="1432"/>
      <c r="L64" s="1432"/>
    </row>
    <row r="65" spans="2:12">
      <c r="B65" s="184"/>
      <c r="C65" s="1463"/>
      <c r="D65" s="1464"/>
      <c r="E65" s="1465"/>
      <c r="H65" s="209">
        <f>IF(C65="",0,VLOOKUP(O59,O60:P62,2))</f>
        <v>0</v>
      </c>
      <c r="I65" s="182"/>
      <c r="J65" s="1431"/>
      <c r="K65" s="1432"/>
      <c r="L65" s="1432"/>
    </row>
    <row r="66" spans="2:12">
      <c r="B66" s="184" t="s">
        <v>3717</v>
      </c>
      <c r="C66" s="207"/>
      <c r="F66" s="1316" t="s">
        <v>3718</v>
      </c>
      <c r="G66" s="1316"/>
      <c r="I66" s="182"/>
      <c r="J66" s="1431"/>
      <c r="K66" s="1432"/>
      <c r="L66" s="1432"/>
    </row>
    <row r="67" spans="2:12" ht="15.75" thickBot="1">
      <c r="B67" s="210"/>
      <c r="C67" s="207"/>
      <c r="D67" s="204">
        <v>0</v>
      </c>
      <c r="H67" s="209">
        <f>IF(D67=0,0,IF(D67="",0,IF(D67&lt;-10%,-10%,IF(D67&gt;25%,25%,D67))))</f>
        <v>0</v>
      </c>
      <c r="I67" s="182"/>
      <c r="J67" s="1431"/>
      <c r="K67" s="1432"/>
      <c r="L67" s="1432"/>
    </row>
    <row r="68" spans="2:12" ht="15.75" thickTop="1">
      <c r="B68" s="208" t="s">
        <v>3689</v>
      </c>
      <c r="C68" s="207"/>
      <c r="F68" s="1316" t="s">
        <v>3663</v>
      </c>
      <c r="G68" s="1316"/>
      <c r="I68" s="182"/>
      <c r="J68" s="1431"/>
      <c r="K68" s="1432"/>
      <c r="L68" s="1432"/>
    </row>
    <row r="69" spans="2:12" ht="15.75" thickBot="1">
      <c r="B69" s="210"/>
      <c r="C69" s="207"/>
      <c r="D69" s="204">
        <v>0</v>
      </c>
      <c r="H69" s="209">
        <f>IF(D69=0,0,IF(D69="",0,IF(D69&lt;-25%,-25%,IF(D69&gt;25%,25%,D69))))</f>
        <v>0</v>
      </c>
      <c r="I69" s="182"/>
    </row>
    <row r="70" spans="2:12" ht="15.75" thickTop="1">
      <c r="B70" s="208" t="s">
        <v>3719</v>
      </c>
      <c r="C70" s="207"/>
      <c r="F70" s="1316" t="s">
        <v>3663</v>
      </c>
      <c r="G70" s="1316"/>
      <c r="I70" s="182"/>
    </row>
    <row r="71" spans="2:12" ht="15.75" thickBot="1">
      <c r="B71" s="210"/>
      <c r="C71" s="207"/>
      <c r="D71" s="204">
        <v>0</v>
      </c>
      <c r="H71" s="209">
        <f>IF(D71=0,0,IF(D71="",0,IF(D71&lt;-25%,-25%,IF(D71&gt;25%,25%,D71))))</f>
        <v>0</v>
      </c>
      <c r="I71" s="182"/>
    </row>
    <row r="72" spans="2:12" ht="15.75" thickTop="1">
      <c r="B72" s="208" t="s">
        <v>3720</v>
      </c>
      <c r="C72" s="207"/>
      <c r="F72" s="1316" t="s">
        <v>3663</v>
      </c>
      <c r="G72" s="1316"/>
      <c r="I72" s="182"/>
    </row>
    <row r="73" spans="2:12" ht="15.75" thickBot="1">
      <c r="B73" s="210"/>
      <c r="C73" s="207"/>
      <c r="D73" s="204">
        <v>0</v>
      </c>
      <c r="H73" s="209">
        <f>IF(D73=0,0,IF(D73="",0,IF(D73&lt;-25%,-25%,IF(D73&gt;25%,25%,D73))))</f>
        <v>0</v>
      </c>
      <c r="I73" s="182"/>
    </row>
    <row r="74" spans="2:12" ht="16.5" thickTop="1">
      <c r="B74" s="208" t="s">
        <v>3721</v>
      </c>
      <c r="C74" s="207"/>
      <c r="F74" s="1316" t="s">
        <v>3722</v>
      </c>
      <c r="G74" s="1316"/>
      <c r="I74" s="182"/>
      <c r="J74" s="1456" t="s">
        <v>3506</v>
      </c>
      <c r="K74" s="1457"/>
    </row>
    <row r="75" spans="2:12" ht="16.5" thickBot="1">
      <c r="B75" s="206"/>
      <c r="C75" s="205"/>
      <c r="D75" s="204">
        <v>0</v>
      </c>
      <c r="E75" s="180"/>
      <c r="F75" s="180"/>
      <c r="G75" s="180"/>
      <c r="H75" s="203">
        <f>IF(D75=0,0,IF(D75="",0,IF(D75&lt;-10%,-10%,IF(D75&gt;10%,10%,D75))))</f>
        <v>0</v>
      </c>
      <c r="I75" s="178"/>
      <c r="J75" s="1466">
        <f>'GL Coverage Screen'!H25</f>
        <v>29900</v>
      </c>
      <c r="K75" s="1467"/>
    </row>
    <row r="76" spans="2:12" ht="15.75" thickTop="1">
      <c r="B76" s="1451" t="s">
        <v>3723</v>
      </c>
      <c r="C76" s="1451"/>
      <c r="D76" s="1451"/>
      <c r="E76" s="1451"/>
    </row>
    <row r="77" spans="2:12">
      <c r="B77" s="1442"/>
      <c r="C77" s="1443"/>
      <c r="D77" s="1443"/>
      <c r="E77" s="1443"/>
      <c r="F77" s="1443"/>
      <c r="G77" s="1443"/>
      <c r="H77" s="1443"/>
      <c r="I77" s="1443"/>
      <c r="J77" s="1443"/>
      <c r="K77" s="1444"/>
    </row>
    <row r="78" spans="2:12">
      <c r="B78" s="1445"/>
      <c r="C78" s="1446"/>
      <c r="D78" s="1446"/>
      <c r="E78" s="1446"/>
      <c r="F78" s="1446"/>
      <c r="G78" s="1446"/>
      <c r="H78" s="1446"/>
      <c r="I78" s="1446"/>
      <c r="J78" s="1446"/>
      <c r="K78" s="1447"/>
    </row>
    <row r="79" spans="2:12">
      <c r="B79" s="1445"/>
      <c r="C79" s="1446"/>
      <c r="D79" s="1446"/>
      <c r="E79" s="1446"/>
      <c r="F79" s="1446"/>
      <c r="G79" s="1446"/>
      <c r="H79" s="1446"/>
      <c r="I79" s="1446"/>
      <c r="J79" s="1446"/>
      <c r="K79" s="1447"/>
    </row>
    <row r="80" spans="2:12" ht="15" customHeight="1">
      <c r="B80" s="1445"/>
      <c r="C80" s="1446"/>
      <c r="D80" s="1446"/>
      <c r="E80" s="1446"/>
      <c r="F80" s="1446"/>
      <c r="G80" s="1446"/>
      <c r="H80" s="1446"/>
      <c r="I80" s="1446"/>
      <c r="J80" s="1446"/>
      <c r="K80" s="1447"/>
    </row>
    <row r="81" spans="2:11">
      <c r="B81" s="1445"/>
      <c r="C81" s="1446"/>
      <c r="D81" s="1446"/>
      <c r="E81" s="1446"/>
      <c r="F81" s="1446"/>
      <c r="G81" s="1446"/>
      <c r="H81" s="1446"/>
      <c r="I81" s="1446"/>
      <c r="J81" s="1446"/>
      <c r="K81" s="1447"/>
    </row>
    <row r="82" spans="2:11">
      <c r="B82" s="1448"/>
      <c r="C82" s="1449"/>
      <c r="D82" s="1449"/>
      <c r="E82" s="1449"/>
      <c r="F82" s="1449"/>
      <c r="G82" s="1449"/>
      <c r="H82" s="1449"/>
      <c r="I82" s="1449"/>
      <c r="J82" s="1449"/>
      <c r="K82" s="1450"/>
    </row>
    <row r="83" spans="2:11"/>
    <row r="84" spans="2:11"/>
    <row r="85" spans="2:11"/>
  </sheetData>
  <sheetProtection algorithmName="SHA-512" hashValue="cPh3oe9yP6ivLmQQHAEUTN7hrIL2IQaEXFg2EOR1atRvsDpt0TCSTs0xovHQzj5tA+zlesmAiIPjyoIWnb2HOw==" saltValue="MgNz4oWq2U1i58JqQ7w4Kg==" spinCount="100000" sheet="1" selectLockedCells="1"/>
  <mergeCells count="56">
    <mergeCell ref="J75:K75"/>
    <mergeCell ref="F62:G62"/>
    <mergeCell ref="F24:H24"/>
    <mergeCell ref="F41:H41"/>
    <mergeCell ref="F56:H56"/>
    <mergeCell ref="J29:L36"/>
    <mergeCell ref="J46:L53"/>
    <mergeCell ref="J61:L68"/>
    <mergeCell ref="J28:L28"/>
    <mergeCell ref="J45:L45"/>
    <mergeCell ref="F68:G68"/>
    <mergeCell ref="F70:G70"/>
    <mergeCell ref="E64:F64"/>
    <mergeCell ref="C65:E65"/>
    <mergeCell ref="F66:G66"/>
    <mergeCell ref="F72:G72"/>
    <mergeCell ref="F35:G35"/>
    <mergeCell ref="A40:K40"/>
    <mergeCell ref="G28:I28"/>
    <mergeCell ref="F45:G45"/>
    <mergeCell ref="G44:I44"/>
    <mergeCell ref="F29:G29"/>
    <mergeCell ref="F31:G31"/>
    <mergeCell ref="D32:F32"/>
    <mergeCell ref="B77:K82"/>
    <mergeCell ref="B76:E76"/>
    <mergeCell ref="J27:K27"/>
    <mergeCell ref="J44:K44"/>
    <mergeCell ref="J43:K43"/>
    <mergeCell ref="J58:K58"/>
    <mergeCell ref="J74:K74"/>
    <mergeCell ref="C38:E38"/>
    <mergeCell ref="F38:G38"/>
    <mergeCell ref="F37:G37"/>
    <mergeCell ref="G59:I59"/>
    <mergeCell ref="F60:G60"/>
    <mergeCell ref="J59:K59"/>
    <mergeCell ref="F47:G47"/>
    <mergeCell ref="F74:G74"/>
    <mergeCell ref="A55:K55"/>
    <mergeCell ref="J60:L60"/>
    <mergeCell ref="E1:G1"/>
    <mergeCell ref="L1:L9"/>
    <mergeCell ref="F3:H3"/>
    <mergeCell ref="J5:K5"/>
    <mergeCell ref="A2:K2"/>
    <mergeCell ref="A23:K23"/>
    <mergeCell ref="J11:L18"/>
    <mergeCell ref="J10:L10"/>
    <mergeCell ref="D52:F52"/>
    <mergeCell ref="C54:G54"/>
    <mergeCell ref="B4:E4"/>
    <mergeCell ref="J7:K7"/>
    <mergeCell ref="B10:C10"/>
    <mergeCell ref="F49:G49"/>
    <mergeCell ref="F33:G33"/>
  </mergeCells>
  <conditionalFormatting sqref="A1">
    <cfRule type="cellIs" dxfId="31" priority="18" operator="greaterThan">
      <formula>""""""</formula>
    </cfRule>
  </conditionalFormatting>
  <conditionalFormatting sqref="F3:H3">
    <cfRule type="cellIs" dxfId="30" priority="14" operator="greaterThan">
      <formula>""""""</formula>
    </cfRule>
  </conditionalFormatting>
  <conditionalFormatting sqref="F24:H24">
    <cfRule type="cellIs" dxfId="29" priority="13" operator="greaterThan">
      <formula>""""""</formula>
    </cfRule>
  </conditionalFormatting>
  <conditionalFormatting sqref="F41:H41">
    <cfRule type="cellIs" dxfId="28" priority="12" operator="greaterThan">
      <formula>""""""</formula>
    </cfRule>
  </conditionalFormatting>
  <conditionalFormatting sqref="F56:H56">
    <cfRule type="cellIs" dxfId="27" priority="16" operator="greaterThan">
      <formula>""""""</formula>
    </cfRule>
  </conditionalFormatting>
  <conditionalFormatting sqref="I3">
    <cfRule type="expression" dxfId="26" priority="9">
      <formula>F3&gt;""</formula>
    </cfRule>
  </conditionalFormatting>
  <conditionalFormatting sqref="I24">
    <cfRule type="expression" dxfId="25" priority="10">
      <formula>F24&gt;""</formula>
    </cfRule>
  </conditionalFormatting>
  <conditionalFormatting sqref="I41">
    <cfRule type="expression" dxfId="24" priority="11">
      <formula>F41&gt;""</formula>
    </cfRule>
  </conditionalFormatting>
  <conditionalFormatting sqref="I56">
    <cfRule type="expression" dxfId="23" priority="15">
      <formula>F56&gt;""</formula>
    </cfRule>
  </conditionalFormatting>
  <conditionalFormatting sqref="J10">
    <cfRule type="cellIs" dxfId="22" priority="4" operator="greaterThan">
      <formula>""""""</formula>
    </cfRule>
  </conditionalFormatting>
  <conditionalFormatting sqref="J28">
    <cfRule type="cellIs" dxfId="21" priority="3" operator="greaterThan">
      <formula>""""""</formula>
    </cfRule>
  </conditionalFormatting>
  <conditionalFormatting sqref="J45">
    <cfRule type="cellIs" dxfId="20" priority="2" operator="greaterThan">
      <formula>""""""</formula>
    </cfRule>
  </conditionalFormatting>
  <conditionalFormatting sqref="J60">
    <cfRule type="cellIs" dxfId="19" priority="1" operator="greaterThan">
      <formula>""""""</formula>
    </cfRule>
  </conditionalFormatting>
  <conditionalFormatting sqref="J11:L18">
    <cfRule type="expression" dxfId="18" priority="8">
      <formula>J10&gt;""</formula>
    </cfRule>
  </conditionalFormatting>
  <conditionalFormatting sqref="J29:L36">
    <cfRule type="expression" dxfId="17" priority="7">
      <formula>J28&gt;""</formula>
    </cfRule>
  </conditionalFormatting>
  <conditionalFormatting sqref="J46:L53">
    <cfRule type="expression" dxfId="16" priority="6">
      <formula>J45&gt;""</formula>
    </cfRule>
  </conditionalFormatting>
  <conditionalFormatting sqref="J61:L68">
    <cfRule type="expression" dxfId="15" priority="5">
      <formula>J60&gt;""</formula>
    </cfRule>
  </conditionalFormatting>
  <conditionalFormatting sqref="L1:L9">
    <cfRule type="cellIs" dxfId="14" priority="17" operator="greaterThan">
      <formula>""""""</formula>
    </cfRule>
  </conditionalFormatting>
  <dataValidations count="7">
    <dataValidation type="list" allowBlank="1" showInputMessage="1" showErrorMessage="1" sqref="D13" xr:uid="{00000000-0002-0000-1300-000000000000}">
      <formula1>$T$57:$T$59</formula1>
    </dataValidation>
    <dataValidation type="list" allowBlank="1" showInputMessage="1" showErrorMessage="1" sqref="D32:F32" xr:uid="{00000000-0002-0000-1300-000001000000}">
      <formula1>$M$31:$M$34</formula1>
    </dataValidation>
    <dataValidation type="list" allowBlank="1" showInputMessage="1" showErrorMessage="1" sqref="C38:E38" xr:uid="{00000000-0002-0000-1300-000002000000}">
      <formula1>$M$37:$M$40</formula1>
    </dataValidation>
    <dataValidation type="list" allowBlank="1" showInputMessage="1" showErrorMessage="1" sqref="D52:F52" xr:uid="{00000000-0002-0000-1300-000003000000}">
      <formula1>$M$45:$M$46</formula1>
    </dataValidation>
    <dataValidation type="list" allowBlank="1" showInputMessage="1" showErrorMessage="1" sqref="C54:G54" xr:uid="{00000000-0002-0000-1300-000004000000}">
      <formula1>$M$49:$M$50</formula1>
    </dataValidation>
    <dataValidation type="list" allowBlank="1" showInputMessage="1" showErrorMessage="1" sqref="C65:E65" xr:uid="{00000000-0002-0000-1300-000005000000}">
      <formula1>$M$59:$M$62</formula1>
    </dataValidation>
    <dataValidation type="custom" allowBlank="1" showInputMessage="1" showErrorMessage="1" sqref="I3 I24 I41 I56" xr:uid="{8DA3B3AC-91C8-4198-BF65-E6A5B1CB0441}">
      <formula1>I3&gt;=0</formula1>
    </dataValidation>
  </dataValidations>
  <pageMargins left="0.7" right="0.7" top="0.75" bottom="0.75" header="0.3" footer="0.3"/>
  <pageSetup scale="80" orientation="portrait" horizontalDpi="200" verticalDpi="200" r:id="rId1"/>
  <rowBreaks count="1" manualBreakCount="1">
    <brk id="54" max="10"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9"/>
  <dimension ref="A3:AE124"/>
  <sheetViews>
    <sheetView topLeftCell="A6" workbookViewId="0">
      <selection activeCell="K39" sqref="K39:K43"/>
    </sheetView>
  </sheetViews>
  <sheetFormatPr defaultColWidth="9" defaultRowHeight="15"/>
  <cols>
    <col min="1" max="1" width="9" style="167"/>
    <col min="2" max="2" width="42.75" style="167" customWidth="1"/>
    <col min="3" max="3" width="12.625" style="167" customWidth="1"/>
    <col min="4" max="5" width="9" style="167"/>
    <col min="6" max="6" width="14.25" style="167" bestFit="1" customWidth="1"/>
    <col min="7" max="7" width="2.25" style="167" customWidth="1"/>
    <col min="8" max="8" width="14.25" style="167" customWidth="1"/>
    <col min="9" max="9" width="9" style="167"/>
    <col min="10" max="10" width="14.25" style="167" bestFit="1" customWidth="1"/>
    <col min="11" max="11" width="12.375" style="167" bestFit="1" customWidth="1"/>
    <col min="12" max="15" width="9" style="167"/>
    <col min="16" max="16" width="10.625" style="167" bestFit="1" customWidth="1"/>
    <col min="17" max="17" width="2.625" style="167" customWidth="1"/>
    <col min="18" max="18" width="14.25" style="167" bestFit="1" customWidth="1"/>
    <col min="19" max="16384" width="9" style="167"/>
  </cols>
  <sheetData>
    <row r="3" spans="1:31" ht="15.75" thickBot="1">
      <c r="B3" s="167" t="s">
        <v>3724</v>
      </c>
      <c r="J3" s="167" t="s">
        <v>3701</v>
      </c>
      <c r="L3" s="167" t="s">
        <v>5</v>
      </c>
    </row>
    <row r="4" spans="1:31" ht="15.75" thickBot="1">
      <c r="A4" s="167">
        <v>1</v>
      </c>
      <c r="B4" s="201" t="s">
        <v>3478</v>
      </c>
      <c r="C4" s="283">
        <v>1250</v>
      </c>
      <c r="D4" s="282"/>
      <c r="E4" s="629" t="s">
        <v>3725</v>
      </c>
      <c r="J4" s="167">
        <f>MATCH('GL Coverage Screen'!F21,GL_Rates!J6:J26,0)</f>
        <v>5</v>
      </c>
      <c r="L4" s="188">
        <f>HLOOKUP('GL Coverage Screen'!F22,GL_Rates!K5:AE26,GL_Rates!J4+1)</f>
        <v>0</v>
      </c>
      <c r="V4" s="281"/>
      <c r="W4" s="281"/>
      <c r="X4" s="281"/>
      <c r="Y4" s="281"/>
      <c r="Z4" s="281"/>
      <c r="AA4" s="281"/>
      <c r="AB4" s="281"/>
      <c r="AC4" s="281"/>
      <c r="AD4" s="281"/>
      <c r="AE4" s="281"/>
    </row>
    <row r="5" spans="1:31" ht="15.75" thickTop="1">
      <c r="A5" s="167">
        <v>2</v>
      </c>
      <c r="B5" s="200" t="s">
        <v>3479</v>
      </c>
      <c r="C5" s="188">
        <v>250</v>
      </c>
      <c r="D5" s="167" t="s">
        <v>3726</v>
      </c>
      <c r="E5" s="275"/>
      <c r="J5" s="280" t="s">
        <v>3727</v>
      </c>
      <c r="K5" s="279">
        <v>50000</v>
      </c>
      <c r="L5" s="278">
        <v>75000</v>
      </c>
      <c r="M5" s="278">
        <v>100000</v>
      </c>
      <c r="N5" s="278">
        <v>150000</v>
      </c>
      <c r="O5" s="278">
        <v>200000</v>
      </c>
      <c r="P5" s="278">
        <v>250000</v>
      </c>
      <c r="Q5" s="278">
        <v>300000</v>
      </c>
      <c r="R5" s="278">
        <v>400000</v>
      </c>
      <c r="S5" s="278">
        <v>500000</v>
      </c>
      <c r="T5" s="278">
        <v>750000</v>
      </c>
      <c r="U5" s="278">
        <v>1000000</v>
      </c>
      <c r="V5" s="278">
        <v>1500000</v>
      </c>
      <c r="W5" s="278">
        <v>2000000</v>
      </c>
      <c r="X5" s="278">
        <v>2500000</v>
      </c>
      <c r="Y5" s="278">
        <v>3000000</v>
      </c>
      <c r="Z5" s="278">
        <v>5000000</v>
      </c>
      <c r="AA5" s="278">
        <v>10000000</v>
      </c>
      <c r="AB5" s="278">
        <v>15000000</v>
      </c>
      <c r="AC5" s="278">
        <v>20000000</v>
      </c>
      <c r="AD5" s="278">
        <v>25000000</v>
      </c>
      <c r="AE5" s="277">
        <v>50000000</v>
      </c>
    </row>
    <row r="6" spans="1:31">
      <c r="A6" s="167">
        <v>3</v>
      </c>
      <c r="B6" s="200" t="s">
        <v>3481</v>
      </c>
      <c r="C6" s="188">
        <v>3000</v>
      </c>
      <c r="E6" s="630" t="s">
        <v>3728</v>
      </c>
      <c r="J6" s="276">
        <v>50000</v>
      </c>
      <c r="K6" s="269">
        <v>1750</v>
      </c>
      <c r="L6" s="269">
        <v>2000</v>
      </c>
      <c r="M6" s="269">
        <v>2306</v>
      </c>
      <c r="N6" s="269">
        <v>2406</v>
      </c>
      <c r="O6" s="269">
        <v>2500</v>
      </c>
      <c r="P6" s="269">
        <v>2625</v>
      </c>
      <c r="Q6" s="269">
        <v>2775</v>
      </c>
      <c r="R6" s="269">
        <v>2900</v>
      </c>
      <c r="S6" s="269">
        <v>3125</v>
      </c>
      <c r="T6" s="269">
        <v>3575</v>
      </c>
      <c r="U6" s="269">
        <v>3875</v>
      </c>
      <c r="V6" s="269">
        <v>4125</v>
      </c>
      <c r="W6" s="269">
        <v>4375</v>
      </c>
      <c r="X6" s="269">
        <v>4875</v>
      </c>
      <c r="Y6" s="269">
        <v>5375</v>
      </c>
      <c r="Z6" s="269">
        <v>5875</v>
      </c>
      <c r="AA6" s="269">
        <v>8094</v>
      </c>
      <c r="AB6" s="269">
        <v>10156</v>
      </c>
      <c r="AC6" s="269">
        <v>11875</v>
      </c>
      <c r="AD6" s="269">
        <v>12281</v>
      </c>
      <c r="AE6" s="268">
        <v>18063</v>
      </c>
    </row>
    <row r="7" spans="1:31">
      <c r="A7" s="167">
        <v>4</v>
      </c>
      <c r="B7" s="631" t="s">
        <v>3484</v>
      </c>
      <c r="C7" s="188">
        <v>2500</v>
      </c>
      <c r="E7" s="630" t="s">
        <v>3728</v>
      </c>
      <c r="J7" s="270">
        <v>75000</v>
      </c>
      <c r="K7" s="269"/>
      <c r="L7" s="269">
        <v>2250</v>
      </c>
      <c r="M7" s="269">
        <v>2556</v>
      </c>
      <c r="N7" s="269">
        <v>2656</v>
      </c>
      <c r="O7" s="269">
        <v>2750</v>
      </c>
      <c r="P7" s="269">
        <v>2875</v>
      </c>
      <c r="Q7" s="269">
        <v>3025</v>
      </c>
      <c r="R7" s="269">
        <v>3150</v>
      </c>
      <c r="S7" s="269">
        <v>3375</v>
      </c>
      <c r="T7" s="269">
        <v>3825</v>
      </c>
      <c r="U7" s="269">
        <v>4125</v>
      </c>
      <c r="V7" s="269">
        <v>4375</v>
      </c>
      <c r="W7" s="269">
        <v>4625</v>
      </c>
      <c r="X7" s="269">
        <v>5125</v>
      </c>
      <c r="Y7" s="269">
        <v>5625</v>
      </c>
      <c r="Z7" s="269">
        <v>6125</v>
      </c>
      <c r="AA7" s="269">
        <v>8344</v>
      </c>
      <c r="AB7" s="269">
        <v>10406</v>
      </c>
      <c r="AC7" s="269">
        <v>12125</v>
      </c>
      <c r="AD7" s="269">
        <v>12531</v>
      </c>
      <c r="AE7" s="268">
        <v>18313</v>
      </c>
    </row>
    <row r="8" spans="1:31">
      <c r="A8" s="167">
        <v>5</v>
      </c>
      <c r="B8" s="200" t="s">
        <v>3486</v>
      </c>
      <c r="C8" s="188">
        <v>1250</v>
      </c>
      <c r="E8" s="630" t="s">
        <v>3729</v>
      </c>
      <c r="J8" s="270">
        <v>100000</v>
      </c>
      <c r="K8" s="269"/>
      <c r="L8" s="269"/>
      <c r="M8" s="269">
        <v>2863</v>
      </c>
      <c r="N8" s="269">
        <v>2963</v>
      </c>
      <c r="O8" s="269">
        <v>3056</v>
      </c>
      <c r="P8" s="269">
        <v>3181</v>
      </c>
      <c r="Q8" s="269">
        <v>3331</v>
      </c>
      <c r="R8" s="269">
        <v>3456</v>
      </c>
      <c r="S8" s="269">
        <v>3681</v>
      </c>
      <c r="T8" s="269">
        <v>4131</v>
      </c>
      <c r="U8" s="269">
        <v>4431</v>
      </c>
      <c r="V8" s="269">
        <v>4681</v>
      </c>
      <c r="W8" s="269">
        <v>4931</v>
      </c>
      <c r="X8" s="269">
        <v>5431</v>
      </c>
      <c r="Y8" s="269">
        <v>5931</v>
      </c>
      <c r="Z8" s="269">
        <v>6431</v>
      </c>
      <c r="AA8" s="269">
        <v>8650</v>
      </c>
      <c r="AB8" s="269">
        <v>10713</v>
      </c>
      <c r="AC8" s="269">
        <v>12431</v>
      </c>
      <c r="AD8" s="269">
        <v>12838</v>
      </c>
      <c r="AE8" s="268">
        <v>18619</v>
      </c>
    </row>
    <row r="9" spans="1:31">
      <c r="A9" s="167">
        <v>6</v>
      </c>
      <c r="B9" s="200" t="s">
        <v>3488</v>
      </c>
      <c r="C9" s="188">
        <v>8500</v>
      </c>
      <c r="E9" s="630" t="s">
        <v>3730</v>
      </c>
      <c r="J9" s="270">
        <v>150000</v>
      </c>
      <c r="K9" s="269"/>
      <c r="L9" s="269"/>
      <c r="M9" s="269"/>
      <c r="N9" s="269">
        <v>3063</v>
      </c>
      <c r="O9" s="269">
        <v>3156</v>
      </c>
      <c r="P9" s="269">
        <v>3281</v>
      </c>
      <c r="Q9" s="269">
        <v>3431</v>
      </c>
      <c r="R9" s="269">
        <v>3556</v>
      </c>
      <c r="S9" s="269">
        <v>3781</v>
      </c>
      <c r="T9" s="269">
        <v>4231</v>
      </c>
      <c r="U9" s="269">
        <v>4531</v>
      </c>
      <c r="V9" s="269">
        <v>4781</v>
      </c>
      <c r="W9" s="269">
        <v>5031</v>
      </c>
      <c r="X9" s="269">
        <v>5531</v>
      </c>
      <c r="Y9" s="269">
        <v>6031</v>
      </c>
      <c r="Z9" s="269">
        <v>6531</v>
      </c>
      <c r="AA9" s="269">
        <v>8750</v>
      </c>
      <c r="AB9" s="269">
        <v>10813</v>
      </c>
      <c r="AC9" s="269">
        <v>12531</v>
      </c>
      <c r="AD9" s="269">
        <v>12938</v>
      </c>
      <c r="AE9" s="268">
        <v>18719</v>
      </c>
    </row>
    <row r="10" spans="1:31">
      <c r="A10" s="167">
        <v>7</v>
      </c>
      <c r="B10" s="200" t="s">
        <v>3491</v>
      </c>
      <c r="C10" s="188">
        <v>3000</v>
      </c>
      <c r="E10" s="630" t="s">
        <v>3730</v>
      </c>
      <c r="J10" s="270">
        <v>200000</v>
      </c>
      <c r="K10" s="269"/>
      <c r="L10" s="269"/>
      <c r="M10" s="269"/>
      <c r="N10" s="269"/>
      <c r="O10" s="269">
        <v>3250</v>
      </c>
      <c r="P10" s="269">
        <v>3375</v>
      </c>
      <c r="Q10" s="269">
        <v>3525</v>
      </c>
      <c r="R10" s="269">
        <v>3650</v>
      </c>
      <c r="S10" s="269">
        <v>3875</v>
      </c>
      <c r="T10" s="269">
        <v>4325</v>
      </c>
      <c r="U10" s="269">
        <v>4625</v>
      </c>
      <c r="V10" s="269">
        <v>4875</v>
      </c>
      <c r="W10" s="269">
        <v>5125</v>
      </c>
      <c r="X10" s="269">
        <v>5625</v>
      </c>
      <c r="Y10" s="269">
        <v>6125</v>
      </c>
      <c r="Z10" s="269">
        <v>6625</v>
      </c>
      <c r="AA10" s="269">
        <v>8844</v>
      </c>
      <c r="AB10" s="269">
        <v>10906</v>
      </c>
      <c r="AC10" s="269">
        <v>12625</v>
      </c>
      <c r="AD10" s="269">
        <v>13031</v>
      </c>
      <c r="AE10" s="268">
        <v>18813</v>
      </c>
    </row>
    <row r="11" spans="1:31" ht="15.75" thickBot="1">
      <c r="A11" s="167">
        <v>8</v>
      </c>
      <c r="B11" s="199" t="s">
        <v>3493</v>
      </c>
      <c r="C11" s="274">
        <v>5500</v>
      </c>
      <c r="D11" s="273"/>
      <c r="E11" s="632" t="s">
        <v>3730</v>
      </c>
      <c r="J11" s="270">
        <v>250000</v>
      </c>
      <c r="K11" s="269"/>
      <c r="L11" s="269"/>
      <c r="M11" s="269"/>
      <c r="N11" s="269"/>
      <c r="O11" s="269"/>
      <c r="P11" s="269">
        <v>3500</v>
      </c>
      <c r="Q11" s="269">
        <v>3650</v>
      </c>
      <c r="R11" s="269">
        <v>3775</v>
      </c>
      <c r="S11" s="269">
        <v>4000</v>
      </c>
      <c r="T11" s="269">
        <v>4450</v>
      </c>
      <c r="U11" s="269">
        <v>4750</v>
      </c>
      <c r="V11" s="269">
        <v>5000</v>
      </c>
      <c r="W11" s="269">
        <v>5250</v>
      </c>
      <c r="X11" s="269">
        <v>5750</v>
      </c>
      <c r="Y11" s="269">
        <v>6250</v>
      </c>
      <c r="Z11" s="269">
        <v>6750</v>
      </c>
      <c r="AA11" s="269">
        <v>8969</v>
      </c>
      <c r="AB11" s="269">
        <v>11031</v>
      </c>
      <c r="AC11" s="269">
        <v>12750</v>
      </c>
      <c r="AD11" s="269">
        <v>13156</v>
      </c>
      <c r="AE11" s="268">
        <v>18938</v>
      </c>
    </row>
    <row r="12" spans="1:31">
      <c r="J12" s="270">
        <v>300000</v>
      </c>
      <c r="K12" s="269"/>
      <c r="L12" s="269"/>
      <c r="M12" s="269"/>
      <c r="N12" s="269"/>
      <c r="O12" s="269"/>
      <c r="P12" s="269"/>
      <c r="Q12" s="269">
        <v>3800</v>
      </c>
      <c r="R12" s="269">
        <v>3925</v>
      </c>
      <c r="S12" s="269">
        <v>4150</v>
      </c>
      <c r="T12" s="269">
        <v>4600</v>
      </c>
      <c r="U12" s="269">
        <v>4900</v>
      </c>
      <c r="V12" s="269">
        <v>5150</v>
      </c>
      <c r="W12" s="269">
        <v>5400</v>
      </c>
      <c r="X12" s="269">
        <v>5900</v>
      </c>
      <c r="Y12" s="269">
        <v>6400</v>
      </c>
      <c r="Z12" s="269">
        <v>6900</v>
      </c>
      <c r="AA12" s="269">
        <v>9119</v>
      </c>
      <c r="AB12" s="269">
        <v>11181</v>
      </c>
      <c r="AC12" s="269">
        <v>12900</v>
      </c>
      <c r="AD12" s="269">
        <v>13306</v>
      </c>
      <c r="AE12" s="268">
        <v>19088</v>
      </c>
    </row>
    <row r="13" spans="1:31">
      <c r="J13" s="270">
        <v>400000</v>
      </c>
      <c r="K13" s="269"/>
      <c r="L13" s="269"/>
      <c r="M13" s="269"/>
      <c r="N13" s="269"/>
      <c r="O13" s="269"/>
      <c r="P13" s="269"/>
      <c r="Q13" s="269"/>
      <c r="R13" s="269">
        <v>4050</v>
      </c>
      <c r="S13" s="269">
        <v>4275</v>
      </c>
      <c r="T13" s="269">
        <v>4725</v>
      </c>
      <c r="U13" s="269">
        <v>5025</v>
      </c>
      <c r="V13" s="269">
        <v>5275</v>
      </c>
      <c r="W13" s="269">
        <v>5525</v>
      </c>
      <c r="X13" s="269">
        <v>6025</v>
      </c>
      <c r="Y13" s="269">
        <v>6525</v>
      </c>
      <c r="Z13" s="269">
        <v>7025</v>
      </c>
      <c r="AA13" s="269">
        <v>9244</v>
      </c>
      <c r="AB13" s="269">
        <v>11306</v>
      </c>
      <c r="AC13" s="269">
        <v>13025</v>
      </c>
      <c r="AD13" s="269">
        <v>13431</v>
      </c>
      <c r="AE13" s="268">
        <v>19213</v>
      </c>
    </row>
    <row r="14" spans="1:31">
      <c r="J14" s="270">
        <v>500000</v>
      </c>
      <c r="K14" s="269"/>
      <c r="L14" s="269"/>
      <c r="M14" s="269"/>
      <c r="N14" s="269"/>
      <c r="O14" s="269"/>
      <c r="P14" s="269"/>
      <c r="Q14" s="269"/>
      <c r="R14" s="269"/>
      <c r="S14" s="269">
        <v>4500</v>
      </c>
      <c r="T14" s="269">
        <v>4950</v>
      </c>
      <c r="U14" s="269">
        <v>5250</v>
      </c>
      <c r="V14" s="269">
        <v>5500</v>
      </c>
      <c r="W14" s="269">
        <v>5750</v>
      </c>
      <c r="X14" s="269">
        <v>6250</v>
      </c>
      <c r="Y14" s="269">
        <v>6750</v>
      </c>
      <c r="Z14" s="269">
        <v>7250</v>
      </c>
      <c r="AA14" s="269">
        <v>9469</v>
      </c>
      <c r="AB14" s="269">
        <v>11531</v>
      </c>
      <c r="AC14" s="269">
        <v>13250</v>
      </c>
      <c r="AD14" s="269">
        <v>13656</v>
      </c>
      <c r="AE14" s="268">
        <v>19438</v>
      </c>
    </row>
    <row r="15" spans="1:31" ht="15.75" thickBot="1">
      <c r="B15" s="167" t="s">
        <v>3715</v>
      </c>
      <c r="J15" s="270">
        <v>750000</v>
      </c>
      <c r="K15" s="269"/>
      <c r="L15" s="269"/>
      <c r="M15" s="269"/>
      <c r="N15" s="269"/>
      <c r="O15" s="269"/>
      <c r="P15" s="269"/>
      <c r="Q15" s="269"/>
      <c r="R15" s="269"/>
      <c r="S15" s="269"/>
      <c r="T15" s="269">
        <v>5400</v>
      </c>
      <c r="U15" s="269">
        <v>5700</v>
      </c>
      <c r="V15" s="269">
        <v>5950</v>
      </c>
      <c r="W15" s="269">
        <v>6200</v>
      </c>
      <c r="X15" s="269">
        <v>6700</v>
      </c>
      <c r="Y15" s="269">
        <v>7200</v>
      </c>
      <c r="Z15" s="269">
        <v>7700</v>
      </c>
      <c r="AA15" s="269">
        <v>9919</v>
      </c>
      <c r="AB15" s="269">
        <v>11981</v>
      </c>
      <c r="AC15" s="269">
        <v>13700</v>
      </c>
      <c r="AD15" s="269">
        <v>14106</v>
      </c>
      <c r="AE15" s="268">
        <v>19888</v>
      </c>
    </row>
    <row r="16" spans="1:31" ht="15.75" thickTop="1">
      <c r="B16" s="213" t="s">
        <v>3731</v>
      </c>
      <c r="C16" s="193"/>
      <c r="D16" s="271">
        <v>2500</v>
      </c>
      <c r="E16" s="193"/>
      <c r="F16" s="193"/>
      <c r="G16" s="192"/>
      <c r="J16" s="270">
        <v>1000000</v>
      </c>
      <c r="K16" s="269"/>
      <c r="L16" s="269"/>
      <c r="M16" s="269"/>
      <c r="N16" s="269"/>
      <c r="O16" s="269"/>
      <c r="P16" s="269"/>
      <c r="Q16" s="269"/>
      <c r="R16" s="269"/>
      <c r="S16" s="269"/>
      <c r="T16" s="269"/>
      <c r="U16" s="269">
        <v>6000</v>
      </c>
      <c r="V16" s="269">
        <v>6250</v>
      </c>
      <c r="W16" s="269">
        <v>6500</v>
      </c>
      <c r="X16" s="269">
        <v>7000</v>
      </c>
      <c r="Y16" s="269">
        <v>7500</v>
      </c>
      <c r="Z16" s="269">
        <v>8000</v>
      </c>
      <c r="AA16" s="269">
        <v>10219</v>
      </c>
      <c r="AB16" s="269">
        <v>12281</v>
      </c>
      <c r="AC16" s="269">
        <v>14000</v>
      </c>
      <c r="AD16" s="269">
        <v>14406</v>
      </c>
      <c r="AE16" s="268">
        <v>20188</v>
      </c>
    </row>
    <row r="17" spans="2:31">
      <c r="B17" s="184" t="s">
        <v>3508</v>
      </c>
      <c r="D17" s="188"/>
      <c r="G17" s="182"/>
      <c r="J17" s="270">
        <v>1500000</v>
      </c>
      <c r="K17" s="269"/>
      <c r="L17" s="269"/>
      <c r="M17" s="269"/>
      <c r="N17" s="269"/>
      <c r="O17" s="269"/>
      <c r="P17" s="269"/>
      <c r="Q17" s="269"/>
      <c r="R17" s="269"/>
      <c r="S17" s="269"/>
      <c r="T17" s="269"/>
      <c r="U17" s="269"/>
      <c r="V17" s="269">
        <v>6500</v>
      </c>
      <c r="W17" s="269">
        <v>6750</v>
      </c>
      <c r="X17" s="269">
        <v>7250</v>
      </c>
      <c r="Y17" s="269">
        <v>7750</v>
      </c>
      <c r="Z17" s="269">
        <v>8250</v>
      </c>
      <c r="AA17" s="269">
        <v>10469</v>
      </c>
      <c r="AB17" s="269">
        <v>12531</v>
      </c>
      <c r="AC17" s="269">
        <v>14250</v>
      </c>
      <c r="AD17" s="269">
        <v>14656</v>
      </c>
      <c r="AE17" s="268">
        <v>20438</v>
      </c>
    </row>
    <row r="18" spans="2:31">
      <c r="B18" s="184"/>
      <c r="C18" s="167" t="s">
        <v>3732</v>
      </c>
      <c r="D18" s="261">
        <v>5</v>
      </c>
      <c r="F18" s="615" t="s">
        <v>3733</v>
      </c>
      <c r="G18" s="182"/>
      <c r="J18" s="270">
        <v>2000000</v>
      </c>
      <c r="K18" s="269"/>
      <c r="L18" s="269"/>
      <c r="M18" s="269"/>
      <c r="N18" s="269"/>
      <c r="O18" s="269"/>
      <c r="P18" s="269"/>
      <c r="Q18" s="269"/>
      <c r="R18" s="269"/>
      <c r="S18" s="269"/>
      <c r="T18" s="269"/>
      <c r="U18" s="269"/>
      <c r="V18" s="269"/>
      <c r="W18" s="269">
        <v>7000</v>
      </c>
      <c r="X18" s="269">
        <v>7500</v>
      </c>
      <c r="Y18" s="269">
        <v>8000</v>
      </c>
      <c r="Z18" s="269">
        <v>8500</v>
      </c>
      <c r="AA18" s="269">
        <v>10719</v>
      </c>
      <c r="AB18" s="269">
        <v>12781</v>
      </c>
      <c r="AC18" s="269">
        <v>14500</v>
      </c>
      <c r="AD18" s="269">
        <v>14906</v>
      </c>
      <c r="AE18" s="268">
        <v>20688</v>
      </c>
    </row>
    <row r="19" spans="2:31">
      <c r="B19" s="184"/>
      <c r="C19" s="167" t="s">
        <v>3734</v>
      </c>
      <c r="D19" s="261">
        <v>3</v>
      </c>
      <c r="F19" s="615" t="s">
        <v>3735</v>
      </c>
      <c r="G19" s="182"/>
      <c r="J19" s="270">
        <v>2500000</v>
      </c>
      <c r="K19" s="269"/>
      <c r="L19" s="269"/>
      <c r="M19" s="269"/>
      <c r="N19" s="269"/>
      <c r="O19" s="269"/>
      <c r="P19" s="269"/>
      <c r="Q19" s="269"/>
      <c r="R19" s="269"/>
      <c r="S19" s="269"/>
      <c r="T19" s="269"/>
      <c r="U19" s="269"/>
      <c r="V19" s="269"/>
      <c r="W19" s="269"/>
      <c r="X19" s="269">
        <v>8000</v>
      </c>
      <c r="Y19" s="269">
        <v>8500</v>
      </c>
      <c r="Z19" s="269">
        <v>9000</v>
      </c>
      <c r="AA19" s="269">
        <v>11219</v>
      </c>
      <c r="AB19" s="269">
        <v>13281</v>
      </c>
      <c r="AC19" s="269">
        <v>15000</v>
      </c>
      <c r="AD19" s="269">
        <v>15406</v>
      </c>
      <c r="AE19" s="268">
        <v>21188</v>
      </c>
    </row>
    <row r="20" spans="2:31">
      <c r="B20" s="184"/>
      <c r="C20" s="167" t="s">
        <v>3736</v>
      </c>
      <c r="D20" s="261">
        <v>1.5</v>
      </c>
      <c r="F20" s="615" t="s">
        <v>3737</v>
      </c>
      <c r="G20" s="182"/>
      <c r="J20" s="270">
        <v>3000000</v>
      </c>
      <c r="K20" s="269"/>
      <c r="L20" s="269"/>
      <c r="M20" s="269"/>
      <c r="N20" s="269"/>
      <c r="O20" s="269"/>
      <c r="P20" s="269"/>
      <c r="Q20" s="269"/>
      <c r="R20" s="269"/>
      <c r="S20" s="269"/>
      <c r="T20" s="269"/>
      <c r="U20" s="269"/>
      <c r="V20" s="269"/>
      <c r="W20" s="269"/>
      <c r="X20" s="269"/>
      <c r="Y20" s="269">
        <v>9000</v>
      </c>
      <c r="Z20" s="269">
        <v>9500</v>
      </c>
      <c r="AA20" s="269">
        <v>11719</v>
      </c>
      <c r="AB20" s="269">
        <v>13781</v>
      </c>
      <c r="AC20" s="269">
        <v>15500</v>
      </c>
      <c r="AD20" s="269">
        <v>15906</v>
      </c>
      <c r="AE20" s="268">
        <v>21688</v>
      </c>
    </row>
    <row r="21" spans="2:31">
      <c r="B21" s="184"/>
      <c r="D21" s="261"/>
      <c r="G21" s="182"/>
      <c r="J21" s="270">
        <v>5000000</v>
      </c>
      <c r="K21" s="269"/>
      <c r="L21" s="269"/>
      <c r="M21" s="269"/>
      <c r="N21" s="269"/>
      <c r="O21" s="269"/>
      <c r="P21" s="269"/>
      <c r="Q21" s="269"/>
      <c r="R21" s="269"/>
      <c r="S21" s="269"/>
      <c r="T21" s="269"/>
      <c r="U21" s="269"/>
      <c r="V21" s="269"/>
      <c r="W21" s="269"/>
      <c r="X21" s="269"/>
      <c r="Y21" s="269"/>
      <c r="Z21" s="269">
        <v>10000</v>
      </c>
      <c r="AA21" s="269">
        <v>12219</v>
      </c>
      <c r="AB21" s="269">
        <v>14281</v>
      </c>
      <c r="AC21" s="269">
        <v>16000</v>
      </c>
      <c r="AD21" s="269">
        <v>16406</v>
      </c>
      <c r="AE21" s="268">
        <v>22188</v>
      </c>
    </row>
    <row r="22" spans="2:31">
      <c r="B22" s="184" t="s">
        <v>3738</v>
      </c>
      <c r="D22" s="261"/>
      <c r="G22" s="182"/>
      <c r="J22" s="270">
        <v>10000000</v>
      </c>
      <c r="K22" s="269"/>
      <c r="L22" s="269"/>
      <c r="M22" s="269"/>
      <c r="N22" s="269"/>
      <c r="O22" s="269"/>
      <c r="P22" s="269"/>
      <c r="Q22" s="269"/>
      <c r="R22" s="269"/>
      <c r="S22" s="269"/>
      <c r="T22" s="269"/>
      <c r="U22" s="269"/>
      <c r="V22" s="269"/>
      <c r="W22" s="269"/>
      <c r="X22" s="269"/>
      <c r="Y22" s="269"/>
      <c r="Z22" s="269"/>
      <c r="AA22" s="269">
        <v>14438</v>
      </c>
      <c r="AB22" s="269">
        <v>16500</v>
      </c>
      <c r="AC22" s="269">
        <v>18219</v>
      </c>
      <c r="AD22" s="269">
        <v>18625</v>
      </c>
      <c r="AE22" s="268">
        <v>24406</v>
      </c>
    </row>
    <row r="23" spans="2:31">
      <c r="B23" s="184"/>
      <c r="C23" s="167" t="s">
        <v>3526</v>
      </c>
      <c r="D23" s="261">
        <v>3</v>
      </c>
      <c r="F23" s="615" t="s">
        <v>3739</v>
      </c>
      <c r="G23" s="182"/>
      <c r="J23" s="270">
        <v>15000000</v>
      </c>
      <c r="K23" s="269"/>
      <c r="L23" s="269"/>
      <c r="M23" s="269"/>
      <c r="N23" s="269"/>
      <c r="O23" s="269"/>
      <c r="P23" s="269"/>
      <c r="Q23" s="269"/>
      <c r="R23" s="269"/>
      <c r="S23" s="269"/>
      <c r="T23" s="269"/>
      <c r="U23" s="269"/>
      <c r="V23" s="269"/>
      <c r="W23" s="269"/>
      <c r="X23" s="269"/>
      <c r="Y23" s="269"/>
      <c r="Z23" s="269"/>
      <c r="AA23" s="269"/>
      <c r="AB23" s="269">
        <v>18563</v>
      </c>
      <c r="AC23" s="269">
        <v>20281</v>
      </c>
      <c r="AD23" s="269">
        <v>20688</v>
      </c>
      <c r="AE23" s="268">
        <v>26469</v>
      </c>
    </row>
    <row r="24" spans="2:31">
      <c r="B24" s="184"/>
      <c r="C24" s="167" t="s">
        <v>3529</v>
      </c>
      <c r="D24" s="261">
        <v>5</v>
      </c>
      <c r="F24" s="615" t="s">
        <v>3740</v>
      </c>
      <c r="G24" s="182"/>
      <c r="J24" s="270">
        <v>20000000</v>
      </c>
      <c r="K24" s="269"/>
      <c r="L24" s="269"/>
      <c r="M24" s="269"/>
      <c r="N24" s="269"/>
      <c r="O24" s="269"/>
      <c r="P24" s="269"/>
      <c r="Q24" s="269"/>
      <c r="R24" s="269"/>
      <c r="S24" s="269"/>
      <c r="T24" s="269"/>
      <c r="U24" s="269"/>
      <c r="V24" s="269"/>
      <c r="W24" s="269"/>
      <c r="X24" s="269"/>
      <c r="Y24" s="269"/>
      <c r="Z24" s="269"/>
      <c r="AA24" s="269"/>
      <c r="AB24" s="269"/>
      <c r="AC24" s="269">
        <v>22000</v>
      </c>
      <c r="AD24" s="269">
        <v>22406</v>
      </c>
      <c r="AE24" s="268">
        <v>28188</v>
      </c>
    </row>
    <row r="25" spans="2:31">
      <c r="B25" s="184"/>
      <c r="C25" s="167" t="s">
        <v>3532</v>
      </c>
      <c r="D25" s="261">
        <v>7.5</v>
      </c>
      <c r="F25" s="615" t="s">
        <v>3741</v>
      </c>
      <c r="G25" s="182"/>
      <c r="J25" s="270">
        <v>25000000</v>
      </c>
      <c r="K25" s="269"/>
      <c r="L25" s="269"/>
      <c r="M25" s="269"/>
      <c r="N25" s="269"/>
      <c r="O25" s="269"/>
      <c r="P25" s="269"/>
      <c r="Q25" s="269"/>
      <c r="R25" s="269"/>
      <c r="S25" s="269"/>
      <c r="T25" s="269"/>
      <c r="U25" s="269"/>
      <c r="V25" s="269"/>
      <c r="W25" s="269"/>
      <c r="X25" s="269"/>
      <c r="Y25" s="269"/>
      <c r="Z25" s="269"/>
      <c r="AA25" s="269"/>
      <c r="AB25" s="269"/>
      <c r="AC25" s="269"/>
      <c r="AD25" s="269">
        <v>22813</v>
      </c>
      <c r="AE25" s="268">
        <v>28594</v>
      </c>
    </row>
    <row r="26" spans="2:31">
      <c r="B26" s="184"/>
      <c r="D26" s="261"/>
      <c r="G26" s="182"/>
      <c r="J26" s="270">
        <v>50000000</v>
      </c>
      <c r="K26" s="269"/>
      <c r="L26" s="269"/>
      <c r="M26" s="269"/>
      <c r="N26" s="269"/>
      <c r="O26" s="269"/>
      <c r="P26" s="269"/>
      <c r="Q26" s="269"/>
      <c r="R26" s="269"/>
      <c r="S26" s="269"/>
      <c r="T26" s="269"/>
      <c r="U26" s="269"/>
      <c r="V26" s="269"/>
      <c r="W26" s="269"/>
      <c r="X26" s="269"/>
      <c r="Y26" s="269"/>
      <c r="Z26" s="269"/>
      <c r="AA26" s="269"/>
      <c r="AB26" s="269"/>
      <c r="AC26" s="269"/>
      <c r="AD26" s="269"/>
      <c r="AE26" s="268">
        <v>34375</v>
      </c>
    </row>
    <row r="27" spans="2:31" ht="15.75" thickBot="1">
      <c r="B27" s="184" t="s">
        <v>3535</v>
      </c>
      <c r="D27" s="261"/>
      <c r="G27" s="182"/>
      <c r="J27" s="181"/>
      <c r="K27" s="180"/>
      <c r="L27" s="180"/>
      <c r="M27" s="180"/>
      <c r="N27" s="180"/>
      <c r="O27" s="180"/>
      <c r="P27" s="180"/>
      <c r="Q27" s="180"/>
      <c r="R27" s="180"/>
      <c r="S27" s="180"/>
      <c r="T27" s="180"/>
      <c r="U27" s="180"/>
      <c r="V27" s="180"/>
      <c r="W27" s="180"/>
      <c r="X27" s="180"/>
      <c r="Y27" s="180"/>
      <c r="Z27" s="180"/>
      <c r="AA27" s="180"/>
      <c r="AB27" s="180"/>
      <c r="AC27" s="180"/>
      <c r="AD27" s="180"/>
      <c r="AE27" s="178"/>
    </row>
    <row r="28" spans="2:31" ht="15.75" thickTop="1">
      <c r="B28" s="184"/>
      <c r="C28" s="167" t="s">
        <v>3539</v>
      </c>
      <c r="D28" s="261" t="s">
        <v>3074</v>
      </c>
      <c r="G28" s="182"/>
    </row>
    <row r="29" spans="2:31">
      <c r="B29" s="184"/>
      <c r="C29" s="167" t="s">
        <v>2914</v>
      </c>
      <c r="D29" s="261">
        <v>5</v>
      </c>
      <c r="E29" s="188"/>
      <c r="F29" s="615" t="s">
        <v>3742</v>
      </c>
      <c r="G29" s="182"/>
    </row>
    <row r="30" spans="2:31">
      <c r="B30" s="184"/>
      <c r="C30" s="167" t="s">
        <v>3540</v>
      </c>
      <c r="D30" s="261">
        <v>3.6</v>
      </c>
      <c r="E30" s="188"/>
      <c r="F30" s="615" t="s">
        <v>3743</v>
      </c>
      <c r="G30" s="182"/>
      <c r="J30" s="167" t="s">
        <v>44</v>
      </c>
      <c r="M30" s="615" t="s">
        <v>3744</v>
      </c>
    </row>
    <row r="31" spans="2:31">
      <c r="B31" s="184"/>
      <c r="C31" s="167" t="s">
        <v>3541</v>
      </c>
      <c r="D31" s="261">
        <v>1.25</v>
      </c>
      <c r="E31" s="188"/>
      <c r="F31" s="615" t="s">
        <v>3737</v>
      </c>
      <c r="G31" s="182"/>
      <c r="J31" s="267">
        <v>1000</v>
      </c>
      <c r="K31" s="266">
        <v>5</v>
      </c>
      <c r="L31" s="245"/>
      <c r="M31" s="633"/>
      <c r="N31" s="634" t="s">
        <v>2881</v>
      </c>
      <c r="O31" s="244"/>
    </row>
    <row r="32" spans="2:31">
      <c r="B32" s="184"/>
      <c r="C32" s="167" t="s">
        <v>3542</v>
      </c>
      <c r="D32" s="261">
        <v>1</v>
      </c>
      <c r="E32" s="188"/>
      <c r="F32" s="615" t="s">
        <v>3745</v>
      </c>
      <c r="G32" s="182"/>
      <c r="J32" s="265">
        <v>3000</v>
      </c>
      <c r="K32" s="264">
        <v>15</v>
      </c>
      <c r="L32" s="197"/>
      <c r="M32" s="621" t="s">
        <v>3633</v>
      </c>
      <c r="N32" s="167">
        <v>3.5999999999999997E-2</v>
      </c>
      <c r="O32" s="492"/>
    </row>
    <row r="33" spans="2:15">
      <c r="B33" s="184"/>
      <c r="D33" s="261"/>
      <c r="G33" s="182"/>
      <c r="J33" s="265">
        <v>5000</v>
      </c>
      <c r="K33" s="264">
        <v>25</v>
      </c>
      <c r="L33" s="197"/>
      <c r="M33" s="621" t="s">
        <v>3634</v>
      </c>
      <c r="N33" s="167">
        <v>4.2999999999999997E-2</v>
      </c>
      <c r="O33" s="492"/>
    </row>
    <row r="34" spans="2:15">
      <c r="B34" s="184" t="s">
        <v>3537</v>
      </c>
      <c r="D34" s="261"/>
      <c r="G34" s="182"/>
      <c r="J34" s="265">
        <v>10000</v>
      </c>
      <c r="K34" s="264">
        <v>50</v>
      </c>
      <c r="L34" s="197"/>
      <c r="M34" s="621" t="s">
        <v>3635</v>
      </c>
      <c r="N34" s="167">
        <v>75</v>
      </c>
      <c r="O34" s="492"/>
    </row>
    <row r="35" spans="2:15">
      <c r="B35" s="184"/>
      <c r="C35" s="167" t="s">
        <v>2914</v>
      </c>
      <c r="D35" s="261">
        <v>15</v>
      </c>
      <c r="F35" s="615" t="s">
        <v>3746</v>
      </c>
      <c r="G35" s="182"/>
      <c r="J35" s="265">
        <v>25000</v>
      </c>
      <c r="K35" s="264">
        <v>100</v>
      </c>
      <c r="L35" s="197"/>
      <c r="M35" s="621" t="s">
        <v>3637</v>
      </c>
      <c r="N35" s="167">
        <v>50</v>
      </c>
      <c r="O35" s="492"/>
    </row>
    <row r="36" spans="2:15">
      <c r="B36" s="184"/>
      <c r="C36" s="167" t="s">
        <v>3540</v>
      </c>
      <c r="D36" s="261">
        <v>6</v>
      </c>
      <c r="F36" s="615" t="s">
        <v>3747</v>
      </c>
      <c r="G36" s="182"/>
      <c r="J36" s="263">
        <v>50000</v>
      </c>
      <c r="K36" s="262">
        <v>200</v>
      </c>
      <c r="L36" s="196"/>
      <c r="M36" s="626" t="s">
        <v>3638</v>
      </c>
      <c r="N36" s="186">
        <v>500</v>
      </c>
      <c r="O36" s="238"/>
    </row>
    <row r="37" spans="2:15">
      <c r="B37" s="184"/>
      <c r="C37" s="167" t="s">
        <v>2856</v>
      </c>
      <c r="D37" s="261">
        <v>30</v>
      </c>
      <c r="F37" s="615" t="s">
        <v>3748</v>
      </c>
      <c r="G37" s="182"/>
    </row>
    <row r="38" spans="2:15">
      <c r="B38" s="184"/>
      <c r="C38" s="167" t="s">
        <v>3543</v>
      </c>
      <c r="D38" s="261">
        <v>6.25</v>
      </c>
      <c r="F38" s="615" t="s">
        <v>3749</v>
      </c>
      <c r="G38" s="182"/>
      <c r="J38" s="167" t="s">
        <v>3626</v>
      </c>
    </row>
    <row r="39" spans="2:15">
      <c r="B39" s="184"/>
      <c r="D39" s="261"/>
      <c r="G39" s="182"/>
      <c r="J39" s="267">
        <v>50000</v>
      </c>
      <c r="K39" s="266">
        <v>50</v>
      </c>
    </row>
    <row r="40" spans="2:15">
      <c r="B40" s="184" t="s">
        <v>3636</v>
      </c>
      <c r="D40" s="261"/>
      <c r="G40" s="182"/>
      <c r="J40" s="265">
        <v>100000</v>
      </c>
      <c r="K40" s="264">
        <v>100</v>
      </c>
    </row>
    <row r="41" spans="2:15">
      <c r="B41" s="184"/>
      <c r="C41" s="167" t="s">
        <v>2914</v>
      </c>
      <c r="D41" s="261">
        <v>35</v>
      </c>
      <c r="F41" s="615" t="s">
        <v>3750</v>
      </c>
      <c r="G41" s="182"/>
      <c r="J41" s="265">
        <v>150000</v>
      </c>
      <c r="K41" s="264">
        <v>150</v>
      </c>
    </row>
    <row r="42" spans="2:15">
      <c r="B42" s="184"/>
      <c r="C42" s="167" t="s">
        <v>3540</v>
      </c>
      <c r="D42" s="261">
        <v>15</v>
      </c>
      <c r="F42" s="615" t="s">
        <v>3751</v>
      </c>
      <c r="G42" s="182"/>
      <c r="J42" s="265">
        <v>200000</v>
      </c>
      <c r="K42" s="264">
        <v>200</v>
      </c>
    </row>
    <row r="43" spans="2:15">
      <c r="B43" s="184"/>
      <c r="C43" s="167" t="s">
        <v>3532</v>
      </c>
      <c r="D43" s="261">
        <v>48</v>
      </c>
      <c r="F43" t="s">
        <v>3752</v>
      </c>
      <c r="G43" s="182"/>
      <c r="J43" s="263">
        <v>250000</v>
      </c>
      <c r="K43" s="262">
        <v>250</v>
      </c>
    </row>
    <row r="44" spans="2:15">
      <c r="B44" s="184"/>
      <c r="C44" s="167" t="s">
        <v>3550</v>
      </c>
      <c r="D44" s="261">
        <v>12.5</v>
      </c>
      <c r="F44" t="s">
        <v>3753</v>
      </c>
      <c r="G44" s="182"/>
    </row>
    <row r="45" spans="2:15">
      <c r="B45" s="184"/>
      <c r="D45" s="261"/>
      <c r="G45" s="182"/>
    </row>
    <row r="46" spans="2:15">
      <c r="B46" s="184" t="s">
        <v>3552</v>
      </c>
      <c r="D46" s="261"/>
      <c r="G46" s="182"/>
    </row>
    <row r="47" spans="2:15">
      <c r="B47" s="184"/>
      <c r="C47" s="167" t="s">
        <v>2914</v>
      </c>
      <c r="D47" s="261">
        <v>50</v>
      </c>
      <c r="F47" t="s">
        <v>3754</v>
      </c>
      <c r="G47" s="182"/>
    </row>
    <row r="48" spans="2:15">
      <c r="B48" s="184"/>
      <c r="C48" s="167" t="s">
        <v>3540</v>
      </c>
      <c r="D48" s="261">
        <v>18</v>
      </c>
      <c r="F48" t="s">
        <v>3755</v>
      </c>
      <c r="G48" s="182"/>
    </row>
    <row r="49" spans="2:7">
      <c r="B49" s="184"/>
      <c r="C49" s="167" t="s">
        <v>3532</v>
      </c>
      <c r="D49" s="261">
        <v>55</v>
      </c>
      <c r="F49" t="s">
        <v>3756</v>
      </c>
      <c r="G49" s="182"/>
    </row>
    <row r="50" spans="2:7">
      <c r="B50" s="184"/>
      <c r="C50" s="167" t="s">
        <v>3550</v>
      </c>
      <c r="D50" s="261">
        <v>18.75</v>
      </c>
      <c r="F50" t="s">
        <v>3757</v>
      </c>
      <c r="G50" s="182"/>
    </row>
    <row r="51" spans="2:7">
      <c r="B51" s="184"/>
      <c r="D51" s="261"/>
      <c r="G51" s="182"/>
    </row>
    <row r="52" spans="2:7">
      <c r="B52" s="184" t="s">
        <v>3559</v>
      </c>
      <c r="D52" s="261"/>
      <c r="G52" s="182"/>
    </row>
    <row r="53" spans="2:7">
      <c r="B53" s="184"/>
      <c r="C53" s="167" t="s">
        <v>3758</v>
      </c>
      <c r="D53" s="261">
        <v>10</v>
      </c>
      <c r="F53" t="s">
        <v>3759</v>
      </c>
      <c r="G53" s="182"/>
    </row>
    <row r="54" spans="2:7">
      <c r="B54" s="184"/>
      <c r="C54" s="167" t="s">
        <v>3760</v>
      </c>
      <c r="D54" s="261">
        <v>27.5</v>
      </c>
      <c r="F54" t="s">
        <v>3761</v>
      </c>
      <c r="G54" s="182"/>
    </row>
    <row r="55" spans="2:7">
      <c r="B55" s="184"/>
      <c r="C55" s="167" t="s">
        <v>3762</v>
      </c>
      <c r="D55" s="261">
        <v>9</v>
      </c>
      <c r="F55" t="s">
        <v>3763</v>
      </c>
      <c r="G55" s="182"/>
    </row>
    <row r="56" spans="2:7">
      <c r="B56" s="184"/>
      <c r="C56" s="167" t="s">
        <v>3764</v>
      </c>
      <c r="D56" s="261">
        <v>14</v>
      </c>
      <c r="F56" t="s">
        <v>3751</v>
      </c>
      <c r="G56" s="182"/>
    </row>
    <row r="57" spans="2:7">
      <c r="B57" s="184"/>
      <c r="C57" s="167" t="s">
        <v>3532</v>
      </c>
      <c r="D57" s="261">
        <v>48</v>
      </c>
      <c r="F57" t="s">
        <v>3752</v>
      </c>
      <c r="G57" s="182"/>
    </row>
    <row r="58" spans="2:7">
      <c r="B58" s="184"/>
      <c r="C58" s="167" t="s">
        <v>3543</v>
      </c>
      <c r="D58" s="261">
        <v>18.75</v>
      </c>
      <c r="F58" t="s">
        <v>3765</v>
      </c>
      <c r="G58" s="182"/>
    </row>
    <row r="59" spans="2:7">
      <c r="B59" s="184"/>
      <c r="D59" s="261"/>
      <c r="G59" s="182"/>
    </row>
    <row r="60" spans="2:7">
      <c r="B60" s="184" t="s">
        <v>3766</v>
      </c>
      <c r="D60" s="261">
        <v>6</v>
      </c>
      <c r="F60" t="s">
        <v>3767</v>
      </c>
      <c r="G60" s="182"/>
    </row>
    <row r="61" spans="2:7">
      <c r="B61" s="184"/>
      <c r="D61" s="261"/>
      <c r="G61" s="182"/>
    </row>
    <row r="62" spans="2:7">
      <c r="B62" s="184" t="s">
        <v>3548</v>
      </c>
      <c r="D62" s="261"/>
      <c r="G62" s="182"/>
    </row>
    <row r="63" spans="2:7">
      <c r="B63" s="184"/>
      <c r="C63" s="615" t="s">
        <v>3768</v>
      </c>
      <c r="D63" s="261">
        <v>6</v>
      </c>
      <c r="F63" t="s">
        <v>3769</v>
      </c>
      <c r="G63" s="182"/>
    </row>
    <row r="64" spans="2:7">
      <c r="B64" s="184"/>
      <c r="C64" s="207" t="s">
        <v>3770</v>
      </c>
      <c r="D64" s="261">
        <v>15</v>
      </c>
      <c r="F64" t="s">
        <v>3771</v>
      </c>
      <c r="G64" s="182"/>
    </row>
    <row r="65" spans="2:18">
      <c r="B65" s="184"/>
      <c r="D65" s="261"/>
      <c r="G65" s="182"/>
    </row>
    <row r="66" spans="2:18">
      <c r="B66" s="184" t="s">
        <v>3772</v>
      </c>
      <c r="D66" s="261">
        <v>17.5</v>
      </c>
      <c r="F66" t="s">
        <v>3765</v>
      </c>
      <c r="G66" s="182"/>
    </row>
    <row r="67" spans="2:18">
      <c r="B67" s="184"/>
      <c r="D67" s="261"/>
      <c r="G67" s="182"/>
    </row>
    <row r="68" spans="2:18">
      <c r="B68" s="184" t="s">
        <v>3773</v>
      </c>
      <c r="D68" s="261">
        <v>15</v>
      </c>
      <c r="F68" t="s">
        <v>3751</v>
      </c>
      <c r="G68" s="182"/>
    </row>
    <row r="69" spans="2:18">
      <c r="B69" s="184"/>
      <c r="D69" s="261"/>
      <c r="G69" s="182"/>
    </row>
    <row r="70" spans="2:18">
      <c r="B70" s="184" t="s">
        <v>3774</v>
      </c>
      <c r="D70" s="261">
        <v>20</v>
      </c>
      <c r="F70" s="532" t="s">
        <v>3775</v>
      </c>
      <c r="G70" s="182"/>
    </row>
    <row r="71" spans="2:18">
      <c r="B71" s="184"/>
      <c r="D71" s="261"/>
      <c r="G71" s="182"/>
    </row>
    <row r="72" spans="2:18">
      <c r="B72" s="184" t="s">
        <v>3776</v>
      </c>
      <c r="D72" s="261">
        <v>1.25</v>
      </c>
      <c r="F72" t="s">
        <v>3777</v>
      </c>
      <c r="G72" s="182"/>
    </row>
    <row r="73" spans="2:18">
      <c r="B73" s="184"/>
      <c r="D73" s="261"/>
      <c r="G73" s="182"/>
    </row>
    <row r="74" spans="2:18">
      <c r="B74" s="184" t="s">
        <v>3530</v>
      </c>
      <c r="D74" s="261">
        <v>6</v>
      </c>
      <c r="F74" t="s">
        <v>3778</v>
      </c>
      <c r="G74" s="182"/>
    </row>
    <row r="75" spans="2:18">
      <c r="B75" s="184"/>
      <c r="D75" s="261"/>
      <c r="G75" s="182"/>
    </row>
    <row r="76" spans="2:18">
      <c r="B76" s="184" t="s">
        <v>3779</v>
      </c>
      <c r="D76" s="261">
        <v>10</v>
      </c>
      <c r="F76" t="s">
        <v>3763</v>
      </c>
      <c r="G76" s="182"/>
    </row>
    <row r="77" spans="2:18" ht="15.75" thickBot="1">
      <c r="B77" s="181"/>
      <c r="C77" s="180"/>
      <c r="D77" s="180"/>
      <c r="E77" s="180"/>
      <c r="F77" s="180"/>
      <c r="G77" s="178"/>
    </row>
    <row r="78" spans="2:18" ht="15.75" thickTop="1">
      <c r="D78" s="188"/>
    </row>
    <row r="79" spans="2:18" ht="16.5" thickBot="1">
      <c r="D79" s="188"/>
      <c r="E79" s="188"/>
      <c r="J79" s="440"/>
      <c r="M79" s="440"/>
    </row>
    <row r="80" spans="2:18" ht="17.25" thickTop="1" thickBot="1">
      <c r="B80" s="1471" t="s">
        <v>3780</v>
      </c>
      <c r="C80" s="1472"/>
      <c r="D80" s="1473"/>
      <c r="E80" s="533"/>
      <c r="G80" s="635" t="s">
        <v>3781</v>
      </c>
      <c r="H80" s="491"/>
      <c r="I80" s="491"/>
      <c r="J80" s="301"/>
      <c r="M80" s="301"/>
      <c r="N80" s="440"/>
      <c r="O80" s="440"/>
      <c r="R80" s="615" t="s">
        <v>3782</v>
      </c>
    </row>
    <row r="81" spans="1:19" ht="16.5" thickTop="1">
      <c r="B81" s="1474" t="s">
        <v>3783</v>
      </c>
      <c r="C81" s="1475"/>
      <c r="D81" s="1476"/>
      <c r="E81" s="534"/>
      <c r="G81" s="636">
        <v>0</v>
      </c>
      <c r="H81" s="637">
        <v>999999</v>
      </c>
      <c r="I81" s="438">
        <v>1</v>
      </c>
      <c r="J81" s="435" t="s">
        <v>3784</v>
      </c>
      <c r="M81" s="434"/>
      <c r="N81" s="301"/>
      <c r="O81" s="301"/>
      <c r="R81" s="637">
        <v>999999</v>
      </c>
      <c r="S81" s="438">
        <v>1.3</v>
      </c>
    </row>
    <row r="82" spans="1:19" ht="29.25">
      <c r="B82" s="260" t="s">
        <v>3483</v>
      </c>
      <c r="C82" s="257"/>
      <c r="D82" s="259" t="s">
        <v>3785</v>
      </c>
      <c r="E82" s="435"/>
      <c r="G82" s="638">
        <v>1000000</v>
      </c>
      <c r="H82" s="624">
        <v>1499999</v>
      </c>
      <c r="I82" s="439">
        <v>1.1000000000000001</v>
      </c>
      <c r="J82" s="639" t="s">
        <v>3786</v>
      </c>
      <c r="M82" s="436">
        <f>IFERROR(VLOOKUP(400000,RevenuGLSizeFactor,3),0.65)</f>
        <v>1</v>
      </c>
      <c r="N82" s="257"/>
      <c r="O82" s="435"/>
      <c r="R82" s="624">
        <v>1499999</v>
      </c>
      <c r="S82" s="439">
        <v>1.1499999999999999</v>
      </c>
    </row>
    <row r="83" spans="1:19">
      <c r="A83" s="167">
        <v>1</v>
      </c>
      <c r="B83" s="258">
        <v>250000</v>
      </c>
      <c r="C83" s="255"/>
      <c r="D83" s="254">
        <v>0.55000000000000004</v>
      </c>
      <c r="E83" s="437" t="s">
        <v>3787</v>
      </c>
      <c r="G83" s="638">
        <v>1500000</v>
      </c>
      <c r="H83" s="624">
        <v>1999999</v>
      </c>
      <c r="I83" s="439">
        <v>0.85</v>
      </c>
      <c r="J83" s="639" t="s">
        <v>3788</v>
      </c>
      <c r="M83" s="436"/>
      <c r="N83" s="257"/>
      <c r="O83" s="437"/>
      <c r="R83" s="624">
        <v>1999999</v>
      </c>
      <c r="S83" s="439">
        <v>1</v>
      </c>
    </row>
    <row r="84" spans="1:19">
      <c r="A84" s="167">
        <v>2</v>
      </c>
      <c r="B84" s="258">
        <v>500000</v>
      </c>
      <c r="C84" s="251"/>
      <c r="D84" s="250">
        <v>0.7</v>
      </c>
      <c r="E84" s="437" t="s">
        <v>3789</v>
      </c>
      <c r="G84" s="638">
        <v>2000000</v>
      </c>
      <c r="H84" s="624">
        <v>2999999</v>
      </c>
      <c r="I84" s="439">
        <v>0.8</v>
      </c>
      <c r="J84" s="639" t="s">
        <v>3790</v>
      </c>
      <c r="M84" s="436"/>
      <c r="N84" s="257"/>
      <c r="O84" s="437"/>
      <c r="R84" s="624">
        <v>2999999</v>
      </c>
      <c r="S84" s="439">
        <v>0.95</v>
      </c>
    </row>
    <row r="85" spans="1:19">
      <c r="A85" s="167">
        <v>3</v>
      </c>
      <c r="B85" s="535">
        <v>1000000</v>
      </c>
      <c r="C85" s="251"/>
      <c r="D85" s="250">
        <v>0.9</v>
      </c>
      <c r="E85" s="437" t="s">
        <v>3791</v>
      </c>
      <c r="G85" s="638">
        <v>3000000</v>
      </c>
      <c r="H85" s="624">
        <v>4999999</v>
      </c>
      <c r="I85" s="439">
        <v>0.75</v>
      </c>
      <c r="J85" s="639" t="s">
        <v>3792</v>
      </c>
      <c r="M85" s="436"/>
      <c r="N85" s="257"/>
      <c r="O85" s="437"/>
      <c r="R85" s="624">
        <v>4999999</v>
      </c>
      <c r="S85" s="439">
        <v>0.9</v>
      </c>
    </row>
    <row r="86" spans="1:19">
      <c r="A86" s="167">
        <v>4</v>
      </c>
      <c r="B86" s="535">
        <v>2000000</v>
      </c>
      <c r="C86" s="251"/>
      <c r="D86" s="250">
        <v>1.25</v>
      </c>
      <c r="E86" s="437" t="s">
        <v>3793</v>
      </c>
      <c r="G86" s="638">
        <v>5000000</v>
      </c>
      <c r="H86" s="624">
        <v>7499999</v>
      </c>
      <c r="I86" s="439">
        <v>0.65</v>
      </c>
      <c r="J86" s="639" t="s">
        <v>3794</v>
      </c>
      <c r="M86" s="436"/>
      <c r="N86" s="257"/>
      <c r="O86" s="437"/>
      <c r="R86" s="624">
        <v>7499999</v>
      </c>
      <c r="S86" s="439">
        <v>0.85</v>
      </c>
    </row>
    <row r="87" spans="1:19">
      <c r="A87" s="167">
        <v>5</v>
      </c>
      <c r="B87" s="535">
        <v>3000000</v>
      </c>
      <c r="C87" s="251"/>
      <c r="D87" s="250">
        <v>1.5</v>
      </c>
      <c r="E87" s="437" t="s">
        <v>3795</v>
      </c>
      <c r="G87" s="638">
        <v>7500000</v>
      </c>
      <c r="H87" s="624">
        <v>15000000</v>
      </c>
      <c r="I87" s="439">
        <v>0.6</v>
      </c>
      <c r="J87" s="639" t="s">
        <v>3796</v>
      </c>
      <c r="M87" s="436"/>
      <c r="N87" s="257"/>
      <c r="O87" s="437"/>
      <c r="R87" s="624">
        <v>15000000</v>
      </c>
      <c r="S87" s="439">
        <v>0.8</v>
      </c>
    </row>
    <row r="88" spans="1:19" ht="15.75" thickBot="1">
      <c r="A88" s="167">
        <v>6</v>
      </c>
      <c r="B88" s="535">
        <v>4000000</v>
      </c>
      <c r="C88" s="251"/>
      <c r="D88" s="250">
        <v>1.65</v>
      </c>
      <c r="E88" s="437" t="s">
        <v>3797</v>
      </c>
      <c r="G88" s="640">
        <v>500000000</v>
      </c>
      <c r="H88" s="180"/>
      <c r="I88" s="178"/>
      <c r="N88" s="257"/>
      <c r="O88" s="437"/>
      <c r="Q88" s="188"/>
      <c r="R88" s="188"/>
      <c r="S88" s="625"/>
    </row>
    <row r="89" spans="1:19" ht="16.5" thickTop="1" thickBot="1">
      <c r="A89" s="167">
        <v>7</v>
      </c>
      <c r="B89" s="535">
        <v>5000000</v>
      </c>
      <c r="C89" s="251"/>
      <c r="D89" s="250">
        <v>1.85</v>
      </c>
      <c r="E89" s="437" t="s">
        <v>3798</v>
      </c>
      <c r="Q89" s="188"/>
      <c r="R89" s="188"/>
      <c r="S89" s="625"/>
    </row>
    <row r="90" spans="1:19" ht="16.5" thickTop="1">
      <c r="A90" s="167">
        <v>8</v>
      </c>
      <c r="B90" s="535">
        <v>10000000</v>
      </c>
      <c r="C90" s="251"/>
      <c r="D90" s="250">
        <v>2.1</v>
      </c>
      <c r="E90" s="437" t="s">
        <v>3799</v>
      </c>
      <c r="G90" s="488" t="s">
        <v>3800</v>
      </c>
      <c r="H90" s="489"/>
      <c r="I90" s="490"/>
      <c r="Q90" s="188"/>
      <c r="R90" s="188"/>
      <c r="S90" s="625"/>
    </row>
    <row r="91" spans="1:19">
      <c r="A91" s="167">
        <v>9</v>
      </c>
      <c r="B91" s="537">
        <v>15000000</v>
      </c>
      <c r="C91" s="538"/>
      <c r="D91" s="539">
        <v>2.65</v>
      </c>
      <c r="E91" s="437" t="s">
        <v>3801</v>
      </c>
      <c r="G91" s="253"/>
      <c r="H91" s="257"/>
      <c r="I91" s="256"/>
      <c r="Q91" s="188"/>
      <c r="R91" s="188"/>
      <c r="S91" s="625"/>
    </row>
    <row r="92" spans="1:19">
      <c r="A92" s="167">
        <v>10</v>
      </c>
      <c r="B92" s="537">
        <v>20000000</v>
      </c>
      <c r="C92" s="538"/>
      <c r="D92" s="539">
        <v>3</v>
      </c>
      <c r="E92" s="437" t="s">
        <v>3802</v>
      </c>
      <c r="G92" s="252">
        <v>1</v>
      </c>
      <c r="H92" s="255"/>
      <c r="I92" s="254">
        <v>1</v>
      </c>
      <c r="Q92" s="188"/>
      <c r="R92" s="188"/>
      <c r="S92" s="625"/>
    </row>
    <row r="93" spans="1:19">
      <c r="A93" s="167">
        <v>11</v>
      </c>
      <c r="B93" s="537">
        <v>25000000</v>
      </c>
      <c r="C93" s="538"/>
      <c r="D93" s="539">
        <v>3.35</v>
      </c>
      <c r="E93" s="437" t="s">
        <v>3803</v>
      </c>
      <c r="G93" s="252">
        <v>2</v>
      </c>
      <c r="H93" s="251"/>
      <c r="I93" s="250">
        <v>1</v>
      </c>
      <c r="Q93" s="188"/>
      <c r="R93" s="188"/>
      <c r="S93" s="625"/>
    </row>
    <row r="94" spans="1:19">
      <c r="A94" s="167">
        <v>12</v>
      </c>
      <c r="B94" s="537">
        <v>50000000</v>
      </c>
      <c r="C94" s="538"/>
      <c r="D94" s="539">
        <v>4</v>
      </c>
      <c r="E94" s="437" t="s">
        <v>3804</v>
      </c>
      <c r="G94" s="252">
        <v>3</v>
      </c>
      <c r="H94" s="251"/>
      <c r="I94" s="250">
        <v>3</v>
      </c>
      <c r="Q94" s="188"/>
      <c r="R94" s="188"/>
    </row>
    <row r="95" spans="1:19">
      <c r="A95" s="167">
        <v>13</v>
      </c>
      <c r="B95" s="537">
        <v>75000000</v>
      </c>
      <c r="C95" s="538"/>
      <c r="D95" s="539">
        <v>4.53</v>
      </c>
      <c r="E95" s="437" t="s">
        <v>3805</v>
      </c>
      <c r="G95" s="252">
        <v>4</v>
      </c>
      <c r="H95" s="251"/>
      <c r="I95" s="250">
        <v>3</v>
      </c>
      <c r="Q95" s="188"/>
      <c r="R95" s="188"/>
    </row>
    <row r="96" spans="1:19">
      <c r="A96" s="167">
        <v>14</v>
      </c>
      <c r="B96" s="537">
        <v>100000000</v>
      </c>
      <c r="C96" s="538"/>
      <c r="D96" s="539">
        <v>4.93</v>
      </c>
      <c r="E96" s="437" t="s">
        <v>3806</v>
      </c>
      <c r="G96" s="252">
        <v>5</v>
      </c>
      <c r="H96" s="251"/>
      <c r="I96" s="250">
        <v>3</v>
      </c>
      <c r="Q96" s="188"/>
      <c r="R96" s="188"/>
    </row>
    <row r="97" spans="1:20">
      <c r="A97" s="167">
        <v>15</v>
      </c>
      <c r="B97" s="537">
        <v>150000000</v>
      </c>
      <c r="C97" s="538"/>
      <c r="D97" s="539">
        <v>5.05</v>
      </c>
      <c r="E97" s="437" t="s">
        <v>3806</v>
      </c>
      <c r="G97" s="252">
        <v>6</v>
      </c>
      <c r="H97" s="251"/>
      <c r="I97" s="250">
        <v>7</v>
      </c>
      <c r="Q97" s="188"/>
      <c r="R97" s="188"/>
    </row>
    <row r="98" spans="1:20">
      <c r="A98" s="167">
        <v>16</v>
      </c>
      <c r="B98" s="537">
        <v>200000000</v>
      </c>
      <c r="C98" s="538"/>
      <c r="D98" s="539">
        <v>5.05</v>
      </c>
      <c r="E98" s="437" t="s">
        <v>3806</v>
      </c>
      <c r="G98" s="252">
        <v>7</v>
      </c>
      <c r="H98" s="251"/>
      <c r="I98" s="250">
        <v>7</v>
      </c>
      <c r="Q98" s="188"/>
      <c r="R98" s="188"/>
    </row>
    <row r="99" spans="1:20">
      <c r="A99" s="167">
        <v>17</v>
      </c>
      <c r="B99" s="537">
        <v>250000000</v>
      </c>
      <c r="C99" s="538"/>
      <c r="D99" s="539">
        <v>5.05</v>
      </c>
      <c r="E99" s="437" t="s">
        <v>3806</v>
      </c>
      <c r="G99" s="252">
        <v>8</v>
      </c>
      <c r="H99" s="251"/>
      <c r="I99" s="250">
        <v>7</v>
      </c>
      <c r="Q99" s="188"/>
      <c r="R99" s="188"/>
    </row>
    <row r="100" spans="1:20" ht="15.75" thickBot="1">
      <c r="A100" s="167">
        <v>18</v>
      </c>
      <c r="B100" s="540">
        <v>300000000</v>
      </c>
      <c r="C100" s="541"/>
      <c r="D100" s="542">
        <v>5.05</v>
      </c>
      <c r="E100" s="437" t="s">
        <v>3806</v>
      </c>
      <c r="G100" s="252">
        <v>9</v>
      </c>
      <c r="H100" s="251"/>
      <c r="I100" s="250">
        <v>7</v>
      </c>
      <c r="Q100" s="188"/>
      <c r="R100" s="188"/>
    </row>
    <row r="101" spans="1:20" ht="16.5" thickTop="1" thickBot="1">
      <c r="D101" s="188"/>
      <c r="E101" s="188"/>
      <c r="G101" s="249">
        <v>10</v>
      </c>
      <c r="H101" s="248"/>
      <c r="I101" s="247">
        <v>7</v>
      </c>
      <c r="Q101" s="188"/>
      <c r="R101" s="188"/>
    </row>
    <row r="102" spans="1:20" ht="16.5" thickTop="1" thickBot="1">
      <c r="D102" s="188"/>
      <c r="E102" s="188"/>
      <c r="Q102" s="188"/>
      <c r="R102" s="623" t="s">
        <v>3807</v>
      </c>
    </row>
    <row r="103" spans="1:20" ht="16.5" thickTop="1">
      <c r="D103" s="188"/>
      <c r="E103" s="188"/>
      <c r="Q103" s="188"/>
      <c r="R103" s="1471" t="s">
        <v>3780</v>
      </c>
      <c r="S103" s="1472"/>
      <c r="T103" s="1473"/>
    </row>
    <row r="104" spans="1:20" ht="15.75">
      <c r="D104" s="188"/>
      <c r="P104" s="188"/>
      <c r="Q104" s="188"/>
      <c r="R104" s="1474" t="s">
        <v>3783</v>
      </c>
      <c r="S104" s="1475"/>
      <c r="T104" s="1476"/>
    </row>
    <row r="105" spans="1:20" ht="29.25">
      <c r="D105" s="188"/>
      <c r="P105" s="188"/>
      <c r="Q105" s="188"/>
      <c r="R105" s="260" t="s">
        <v>3483</v>
      </c>
      <c r="S105" s="257"/>
      <c r="T105" s="259" t="s">
        <v>3785</v>
      </c>
    </row>
    <row r="106" spans="1:20">
      <c r="D106" s="188"/>
      <c r="R106" s="258">
        <v>250000</v>
      </c>
      <c r="S106" s="255"/>
      <c r="T106" s="254">
        <v>0.65</v>
      </c>
    </row>
    <row r="107" spans="1:20">
      <c r="D107" s="188"/>
      <c r="R107" s="258">
        <v>500000</v>
      </c>
      <c r="S107" s="251"/>
      <c r="T107" s="250">
        <v>0.8</v>
      </c>
    </row>
    <row r="108" spans="1:20">
      <c r="D108" s="188"/>
      <c r="R108" s="535">
        <v>1000000</v>
      </c>
      <c r="S108" s="251"/>
      <c r="T108" s="250">
        <v>1</v>
      </c>
    </row>
    <row r="109" spans="1:20">
      <c r="D109" s="188"/>
      <c r="R109" s="535">
        <v>2000000</v>
      </c>
      <c r="S109" s="251"/>
      <c r="T109" s="250">
        <v>1.35</v>
      </c>
    </row>
    <row r="110" spans="1:20">
      <c r="D110" s="188"/>
      <c r="R110" s="535">
        <v>3000000</v>
      </c>
      <c r="S110" s="251"/>
      <c r="T110" s="250">
        <v>1.6</v>
      </c>
    </row>
    <row r="111" spans="1:20">
      <c r="D111" s="188"/>
      <c r="R111" s="535">
        <v>4000000</v>
      </c>
      <c r="S111" s="251"/>
      <c r="T111" s="250">
        <v>1.75</v>
      </c>
    </row>
    <row r="112" spans="1:20">
      <c r="D112" s="188"/>
      <c r="R112" s="535">
        <v>5000000</v>
      </c>
      <c r="S112" s="251"/>
      <c r="T112" s="250">
        <v>1.9</v>
      </c>
    </row>
    <row r="113" spans="4:20">
      <c r="D113" s="188"/>
      <c r="R113" s="535">
        <v>10000000</v>
      </c>
      <c r="S113" s="251"/>
      <c r="T113" s="250">
        <v>2.2999999999999998</v>
      </c>
    </row>
    <row r="114" spans="4:20">
      <c r="D114" s="188"/>
      <c r="R114" s="535">
        <v>15000000</v>
      </c>
      <c r="S114" s="251"/>
      <c r="T114" s="250">
        <v>2.65</v>
      </c>
    </row>
    <row r="115" spans="4:20">
      <c r="D115" s="188"/>
      <c r="R115" s="535">
        <v>20000000</v>
      </c>
      <c r="S115" s="251"/>
      <c r="T115" s="250">
        <v>3</v>
      </c>
    </row>
    <row r="116" spans="4:20">
      <c r="R116" s="535">
        <v>25000000</v>
      </c>
      <c r="S116" s="251"/>
      <c r="T116" s="250">
        <v>3.35</v>
      </c>
    </row>
    <row r="117" spans="4:20">
      <c r="R117" s="535">
        <v>50000000</v>
      </c>
      <c r="S117" s="251"/>
      <c r="T117" s="250">
        <v>4</v>
      </c>
    </row>
    <row r="118" spans="4:20">
      <c r="R118" s="535">
        <v>75000000</v>
      </c>
      <c r="S118" s="251"/>
      <c r="T118" s="250">
        <v>4.53</v>
      </c>
    </row>
    <row r="119" spans="4:20">
      <c r="R119" s="535">
        <v>100000000</v>
      </c>
      <c r="S119" s="251"/>
      <c r="T119" s="250">
        <v>4.93</v>
      </c>
    </row>
    <row r="120" spans="4:20">
      <c r="R120" s="535">
        <v>150000000</v>
      </c>
      <c r="S120" s="251"/>
      <c r="T120" s="250">
        <v>5.05</v>
      </c>
    </row>
    <row r="121" spans="4:20">
      <c r="R121" s="535">
        <v>200000000</v>
      </c>
      <c r="S121" s="251"/>
      <c r="T121" s="250">
        <v>5.05</v>
      </c>
    </row>
    <row r="122" spans="4:20">
      <c r="R122" s="535">
        <v>250000000</v>
      </c>
      <c r="S122" s="251"/>
      <c r="T122" s="250">
        <v>5.05</v>
      </c>
    </row>
    <row r="123" spans="4:20" ht="15.75" thickBot="1">
      <c r="R123" s="536">
        <v>300000000</v>
      </c>
      <c r="S123" s="248"/>
      <c r="T123" s="247">
        <v>5.05</v>
      </c>
    </row>
    <row r="124" spans="4:20" ht="15.75" thickTop="1"/>
  </sheetData>
  <mergeCells count="4">
    <mergeCell ref="B80:D80"/>
    <mergeCell ref="B81:D81"/>
    <mergeCell ref="R103:T103"/>
    <mergeCell ref="R104:T104"/>
  </mergeCells>
  <pageMargins left="0.7" right="0.7" top="0.75" bottom="0.75" header="0.3" footer="0.3"/>
  <pageSetup orientation="portrait" horizontalDpi="200" verticalDpi="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0">
    <tabColor rgb="FF0070C0"/>
  </sheetPr>
  <dimension ref="A1:M44"/>
  <sheetViews>
    <sheetView showGridLines="0" zoomScale="130" zoomScaleNormal="130" zoomScaleSheetLayoutView="106" workbookViewId="0">
      <selection activeCell="H5" sqref="H5:I5"/>
    </sheetView>
  </sheetViews>
  <sheetFormatPr defaultColWidth="0" defaultRowHeight="15" zeroHeight="1"/>
  <cols>
    <col min="1" max="3" width="8" style="167" customWidth="1"/>
    <col min="4" max="4" width="11.375" style="167" customWidth="1"/>
    <col min="5" max="5" width="8.375" style="167" customWidth="1"/>
    <col min="6" max="8" width="8" style="167" customWidth="1"/>
    <col min="9" max="9" width="8.625" style="167" customWidth="1"/>
    <col min="10" max="10" width="8" style="167" customWidth="1"/>
    <col min="11" max="16384" width="8" style="167" hidden="1"/>
  </cols>
  <sheetData>
    <row r="1" spans="1:13" ht="15" customHeight="1">
      <c r="A1" s="1477" t="s">
        <v>3808</v>
      </c>
      <c r="B1" s="1477"/>
      <c r="C1" s="1477"/>
      <c r="D1" s="1477"/>
      <c r="E1" s="1477"/>
      <c r="F1" s="1477"/>
      <c r="G1" s="1477"/>
      <c r="H1" s="1477"/>
      <c r="I1" s="1477"/>
      <c r="J1" s="1477"/>
      <c r="K1" s="289"/>
    </row>
    <row r="2" spans="1:13" ht="15.75" customHeight="1" thickBot="1">
      <c r="A2" s="1478"/>
      <c r="B2" s="1478"/>
      <c r="C2" s="1478"/>
      <c r="D2" s="1478"/>
      <c r="E2" s="1478"/>
      <c r="F2" s="1478"/>
      <c r="G2" s="1478"/>
      <c r="H2" s="1478"/>
      <c r="I2" s="1478"/>
      <c r="J2" s="1478"/>
      <c r="K2" s="289"/>
    </row>
    <row r="3" spans="1:13"/>
    <row r="4" spans="1:13">
      <c r="A4" s="1482" t="s">
        <v>3809</v>
      </c>
      <c r="B4" s="1482"/>
      <c r="C4" s="1482"/>
      <c r="D4" s="1482"/>
      <c r="E4" s="1482"/>
      <c r="F4" s="1482"/>
      <c r="G4" s="288"/>
      <c r="H4" s="1479" t="s">
        <v>3139</v>
      </c>
      <c r="I4" s="1479"/>
    </row>
    <row r="5" spans="1:13" ht="15.75" thickBot="1">
      <c r="A5" s="286" t="s">
        <v>3810</v>
      </c>
      <c r="B5" s="1356"/>
      <c r="C5" s="1341"/>
      <c r="D5" s="1341"/>
      <c r="E5" s="1341"/>
      <c r="F5" s="1342"/>
      <c r="G5" s="285"/>
      <c r="H5" s="1480">
        <v>0</v>
      </c>
      <c r="I5" s="1481"/>
      <c r="M5" s="167" t="s">
        <v>2979</v>
      </c>
    </row>
    <row r="6" spans="1:13">
      <c r="A6" s="284"/>
      <c r="B6" s="1343"/>
      <c r="C6" s="1344"/>
      <c r="D6" s="1344"/>
      <c r="E6" s="1344"/>
      <c r="F6" s="1345"/>
      <c r="H6" s="177"/>
      <c r="I6" s="177"/>
      <c r="M6" s="167" t="s">
        <v>3811</v>
      </c>
    </row>
    <row r="7" spans="1:13">
      <c r="A7" s="177"/>
      <c r="B7" s="1346"/>
      <c r="C7" s="1347"/>
      <c r="D7" s="1347"/>
      <c r="E7" s="1347"/>
      <c r="F7" s="1348"/>
      <c r="H7" s="177"/>
      <c r="I7" s="177"/>
    </row>
    <row r="8" spans="1:13">
      <c r="A8" s="177"/>
      <c r="H8" s="1479" t="s">
        <v>3139</v>
      </c>
      <c r="I8" s="1479"/>
    </row>
    <row r="9" spans="1:13" ht="15.75" thickBot="1">
      <c r="A9" s="286" t="s">
        <v>3812</v>
      </c>
      <c r="B9" s="1356"/>
      <c r="C9" s="1341"/>
      <c r="D9" s="1341"/>
      <c r="E9" s="1341"/>
      <c r="F9" s="1342"/>
      <c r="G9" s="285"/>
      <c r="H9" s="1480">
        <v>0</v>
      </c>
      <c r="I9" s="1481"/>
    </row>
    <row r="10" spans="1:13">
      <c r="A10" s="284"/>
      <c r="B10" s="1343"/>
      <c r="C10" s="1344"/>
      <c r="D10" s="1344"/>
      <c r="E10" s="1344"/>
      <c r="F10" s="1345"/>
      <c r="H10" s="177"/>
      <c r="I10" s="177"/>
      <c r="M10" s="167" t="s">
        <v>11</v>
      </c>
    </row>
    <row r="11" spans="1:13">
      <c r="A11" s="177"/>
      <c r="B11" s="1346"/>
      <c r="C11" s="1347"/>
      <c r="D11" s="1347"/>
      <c r="E11" s="1347"/>
      <c r="F11" s="1348"/>
      <c r="H11" s="177"/>
      <c r="I11" s="177"/>
      <c r="M11" s="167" t="s">
        <v>9</v>
      </c>
    </row>
    <row r="12" spans="1:13">
      <c r="A12" s="177"/>
      <c r="H12" s="1479" t="s">
        <v>3139</v>
      </c>
      <c r="I12" s="1479"/>
    </row>
    <row r="13" spans="1:13" ht="15.75" thickBot="1">
      <c r="A13" s="286" t="s">
        <v>3812</v>
      </c>
      <c r="B13" s="1356"/>
      <c r="C13" s="1341"/>
      <c r="D13" s="1341"/>
      <c r="E13" s="1341"/>
      <c r="F13" s="1342"/>
      <c r="G13" s="285"/>
      <c r="H13" s="1480">
        <v>0</v>
      </c>
      <c r="I13" s="1481"/>
    </row>
    <row r="14" spans="1:13">
      <c r="A14" s="284"/>
      <c r="B14" s="1343"/>
      <c r="C14" s="1344"/>
      <c r="D14" s="1344"/>
      <c r="E14" s="1344"/>
      <c r="F14" s="1345"/>
      <c r="H14" s="177"/>
      <c r="I14" s="177"/>
    </row>
    <row r="15" spans="1:13">
      <c r="A15" s="177"/>
      <c r="B15" s="1346"/>
      <c r="C15" s="1347"/>
      <c r="D15" s="1347"/>
      <c r="E15" s="1347"/>
      <c r="F15" s="1348"/>
      <c r="H15" s="177"/>
      <c r="I15" s="177"/>
      <c r="M15" s="167" t="s">
        <v>3813</v>
      </c>
    </row>
    <row r="16" spans="1:13">
      <c r="A16" s="177"/>
      <c r="H16" s="1479" t="s">
        <v>3139</v>
      </c>
      <c r="I16" s="1479"/>
      <c r="M16" s="287">
        <f>SUM(H5,H9,H13,H17,H22,H24,H26,H33,H35,H37,H39)</f>
        <v>0</v>
      </c>
    </row>
    <row r="17" spans="1:9" ht="15.75" thickBot="1">
      <c r="A17" s="286" t="s">
        <v>3812</v>
      </c>
      <c r="B17" s="1356"/>
      <c r="C17" s="1341"/>
      <c r="D17" s="1341"/>
      <c r="E17" s="1341"/>
      <c r="F17" s="1342"/>
      <c r="G17" s="285"/>
      <c r="H17" s="1480">
        <v>0</v>
      </c>
      <c r="I17" s="1481"/>
    </row>
    <row r="18" spans="1:9">
      <c r="A18" s="284"/>
      <c r="B18" s="1343"/>
      <c r="C18" s="1344"/>
      <c r="D18" s="1344"/>
      <c r="E18" s="1344"/>
      <c r="F18" s="1345"/>
      <c r="H18" s="177"/>
      <c r="I18" s="177"/>
    </row>
    <row r="19" spans="1:9">
      <c r="B19" s="1346"/>
      <c r="C19" s="1347"/>
      <c r="D19" s="1347"/>
      <c r="E19" s="1347"/>
      <c r="F19" s="1348"/>
      <c r="H19" s="177"/>
      <c r="I19" s="177"/>
    </row>
    <row r="20" spans="1:9">
      <c r="H20" s="177"/>
      <c r="I20" s="177"/>
    </row>
    <row r="21" spans="1:9">
      <c r="B21" s="1365"/>
      <c r="C21" s="1365"/>
      <c r="D21" s="1365"/>
      <c r="H21" s="1479" t="s">
        <v>3139</v>
      </c>
      <c r="I21" s="1479"/>
    </row>
    <row r="22" spans="1:9">
      <c r="A22" s="1483" t="str">
        <f>IF('GL NI Information'!D9="TX","On Airport Auto Not Available","On Airport Auto Requested?")</f>
        <v>On Airport Auto Requested?</v>
      </c>
      <c r="B22" s="1483"/>
      <c r="C22" s="1483"/>
      <c r="D22" s="1483"/>
      <c r="E22" s="198" t="s">
        <v>11</v>
      </c>
      <c r="H22" s="1480">
        <v>0</v>
      </c>
      <c r="I22" s="1481"/>
    </row>
    <row r="23" spans="1:9"/>
    <row r="24" spans="1:9">
      <c r="A24" s="1483" t="s">
        <v>3814</v>
      </c>
      <c r="B24" s="1483"/>
      <c r="C24" s="1483"/>
      <c r="D24" s="1483"/>
      <c r="E24" s="198" t="s">
        <v>11</v>
      </c>
      <c r="H24" s="1480">
        <v>0</v>
      </c>
      <c r="I24" s="1481"/>
    </row>
    <row r="25" spans="1:9"/>
    <row r="26" spans="1:9">
      <c r="A26" s="1483" t="s">
        <v>3592</v>
      </c>
      <c r="B26" s="1483"/>
      <c r="C26" s="1483"/>
      <c r="D26" s="1483"/>
      <c r="E26" s="198" t="s">
        <v>11</v>
      </c>
      <c r="H26" s="1480">
        <v>0</v>
      </c>
      <c r="I26" s="1481"/>
    </row>
    <row r="27" spans="1:9"/>
    <row r="28" spans="1:9">
      <c r="A28" s="1484" t="s">
        <v>3815</v>
      </c>
      <c r="B28" s="1484"/>
      <c r="C28" s="1484"/>
      <c r="D28" s="1484"/>
      <c r="E28" s="198" t="s">
        <v>11</v>
      </c>
    </row>
    <row r="29" spans="1:9"/>
    <row r="30" spans="1:9">
      <c r="A30" s="1484" t="s">
        <v>3598</v>
      </c>
      <c r="B30" s="1484"/>
      <c r="C30" s="1484"/>
      <c r="D30" s="1484"/>
      <c r="E30" s="198" t="s">
        <v>11</v>
      </c>
    </row>
    <row r="31" spans="1:9">
      <c r="C31" s="1483" t="str">
        <f>IF(E30="Yes","Location #:","")</f>
        <v/>
      </c>
      <c r="D31" s="1483"/>
      <c r="E31" s="1413"/>
      <c r="F31" s="1413"/>
      <c r="G31" s="1413"/>
    </row>
    <row r="32" spans="1:9"/>
    <row r="33" spans="1:9">
      <c r="A33" s="1484" t="s">
        <v>3600</v>
      </c>
      <c r="B33" s="1484"/>
      <c r="C33" s="1484"/>
      <c r="D33" s="1484"/>
      <c r="E33" s="198" t="s">
        <v>11</v>
      </c>
      <c r="H33" s="1480">
        <v>0</v>
      </c>
      <c r="I33" s="1481"/>
    </row>
    <row r="34" spans="1:9"/>
    <row r="35" spans="1:9">
      <c r="A35" s="1484" t="s">
        <v>3816</v>
      </c>
      <c r="B35" s="1484"/>
      <c r="C35" s="1484"/>
      <c r="D35" s="1484"/>
      <c r="E35" s="198" t="s">
        <v>11</v>
      </c>
      <c r="H35" s="1480">
        <v>0</v>
      </c>
      <c r="I35" s="1481"/>
    </row>
    <row r="36" spans="1:9"/>
    <row r="37" spans="1:9">
      <c r="A37" s="1484" t="s">
        <v>3017</v>
      </c>
      <c r="B37" s="1484"/>
      <c r="C37" s="1484"/>
      <c r="D37" s="1484"/>
      <c r="E37" s="198" t="s">
        <v>11</v>
      </c>
      <c r="H37" s="1480">
        <v>0</v>
      </c>
      <c r="I37" s="1481"/>
    </row>
    <row r="38" spans="1:9"/>
    <row r="39" spans="1:9">
      <c r="A39" s="1484" t="s">
        <v>3073</v>
      </c>
      <c r="B39" s="1484"/>
      <c r="C39" s="1484"/>
      <c r="D39" s="1484"/>
      <c r="E39" s="198" t="s">
        <v>11</v>
      </c>
      <c r="H39" s="1480">
        <v>0</v>
      </c>
      <c r="I39" s="1481"/>
    </row>
    <row r="40" spans="1:9"/>
    <row r="41" spans="1:9"/>
    <row r="42" spans="1:9"/>
    <row r="43" spans="1:9"/>
    <row r="44" spans="1:9"/>
  </sheetData>
  <sheetProtection algorithmName="SHA-512" hashValue="LuWdRvXr2knfDa1VafpnT890VPAr/5aT7KoIlZI120sgYXdNBoswxjtgOk5qSHKas7T/ZHnZpRS6MP6ONriEcQ==" saltValue="Fx05axuBQIoevnm5Qgaa9g==" spinCount="100000" sheet="1" selectLockedCells="1"/>
  <mergeCells count="34">
    <mergeCell ref="H33:I33"/>
    <mergeCell ref="A35:D35"/>
    <mergeCell ref="A37:D37"/>
    <mergeCell ref="A39:D39"/>
    <mergeCell ref="H35:I35"/>
    <mergeCell ref="H37:I37"/>
    <mergeCell ref="H39:I39"/>
    <mergeCell ref="A28:D28"/>
    <mergeCell ref="A30:D30"/>
    <mergeCell ref="C31:D31"/>
    <mergeCell ref="E31:G31"/>
    <mergeCell ref="A33:D33"/>
    <mergeCell ref="H12:I12"/>
    <mergeCell ref="B13:F15"/>
    <mergeCell ref="H16:I16"/>
    <mergeCell ref="B17:F19"/>
    <mergeCell ref="A26:D26"/>
    <mergeCell ref="H26:I26"/>
    <mergeCell ref="A24:D24"/>
    <mergeCell ref="H17:I17"/>
    <mergeCell ref="H13:I13"/>
    <mergeCell ref="A22:D22"/>
    <mergeCell ref="H21:I21"/>
    <mergeCell ref="H22:I22"/>
    <mergeCell ref="B21:D21"/>
    <mergeCell ref="H24:I24"/>
    <mergeCell ref="A1:J2"/>
    <mergeCell ref="B5:F7"/>
    <mergeCell ref="H4:I4"/>
    <mergeCell ref="H5:I5"/>
    <mergeCell ref="B9:F11"/>
    <mergeCell ref="H9:I9"/>
    <mergeCell ref="H8:I8"/>
    <mergeCell ref="A4:F4"/>
  </mergeCells>
  <conditionalFormatting sqref="A22:D22">
    <cfRule type="expression" dxfId="13" priority="10">
      <formula>$A$22="On Airport Auto Not Available"</formula>
    </cfRule>
  </conditionalFormatting>
  <conditionalFormatting sqref="A24:D24">
    <cfRule type="expression" dxfId="12" priority="9">
      <formula>$A$22="On Airport Auto Not Available"</formula>
    </cfRule>
  </conditionalFormatting>
  <conditionalFormatting sqref="A26:D26">
    <cfRule type="expression" dxfId="11" priority="8">
      <formula>$A$22="On Airport Auto Not Available"</formula>
    </cfRule>
  </conditionalFormatting>
  <conditionalFormatting sqref="A28:D28">
    <cfRule type="expression" dxfId="10" priority="7">
      <formula>$A$22="On Airport Auto Not Available"</formula>
    </cfRule>
  </conditionalFormatting>
  <conditionalFormatting sqref="A30:D30">
    <cfRule type="expression" dxfId="9" priority="6">
      <formula>$A$22="On Airport Auto Not Available"</formula>
    </cfRule>
  </conditionalFormatting>
  <conditionalFormatting sqref="A33:D33">
    <cfRule type="expression" dxfId="8" priority="4">
      <formula>$A$22="On Airport Auto Not Available"</formula>
    </cfRule>
  </conditionalFormatting>
  <conditionalFormatting sqref="A35:D35">
    <cfRule type="expression" dxfId="7" priority="3">
      <formula>$A$22="On Airport Auto Not Available"</formula>
    </cfRule>
  </conditionalFormatting>
  <conditionalFormatting sqref="A37:D37">
    <cfRule type="expression" dxfId="6" priority="2">
      <formula>$A$22="On Airport Auto Not Available"</formula>
    </cfRule>
  </conditionalFormatting>
  <conditionalFormatting sqref="A39:D39">
    <cfRule type="expression" dxfId="5" priority="1">
      <formula>$A$22="On Airport Auto Not Available"</formula>
    </cfRule>
  </conditionalFormatting>
  <conditionalFormatting sqref="E31:G31">
    <cfRule type="expression" dxfId="4" priority="5">
      <formula>$C$31&gt;""</formula>
    </cfRule>
  </conditionalFormatting>
  <dataValidations count="2">
    <dataValidation type="list" allowBlank="1" showInputMessage="1" showErrorMessage="1" sqref="E22 E24 E26 E28 E30 E33 E35 E37 E39" xr:uid="{00000000-0002-0000-1600-000000000000}">
      <formula1>$M$10:$M$11</formula1>
    </dataValidation>
    <dataValidation type="list" allowBlank="1" showInputMessage="1" showErrorMessage="1" sqref="A6 A18 A14 A10" xr:uid="{00000000-0002-0000-1600-000001000000}">
      <formula1>$M$4:$M$7</formula1>
    </dataValidation>
  </dataValidations>
  <pageMargins left="0.7" right="0.7" top="0.75" bottom="0.75" header="0.3" footer="0.3"/>
  <pageSetup scale="97"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
    <tabColor rgb="FF0070C0"/>
  </sheetPr>
  <dimension ref="A2:AA101"/>
  <sheetViews>
    <sheetView showGridLines="0" topLeftCell="A42" zoomScale="112" zoomScaleNormal="112" zoomScaleSheetLayoutView="208" workbookViewId="0">
      <selection activeCell="M39" sqref="M39"/>
    </sheetView>
  </sheetViews>
  <sheetFormatPr defaultColWidth="0" defaultRowHeight="15"/>
  <cols>
    <col min="1" max="1" width="8" style="167" customWidth="1"/>
    <col min="2" max="2" width="11.125" style="167" customWidth="1"/>
    <col min="3" max="3" width="2.625" style="167" customWidth="1"/>
    <col min="4" max="4" width="5" style="167" customWidth="1"/>
    <col min="5" max="5" width="11.125" style="167" bestFit="1" customWidth="1"/>
    <col min="6" max="6" width="4.875" style="167" customWidth="1"/>
    <col min="7" max="7" width="11.125" style="167" bestFit="1" customWidth="1"/>
    <col min="8" max="8" width="9.75" style="167" customWidth="1"/>
    <col min="9" max="9" width="15.875" style="167" customWidth="1"/>
    <col min="10" max="13" width="8" style="167" customWidth="1"/>
    <col min="14" max="15" width="9" style="167" customWidth="1"/>
    <col min="16" max="20" width="8" style="167" hidden="1" customWidth="1"/>
    <col min="21" max="21" width="8.5" style="167" hidden="1" customWidth="1"/>
    <col min="22" max="22" width="8" style="167" hidden="1" customWidth="1"/>
    <col min="23" max="24" width="8.5" style="167" hidden="1" customWidth="1"/>
    <col min="25" max="25" width="9.375" style="167" hidden="1" customWidth="1"/>
    <col min="26" max="26" width="8" style="167" hidden="1" customWidth="1"/>
    <col min="27" max="27" width="8.5" style="167" hidden="1" customWidth="1"/>
    <col min="28" max="16384" width="8" style="167" hidden="1"/>
  </cols>
  <sheetData>
    <row r="2" spans="2:10" ht="15" customHeight="1">
      <c r="B2" s="303" t="s">
        <v>3817</v>
      </c>
      <c r="C2" s="303"/>
      <c r="D2" s="302"/>
      <c r="E2" s="302"/>
      <c r="F2" s="302"/>
      <c r="G2" s="302"/>
      <c r="H2" s="302"/>
      <c r="I2" s="302"/>
      <c r="J2" s="302"/>
    </row>
    <row r="3" spans="2:10">
      <c r="B3" s="302"/>
      <c r="C3" s="302"/>
      <c r="D3" s="302"/>
      <c r="E3" s="302"/>
      <c r="F3" s="302"/>
      <c r="G3" s="302"/>
      <c r="H3" s="302"/>
      <c r="I3" s="302"/>
      <c r="J3" s="302"/>
    </row>
    <row r="4" spans="2:10">
      <c r="B4" s="302"/>
      <c r="C4" s="302"/>
      <c r="D4" s="302"/>
      <c r="E4" s="302"/>
      <c r="F4" s="302"/>
      <c r="G4" s="302"/>
      <c r="H4" s="302"/>
      <c r="I4" s="302"/>
      <c r="J4" s="302"/>
    </row>
    <row r="5" spans="2:10">
      <c r="B5" s="302"/>
      <c r="C5" s="302"/>
      <c r="D5" s="302"/>
      <c r="E5" s="302"/>
      <c r="F5" s="302"/>
      <c r="G5" s="302"/>
      <c r="H5" s="302"/>
      <c r="I5" s="302"/>
      <c r="J5" s="302"/>
    </row>
    <row r="6" spans="2:10">
      <c r="B6" s="302"/>
      <c r="C6" s="302"/>
      <c r="D6" s="302"/>
      <c r="E6" s="302"/>
      <c r="F6" s="302"/>
      <c r="G6" s="302"/>
      <c r="H6" s="302"/>
      <c r="I6" s="302"/>
      <c r="J6" s="302"/>
    </row>
    <row r="9" spans="2:10" ht="15.75">
      <c r="B9" s="301" t="s">
        <v>3386</v>
      </c>
      <c r="C9" s="1522">
        <f ca="1">TODAY()</f>
        <v>46149</v>
      </c>
      <c r="D9" s="1522"/>
      <c r="E9" s="1522"/>
    </row>
    <row r="11" spans="2:10">
      <c r="B11" s="1379" t="str">
        <f>IF(OR('GL NI Information'!G2&gt;"",'GL NI Information'!G4&gt;""),'GL NI Information'!S2,"")</f>
        <v/>
      </c>
      <c r="C11" s="1379"/>
      <c r="D11" s="1379"/>
      <c r="E11" s="1379"/>
      <c r="F11" s="1379"/>
      <c r="G11" s="1379"/>
      <c r="H11" s="1379"/>
      <c r="I11" s="1379"/>
    </row>
    <row r="12" spans="2:10">
      <c r="B12" s="1489" t="s">
        <v>3818</v>
      </c>
      <c r="C12" s="1489"/>
      <c r="D12" s="1426"/>
      <c r="E12" s="1426"/>
      <c r="F12" s="1426"/>
      <c r="G12" s="1426"/>
      <c r="H12" s="1426"/>
      <c r="I12" s="1426"/>
    </row>
    <row r="13" spans="2:10" ht="15.75" customHeight="1">
      <c r="B13" s="1426"/>
      <c r="C13" s="1426"/>
      <c r="D13" s="1426"/>
      <c r="E13" s="1426"/>
      <c r="F13" s="1426"/>
      <c r="G13" s="1426"/>
      <c r="H13" s="1426"/>
      <c r="I13" s="1426"/>
    </row>
    <row r="14" spans="2:10" ht="15.75">
      <c r="B14" s="1499" t="str">
        <f>IF('GL NI Information'!C12="Yes",CONCATENATE("Binder - Policy #: ",'GL NI Information'!D12),'GL NI Information'!D11)</f>
        <v>Quote #:</v>
      </c>
      <c r="C14" s="1499"/>
      <c r="D14" s="1499"/>
      <c r="E14" s="1499"/>
      <c r="F14" s="1499"/>
      <c r="G14" s="1499"/>
      <c r="H14" s="1499"/>
    </row>
    <row r="15" spans="2:10" ht="15.75">
      <c r="B15" s="300" t="s">
        <v>3819</v>
      </c>
      <c r="C15" s="300"/>
      <c r="D15" s="300"/>
      <c r="E15" s="1490" t="str">
        <f>IF('GL NI Information'!A2&gt;"",'GL NI Information'!A2,"")</f>
        <v/>
      </c>
      <c r="F15" s="1490"/>
      <c r="G15" s="1490"/>
      <c r="H15" s="1490"/>
      <c r="I15" s="1490"/>
    </row>
    <row r="16" spans="2:10" ht="16.5" thickBot="1">
      <c r="B16" s="300" t="s">
        <v>3820</v>
      </c>
      <c r="C16" s="300"/>
      <c r="D16" s="300"/>
      <c r="E16" s="299">
        <f>IF('GL NI Information'!A14="","",'GL NI Information'!A14)</f>
        <v>0</v>
      </c>
      <c r="F16" s="410" t="s">
        <v>3821</v>
      </c>
      <c r="G16" s="299">
        <f>IF(E16="","",DATE(YEAR(E16)+1,MONTH(E16),DAY(E16)))</f>
        <v>366</v>
      </c>
      <c r="H16" s="167" t="s">
        <v>3822</v>
      </c>
    </row>
    <row r="17" spans="1:27" ht="16.5" customHeight="1" thickTop="1" thickBot="1">
      <c r="A17" s="1493" t="s">
        <v>3823</v>
      </c>
      <c r="B17" s="1494"/>
      <c r="C17" s="1494"/>
      <c r="D17" s="1494"/>
      <c r="E17" s="1494"/>
      <c r="F17" s="1494"/>
      <c r="G17" s="1494"/>
      <c r="H17" s="1495"/>
      <c r="I17" s="298" t="s">
        <v>5</v>
      </c>
    </row>
    <row r="18" spans="1:27" ht="15" customHeight="1">
      <c r="A18" s="184"/>
      <c r="G18" s="1496" t="str">
        <f>IF('GL Coverage Screen'!F8="N/A","Not Applicable",'GL Coverage Screen'!F8)</f>
        <v>Not Applicable</v>
      </c>
      <c r="H18" s="1497"/>
      <c r="I18" s="296"/>
    </row>
    <row r="19" spans="1:27" ht="12" customHeight="1">
      <c r="A19" s="184"/>
      <c r="G19" s="1491">
        <f>'GL Coverage Screen'!F9</f>
        <v>4000000</v>
      </c>
      <c r="H19" s="1492"/>
      <c r="I19" s="501">
        <f>IF('GL Coverage Screen'!H11="","N/A",'GL Coverage Screen'!H9)</f>
        <v>27775</v>
      </c>
    </row>
    <row r="20" spans="1:27" ht="12" customHeight="1">
      <c r="A20" s="184"/>
      <c r="G20" s="1491">
        <f>IF('GL Coverage Screen'!F10="","N/A",'GL Coverage Screen'!F10)</f>
        <v>500</v>
      </c>
      <c r="H20" s="1492"/>
      <c r="I20" s="296"/>
    </row>
    <row r="21" spans="1:27" ht="11.25" customHeight="1">
      <c r="A21" s="184"/>
      <c r="G21" s="1491">
        <f>IF('GL Coverage Screen'!F11="","N/A",'GL Coverage Screen'!F11)</f>
        <v>50000</v>
      </c>
      <c r="H21" s="1492"/>
      <c r="I21" s="501" t="str">
        <f>IF('GL Coverage Screen'!H11="","N/A",'GL Coverage Screen'!H11)</f>
        <v>Included</v>
      </c>
      <c r="O21" s="425"/>
      <c r="P21" s="425"/>
    </row>
    <row r="22" spans="1:27" ht="12.75" customHeight="1">
      <c r="A22" s="184"/>
      <c r="G22" s="1491">
        <f>IF('GL Coverage Screen'!F12="","N/A",'GL Coverage Screen'!F12)</f>
        <v>50000</v>
      </c>
      <c r="H22" s="1492"/>
      <c r="I22" s="501" t="str">
        <f>IF('GL Coverage Screen'!H12="","N/A",'GL Coverage Screen'!H12)</f>
        <v>Included</v>
      </c>
      <c r="O22" s="425"/>
      <c r="P22" s="425"/>
    </row>
    <row r="23" spans="1:27" ht="12.75" customHeight="1">
      <c r="A23" s="184"/>
      <c r="G23" s="1491">
        <f>IF('GL Coverage Screen'!F13="","N/A",'GL Coverage Screen'!F13)</f>
        <v>500000</v>
      </c>
      <c r="H23" s="1492"/>
      <c r="I23" s="501" t="str">
        <f>IF('GL Coverage Screen'!H13="","N/A",'GL Coverage Screen'!H13)</f>
        <v>Included</v>
      </c>
      <c r="O23" s="592">
        <v>40544</v>
      </c>
      <c r="P23" s="425"/>
    </row>
    <row r="24" spans="1:27" ht="13.5" customHeight="1">
      <c r="A24" s="184"/>
      <c r="G24" s="295"/>
      <c r="I24" s="501">
        <f>IF('GL Coverage Screen'!H16="","N/A",'GL Coverage Screen'!H16)</f>
        <v>2125</v>
      </c>
      <c r="O24" s="425"/>
      <c r="P24" s="425"/>
      <c r="U24" s="615" t="s">
        <v>3824</v>
      </c>
    </row>
    <row r="25" spans="1:27" ht="11.25" customHeight="1">
      <c r="A25" s="184"/>
      <c r="G25" s="1496">
        <f>IF('GL Coverage Screen'!F16="","N/A",'GL Coverage Screen'!F16)</f>
        <v>250000</v>
      </c>
      <c r="H25" s="1497"/>
      <c r="I25" s="502"/>
      <c r="O25" s="425"/>
      <c r="P25" s="425"/>
      <c r="T25" s="641">
        <v>44562</v>
      </c>
      <c r="U25" s="577">
        <v>44742</v>
      </c>
      <c r="V25" s="577">
        <v>45108</v>
      </c>
      <c r="W25" s="577">
        <v>45199</v>
      </c>
      <c r="X25" s="577">
        <v>45200</v>
      </c>
      <c r="Y25" s="577">
        <v>45291</v>
      </c>
      <c r="Z25" s="577">
        <v>45292</v>
      </c>
      <c r="AA25" s="577">
        <v>45565</v>
      </c>
    </row>
    <row r="26" spans="1:27" ht="11.25" customHeight="1">
      <c r="A26" s="184"/>
      <c r="G26" s="1491">
        <f>IF('GL Coverage Screen'!F17="","N/A",'GL Coverage Screen'!F17)</f>
        <v>1000000</v>
      </c>
      <c r="H26" s="1492"/>
      <c r="I26" s="503"/>
      <c r="O26" s="425"/>
      <c r="P26" s="425"/>
      <c r="T26" s="167">
        <f>IF(AND($E$16&gt;=T25,$E$16&lt;=U25),2%,0)</f>
        <v>0</v>
      </c>
      <c r="V26" s="167">
        <f>IF(AND($E$16&gt;=V25,$E$16&lt;=W25),0.7%,0)</f>
        <v>0</v>
      </c>
      <c r="X26" s="167">
        <f>IF(AND($E$16&gt;=X25,$E$16&lt;=Y25),1.7%,0)</f>
        <v>0</v>
      </c>
      <c r="Z26" s="167">
        <f>IF(AND($E$16&gt;=Z25,$E$16&lt;=AA25),2%,0)</f>
        <v>0</v>
      </c>
    </row>
    <row r="27" spans="1:27" ht="12" customHeight="1">
      <c r="A27" s="184"/>
      <c r="G27" s="1496">
        <f>IF('GL Coverage Screen'!F18="","N/A",'GL Coverage Screen'!F18)</f>
        <v>250000</v>
      </c>
      <c r="H27" s="1497"/>
      <c r="I27" s="503"/>
      <c r="O27" s="425"/>
      <c r="P27" s="425"/>
    </row>
    <row r="28" spans="1:27" ht="12.75" customHeight="1">
      <c r="A28" s="184"/>
      <c r="G28" s="297"/>
      <c r="I28" s="503"/>
      <c r="O28" s="425"/>
      <c r="P28" s="425"/>
    </row>
    <row r="29" spans="1:27" ht="11.25" customHeight="1">
      <c r="A29" s="184"/>
      <c r="G29" s="1496">
        <f>IF('GL Coverage Screen'!F21="","N/A",'GL Coverage Screen'!F21)</f>
        <v>200000</v>
      </c>
      <c r="H29" s="1497"/>
      <c r="I29" s="501" t="str">
        <f>IF('GL Coverage Screen'!H21="","N/A",'GL Coverage Screen'!H21)</f>
        <v>N/A</v>
      </c>
      <c r="O29" s="425"/>
      <c r="P29" s="425"/>
    </row>
    <row r="30" spans="1:27" ht="11.25" customHeight="1">
      <c r="A30" s="184"/>
      <c r="G30" s="1491">
        <f>IF('GL Coverage Screen'!F22="","N/A",'GL Coverage Screen'!F22)</f>
        <v>100000</v>
      </c>
      <c r="H30" s="1492"/>
      <c r="I30" s="503"/>
      <c r="O30" s="425"/>
      <c r="P30" s="425"/>
    </row>
    <row r="31" spans="1:27" ht="12.75" customHeight="1">
      <c r="A31" s="184"/>
      <c r="G31" s="1491" t="str">
        <f>IF('GL Coverage Screen'!F23="","N/A",'GL Coverage Screen'!F23)</f>
        <v>N/A</v>
      </c>
      <c r="H31" s="1492"/>
      <c r="I31" s="503"/>
      <c r="O31" s="425"/>
      <c r="P31" s="425"/>
    </row>
    <row r="32" spans="1:27" ht="12.75" customHeight="1">
      <c r="A32" s="184"/>
      <c r="G32" s="1491" t="str">
        <f>IF('GL Coverage Screen'!F24="","N/A",'GL Coverage Screen'!F24)</f>
        <v>N/A</v>
      </c>
      <c r="H32" s="1492"/>
      <c r="I32" s="503"/>
      <c r="O32" s="425"/>
      <c r="P32" s="425"/>
    </row>
    <row r="33" spans="1:16" ht="12.75" customHeight="1">
      <c r="A33" s="184"/>
      <c r="G33" s="295"/>
      <c r="H33" s="295"/>
      <c r="I33" s="504">
        <f>'GL Additional Coverages'!M16</f>
        <v>0</v>
      </c>
      <c r="O33" s="425"/>
      <c r="P33" s="425"/>
    </row>
    <row r="34" spans="1:16" ht="15" customHeight="1">
      <c r="A34" s="184"/>
      <c r="G34" s="177"/>
      <c r="I34" s="501" t="s">
        <v>3825</v>
      </c>
      <c r="O34" s="425"/>
      <c r="P34" s="425"/>
    </row>
    <row r="35" spans="1:16" ht="15" customHeight="1">
      <c r="A35" s="184"/>
      <c r="G35" s="177"/>
      <c r="I35" s="505">
        <f>M35</f>
        <v>0</v>
      </c>
      <c r="J35" s="1394" t="str">
        <f>IF(N39&gt;"","Fill in % for KY","")</f>
        <v/>
      </c>
      <c r="K35" s="1379"/>
      <c r="L35" s="167" t="s">
        <v>3826</v>
      </c>
      <c r="M35" s="261">
        <f>ROUND(IF('GL NI Information'!D9="",0,IF('GL NI Information'!D9="FL",PRODUCT(SUM('GL Quote Sheet'!I19:I33),'GL Quote Sheet'!M36),IF('GL NI Information'!D9="NJ",PRODUCT(SUM('GL Quote Sheet'!I19:I33),'GL Quote Sheet'!M37),IF('GL NI Information'!D9="WV",PRODUCT(SUM('GL Quote Sheet'!I19:I33),'GL Quote Sheet'!M38),IF('GL NI Information'!D9="KY",PRODUCT(SUM('GL Quote Sheet'!I19:I33),'GL Quote Sheet'!M39),0))))),2)</f>
        <v>0</v>
      </c>
      <c r="O35" s="425">
        <f>IF('GL NI Information'!A14&lt;'GL Quote Sheet'!O23,1%,1.3%)</f>
        <v>0.01</v>
      </c>
      <c r="P35" s="425"/>
    </row>
    <row r="36" spans="1:16" ht="14.25" customHeight="1">
      <c r="A36" s="184"/>
      <c r="I36" s="506">
        <f>SUM(I19:I35)</f>
        <v>29900</v>
      </c>
      <c r="L36" s="167" t="s">
        <v>2810</v>
      </c>
      <c r="M36" s="222">
        <v>0.01</v>
      </c>
    </row>
    <row r="37" spans="1:16">
      <c r="A37" s="184"/>
      <c r="I37" s="182"/>
      <c r="L37" s="167" t="s">
        <v>1842</v>
      </c>
      <c r="M37" s="222">
        <v>3.0000000000000001E-3</v>
      </c>
    </row>
    <row r="38" spans="1:16">
      <c r="A38" s="1523" t="s">
        <v>3827</v>
      </c>
      <c r="B38" s="1524"/>
      <c r="C38" s="1524"/>
      <c r="D38" s="1524"/>
      <c r="E38" s="1524"/>
      <c r="F38" s="1524"/>
      <c r="G38" s="1524"/>
      <c r="H38" s="1524"/>
      <c r="I38" s="1525"/>
      <c r="L38" s="167" t="s">
        <v>1847</v>
      </c>
      <c r="M38" s="222">
        <v>5.4999999999999997E-3</v>
      </c>
    </row>
    <row r="39" spans="1:16">
      <c r="A39" s="293" t="s">
        <v>3828</v>
      </c>
      <c r="I39" s="182"/>
      <c r="L39" s="593" t="s">
        <v>1853</v>
      </c>
      <c r="M39" s="294"/>
      <c r="N39" s="1485" t="str">
        <f>IF('Data-UW'!I13="KY","Put in Tax Percent for Calculation","")</f>
        <v/>
      </c>
      <c r="O39" s="1485"/>
    </row>
    <row r="40" spans="1:16">
      <c r="A40" s="1498">
        <f>'GL NI Information'!C17</f>
        <v>0</v>
      </c>
      <c r="B40" s="1379"/>
      <c r="C40" s="1379"/>
      <c r="D40" s="1379"/>
      <c r="E40" s="1379"/>
      <c r="F40" s="1379"/>
      <c r="G40" s="1379"/>
      <c r="H40" s="1379"/>
      <c r="I40" s="1406"/>
      <c r="K40" s="167" t="s">
        <v>3829</v>
      </c>
      <c r="N40" s="1485"/>
      <c r="O40" s="1485"/>
    </row>
    <row r="41" spans="1:16">
      <c r="A41" s="184"/>
      <c r="I41" s="182"/>
      <c r="K41" s="291" t="s">
        <v>3830</v>
      </c>
    </row>
    <row r="42" spans="1:16">
      <c r="A42" s="293" t="s">
        <v>3474</v>
      </c>
      <c r="B42" s="292"/>
      <c r="C42" s="292"/>
      <c r="D42" s="1526" t="str">
        <f>IF('GL NI Information'!C19="","",'GL NI Information'!C19)</f>
        <v>BISWAJIT</v>
      </c>
      <c r="E42" s="1487"/>
      <c r="F42" s="1487"/>
      <c r="G42" s="1487"/>
      <c r="H42" s="1487"/>
      <c r="I42" s="1488"/>
      <c r="K42" s="291" t="s">
        <v>3831</v>
      </c>
    </row>
    <row r="43" spans="1:16">
      <c r="A43" s="1486"/>
      <c r="B43" s="1487"/>
      <c r="C43" s="1487"/>
      <c r="D43" s="1487"/>
      <c r="E43" s="1487"/>
      <c r="F43" s="1487"/>
      <c r="G43" s="1487"/>
      <c r="H43" s="1487"/>
      <c r="I43" s="1488"/>
    </row>
    <row r="44" spans="1:16">
      <c r="A44" s="184"/>
      <c r="I44" s="182"/>
    </row>
    <row r="45" spans="1:16">
      <c r="A45" s="184" t="s">
        <v>3832</v>
      </c>
      <c r="I45" s="182"/>
      <c r="K45" s="167" t="s">
        <v>3833</v>
      </c>
    </row>
    <row r="46" spans="1:16">
      <c r="A46" s="1486" t="str">
        <f>IF('GL NI Information'!A16="","",'GL NI Information'!A16)</f>
        <v/>
      </c>
      <c r="B46" s="1487"/>
      <c r="C46" s="1487"/>
      <c r="D46" s="1487"/>
      <c r="E46" s="1487"/>
      <c r="F46" s="1487"/>
      <c r="G46" s="1487"/>
      <c r="H46" s="1487"/>
      <c r="I46" s="1488"/>
    </row>
    <row r="47" spans="1:16" ht="15.75" thickBot="1">
      <c r="A47" s="181"/>
      <c r="B47" s="180"/>
      <c r="C47" s="180"/>
      <c r="D47" s="180"/>
      <c r="E47" s="180"/>
      <c r="F47" s="180"/>
      <c r="G47" s="180"/>
      <c r="H47" s="180"/>
      <c r="I47" s="178"/>
    </row>
    <row r="48" spans="1:16" ht="15.75" thickTop="1"/>
    <row r="52" spans="2:9">
      <c r="B52" s="290" t="str">
        <f>IF(B53="","","Specific Products Covered:")</f>
        <v>Specific Products Covered:</v>
      </c>
      <c r="C52" s="290"/>
    </row>
    <row r="53" spans="2:9">
      <c r="B53" s="1426" t="str">
        <f>'Answer Sheet_GL'!B18</f>
        <v>Sale of Aircraft, Sale of Parts Not Installed</v>
      </c>
      <c r="C53" s="1426"/>
      <c r="D53" s="1426"/>
      <c r="E53" s="1426"/>
      <c r="F53" s="1426"/>
      <c r="G53" s="1426"/>
      <c r="H53" s="1426"/>
      <c r="I53" s="1426"/>
    </row>
    <row r="54" spans="2:9" ht="15" customHeight="1">
      <c r="B54" s="1426"/>
      <c r="C54" s="1426"/>
      <c r="D54" s="1426"/>
      <c r="E54" s="1426"/>
      <c r="F54" s="1426"/>
      <c r="G54" s="1426"/>
      <c r="H54" s="1426"/>
      <c r="I54" s="1426"/>
    </row>
    <row r="55" spans="2:9" ht="15" customHeight="1">
      <c r="B55" s="1426"/>
      <c r="C55" s="1426"/>
      <c r="D55" s="1426"/>
      <c r="E55" s="1426"/>
      <c r="F55" s="1426"/>
      <c r="G55" s="1426"/>
      <c r="H55" s="1426"/>
      <c r="I55" s="1426"/>
    </row>
    <row r="56" spans="2:9">
      <c r="B56" s="1426"/>
      <c r="C56" s="1426"/>
      <c r="D56" s="1426"/>
      <c r="E56" s="1426"/>
      <c r="F56" s="1426"/>
      <c r="G56" s="1426"/>
      <c r="H56" s="1426"/>
      <c r="I56" s="1426"/>
    </row>
    <row r="57" spans="2:9">
      <c r="B57" s="1426"/>
      <c r="C57" s="1426"/>
      <c r="D57" s="1426"/>
      <c r="E57" s="1426"/>
      <c r="F57" s="1426"/>
      <c r="G57" s="1426"/>
      <c r="H57" s="1426"/>
      <c r="I57" s="1426"/>
    </row>
    <row r="58" spans="2:9">
      <c r="B58" s="290" t="str">
        <f>IF(B59="","","Calculated by Using Insureds Declared Annual Receipts:")</f>
        <v>Calculated by Using Insureds Declared Annual Receipts:</v>
      </c>
      <c r="C58" s="290"/>
    </row>
    <row r="59" spans="2:9">
      <c r="B59" s="1521" t="str">
        <f>IF('GL Coverage Screen'!Q66=FALSE,"",'GL Coverage Screen'!Q66)</f>
        <v>Sale of Aircraft - Used Piston A/C &amp; RW: 400000, New Piston A/C: 0, Turbine Fixed Wing: 0</v>
      </c>
      <c r="C59" s="1521"/>
      <c r="D59" s="1521"/>
      <c r="E59" s="1521"/>
      <c r="F59" s="1521"/>
      <c r="G59" s="1521"/>
      <c r="H59" s="1521"/>
      <c r="I59" s="1521"/>
    </row>
    <row r="60" spans="2:9">
      <c r="B60" s="1521"/>
      <c r="C60" s="1521"/>
      <c r="D60" s="1521"/>
      <c r="E60" s="1521"/>
      <c r="F60" s="1521"/>
      <c r="G60" s="1521"/>
      <c r="H60" s="1521"/>
      <c r="I60" s="1521"/>
    </row>
    <row r="61" spans="2:9">
      <c r="B61" s="1521"/>
      <c r="C61" s="1521"/>
      <c r="D61" s="1521"/>
      <c r="E61" s="1521"/>
      <c r="F61" s="1521"/>
      <c r="G61" s="1521"/>
      <c r="H61" s="1521"/>
      <c r="I61" s="1521"/>
    </row>
    <row r="62" spans="2:9">
      <c r="B62" s="1521"/>
      <c r="C62" s="1521"/>
      <c r="D62" s="1521"/>
      <c r="E62" s="1521"/>
      <c r="F62" s="1521"/>
      <c r="G62" s="1521"/>
      <c r="H62" s="1521"/>
      <c r="I62" s="1521"/>
    </row>
    <row r="63" spans="2:9">
      <c r="B63" s="1521"/>
      <c r="C63" s="1521"/>
      <c r="D63" s="1521"/>
      <c r="E63" s="1521"/>
      <c r="F63" s="1521"/>
      <c r="G63" s="1521"/>
      <c r="H63" s="1521"/>
      <c r="I63" s="1521"/>
    </row>
    <row r="64" spans="2:9">
      <c r="B64" s="1521"/>
      <c r="C64" s="1521"/>
      <c r="D64" s="1521"/>
      <c r="E64" s="1521"/>
      <c r="F64" s="1521"/>
      <c r="G64" s="1521"/>
      <c r="H64" s="1521"/>
      <c r="I64" s="1521"/>
    </row>
    <row r="65" spans="1:9">
      <c r="B65" s="1521"/>
      <c r="C65" s="1521"/>
      <c r="D65" s="1521"/>
      <c r="E65" s="1521"/>
      <c r="F65" s="1521"/>
      <c r="G65" s="1521"/>
      <c r="H65" s="1521"/>
      <c r="I65" s="1521"/>
    </row>
    <row r="66" spans="1:9">
      <c r="B66" s="1521"/>
      <c r="C66" s="1521"/>
      <c r="D66" s="1521"/>
      <c r="E66" s="1521"/>
      <c r="F66" s="1521"/>
      <c r="G66" s="1521"/>
      <c r="H66" s="1521"/>
      <c r="I66" s="1521"/>
    </row>
    <row r="67" spans="1:9">
      <c r="B67" s="1521"/>
      <c r="C67" s="1521"/>
      <c r="D67" s="1521"/>
      <c r="E67" s="1521"/>
      <c r="F67" s="1521"/>
      <c r="G67" s="1521"/>
      <c r="H67" s="1521"/>
      <c r="I67" s="1521"/>
    </row>
    <row r="68" spans="1:9">
      <c r="A68" s="1501" t="s">
        <v>3834</v>
      </c>
      <c r="B68" s="1501"/>
      <c r="C68" s="1501"/>
      <c r="D68" s="1501"/>
      <c r="E68" s="1501"/>
      <c r="F68" s="1501"/>
      <c r="G68" s="290" t="str">
        <f>IF('GL NI Information'!I10="","",IF('GL NI Information'!I10="Yes","Claims Were Reported","No Claims Reported"))</f>
        <v>No Claims Reported</v>
      </c>
    </row>
    <row r="69" spans="1:9">
      <c r="E69" s="1501"/>
      <c r="F69" s="1501"/>
      <c r="G69" s="290"/>
      <c r="H69" s="290"/>
    </row>
    <row r="70" spans="1:9">
      <c r="B70" s="290" t="s">
        <v>3835</v>
      </c>
      <c r="C70" s="290"/>
    </row>
    <row r="71" spans="1:9">
      <c r="B71" s="1513" t="str">
        <f>IF('GL Coverage Screen'!B81="","",'GL Coverage Screen'!B81)</f>
        <v/>
      </c>
      <c r="C71" s="1514"/>
      <c r="D71" s="1514"/>
      <c r="E71" s="1514"/>
      <c r="F71" s="1514"/>
      <c r="G71" s="1514"/>
      <c r="H71" s="1514"/>
      <c r="I71" s="1515"/>
    </row>
    <row r="72" spans="1:9" ht="15" customHeight="1">
      <c r="B72" s="1516"/>
      <c r="C72" s="1426"/>
      <c r="D72" s="1426"/>
      <c r="E72" s="1426"/>
      <c r="F72" s="1426"/>
      <c r="G72" s="1426"/>
      <c r="H72" s="1426"/>
      <c r="I72" s="1517"/>
    </row>
    <row r="73" spans="1:9">
      <c r="B73" s="1516"/>
      <c r="C73" s="1426"/>
      <c r="D73" s="1426"/>
      <c r="E73" s="1426"/>
      <c r="F73" s="1426"/>
      <c r="G73" s="1426"/>
      <c r="H73" s="1426"/>
      <c r="I73" s="1517"/>
    </row>
    <row r="74" spans="1:9">
      <c r="B74" s="1516"/>
      <c r="C74" s="1426"/>
      <c r="D74" s="1426"/>
      <c r="E74" s="1426"/>
      <c r="F74" s="1426"/>
      <c r="G74" s="1426"/>
      <c r="H74" s="1426"/>
      <c r="I74" s="1517"/>
    </row>
    <row r="75" spans="1:9">
      <c r="B75" s="1518"/>
      <c r="C75" s="1519"/>
      <c r="D75" s="1519"/>
      <c r="E75" s="1519"/>
      <c r="F75" s="1519"/>
      <c r="G75" s="1519"/>
      <c r="H75" s="1519"/>
      <c r="I75" s="1520"/>
    </row>
    <row r="77" spans="1:9">
      <c r="B77" s="290" t="s">
        <v>3836</v>
      </c>
      <c r="C77" s="290"/>
    </row>
    <row r="78" spans="1:9" ht="15" customHeight="1">
      <c r="B78" s="1504" t="str">
        <f>'Answer Sheet_GL'!F45</f>
        <v>AVG 00 02  - Declarations - Harco, AVG 00 01  - Aviation General Liability Coverage Form, AVG 00 03  - Forms Schedule, Any Applicable State Amendatory Endorsements.</v>
      </c>
      <c r="C78" s="1505"/>
      <c r="D78" s="1505"/>
      <c r="E78" s="1505"/>
      <c r="F78" s="1505"/>
      <c r="G78" s="1505"/>
      <c r="H78" s="1505"/>
      <c r="I78" s="1506"/>
    </row>
    <row r="79" spans="1:9" ht="12" customHeight="1">
      <c r="B79" s="1507"/>
      <c r="C79" s="1508"/>
      <c r="D79" s="1508"/>
      <c r="E79" s="1508"/>
      <c r="F79" s="1508"/>
      <c r="G79" s="1508"/>
      <c r="H79" s="1508"/>
      <c r="I79" s="1509"/>
    </row>
    <row r="80" spans="1:9" ht="12.75" customHeight="1">
      <c r="B80" s="1507"/>
      <c r="C80" s="1508"/>
      <c r="D80" s="1508"/>
      <c r="E80" s="1508"/>
      <c r="F80" s="1508"/>
      <c r="G80" s="1508"/>
      <c r="H80" s="1508"/>
      <c r="I80" s="1509"/>
    </row>
    <row r="81" spans="2:9" ht="12.75" customHeight="1">
      <c r="B81" s="1507"/>
      <c r="C81" s="1508"/>
      <c r="D81" s="1508"/>
      <c r="E81" s="1508"/>
      <c r="F81" s="1508"/>
      <c r="G81" s="1508"/>
      <c r="H81" s="1508"/>
      <c r="I81" s="1509"/>
    </row>
    <row r="82" spans="2:9" ht="32.25" customHeight="1">
      <c r="B82" s="1510"/>
      <c r="C82" s="1511"/>
      <c r="D82" s="1511"/>
      <c r="E82" s="1511"/>
      <c r="F82" s="1511"/>
      <c r="G82" s="1511"/>
      <c r="H82" s="1511"/>
      <c r="I82" s="1512"/>
    </row>
    <row r="83" spans="2:9">
      <c r="B83" s="1502" t="s">
        <v>3837</v>
      </c>
      <c r="C83" s="1502"/>
      <c r="D83" s="1502"/>
      <c r="E83" s="1502"/>
      <c r="F83" s="1502"/>
      <c r="G83" s="1502"/>
      <c r="H83" s="1502"/>
      <c r="I83" s="1502"/>
    </row>
    <row r="84" spans="2:9">
      <c r="B84" s="1502"/>
      <c r="C84" s="1502"/>
      <c r="D84" s="1502"/>
      <c r="E84" s="1502"/>
      <c r="F84" s="1502"/>
      <c r="G84" s="1502"/>
      <c r="H84" s="1502"/>
      <c r="I84" s="1502"/>
    </row>
    <row r="85" spans="2:9">
      <c r="B85" s="290" t="s">
        <v>3838</v>
      </c>
      <c r="C85" s="290"/>
      <c r="E85" s="588">
        <f>'Data-UW'!B4</f>
        <v>0.15</v>
      </c>
    </row>
    <row r="86" spans="2:9">
      <c r="B86" s="290"/>
      <c r="C86" s="290"/>
    </row>
    <row r="87" spans="2:9">
      <c r="B87" s="1502" t="s">
        <v>3839</v>
      </c>
      <c r="C87" s="1502"/>
      <c r="D87" s="1502"/>
      <c r="E87" s="1502"/>
      <c r="F87" s="1502"/>
      <c r="G87" s="1502"/>
      <c r="H87" s="1502"/>
      <c r="I87" s="1502"/>
    </row>
    <row r="88" spans="2:9" ht="15" customHeight="1">
      <c r="B88" s="1502"/>
      <c r="C88" s="1502"/>
      <c r="D88" s="1502"/>
      <c r="E88" s="1502"/>
      <c r="F88" s="1502"/>
      <c r="G88" s="1502"/>
      <c r="H88" s="1502"/>
      <c r="I88" s="1502"/>
    </row>
    <row r="89" spans="2:9">
      <c r="B89" s="1503" t="str">
        <f>IF(B92="","","COVERAGE IS CONTINGENT UPON RECEIPT BY THE UNDERWRITERS OF THE FOLLOWING COMPLETED AND SIGNED DOCUMENTATION WITHIN 30 DAYS OF COVERAGE INCEPTION DATE." )</f>
        <v>COVERAGE IS CONTINGENT UPON RECEIPT BY THE UNDERWRITERS OF THE FOLLOWING COMPLETED AND SIGNED DOCUMENTATION WITHIN 30 DAYS OF COVERAGE INCEPTION DATE.</v>
      </c>
      <c r="C89" s="1503"/>
      <c r="D89" s="1503"/>
      <c r="E89" s="1503"/>
      <c r="F89" s="1503"/>
      <c r="G89" s="1503"/>
      <c r="H89" s="1503"/>
      <c r="I89" s="1503"/>
    </row>
    <row r="90" spans="2:9" ht="15" customHeight="1">
      <c r="B90" s="1503"/>
      <c r="C90" s="1503"/>
      <c r="D90" s="1503"/>
      <c r="E90" s="1503"/>
      <c r="F90" s="1503"/>
      <c r="G90" s="1503"/>
      <c r="H90" s="1503"/>
      <c r="I90" s="1503"/>
    </row>
    <row r="91" spans="2:9">
      <c r="B91" s="1503"/>
      <c r="C91" s="1503"/>
      <c r="D91" s="1503"/>
      <c r="E91" s="1503"/>
      <c r="F91" s="1503"/>
      <c r="G91" s="1503"/>
      <c r="H91" s="1503"/>
      <c r="I91" s="1503"/>
    </row>
    <row r="92" spans="2:9">
      <c r="B92" s="257" t="str">
        <f>IF('GL NI Information'!D14="Yes","*Signed Application plus any supplemental page(s)","")</f>
        <v>*Signed Application plus any supplemental page(s)</v>
      </c>
      <c r="C92" s="257"/>
    </row>
    <row r="93" spans="2:9">
      <c r="B93" s="257" t="str">
        <f>IF('GL NI Information'!D14="Yes","*Any Applicable Supplemental information","")</f>
        <v>*Any Applicable Supplemental information</v>
      </c>
      <c r="C93" s="257"/>
    </row>
    <row r="94" spans="2:9">
      <c r="B94" s="1500" t="s">
        <v>3840</v>
      </c>
      <c r="C94" s="1500"/>
      <c r="D94" s="1500"/>
      <c r="E94" s="1379" t="str">
        <f>'Answer Sheet_GL'!F20</f>
        <v>Harco National Insurance Company</v>
      </c>
      <c r="F94" s="1379"/>
      <c r="G94" s="1379"/>
      <c r="H94" s="1379"/>
      <c r="I94" s="1379"/>
    </row>
    <row r="95" spans="2:9" ht="20.25" customHeight="1">
      <c r="B95" s="257" t="s">
        <v>3841</v>
      </c>
      <c r="C95" s="257"/>
    </row>
    <row r="97" spans="2:3">
      <c r="B97" s="257" t="s">
        <v>3842</v>
      </c>
      <c r="C97" s="257"/>
    </row>
    <row r="98" spans="2:3">
      <c r="B98" s="257">
        <f>IF('GL NI Information'!G7="","",'GL NI Information'!G7)</f>
        <v>0</v>
      </c>
      <c r="C98" s="257"/>
    </row>
    <row r="99" spans="2:3">
      <c r="B99" s="257" t="s">
        <v>3843</v>
      </c>
      <c r="C99" s="257"/>
    </row>
    <row r="100" spans="2:3">
      <c r="B100" s="257"/>
      <c r="C100" s="257"/>
    </row>
    <row r="101" spans="2:3">
      <c r="B101" s="257"/>
      <c r="C101" s="257"/>
    </row>
  </sheetData>
  <sheetProtection algorithmName="SHA-512" hashValue="MQvb6405Vlx6sGD2A8pYlFeb2RhFuGn8Y/3Ow6nbfhUtRbBa9MeSZ8G1vKrPI6/fFfnaz5OCygXKIdg5Goo78A==" saltValue="gauM7KnOiYyKKRS+2sK6Yw==" spinCount="100000" sheet="1" selectLockedCells="1"/>
  <mergeCells count="37">
    <mergeCell ref="B59:I67"/>
    <mergeCell ref="B53:I57"/>
    <mergeCell ref="C9:E9"/>
    <mergeCell ref="G19:H19"/>
    <mergeCell ref="G20:H20"/>
    <mergeCell ref="G21:H21"/>
    <mergeCell ref="G22:H22"/>
    <mergeCell ref="G23:H23"/>
    <mergeCell ref="G25:H25"/>
    <mergeCell ref="G31:H31"/>
    <mergeCell ref="G32:H32"/>
    <mergeCell ref="A38:I38"/>
    <mergeCell ref="D42:I42"/>
    <mergeCell ref="A43:I43"/>
    <mergeCell ref="B94:D94"/>
    <mergeCell ref="E94:I94"/>
    <mergeCell ref="A68:F68"/>
    <mergeCell ref="B83:I84"/>
    <mergeCell ref="B87:I88"/>
    <mergeCell ref="B89:I91"/>
    <mergeCell ref="E69:F69"/>
    <mergeCell ref="B78:I82"/>
    <mergeCell ref="B71:I75"/>
    <mergeCell ref="N39:O40"/>
    <mergeCell ref="J35:K35"/>
    <mergeCell ref="A46:I46"/>
    <mergeCell ref="B11:I11"/>
    <mergeCell ref="B12:I13"/>
    <mergeCell ref="E15:I15"/>
    <mergeCell ref="G30:H30"/>
    <mergeCell ref="A17:H17"/>
    <mergeCell ref="G18:H18"/>
    <mergeCell ref="G26:H26"/>
    <mergeCell ref="G27:H27"/>
    <mergeCell ref="G29:H29"/>
    <mergeCell ref="A40:I40"/>
    <mergeCell ref="B14:H14"/>
  </mergeCells>
  <conditionalFormatting sqref="E85">
    <cfRule type="cellIs" dxfId="3" priority="3" operator="lessThan">
      <formula>0.15</formula>
    </cfRule>
    <cfRule type="cellIs" dxfId="2" priority="4" operator="greaterThan">
      <formula>0.15</formula>
    </cfRule>
  </conditionalFormatting>
  <conditionalFormatting sqref="L39">
    <cfRule type="expression" dxfId="1" priority="2">
      <formula>$N$39=""</formula>
    </cfRule>
  </conditionalFormatting>
  <conditionalFormatting sqref="M39">
    <cfRule type="expression" dxfId="0" priority="1">
      <formula>$N$39=""</formula>
    </cfRule>
  </conditionalFormatting>
  <hyperlinks>
    <hyperlink ref="K41" r:id="rId1" xr:uid="{00000000-0004-0000-1700-000000000000}"/>
    <hyperlink ref="K42" r:id="rId2" xr:uid="{00000000-0004-0000-1700-000001000000}"/>
  </hyperlinks>
  <pageMargins left="0.7" right="0.7" top="0.75" bottom="0.75" header="0.3" footer="0.3"/>
  <pageSetup scale="92" orientation="portrait" horizontalDpi="300" verticalDpi="300" r:id="rId3"/>
  <rowBreaks count="2" manualBreakCount="2">
    <brk id="51" max="8" man="1"/>
    <brk id="101" max="8" man="1"/>
  </rowBreaks>
  <drawing r:id="rId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rgb="FFFA6BFD"/>
  </sheetPr>
  <dimension ref="A1:I41"/>
  <sheetViews>
    <sheetView showWhiteSpace="0" view="pageLayout" topLeftCell="A2" zoomScaleNormal="100" workbookViewId="0">
      <selection activeCell="A3" sqref="A3"/>
    </sheetView>
  </sheetViews>
  <sheetFormatPr defaultColWidth="0" defaultRowHeight="15" zeroHeight="1"/>
  <cols>
    <col min="1" max="1" width="4.625" style="304" customWidth="1"/>
    <col min="2" max="2" width="14" style="304" customWidth="1"/>
    <col min="3" max="3" width="12.375" style="304" customWidth="1"/>
    <col min="4" max="4" width="9" style="304" customWidth="1"/>
    <col min="5" max="5" width="9.375" style="304" customWidth="1"/>
    <col min="6" max="6" width="8.625" style="337" customWidth="1"/>
    <col min="7" max="7" width="7.5" style="304" customWidth="1"/>
    <col min="8" max="8" width="10.625" style="304" customWidth="1"/>
    <col min="9" max="9" width="9" style="304" customWidth="1"/>
    <col min="10" max="10" width="9" style="304" hidden="1" customWidth="1"/>
    <col min="11" max="16384" width="9" style="304" hidden="1"/>
  </cols>
  <sheetData>
    <row r="1" spans="1:9">
      <c r="F1" s="304"/>
    </row>
    <row r="2" spans="1:9" ht="39">
      <c r="A2" s="311" t="s">
        <v>36</v>
      </c>
      <c r="B2" s="308" t="s">
        <v>3844</v>
      </c>
      <c r="C2" s="309" t="s">
        <v>3845</v>
      </c>
      <c r="D2" s="309" t="s">
        <v>3846</v>
      </c>
      <c r="E2" s="308" t="s">
        <v>3847</v>
      </c>
      <c r="F2" s="310" t="s">
        <v>5</v>
      </c>
      <c r="G2" s="309" t="s">
        <v>3848</v>
      </c>
      <c r="H2" s="309" t="s">
        <v>3849</v>
      </c>
      <c r="I2" s="308" t="s">
        <v>3850</v>
      </c>
    </row>
    <row r="3" spans="1:9">
      <c r="A3" s="307" t="str">
        <f>'Com Quote'!C11</f>
        <v/>
      </c>
      <c r="B3" s="305" t="str">
        <f>'Com Quote'!D11</f>
        <v/>
      </c>
      <c r="C3" s="305" t="str">
        <f>'Com Quote'!B11</f>
        <v/>
      </c>
      <c r="D3" s="305" t="str">
        <f>'Com Quote'!E11</f>
        <v>1/3</v>
      </c>
      <c r="E3" s="306" t="str">
        <f>'Com Quote'!F11</f>
        <v/>
      </c>
      <c r="F3" s="336" t="str">
        <f>'Com Quote'!P11</f>
        <v/>
      </c>
      <c r="G3" s="306" t="str">
        <f>IF(Aircraft!AA4="","",Aircraft!AA4)</f>
        <v/>
      </c>
      <c r="H3" s="306" t="str">
        <f>IF(Aircraft!AC4="","",Aircraft!AC4)</f>
        <v/>
      </c>
      <c r="I3" s="305" t="str">
        <f>'Com Quote'!G11</f>
        <v/>
      </c>
    </row>
    <row r="4" spans="1:9">
      <c r="A4" s="307" t="str">
        <f>'Com Quote'!C12</f>
        <v/>
      </c>
      <c r="B4" s="305" t="str">
        <f>'Com Quote'!D12</f>
        <v/>
      </c>
      <c r="C4" s="305" t="str">
        <f>'Com Quote'!B12</f>
        <v/>
      </c>
      <c r="D4" s="305" t="str">
        <f>'Com Quote'!E12</f>
        <v>1/4</v>
      </c>
      <c r="E4" s="306" t="str">
        <f>'Com Quote'!F12</f>
        <v/>
      </c>
      <c r="F4" s="336" t="str">
        <f>'Com Quote'!P12</f>
        <v/>
      </c>
      <c r="G4" s="306" t="str">
        <f>IF(Aircraft!AA5="","",Aircraft!AA5)</f>
        <v/>
      </c>
      <c r="H4" s="306" t="str">
        <f>IF(Aircraft!AC5="","",Aircraft!AC5)</f>
        <v/>
      </c>
      <c r="I4" s="305" t="str">
        <f>'Com Quote'!G12</f>
        <v/>
      </c>
    </row>
    <row r="5" spans="1:9">
      <c r="A5" s="307" t="str">
        <f>'Com Quote'!C13</f>
        <v/>
      </c>
      <c r="B5" s="305" t="str">
        <f>'Com Quote'!D13</f>
        <v/>
      </c>
      <c r="C5" s="305" t="str">
        <f>'Com Quote'!B13</f>
        <v/>
      </c>
      <c r="D5" s="305" t="str">
        <f>'Com Quote'!E13</f>
        <v>1/2</v>
      </c>
      <c r="E5" s="306" t="str">
        <f>'Com Quote'!F13</f>
        <v/>
      </c>
      <c r="F5" s="336" t="str">
        <f>'Com Quote'!P13</f>
        <v/>
      </c>
      <c r="G5" s="306" t="str">
        <f>IF(Aircraft!AA6="","",Aircraft!AA6)</f>
        <v/>
      </c>
      <c r="H5" s="306" t="str">
        <f>IF(Aircraft!AC6="","",Aircraft!AC6)</f>
        <v/>
      </c>
      <c r="I5" s="305" t="str">
        <f>'Com Quote'!G13</f>
        <v/>
      </c>
    </row>
    <row r="6" spans="1:9">
      <c r="A6" s="307" t="str">
        <f>'Com Quote'!C14</f>
        <v/>
      </c>
      <c r="B6" s="305" t="str">
        <f>'Com Quote'!D14</f>
        <v/>
      </c>
      <c r="C6" s="305" t="str">
        <f>'Com Quote'!B14</f>
        <v/>
      </c>
      <c r="D6" s="305" t="str">
        <f>'Com Quote'!E14</f>
        <v>1/6</v>
      </c>
      <c r="E6" s="306" t="str">
        <f>'Com Quote'!F14</f>
        <v/>
      </c>
      <c r="F6" s="336" t="str">
        <f>'Com Quote'!P14</f>
        <v/>
      </c>
      <c r="G6" s="306" t="str">
        <f>IF(Aircraft!AA7="","",Aircraft!AA7)</f>
        <v/>
      </c>
      <c r="H6" s="306" t="str">
        <f>IF(Aircraft!AC7="","",Aircraft!AC7)</f>
        <v/>
      </c>
      <c r="I6" s="305" t="str">
        <f>'Com Quote'!G14</f>
        <v/>
      </c>
    </row>
    <row r="7" spans="1:9">
      <c r="A7" s="307" t="str">
        <f>'Com Quote'!C15</f>
        <v/>
      </c>
      <c r="B7" s="305" t="str">
        <f>'Com Quote'!D15</f>
        <v/>
      </c>
      <c r="C7" s="305" t="str">
        <f>'Com Quote'!B15</f>
        <v/>
      </c>
      <c r="D7" s="305" t="str">
        <f>'Com Quote'!E15</f>
        <v/>
      </c>
      <c r="E7" s="306" t="str">
        <f>'Com Quote'!F15</f>
        <v/>
      </c>
      <c r="F7" s="336" t="str">
        <f>'Com Quote'!P15</f>
        <v/>
      </c>
      <c r="G7" s="306" t="str">
        <f>IF(Aircraft!AA8="","",Aircraft!AA8)</f>
        <v/>
      </c>
      <c r="H7" s="306" t="str">
        <f>IF(Aircraft!AC8="","",Aircraft!AC8)</f>
        <v/>
      </c>
      <c r="I7" s="305" t="str">
        <f>'Com Quote'!G15</f>
        <v/>
      </c>
    </row>
    <row r="8" spans="1:9">
      <c r="A8" s="307" t="str">
        <f>'Com Quote'!C16</f>
        <v/>
      </c>
      <c r="B8" s="305" t="str">
        <f>'Com Quote'!D16</f>
        <v/>
      </c>
      <c r="C8" s="305" t="str">
        <f>'Com Quote'!B16</f>
        <v/>
      </c>
      <c r="D8" s="305" t="str">
        <f>'Com Quote'!E16</f>
        <v/>
      </c>
      <c r="E8" s="306" t="str">
        <f>'Com Quote'!F16</f>
        <v/>
      </c>
      <c r="F8" s="336" t="str">
        <f>'Com Quote'!P16</f>
        <v/>
      </c>
      <c r="G8" s="306" t="str">
        <f>IF(Aircraft!AA9="","",Aircraft!AA9)</f>
        <v/>
      </c>
      <c r="H8" s="306" t="str">
        <f>IF(Aircraft!AC9="","",Aircraft!AC9)</f>
        <v/>
      </c>
      <c r="I8" s="305" t="str">
        <f>'Com Quote'!G16</f>
        <v/>
      </c>
    </row>
    <row r="9" spans="1:9">
      <c r="A9" s="307" t="str">
        <f>'Com Quote'!C17</f>
        <v/>
      </c>
      <c r="B9" s="305" t="str">
        <f>'Com Quote'!D17</f>
        <v/>
      </c>
      <c r="C9" s="305" t="str">
        <f>'Com Quote'!B17</f>
        <v/>
      </c>
      <c r="D9" s="305" t="str">
        <f>'Com Quote'!E17</f>
        <v/>
      </c>
      <c r="E9" s="306" t="str">
        <f>'Com Quote'!F17</f>
        <v/>
      </c>
      <c r="F9" s="336" t="str">
        <f>'Com Quote'!P17</f>
        <v/>
      </c>
      <c r="G9" s="306" t="str">
        <f>IF(Aircraft!AA10="","",Aircraft!AA10)</f>
        <v/>
      </c>
      <c r="H9" s="306" t="str">
        <f>IF(Aircraft!AC10="","",Aircraft!AC10)</f>
        <v/>
      </c>
      <c r="I9" s="305" t="str">
        <f>'Com Quote'!G17</f>
        <v/>
      </c>
    </row>
    <row r="10" spans="1:9">
      <c r="A10" s="307" t="str">
        <f>'Com Quote'!C18</f>
        <v/>
      </c>
      <c r="B10" s="305" t="str">
        <f>'Com Quote'!D18</f>
        <v/>
      </c>
      <c r="C10" s="305" t="str">
        <f>'Com Quote'!B18</f>
        <v/>
      </c>
      <c r="D10" s="305" t="str">
        <f>'Com Quote'!E18</f>
        <v/>
      </c>
      <c r="E10" s="306" t="str">
        <f>'Com Quote'!F18</f>
        <v/>
      </c>
      <c r="F10" s="336" t="str">
        <f>'Com Quote'!P18</f>
        <v/>
      </c>
      <c r="G10" s="306" t="str">
        <f>IF(Aircraft!AA11="","",Aircraft!AA11)</f>
        <v/>
      </c>
      <c r="H10" s="306" t="str">
        <f>IF(Aircraft!AC11="","",Aircraft!AC11)</f>
        <v/>
      </c>
      <c r="I10" s="305" t="str">
        <f>'Com Quote'!G18</f>
        <v/>
      </c>
    </row>
    <row r="11" spans="1:9">
      <c r="A11" s="307" t="str">
        <f>'Com Quote'!C19</f>
        <v/>
      </c>
      <c r="B11" s="305" t="str">
        <f>'Com Quote'!D19</f>
        <v/>
      </c>
      <c r="C11" s="305" t="str">
        <f>'Com Quote'!B19</f>
        <v/>
      </c>
      <c r="D11" s="305" t="str">
        <f>'Com Quote'!E19</f>
        <v/>
      </c>
      <c r="E11" s="306" t="str">
        <f>'Com Quote'!F19</f>
        <v/>
      </c>
      <c r="F11" s="336" t="str">
        <f>'Com Quote'!P19</f>
        <v/>
      </c>
      <c r="G11" s="306" t="str">
        <f>IF(Aircraft!AA12="","",Aircraft!AA12)</f>
        <v/>
      </c>
      <c r="H11" s="306" t="str">
        <f>IF(Aircraft!AC12="","",Aircraft!AC12)</f>
        <v/>
      </c>
      <c r="I11" s="305" t="str">
        <f>'Com Quote'!G19</f>
        <v/>
      </c>
    </row>
    <row r="12" spans="1:9">
      <c r="A12" s="307" t="str">
        <f>'Com Quote'!C20</f>
        <v/>
      </c>
      <c r="B12" s="305" t="str">
        <f>'Com Quote'!D20</f>
        <v/>
      </c>
      <c r="C12" s="305" t="str">
        <f>'Com Quote'!B20</f>
        <v/>
      </c>
      <c r="D12" s="305" t="str">
        <f>'Com Quote'!E20</f>
        <v/>
      </c>
      <c r="E12" s="306" t="str">
        <f>'Com Quote'!F20</f>
        <v/>
      </c>
      <c r="F12" s="336" t="str">
        <f>'Com Quote'!P20</f>
        <v/>
      </c>
      <c r="G12" s="306" t="str">
        <f>IF(Aircraft!AA13="","",Aircraft!AA13)</f>
        <v/>
      </c>
      <c r="H12" s="306" t="str">
        <f>IF(Aircraft!AC13="","",Aircraft!AC13)</f>
        <v/>
      </c>
      <c r="I12" s="305" t="str">
        <f>'Com Quote'!G20</f>
        <v/>
      </c>
    </row>
    <row r="13" spans="1:9">
      <c r="A13" s="307" t="str">
        <f>'Com Quote'!C21</f>
        <v/>
      </c>
      <c r="B13" s="305" t="str">
        <f>'Com Quote'!D21</f>
        <v/>
      </c>
      <c r="C13" s="305" t="str">
        <f>'Com Quote'!B21</f>
        <v/>
      </c>
      <c r="D13" s="305" t="str">
        <f>'Com Quote'!E21</f>
        <v/>
      </c>
      <c r="E13" s="306" t="str">
        <f>'Com Quote'!F21</f>
        <v/>
      </c>
      <c r="F13" s="336" t="str">
        <f>'Com Quote'!P21</f>
        <v/>
      </c>
      <c r="G13" s="306" t="str">
        <f>IF(Aircraft!AA14="","",Aircraft!AA14)</f>
        <v/>
      </c>
      <c r="H13" s="306" t="str">
        <f>IF(Aircraft!AC14="","",Aircraft!AC14)</f>
        <v/>
      </c>
      <c r="I13" s="305" t="str">
        <f>'Com Quote'!G21</f>
        <v/>
      </c>
    </row>
    <row r="14" spans="1:9">
      <c r="A14" s="307" t="str">
        <f>'Com Quote'!C22</f>
        <v/>
      </c>
      <c r="B14" s="305" t="str">
        <f>'Com Quote'!D22</f>
        <v/>
      </c>
      <c r="C14" s="305" t="str">
        <f>'Com Quote'!B22</f>
        <v/>
      </c>
      <c r="D14" s="305" t="str">
        <f>'Com Quote'!E22</f>
        <v/>
      </c>
      <c r="E14" s="306" t="str">
        <f>'Com Quote'!F22</f>
        <v/>
      </c>
      <c r="F14" s="336" t="str">
        <f>'Com Quote'!P22</f>
        <v/>
      </c>
      <c r="G14" s="306" t="str">
        <f>IF(Aircraft!AA15="","",Aircraft!AA15)</f>
        <v/>
      </c>
      <c r="H14" s="306" t="str">
        <f>IF(Aircraft!AC15="","",Aircraft!AC15)</f>
        <v/>
      </c>
      <c r="I14" s="305" t="str">
        <f>'Com Quote'!G22</f>
        <v/>
      </c>
    </row>
    <row r="15" spans="1:9">
      <c r="A15" s="307" t="str">
        <f>'Com Quote'!C23</f>
        <v/>
      </c>
      <c r="B15" s="305" t="str">
        <f>'Com Quote'!D23</f>
        <v/>
      </c>
      <c r="C15" s="305" t="str">
        <f>'Com Quote'!B23</f>
        <v/>
      </c>
      <c r="D15" s="305" t="str">
        <f>'Com Quote'!E23</f>
        <v/>
      </c>
      <c r="E15" s="306" t="str">
        <f>'Com Quote'!F23</f>
        <v/>
      </c>
      <c r="F15" s="336" t="str">
        <f>'Com Quote'!P23</f>
        <v/>
      </c>
      <c r="G15" s="306" t="str">
        <f>IF(Aircraft!AA16="","",Aircraft!AA16)</f>
        <v/>
      </c>
      <c r="H15" s="306" t="str">
        <f>IF(Aircraft!AC16="","",Aircraft!AC16)</f>
        <v/>
      </c>
      <c r="I15" s="305" t="str">
        <f>'Com Quote'!G23</f>
        <v/>
      </c>
    </row>
    <row r="16" spans="1:9">
      <c r="A16" s="307" t="str">
        <f>'Com Quote'!C24</f>
        <v/>
      </c>
      <c r="B16" s="305" t="str">
        <f>'Com Quote'!D24</f>
        <v/>
      </c>
      <c r="C16" s="305" t="str">
        <f>'Com Quote'!B24</f>
        <v/>
      </c>
      <c r="D16" s="305" t="str">
        <f>'Com Quote'!E24</f>
        <v/>
      </c>
      <c r="E16" s="306" t="str">
        <f>'Com Quote'!F24</f>
        <v/>
      </c>
      <c r="F16" s="336" t="str">
        <f>'Com Quote'!P24</f>
        <v/>
      </c>
      <c r="G16" s="306" t="str">
        <f>IF(Aircraft!AA17="","",Aircraft!AA17)</f>
        <v/>
      </c>
      <c r="H16" s="306" t="str">
        <f>IF(Aircraft!AC17="","",Aircraft!AC17)</f>
        <v/>
      </c>
      <c r="I16" s="305" t="str">
        <f>'Com Quote'!G24</f>
        <v/>
      </c>
    </row>
    <row r="17" spans="1:9">
      <c r="A17" s="307" t="str">
        <f>'Com Quote'!C25</f>
        <v/>
      </c>
      <c r="B17" s="305" t="str">
        <f>'Com Quote'!D25</f>
        <v/>
      </c>
      <c r="C17" s="305" t="str">
        <f>'Com Quote'!B25</f>
        <v/>
      </c>
      <c r="D17" s="305" t="str">
        <f>'Com Quote'!E25</f>
        <v/>
      </c>
      <c r="E17" s="306" t="str">
        <f>'Com Quote'!F25</f>
        <v/>
      </c>
      <c r="F17" s="336" t="str">
        <f>'Com Quote'!P25</f>
        <v/>
      </c>
      <c r="G17" s="306" t="str">
        <f>IF(Aircraft!AA18="","",Aircraft!AA18)</f>
        <v/>
      </c>
      <c r="H17" s="306" t="str">
        <f>IF(Aircraft!AC18="","",Aircraft!AC18)</f>
        <v/>
      </c>
      <c r="I17" s="305" t="str">
        <f>'Com Quote'!G25</f>
        <v/>
      </c>
    </row>
    <row r="18" spans="1:9">
      <c r="A18" s="307" t="str">
        <f>'Com Quote'!C26</f>
        <v/>
      </c>
      <c r="B18" s="305" t="str">
        <f>'Com Quote'!D26</f>
        <v/>
      </c>
      <c r="C18" s="305" t="str">
        <f>'Com Quote'!B26</f>
        <v/>
      </c>
      <c r="D18" s="305" t="str">
        <f>'Com Quote'!E26</f>
        <v/>
      </c>
      <c r="E18" s="306" t="str">
        <f>'Com Quote'!F26</f>
        <v/>
      </c>
      <c r="F18" s="336" t="str">
        <f>'Com Quote'!P26</f>
        <v/>
      </c>
      <c r="G18" s="306" t="str">
        <f>IF(Aircraft!AA19="","",Aircraft!AA19)</f>
        <v/>
      </c>
      <c r="H18" s="306" t="str">
        <f>IF(Aircraft!AC19="","",Aircraft!AC19)</f>
        <v/>
      </c>
      <c r="I18" s="305" t="str">
        <f>'Com Quote'!G26</f>
        <v/>
      </c>
    </row>
    <row r="19" spans="1:9">
      <c r="A19" s="307" t="str">
        <f>'Com Quote'!C27</f>
        <v/>
      </c>
      <c r="B19" s="305" t="str">
        <f>'Com Quote'!D27</f>
        <v/>
      </c>
      <c r="C19" s="305" t="str">
        <f>'Com Quote'!B27</f>
        <v/>
      </c>
      <c r="D19" s="305" t="str">
        <f>'Com Quote'!E27</f>
        <v/>
      </c>
      <c r="E19" s="306" t="str">
        <f>'Com Quote'!F27</f>
        <v/>
      </c>
      <c r="F19" s="336" t="str">
        <f>'Com Quote'!P27</f>
        <v/>
      </c>
      <c r="G19" s="306" t="str">
        <f>IF(Aircraft!AA20="","",Aircraft!AA20)</f>
        <v/>
      </c>
      <c r="H19" s="306" t="str">
        <f>IF(Aircraft!AC20="","",Aircraft!AC20)</f>
        <v/>
      </c>
      <c r="I19" s="305" t="str">
        <f>'Com Quote'!G27</f>
        <v/>
      </c>
    </row>
    <row r="20" spans="1:9">
      <c r="A20" s="307" t="str">
        <f>'Com Quote'!C28</f>
        <v/>
      </c>
      <c r="B20" s="305" t="str">
        <f>'Com Quote'!D28</f>
        <v/>
      </c>
      <c r="C20" s="305" t="str">
        <f>'Com Quote'!B28</f>
        <v/>
      </c>
      <c r="D20" s="305" t="str">
        <f>'Com Quote'!E28</f>
        <v/>
      </c>
      <c r="E20" s="306" t="str">
        <f>'Com Quote'!F28</f>
        <v/>
      </c>
      <c r="F20" s="336" t="str">
        <f>'Com Quote'!P28</f>
        <v/>
      </c>
      <c r="G20" s="306" t="str">
        <f>IF(Aircraft!AA21="","",Aircraft!AA21)</f>
        <v/>
      </c>
      <c r="H20" s="306" t="str">
        <f>IF(Aircraft!AC21="","",Aircraft!AC21)</f>
        <v/>
      </c>
      <c r="I20" s="305" t="str">
        <f>'Com Quote'!G28</f>
        <v/>
      </c>
    </row>
    <row r="21" spans="1:9">
      <c r="A21" s="307" t="str">
        <f>'Com Quote'!C29</f>
        <v/>
      </c>
      <c r="B21" s="305" t="str">
        <f>'Com Quote'!D29</f>
        <v/>
      </c>
      <c r="C21" s="305" t="str">
        <f>'Com Quote'!B29</f>
        <v/>
      </c>
      <c r="D21" s="305" t="str">
        <f>'Com Quote'!E29</f>
        <v/>
      </c>
      <c r="E21" s="306" t="str">
        <f>'Com Quote'!F29</f>
        <v/>
      </c>
      <c r="F21" s="336" t="str">
        <f>'Com Quote'!P29</f>
        <v/>
      </c>
      <c r="G21" s="306" t="str">
        <f>IF(Aircraft!AA22="","",Aircraft!AA22)</f>
        <v/>
      </c>
      <c r="H21" s="306" t="str">
        <f>IF(Aircraft!AC22="","",Aircraft!AC22)</f>
        <v/>
      </c>
      <c r="I21" s="305" t="str">
        <f>'Com Quote'!G29</f>
        <v/>
      </c>
    </row>
    <row r="22" spans="1:9">
      <c r="A22" s="307" t="str">
        <f>'Com Quote'!C30</f>
        <v/>
      </c>
      <c r="B22" s="305" t="str">
        <f>'Com Quote'!D30</f>
        <v/>
      </c>
      <c r="C22" s="305" t="str">
        <f>'Com Quote'!B30</f>
        <v/>
      </c>
      <c r="D22" s="305" t="str">
        <f>'Com Quote'!E30</f>
        <v/>
      </c>
      <c r="E22" s="306" t="str">
        <f>'Com Quote'!F30</f>
        <v/>
      </c>
      <c r="F22" s="336" t="str">
        <f>'Com Quote'!P30</f>
        <v/>
      </c>
      <c r="G22" s="306" t="str">
        <f>IF(Aircraft!AA23="","",Aircraft!AA23)</f>
        <v/>
      </c>
      <c r="H22" s="306" t="str">
        <f>IF(Aircraft!AC23="","",Aircraft!AC23)</f>
        <v/>
      </c>
      <c r="I22" s="305" t="str">
        <f>'Com Quote'!G30</f>
        <v/>
      </c>
    </row>
    <row r="23" spans="1:9">
      <c r="A23" s="307" t="str">
        <f>'Com Quote'!C31</f>
        <v/>
      </c>
      <c r="B23" s="305" t="str">
        <f>'Com Quote'!D31</f>
        <v/>
      </c>
      <c r="C23" s="305" t="str">
        <f>'Com Quote'!B31</f>
        <v/>
      </c>
      <c r="D23" s="305" t="str">
        <f>'Com Quote'!E31</f>
        <v/>
      </c>
      <c r="E23" s="306" t="str">
        <f>'Com Quote'!F31</f>
        <v/>
      </c>
      <c r="F23" s="336" t="str">
        <f>'Com Quote'!P31</f>
        <v/>
      </c>
      <c r="G23" s="306" t="str">
        <f>IF(Aircraft!AA24="","",Aircraft!AA24)</f>
        <v/>
      </c>
      <c r="H23" s="306" t="str">
        <f>IF(Aircraft!AC24="","",Aircraft!AC24)</f>
        <v/>
      </c>
      <c r="I23" s="305" t="str">
        <f>'Com Quote'!G31</f>
        <v/>
      </c>
    </row>
    <row r="24" spans="1:9">
      <c r="A24" s="307" t="str">
        <f>'Com Quote'!C32</f>
        <v/>
      </c>
      <c r="B24" s="305" t="str">
        <f>'Com Quote'!D32</f>
        <v/>
      </c>
      <c r="C24" s="305" t="str">
        <f>'Com Quote'!B32</f>
        <v/>
      </c>
      <c r="D24" s="305" t="str">
        <f>'Com Quote'!E32</f>
        <v/>
      </c>
      <c r="E24" s="306" t="str">
        <f>'Com Quote'!F32</f>
        <v/>
      </c>
      <c r="F24" s="336" t="str">
        <f>'Com Quote'!P32</f>
        <v/>
      </c>
      <c r="G24" s="306" t="str">
        <f>IF(Aircraft!AA25="","",Aircraft!AA25)</f>
        <v/>
      </c>
      <c r="H24" s="306" t="str">
        <f>IF(Aircraft!AC25="","",Aircraft!AC25)</f>
        <v/>
      </c>
      <c r="I24" s="305" t="str">
        <f>'Com Quote'!G32</f>
        <v/>
      </c>
    </row>
    <row r="25" spans="1:9">
      <c r="A25" s="307" t="str">
        <f>'Com Quote'!C33</f>
        <v/>
      </c>
      <c r="B25" s="305" t="str">
        <f>'Com Quote'!D33</f>
        <v/>
      </c>
      <c r="C25" s="305" t="str">
        <f>'Com Quote'!B33</f>
        <v/>
      </c>
      <c r="D25" s="305" t="str">
        <f>'Com Quote'!E33</f>
        <v/>
      </c>
      <c r="E25" s="306" t="str">
        <f>'Com Quote'!F33</f>
        <v/>
      </c>
      <c r="F25" s="336" t="str">
        <f>'Com Quote'!P33</f>
        <v/>
      </c>
      <c r="G25" s="306" t="str">
        <f>IF(Aircraft!AA26="","",Aircraft!AA26)</f>
        <v/>
      </c>
      <c r="H25" s="306" t="str">
        <f>IF(Aircraft!AC26="","",Aircraft!AC26)</f>
        <v/>
      </c>
      <c r="I25" s="305" t="str">
        <f>'Com Quote'!G33</f>
        <v/>
      </c>
    </row>
    <row r="26" spans="1:9">
      <c r="A26" s="307" t="str">
        <f>'Com Quote'!C34</f>
        <v/>
      </c>
      <c r="B26" s="305" t="str">
        <f>'Com Quote'!D34</f>
        <v/>
      </c>
      <c r="C26" s="305" t="str">
        <f>'Com Quote'!B34</f>
        <v/>
      </c>
      <c r="D26" s="305" t="str">
        <f>'Com Quote'!E34</f>
        <v/>
      </c>
      <c r="E26" s="306" t="str">
        <f>'Com Quote'!F34</f>
        <v/>
      </c>
      <c r="F26" s="336" t="str">
        <f>'Com Quote'!P34</f>
        <v/>
      </c>
      <c r="G26" s="306" t="str">
        <f>IF(Aircraft!AA27="","",Aircraft!AA27)</f>
        <v/>
      </c>
      <c r="H26" s="306" t="str">
        <f>IF(Aircraft!AC27="","",Aircraft!AC27)</f>
        <v/>
      </c>
      <c r="I26" s="305" t="str">
        <f>'Com Quote'!G34</f>
        <v/>
      </c>
    </row>
    <row r="27" spans="1:9">
      <c r="A27" s="307" t="str">
        <f>'Com Quote'!C35</f>
        <v/>
      </c>
      <c r="B27" s="305" t="str">
        <f>'Com Quote'!D35</f>
        <v/>
      </c>
      <c r="C27" s="305" t="str">
        <f>'Com Quote'!B35</f>
        <v/>
      </c>
      <c r="D27" s="305" t="str">
        <f>'Com Quote'!E35</f>
        <v/>
      </c>
      <c r="E27" s="306" t="str">
        <f>'Com Quote'!F35</f>
        <v/>
      </c>
      <c r="F27" s="336" t="str">
        <f>'Com Quote'!P35</f>
        <v/>
      </c>
      <c r="G27" s="306" t="str">
        <f>IF(Aircraft!AA28="","",Aircraft!AA28)</f>
        <v/>
      </c>
      <c r="H27" s="306" t="str">
        <f>IF(Aircraft!AC28="","",Aircraft!AC28)</f>
        <v/>
      </c>
      <c r="I27" s="305" t="str">
        <f>'Com Quote'!G35</f>
        <v/>
      </c>
    </row>
    <row r="28" spans="1:9">
      <c r="A28" s="307" t="str">
        <f>'Com Quote'!C36</f>
        <v/>
      </c>
      <c r="B28" s="305" t="str">
        <f>'Com Quote'!D36</f>
        <v/>
      </c>
      <c r="C28" s="305" t="str">
        <f>'Com Quote'!B36</f>
        <v/>
      </c>
      <c r="D28" s="305" t="str">
        <f>'Com Quote'!E36</f>
        <v/>
      </c>
      <c r="E28" s="306" t="str">
        <f>'Com Quote'!F36</f>
        <v/>
      </c>
      <c r="F28" s="336" t="str">
        <f>'Com Quote'!P36</f>
        <v/>
      </c>
      <c r="G28" s="306" t="str">
        <f>IF(Aircraft!AA29="","",Aircraft!AA29)</f>
        <v/>
      </c>
      <c r="H28" s="306" t="str">
        <f>IF(Aircraft!AC29="","",Aircraft!AC29)</f>
        <v/>
      </c>
      <c r="I28" s="305" t="str">
        <f>'Com Quote'!G36</f>
        <v/>
      </c>
    </row>
    <row r="29" spans="1:9">
      <c r="A29" s="307" t="str">
        <f>'Com Quote'!C37</f>
        <v/>
      </c>
      <c r="B29" s="305" t="str">
        <f>'Com Quote'!D37</f>
        <v/>
      </c>
      <c r="C29" s="305" t="str">
        <f>'Com Quote'!B37</f>
        <v/>
      </c>
      <c r="D29" s="305" t="str">
        <f>'Com Quote'!E37</f>
        <v/>
      </c>
      <c r="E29" s="306" t="str">
        <f>'Com Quote'!F37</f>
        <v/>
      </c>
      <c r="F29" s="336" t="str">
        <f>'Com Quote'!P37</f>
        <v/>
      </c>
      <c r="G29" s="306" t="str">
        <f>IF(Aircraft!AA30="","",Aircraft!AA30)</f>
        <v/>
      </c>
      <c r="H29" s="306" t="str">
        <f>IF(Aircraft!AC30="","",Aircraft!AC30)</f>
        <v/>
      </c>
      <c r="I29" s="305" t="str">
        <f>'Com Quote'!G37</f>
        <v/>
      </c>
    </row>
    <row r="30" spans="1:9">
      <c r="A30" s="307" t="str">
        <f>'Com Quote'!C38</f>
        <v/>
      </c>
      <c r="B30" s="305" t="str">
        <f>'Com Quote'!D38</f>
        <v/>
      </c>
      <c r="C30" s="305" t="str">
        <f>'Com Quote'!B38</f>
        <v/>
      </c>
      <c r="D30" s="305" t="str">
        <f>'Com Quote'!E38</f>
        <v/>
      </c>
      <c r="E30" s="306" t="str">
        <f>'Com Quote'!F38</f>
        <v/>
      </c>
      <c r="F30" s="336" t="str">
        <f>'Com Quote'!P38</f>
        <v/>
      </c>
      <c r="G30" s="306" t="str">
        <f>IF(Aircraft!AA31="","",Aircraft!AA31)</f>
        <v/>
      </c>
      <c r="H30" s="306" t="str">
        <f>IF(Aircraft!AC31="","",Aircraft!AC31)</f>
        <v/>
      </c>
      <c r="I30" s="305" t="str">
        <f>'Com Quote'!G38</f>
        <v/>
      </c>
    </row>
    <row r="31" spans="1:9">
      <c r="A31" s="307" t="e">
        <f>'Com Quote'!#REF!</f>
        <v>#REF!</v>
      </c>
      <c r="B31" s="305" t="e">
        <f>'Com Quote'!#REF!</f>
        <v>#REF!</v>
      </c>
      <c r="C31" s="305" t="e">
        <f>'Com Quote'!#REF!</f>
        <v>#REF!</v>
      </c>
      <c r="D31" s="305" t="e">
        <f>'Com Quote'!#REF!</f>
        <v>#REF!</v>
      </c>
      <c r="E31" s="306" t="e">
        <f>'Com Quote'!#REF!</f>
        <v>#REF!</v>
      </c>
      <c r="F31" s="336" t="e">
        <f>'Com Quote'!#REF!</f>
        <v>#REF!</v>
      </c>
      <c r="G31" s="306" t="str">
        <f>IF(Aircraft!AA32="","",Aircraft!AA32)</f>
        <v/>
      </c>
      <c r="H31" s="306" t="str">
        <f>IF(Aircraft!AC32="","",Aircraft!AC32)</f>
        <v/>
      </c>
      <c r="I31" s="305" t="e">
        <f>'Com Quote'!#REF!</f>
        <v>#REF!</v>
      </c>
    </row>
    <row r="32" spans="1:9">
      <c r="A32" s="307" t="e">
        <f>'Com Quote'!#REF!</f>
        <v>#REF!</v>
      </c>
      <c r="B32" s="305" t="e">
        <f>'Com Quote'!#REF!</f>
        <v>#REF!</v>
      </c>
      <c r="C32" s="305" t="e">
        <f>'Com Quote'!#REF!</f>
        <v>#REF!</v>
      </c>
      <c r="D32" s="305" t="e">
        <f>'Com Quote'!#REF!</f>
        <v>#REF!</v>
      </c>
      <c r="E32" s="306" t="e">
        <f>'Com Quote'!#REF!</f>
        <v>#REF!</v>
      </c>
      <c r="F32" s="336" t="e">
        <f>'Com Quote'!#REF!</f>
        <v>#REF!</v>
      </c>
      <c r="G32" s="306" t="str">
        <f>IF(Aircraft!AA33="","",Aircraft!AA33)</f>
        <v/>
      </c>
      <c r="H32" s="306" t="str">
        <f>IF(Aircraft!AC33="","",Aircraft!AC33)</f>
        <v/>
      </c>
      <c r="I32" s="305" t="e">
        <f>'Com Quote'!#REF!</f>
        <v>#REF!</v>
      </c>
    </row>
    <row r="33" spans="1:9">
      <c r="A33" s="307" t="e">
        <f>'Com Quote'!#REF!</f>
        <v>#REF!</v>
      </c>
      <c r="B33" s="305" t="e">
        <f>'Com Quote'!#REF!</f>
        <v>#REF!</v>
      </c>
      <c r="C33" s="305" t="e">
        <f>'Com Quote'!#REF!</f>
        <v>#REF!</v>
      </c>
      <c r="D33" s="305" t="e">
        <f>'Com Quote'!#REF!</f>
        <v>#REF!</v>
      </c>
      <c r="E33" s="306" t="e">
        <f>'Com Quote'!#REF!</f>
        <v>#REF!</v>
      </c>
      <c r="F33" s="336" t="e">
        <f>'Com Quote'!#REF!</f>
        <v>#REF!</v>
      </c>
      <c r="G33" s="306" t="str">
        <f>IF(Aircraft!AA34="","",Aircraft!AA34)</f>
        <v/>
      </c>
      <c r="H33" s="306" t="str">
        <f>IF(Aircraft!AC34="","",Aircraft!AC34)</f>
        <v/>
      </c>
      <c r="I33" s="305" t="e">
        <f>'Com Quote'!#REF!</f>
        <v>#REF!</v>
      </c>
    </row>
    <row r="34" spans="1:9">
      <c r="A34" s="307" t="e">
        <f>'Com Quote'!#REF!</f>
        <v>#REF!</v>
      </c>
      <c r="B34" s="305" t="e">
        <f>'Com Quote'!#REF!</f>
        <v>#REF!</v>
      </c>
      <c r="C34" s="305" t="e">
        <f>'Com Quote'!#REF!</f>
        <v>#REF!</v>
      </c>
      <c r="D34" s="305" t="e">
        <f>'Com Quote'!#REF!</f>
        <v>#REF!</v>
      </c>
      <c r="E34" s="306" t="e">
        <f>'Com Quote'!#REF!</f>
        <v>#REF!</v>
      </c>
      <c r="F34" s="336" t="e">
        <f>'Com Quote'!#REF!</f>
        <v>#REF!</v>
      </c>
      <c r="G34" s="306" t="str">
        <f>IF(Aircraft!AA35="","",Aircraft!AA35)</f>
        <v/>
      </c>
      <c r="H34" s="306" t="str">
        <f>IF(Aircraft!AC35="","",Aircraft!AC35)</f>
        <v/>
      </c>
      <c r="I34" s="305" t="e">
        <f>'Com Quote'!#REF!</f>
        <v>#REF!</v>
      </c>
    </row>
    <row r="35" spans="1:9" hidden="1">
      <c r="A35" s="307"/>
    </row>
    <row r="36" spans="1:9" hidden="1">
      <c r="A36" s="307"/>
    </row>
    <row r="37" spans="1:9" hidden="1">
      <c r="A37" s="307"/>
    </row>
    <row r="38" spans="1:9" hidden="1">
      <c r="A38" s="307"/>
    </row>
    <row r="39" spans="1:9" hidden="1">
      <c r="A39" s="307"/>
    </row>
    <row r="40" spans="1:9" hidden="1">
      <c r="A40" s="307"/>
    </row>
    <row r="41" spans="1:9" hidden="1">
      <c r="A41" s="307"/>
    </row>
  </sheetData>
  <sheetProtection sheet="1" objects="1" scenarios="1"/>
  <pageMargins left="0.75" right="0.05"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789D-EE08-4E47-950E-2B98AFA2F963}">
  <sheetPr codeName="Sheet9">
    <tabColor rgb="FFFF0000"/>
  </sheetPr>
  <dimension ref="A1"/>
  <sheetViews>
    <sheetView workbookViewId="0"/>
  </sheetViews>
  <sheetFormatPr defaultRowHeight="14.25"/>
  <sheetData/>
  <sheetProtection sheet="1" objects="1" scenarios="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00B050"/>
  </sheetPr>
  <dimension ref="A1:AR67"/>
  <sheetViews>
    <sheetView topLeftCell="A23" workbookViewId="0">
      <selection activeCell="K34" sqref="K34"/>
    </sheetView>
  </sheetViews>
  <sheetFormatPr defaultColWidth="0" defaultRowHeight="14.25" zeroHeight="1"/>
  <cols>
    <col min="1" max="2" width="2.375" customWidth="1"/>
    <col min="3" max="3" width="1.875" bestFit="1" customWidth="1"/>
    <col min="4" max="5" width="2.375" customWidth="1"/>
    <col min="6" max="6" width="3.375" customWidth="1"/>
    <col min="7" max="7" width="2.375" customWidth="1"/>
    <col min="8" max="8" width="4.625" customWidth="1"/>
    <col min="9" max="9" width="2.375" customWidth="1"/>
    <col min="10" max="10" width="2" customWidth="1"/>
    <col min="11" max="11" width="8" customWidth="1"/>
    <col min="12" max="12" width="4.25" customWidth="1"/>
    <col min="13" max="13" width="8" customWidth="1"/>
    <col min="14" max="15" width="2.375" customWidth="1"/>
    <col min="16" max="16" width="3.125" customWidth="1"/>
    <col min="17" max="17" width="8.375" customWidth="1"/>
    <col min="18" max="18" width="6.875" bestFit="1" customWidth="1"/>
    <col min="19" max="19" width="8.125" customWidth="1"/>
    <col min="20" max="20" width="7.375" customWidth="1"/>
    <col min="21" max="22" width="2.375" customWidth="1"/>
    <col min="23" max="23" width="1.875" bestFit="1" customWidth="1"/>
    <col min="24" max="24" width="2.375" customWidth="1"/>
    <col min="25" max="25" width="6.875" bestFit="1" customWidth="1"/>
    <col min="26" max="26" width="2.375" customWidth="1"/>
    <col min="27" max="27" width="7.375" customWidth="1"/>
    <col min="28" max="30" width="2.375" customWidth="1"/>
    <col min="31" max="31" width="6" customWidth="1"/>
    <col min="32" max="32" width="7" customWidth="1"/>
    <col min="33" max="33" width="2.375" customWidth="1"/>
    <col min="34" max="34" width="7.375" customWidth="1"/>
    <col min="35" max="37" width="2.375" customWidth="1"/>
    <col min="38" max="38" width="3.25" customWidth="1"/>
    <col min="39" max="40" width="2.375" customWidth="1"/>
    <col min="41" max="41" width="5.875" customWidth="1"/>
    <col min="42" max="44" width="2.375" customWidth="1"/>
    <col min="45" max="45" width="9" hidden="1" customWidth="1"/>
    <col min="46" max="16384" width="9" hidden="1"/>
  </cols>
  <sheetData>
    <row r="1" spans="1:44">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row>
    <row r="2" spans="1:44">
      <c r="A2" s="30"/>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row>
    <row r="3" spans="1:44" ht="16.5" thickBot="1">
      <c r="A3" s="1581" t="s">
        <v>3406</v>
      </c>
      <c r="B3" s="1581"/>
      <c r="C3" s="1581"/>
      <c r="D3" s="1581"/>
      <c r="E3" s="1581"/>
      <c r="F3" s="1581"/>
      <c r="G3" s="1581"/>
      <c r="H3" s="1581"/>
      <c r="I3" s="1581"/>
      <c r="J3" s="1581"/>
      <c r="K3" s="1581"/>
      <c r="L3" s="1581"/>
      <c r="M3" s="1581"/>
      <c r="N3" s="1581"/>
      <c r="O3" s="1581"/>
      <c r="P3" s="1581"/>
      <c r="Q3" s="1581"/>
      <c r="R3" s="1581"/>
      <c r="S3" s="1581"/>
      <c r="T3" s="1581"/>
      <c r="U3" s="1581"/>
      <c r="V3" s="1581"/>
      <c r="W3" s="1581"/>
      <c r="X3" s="1581"/>
      <c r="Y3" s="1581"/>
      <c r="Z3" s="1581"/>
      <c r="AA3" s="31"/>
      <c r="AB3" s="30"/>
      <c r="AC3" s="30"/>
      <c r="AD3" s="30"/>
      <c r="AE3" s="30"/>
      <c r="AF3" s="30"/>
      <c r="AG3" s="30"/>
      <c r="AH3" s="30"/>
      <c r="AI3" s="30"/>
      <c r="AJ3" s="30"/>
      <c r="AK3" s="30"/>
      <c r="AL3" s="30"/>
      <c r="AM3" s="30"/>
      <c r="AN3" s="30"/>
      <c r="AO3" s="30"/>
      <c r="AP3" s="30"/>
      <c r="AQ3" s="30"/>
      <c r="AR3" s="30"/>
    </row>
    <row r="4" spans="1:44" ht="15.75" thickBot="1">
      <c r="A4" s="1554" t="s">
        <v>3407</v>
      </c>
      <c r="B4" s="1554"/>
      <c r="C4" s="1554"/>
      <c r="D4" s="1554"/>
      <c r="E4" s="1554"/>
      <c r="F4" s="1554"/>
      <c r="G4" s="30"/>
      <c r="H4" s="1561" t="s">
        <v>3408</v>
      </c>
      <c r="I4" s="1561"/>
      <c r="J4" s="1561"/>
      <c r="K4" s="1561"/>
      <c r="L4" s="30"/>
      <c r="M4" s="30"/>
      <c r="N4" s="1569" t="s">
        <v>3409</v>
      </c>
      <c r="O4" s="1569"/>
      <c r="P4" s="1569"/>
      <c r="Q4" s="1569"/>
      <c r="R4" s="1569"/>
      <c r="S4" s="1569"/>
      <c r="T4" s="1569"/>
      <c r="U4" s="1569"/>
      <c r="V4" s="1569"/>
      <c r="W4" s="1569"/>
      <c r="X4" s="1569"/>
      <c r="Y4" s="1569"/>
      <c r="Z4" s="30"/>
      <c r="AA4" s="1534" t="s">
        <v>3410</v>
      </c>
      <c r="AB4" s="1534"/>
      <c r="AC4" s="1534"/>
      <c r="AD4" s="1534"/>
      <c r="AE4" s="71"/>
      <c r="AF4" s="30"/>
      <c r="AG4" s="30"/>
      <c r="AH4" s="30"/>
      <c r="AI4" s="30"/>
      <c r="AJ4" s="30"/>
      <c r="AK4" s="30"/>
      <c r="AL4" s="30"/>
      <c r="AM4" s="30"/>
      <c r="AN4" s="30"/>
      <c r="AO4" s="30"/>
      <c r="AP4" s="30"/>
      <c r="AQ4" s="30"/>
      <c r="AR4" s="30"/>
    </row>
    <row r="5" spans="1:44" ht="15" thickBot="1">
      <c r="A5" s="1588" t="s">
        <v>3411</v>
      </c>
      <c r="B5" s="1589"/>
      <c r="C5" s="1589"/>
      <c r="D5" s="1552">
        <v>0.2</v>
      </c>
      <c r="E5" s="1552"/>
      <c r="F5" s="1553"/>
      <c r="G5" s="30"/>
      <c r="H5" s="1546" t="s">
        <v>3412</v>
      </c>
      <c r="I5" s="1535"/>
      <c r="J5" s="1573">
        <v>-0.05</v>
      </c>
      <c r="K5" s="1573"/>
      <c r="L5" s="1574"/>
      <c r="M5" s="30"/>
      <c r="N5" s="1590" t="s">
        <v>3413</v>
      </c>
      <c r="O5" s="1590"/>
      <c r="P5" s="1590"/>
      <c r="Q5" s="1590"/>
      <c r="R5" s="1590"/>
      <c r="S5" s="1590"/>
      <c r="T5" s="1546" t="s">
        <v>37</v>
      </c>
      <c r="U5" s="1535"/>
      <c r="V5" s="1535"/>
      <c r="W5" s="1535"/>
      <c r="X5" s="1535"/>
      <c r="Y5" s="1535"/>
      <c r="Z5" s="30"/>
      <c r="AA5" s="72">
        <v>15</v>
      </c>
      <c r="AB5" s="1540">
        <v>0.2</v>
      </c>
      <c r="AC5" s="1541"/>
      <c r="AD5" s="1542"/>
      <c r="AE5" s="30"/>
      <c r="AF5" s="30"/>
      <c r="AG5" s="30"/>
      <c r="AH5" s="30"/>
      <c r="AI5" s="30"/>
      <c r="AJ5" s="30"/>
      <c r="AK5" s="30"/>
      <c r="AL5" s="30"/>
      <c r="AM5" s="30"/>
      <c r="AN5" s="30"/>
      <c r="AO5" s="30"/>
      <c r="AP5" s="30"/>
      <c r="AQ5" s="30"/>
      <c r="AR5" s="30"/>
    </row>
    <row r="6" spans="1:44" ht="15.75" thickBot="1">
      <c r="A6" s="1584" t="s">
        <v>3414</v>
      </c>
      <c r="B6" s="1585"/>
      <c r="C6" s="1585"/>
      <c r="D6" s="1529">
        <v>0.15</v>
      </c>
      <c r="E6" s="1529"/>
      <c r="F6" s="1549"/>
      <c r="G6" s="30"/>
      <c r="H6" s="1600" t="s">
        <v>3415</v>
      </c>
      <c r="I6" s="1600"/>
      <c r="J6" s="1600"/>
      <c r="K6" s="1600"/>
      <c r="L6" s="1600"/>
      <c r="M6" s="30"/>
      <c r="N6" s="1535" t="s">
        <v>3416</v>
      </c>
      <c r="O6" s="1535"/>
      <c r="P6" s="1535"/>
      <c r="Q6" s="1535" t="s">
        <v>3417</v>
      </c>
      <c r="R6" s="1535"/>
      <c r="S6" s="1535"/>
      <c r="T6" s="1546" t="s">
        <v>3416</v>
      </c>
      <c r="U6" s="1535"/>
      <c r="V6" s="1535"/>
      <c r="W6" s="1535" t="s">
        <v>3417</v>
      </c>
      <c r="X6" s="1535"/>
      <c r="Y6" s="1535"/>
      <c r="Z6" s="30"/>
      <c r="AA6" s="70">
        <v>16</v>
      </c>
      <c r="AB6" s="1531">
        <v>0.1</v>
      </c>
      <c r="AC6" s="1532"/>
      <c r="AD6" s="1533"/>
      <c r="AE6" s="30"/>
      <c r="AF6" s="30"/>
      <c r="AG6" s="30"/>
      <c r="AH6" s="30"/>
      <c r="AI6" s="30"/>
      <c r="AJ6" s="30"/>
      <c r="AK6" s="30"/>
      <c r="AL6" s="30"/>
      <c r="AM6" s="30"/>
      <c r="AN6" s="30"/>
      <c r="AO6" s="30"/>
      <c r="AP6" s="30"/>
      <c r="AQ6" s="30"/>
      <c r="AR6" s="30"/>
    </row>
    <row r="7" spans="1:44" ht="15" thickBot="1">
      <c r="A7" s="1584" t="s">
        <v>3418</v>
      </c>
      <c r="B7" s="1585"/>
      <c r="C7" s="1585"/>
      <c r="D7" s="1529">
        <v>0.15</v>
      </c>
      <c r="E7" s="1529"/>
      <c r="F7" s="1549"/>
      <c r="G7" s="30"/>
      <c r="H7" s="30"/>
      <c r="I7" s="1601">
        <v>0.75</v>
      </c>
      <c r="J7" s="1573"/>
      <c r="K7" s="1574"/>
      <c r="L7" s="30"/>
      <c r="M7" s="30"/>
      <c r="N7" s="1591">
        <v>0</v>
      </c>
      <c r="O7" s="1592"/>
      <c r="P7" s="1592"/>
      <c r="Q7" s="1593">
        <v>0</v>
      </c>
      <c r="R7" s="1593"/>
      <c r="S7" s="1594"/>
      <c r="T7" s="1595">
        <v>0</v>
      </c>
      <c r="U7" s="1596"/>
      <c r="V7" s="1596"/>
      <c r="W7" s="1593">
        <v>0</v>
      </c>
      <c r="X7" s="1593"/>
      <c r="Y7" s="1594"/>
      <c r="Z7" s="30"/>
      <c r="AA7" s="70">
        <v>17</v>
      </c>
      <c r="AB7" s="1531">
        <v>0.05</v>
      </c>
      <c r="AC7" s="1532"/>
      <c r="AD7" s="1533"/>
      <c r="AE7" s="30"/>
      <c r="AF7" s="30"/>
      <c r="AG7" s="30"/>
      <c r="AH7" s="30"/>
      <c r="AI7" s="30"/>
      <c r="AJ7" s="30"/>
      <c r="AK7" s="30"/>
      <c r="AL7" s="30"/>
      <c r="AM7" s="30"/>
      <c r="AN7" s="30"/>
      <c r="AO7" s="30"/>
      <c r="AP7" s="30"/>
      <c r="AQ7" s="30"/>
      <c r="AR7" s="30"/>
    </row>
    <row r="8" spans="1:44">
      <c r="A8" s="1584" t="s">
        <v>3419</v>
      </c>
      <c r="B8" s="1585"/>
      <c r="C8" s="1585"/>
      <c r="D8" s="1529">
        <v>0</v>
      </c>
      <c r="E8" s="1529"/>
      <c r="F8" s="1549"/>
      <c r="G8" s="30"/>
      <c r="H8" s="30"/>
      <c r="I8" s="30"/>
      <c r="J8" s="30"/>
      <c r="K8" s="30"/>
      <c r="L8" s="30"/>
      <c r="M8" s="30"/>
      <c r="N8" s="1575">
        <v>100</v>
      </c>
      <c r="O8" s="1576"/>
      <c r="P8" s="1576"/>
      <c r="Q8" s="1577">
        <v>-0.01</v>
      </c>
      <c r="R8" s="1577"/>
      <c r="S8" s="1578"/>
      <c r="T8" s="1586">
        <v>51</v>
      </c>
      <c r="U8" s="1587"/>
      <c r="V8" s="1587"/>
      <c r="W8" s="1577">
        <v>-0.02</v>
      </c>
      <c r="X8" s="1577"/>
      <c r="Y8" s="1578"/>
      <c r="Z8" s="30"/>
      <c r="AA8" s="70">
        <v>18</v>
      </c>
      <c r="AB8" s="1531">
        <v>0</v>
      </c>
      <c r="AC8" s="1532"/>
      <c r="AD8" s="1533"/>
      <c r="AE8" s="30"/>
      <c r="AF8" s="30"/>
      <c r="AG8" s="30"/>
      <c r="AH8" s="30"/>
      <c r="AI8" s="30"/>
      <c r="AJ8" s="30"/>
      <c r="AK8" s="30"/>
      <c r="AL8" s="30"/>
      <c r="AM8" s="30"/>
      <c r="AN8" s="30"/>
      <c r="AO8" s="30"/>
      <c r="AP8" s="30"/>
      <c r="AQ8" s="30"/>
      <c r="AR8" s="30"/>
    </row>
    <row r="9" spans="1:44">
      <c r="A9" s="1584" t="s">
        <v>3420</v>
      </c>
      <c r="B9" s="1585"/>
      <c r="C9" s="1585"/>
      <c r="D9" s="1529">
        <v>-0.03</v>
      </c>
      <c r="E9" s="1529"/>
      <c r="F9" s="1549"/>
      <c r="G9" s="30"/>
      <c r="H9" s="30"/>
      <c r="I9" s="30"/>
      <c r="J9" s="30"/>
      <c r="K9" s="30"/>
      <c r="L9" s="30"/>
      <c r="M9" s="30"/>
      <c r="N9" s="1575">
        <v>301</v>
      </c>
      <c r="O9" s="1576"/>
      <c r="P9" s="1576"/>
      <c r="Q9" s="1577">
        <v>-0.02</v>
      </c>
      <c r="R9" s="1577"/>
      <c r="S9" s="1578"/>
      <c r="T9" s="1586">
        <v>102</v>
      </c>
      <c r="U9" s="1587"/>
      <c r="V9" s="1587"/>
      <c r="W9" s="1577">
        <v>-0.05</v>
      </c>
      <c r="X9" s="1577"/>
      <c r="Y9" s="1578"/>
      <c r="Z9" s="30"/>
      <c r="AA9" s="70">
        <v>21</v>
      </c>
      <c r="AB9" s="1531">
        <v>0</v>
      </c>
      <c r="AC9" s="1532"/>
      <c r="AD9" s="1533"/>
      <c r="AE9" s="30"/>
      <c r="AF9" s="30"/>
      <c r="AG9" s="30"/>
      <c r="AH9" s="30"/>
      <c r="AI9" s="30"/>
      <c r="AJ9" s="30"/>
      <c r="AK9" s="30"/>
      <c r="AL9" s="30"/>
      <c r="AM9" s="30"/>
      <c r="AN9" s="30"/>
      <c r="AO9" s="30"/>
      <c r="AP9" s="30"/>
      <c r="AQ9" s="30"/>
      <c r="AR9" s="30"/>
    </row>
    <row r="10" spans="1:44" ht="15" thickBot="1">
      <c r="A10" s="1597" t="s">
        <v>3421</v>
      </c>
      <c r="B10" s="1598"/>
      <c r="C10" s="1598"/>
      <c r="D10" s="1558">
        <v>-0.1</v>
      </c>
      <c r="E10" s="1558"/>
      <c r="F10" s="1559"/>
      <c r="G10" s="30"/>
      <c r="H10" s="30"/>
      <c r="I10" s="30"/>
      <c r="J10" s="30"/>
      <c r="K10" s="30"/>
      <c r="L10" s="30"/>
      <c r="M10" s="30"/>
      <c r="N10" s="1575">
        <v>506</v>
      </c>
      <c r="O10" s="1576"/>
      <c r="P10" s="1576"/>
      <c r="Q10" s="1577">
        <v>-0.03</v>
      </c>
      <c r="R10" s="1577"/>
      <c r="S10" s="1578"/>
      <c r="T10" s="1586">
        <v>201</v>
      </c>
      <c r="U10" s="1587"/>
      <c r="V10" s="1587"/>
      <c r="W10" s="1599">
        <v>-7.0000000000000007E-2</v>
      </c>
      <c r="X10" s="1577"/>
      <c r="Y10" s="1578"/>
      <c r="Z10" s="30"/>
      <c r="AA10" s="70">
        <v>70</v>
      </c>
      <c r="AB10" s="1531">
        <v>0</v>
      </c>
      <c r="AC10" s="1532"/>
      <c r="AD10" s="1533"/>
      <c r="AE10" s="30"/>
      <c r="AF10" s="30"/>
      <c r="AG10" s="30"/>
      <c r="AH10" s="30"/>
      <c r="AI10" s="30"/>
      <c r="AJ10" s="30"/>
      <c r="AK10" s="30"/>
      <c r="AL10" s="30"/>
      <c r="AM10" s="30"/>
      <c r="AN10" s="30"/>
      <c r="AO10" s="30"/>
      <c r="AP10" s="30"/>
      <c r="AQ10" s="30"/>
      <c r="AR10" s="30"/>
    </row>
    <row r="11" spans="1:44" ht="15" thickBot="1">
      <c r="A11" s="30"/>
      <c r="B11" s="30"/>
      <c r="C11" s="30"/>
      <c r="D11" s="30"/>
      <c r="E11" s="30"/>
      <c r="F11" s="30"/>
      <c r="G11" s="30"/>
      <c r="H11" s="30"/>
      <c r="I11" s="30"/>
      <c r="J11" s="30"/>
      <c r="K11" s="30"/>
      <c r="L11" s="30"/>
      <c r="M11" s="30"/>
      <c r="N11" s="1575">
        <v>711</v>
      </c>
      <c r="O11" s="1576"/>
      <c r="P11" s="1576"/>
      <c r="Q11" s="1577">
        <v>-0.04</v>
      </c>
      <c r="R11" s="1577"/>
      <c r="S11" s="1578"/>
      <c r="T11" s="1582">
        <v>247</v>
      </c>
      <c r="U11" s="1583"/>
      <c r="V11" s="1583"/>
      <c r="W11" s="1543">
        <v>-0.08</v>
      </c>
      <c r="X11" s="1543"/>
      <c r="Y11" s="1544"/>
      <c r="Z11" s="30"/>
      <c r="AA11" s="70">
        <v>75</v>
      </c>
      <c r="AB11" s="1531">
        <v>0.05</v>
      </c>
      <c r="AC11" s="1532"/>
      <c r="AD11" s="1533"/>
      <c r="AE11" s="30"/>
      <c r="AF11" s="30"/>
      <c r="AG11" s="30"/>
      <c r="AH11" s="30"/>
      <c r="AI11" s="30"/>
      <c r="AJ11" s="30"/>
      <c r="AK11" s="30"/>
      <c r="AL11" s="30"/>
      <c r="AM11" s="30"/>
      <c r="AN11" s="30"/>
      <c r="AO11" s="30"/>
      <c r="AP11" s="30"/>
      <c r="AQ11" s="30"/>
      <c r="AR11" s="30"/>
    </row>
    <row r="12" spans="1:44">
      <c r="A12" s="30"/>
      <c r="B12" s="30"/>
      <c r="C12" s="30"/>
      <c r="D12" s="30"/>
      <c r="E12" s="30"/>
      <c r="F12" s="30"/>
      <c r="G12" s="30"/>
      <c r="H12" s="30"/>
      <c r="I12" s="30"/>
      <c r="J12" s="30"/>
      <c r="K12" s="30"/>
      <c r="L12" s="30"/>
      <c r="M12" s="30"/>
      <c r="N12" s="1575">
        <v>908</v>
      </c>
      <c r="O12" s="1576"/>
      <c r="P12" s="1576"/>
      <c r="Q12" s="1577">
        <v>-0.05</v>
      </c>
      <c r="R12" s="1577"/>
      <c r="S12" s="1578"/>
      <c r="T12" s="30"/>
      <c r="U12" s="30"/>
      <c r="V12" s="30"/>
      <c r="W12" s="30"/>
      <c r="X12" s="30"/>
      <c r="Y12" s="30"/>
      <c r="Z12" s="30"/>
      <c r="AA12" s="70">
        <v>80</v>
      </c>
      <c r="AB12" s="1531">
        <v>0.1</v>
      </c>
      <c r="AC12" s="1532"/>
      <c r="AD12" s="1533"/>
      <c r="AE12" s="30"/>
      <c r="AF12" s="30"/>
      <c r="AG12" s="30"/>
      <c r="AH12" s="30"/>
      <c r="AI12" s="30"/>
      <c r="AJ12" s="30"/>
      <c r="AK12" s="30"/>
      <c r="AL12" s="30"/>
      <c r="AM12" s="30"/>
      <c r="AN12" s="30"/>
      <c r="AO12" s="30"/>
      <c r="AP12" s="30"/>
      <c r="AQ12" s="30"/>
      <c r="AR12" s="30"/>
    </row>
    <row r="13" spans="1:44">
      <c r="A13" s="30"/>
      <c r="B13" s="30"/>
      <c r="C13" s="30"/>
      <c r="D13" s="30"/>
      <c r="E13" s="30"/>
      <c r="F13" s="30"/>
      <c r="G13" s="30"/>
      <c r="H13" s="30"/>
      <c r="I13" s="30"/>
      <c r="J13" s="30"/>
      <c r="K13" s="30"/>
      <c r="L13" s="30"/>
      <c r="M13" s="30"/>
      <c r="N13" s="1575">
        <v>1001</v>
      </c>
      <c r="O13" s="1576"/>
      <c r="P13" s="1576"/>
      <c r="Q13" s="1577">
        <v>-0.06</v>
      </c>
      <c r="R13" s="1577"/>
      <c r="S13" s="1578"/>
      <c r="T13" s="30"/>
      <c r="U13" s="30"/>
      <c r="V13" s="30"/>
      <c r="W13" s="30"/>
      <c r="X13" s="30"/>
      <c r="Y13" s="30"/>
      <c r="Z13" s="30"/>
      <c r="AA13" s="70">
        <v>85</v>
      </c>
      <c r="AB13" s="1531">
        <v>0.2</v>
      </c>
      <c r="AC13" s="1532"/>
      <c r="AD13" s="1533"/>
      <c r="AE13" s="30"/>
      <c r="AF13" s="30"/>
      <c r="AG13" s="30"/>
      <c r="AH13" s="30"/>
      <c r="AI13" s="30"/>
      <c r="AJ13" s="30"/>
      <c r="AK13" s="30"/>
      <c r="AL13" s="30"/>
      <c r="AM13" s="30"/>
      <c r="AN13" s="30"/>
      <c r="AO13" s="30"/>
      <c r="AP13" s="30"/>
      <c r="AQ13" s="30"/>
      <c r="AR13" s="30"/>
    </row>
    <row r="14" spans="1:44">
      <c r="A14" s="30"/>
      <c r="B14" s="30"/>
      <c r="C14" s="30"/>
      <c r="D14" s="30"/>
      <c r="E14" s="30"/>
      <c r="F14" s="30"/>
      <c r="G14" s="30"/>
      <c r="H14" s="30"/>
      <c r="I14" s="30"/>
      <c r="J14" s="30"/>
      <c r="K14" s="30"/>
      <c r="L14" s="30"/>
      <c r="M14" s="30"/>
      <c r="N14" s="1575">
        <v>2002</v>
      </c>
      <c r="O14" s="1576"/>
      <c r="P14" s="1576"/>
      <c r="Q14" s="1577">
        <v>-7.0000000000000007E-2</v>
      </c>
      <c r="R14" s="1577"/>
      <c r="S14" s="1578"/>
      <c r="T14" s="30"/>
      <c r="U14" s="30"/>
      <c r="V14" s="30"/>
      <c r="W14" s="30"/>
      <c r="X14" s="30"/>
      <c r="Y14" s="30"/>
      <c r="Z14" s="30"/>
      <c r="AA14" s="74">
        <v>115</v>
      </c>
      <c r="AB14" s="1545">
        <v>0.2</v>
      </c>
      <c r="AC14" s="1545"/>
      <c r="AD14" s="1545"/>
      <c r="AE14" s="30"/>
      <c r="AF14" s="30"/>
      <c r="AG14" s="30"/>
      <c r="AH14" s="30"/>
      <c r="AI14" s="30"/>
      <c r="AJ14" s="30"/>
      <c r="AK14" s="30"/>
      <c r="AL14" s="30"/>
      <c r="AM14" s="30"/>
      <c r="AN14" s="30"/>
      <c r="AO14" s="30"/>
      <c r="AP14" s="30"/>
      <c r="AQ14" s="30"/>
      <c r="AR14" s="30"/>
    </row>
    <row r="15" spans="1:44">
      <c r="A15" s="30"/>
      <c r="B15" s="30"/>
      <c r="C15" s="30"/>
      <c r="D15" s="30"/>
      <c r="E15" s="30"/>
      <c r="F15" s="30"/>
      <c r="G15" s="30"/>
      <c r="H15" s="30"/>
      <c r="I15" s="30"/>
      <c r="J15" s="30"/>
      <c r="K15" s="30"/>
      <c r="L15" s="30"/>
      <c r="M15" s="30"/>
      <c r="N15" s="1575">
        <v>2501</v>
      </c>
      <c r="O15" s="1576"/>
      <c r="P15" s="1576"/>
      <c r="Q15" s="1577">
        <v>-0.08</v>
      </c>
      <c r="R15" s="1577"/>
      <c r="S15" s="1578"/>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row>
    <row r="16" spans="1:44">
      <c r="A16" s="30"/>
      <c r="B16" s="30"/>
      <c r="C16" s="30"/>
      <c r="D16" s="30"/>
      <c r="E16" s="30"/>
      <c r="F16" s="30"/>
      <c r="G16" s="30"/>
      <c r="H16" s="30"/>
      <c r="I16" s="30"/>
      <c r="J16" s="30"/>
      <c r="K16" s="30"/>
      <c r="L16" s="30"/>
      <c r="M16" s="30"/>
      <c r="N16" s="1575">
        <v>5005</v>
      </c>
      <c r="O16" s="1576"/>
      <c r="P16" s="1576"/>
      <c r="Q16" s="1577">
        <v>-0.09</v>
      </c>
      <c r="R16" s="1577"/>
      <c r="S16" s="1578"/>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row>
    <row r="17" spans="1:44" ht="15" thickBot="1">
      <c r="A17" s="30"/>
      <c r="B17" s="30"/>
      <c r="C17" s="30"/>
      <c r="D17" s="30"/>
      <c r="E17" s="30"/>
      <c r="F17" s="30"/>
      <c r="G17" s="30"/>
      <c r="H17" s="30"/>
      <c r="I17" s="30"/>
      <c r="J17" s="30"/>
      <c r="K17" s="30"/>
      <c r="L17" s="30"/>
      <c r="M17" s="30"/>
      <c r="N17" s="1579">
        <v>10001</v>
      </c>
      <c r="O17" s="1580"/>
      <c r="P17" s="1580"/>
      <c r="Q17" s="1543">
        <v>-0.1</v>
      </c>
      <c r="R17" s="1543"/>
      <c r="S17" s="1544"/>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row>
    <row r="18" spans="1:44">
      <c r="A18" s="30"/>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row>
    <row r="19" spans="1:44">
      <c r="A19" s="30"/>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row>
    <row r="20" spans="1:44">
      <c r="A20" s="30"/>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row>
    <row r="21" spans="1:44" ht="16.5" thickBot="1">
      <c r="A21" s="1581" t="s">
        <v>3422</v>
      </c>
      <c r="B21" s="1581"/>
      <c r="C21" s="1581"/>
      <c r="D21" s="1581"/>
      <c r="E21" s="1581"/>
      <c r="F21" s="1581"/>
      <c r="G21" s="1581"/>
      <c r="H21" s="1581"/>
      <c r="I21" s="1581"/>
      <c r="J21" s="1581"/>
      <c r="K21" s="1581"/>
      <c r="L21" s="1581"/>
      <c r="M21" s="1581"/>
      <c r="N21" s="1581"/>
      <c r="O21" s="1581"/>
      <c r="P21" s="1581"/>
      <c r="Q21" s="1581"/>
      <c r="R21" s="1581"/>
      <c r="S21" s="1581"/>
      <c r="T21" s="1581"/>
      <c r="U21" s="1581"/>
      <c r="V21" s="1581"/>
      <c r="W21" s="1581"/>
      <c r="X21" s="1581"/>
      <c r="Y21" s="1581"/>
      <c r="Z21" s="1581"/>
      <c r="AA21" s="1581"/>
      <c r="AB21" s="1581"/>
      <c r="AC21" s="1581"/>
      <c r="AD21" s="1581"/>
      <c r="AE21" s="1581"/>
      <c r="AF21" s="1581"/>
      <c r="AG21" s="1581"/>
      <c r="AH21" s="1581"/>
      <c r="AI21" s="1581"/>
      <c r="AJ21" s="1581"/>
      <c r="AK21" s="1581"/>
      <c r="AL21" s="1581"/>
      <c r="AM21" s="1581"/>
      <c r="AN21" s="1581"/>
      <c r="AO21" s="1581"/>
      <c r="AP21" s="1581"/>
      <c r="AQ21" s="1581"/>
      <c r="AR21" s="1581"/>
    </row>
    <row r="22" spans="1:44" ht="15.75" thickBot="1">
      <c r="A22" s="30"/>
      <c r="B22" s="30"/>
      <c r="C22" s="30"/>
      <c r="D22" s="30"/>
      <c r="E22" s="30"/>
      <c r="F22" s="1561" t="s">
        <v>3423</v>
      </c>
      <c r="G22" s="1561"/>
      <c r="H22" s="1561"/>
      <c r="I22" s="1561"/>
      <c r="J22" s="1561"/>
      <c r="K22" s="1561"/>
      <c r="L22" s="1561"/>
      <c r="M22" s="32"/>
      <c r="N22" s="1569" t="s">
        <v>3424</v>
      </c>
      <c r="O22" s="1569"/>
      <c r="P22" s="1569"/>
      <c r="Q22" s="1569"/>
      <c r="R22" s="1569"/>
      <c r="S22" s="1569"/>
      <c r="T22" s="30"/>
      <c r="U22" s="1534" t="s">
        <v>3425</v>
      </c>
      <c r="V22" s="1534"/>
      <c r="W22" s="1534"/>
      <c r="X22" s="1534"/>
      <c r="Y22" s="1534"/>
      <c r="Z22" s="1534"/>
      <c r="AA22" s="33"/>
      <c r="AB22" s="1569" t="s">
        <v>3426</v>
      </c>
      <c r="AC22" s="1569"/>
      <c r="AD22" s="1569"/>
      <c r="AE22" s="1569"/>
      <c r="AF22" s="1569"/>
      <c r="AG22" s="1569"/>
      <c r="AH22" s="1569"/>
      <c r="AI22" s="30"/>
      <c r="AJ22" s="1561" t="s">
        <v>3427</v>
      </c>
      <c r="AK22" s="1561"/>
      <c r="AL22" s="1561"/>
      <c r="AM22" s="1561"/>
      <c r="AN22" s="1561"/>
      <c r="AO22" s="1561"/>
      <c r="AP22" s="30"/>
      <c r="AQ22" s="30"/>
      <c r="AR22" s="30"/>
    </row>
    <row r="23" spans="1:44" ht="15.75" thickBot="1">
      <c r="A23" s="30"/>
      <c r="B23" s="30"/>
      <c r="C23" s="30"/>
      <c r="D23" s="30"/>
      <c r="E23" s="30"/>
      <c r="F23" s="1546" t="s">
        <v>3428</v>
      </c>
      <c r="G23" s="1535"/>
      <c r="H23" s="1535"/>
      <c r="I23" s="1535"/>
      <c r="J23" s="1571">
        <v>0</v>
      </c>
      <c r="K23" s="1571"/>
      <c r="L23" s="1572"/>
      <c r="M23" s="32"/>
      <c r="N23" s="88"/>
      <c r="O23" s="88"/>
      <c r="P23" s="88"/>
      <c r="Q23" s="405" t="s">
        <v>1841</v>
      </c>
      <c r="R23" s="88"/>
      <c r="S23" s="88" t="s">
        <v>1774</v>
      </c>
      <c r="T23" s="30"/>
      <c r="U23" s="1535" t="s">
        <v>3429</v>
      </c>
      <c r="V23" s="1535"/>
      <c r="W23" s="1535"/>
      <c r="X23" s="1536"/>
      <c r="Y23" s="1546" t="s">
        <v>3417</v>
      </c>
      <c r="Z23" s="1535"/>
      <c r="AA23" s="30"/>
      <c r="AB23" s="1546" t="s">
        <v>41</v>
      </c>
      <c r="AC23" s="1535"/>
      <c r="AD23" s="1535"/>
      <c r="AE23" s="1535"/>
      <c r="AF23" s="1573">
        <v>-0.5</v>
      </c>
      <c r="AG23" s="1573"/>
      <c r="AH23" s="1574"/>
      <c r="AI23" s="30"/>
      <c r="AJ23" s="1546" t="s">
        <v>1828</v>
      </c>
      <c r="AK23" s="1535"/>
      <c r="AL23" s="1535"/>
      <c r="AM23" s="1573">
        <v>0.5</v>
      </c>
      <c r="AN23" s="1573"/>
      <c r="AO23" s="1574"/>
      <c r="AP23" s="30"/>
      <c r="AQ23" s="30"/>
      <c r="AR23" s="30"/>
    </row>
    <row r="24" spans="1:44" ht="15" thickBot="1">
      <c r="A24" s="30"/>
      <c r="B24" s="30"/>
      <c r="C24" s="30"/>
      <c r="D24" s="30"/>
      <c r="E24" s="30"/>
      <c r="F24" s="30"/>
      <c r="G24" s="30"/>
      <c r="H24" s="30"/>
      <c r="I24" s="30"/>
      <c r="J24" s="1570"/>
      <c r="K24" s="1570"/>
      <c r="L24" s="1570"/>
      <c r="M24" s="37">
        <v>1</v>
      </c>
      <c r="N24" s="1550" t="s">
        <v>805</v>
      </c>
      <c r="O24" s="1551"/>
      <c r="P24" s="1551"/>
      <c r="Q24" s="43">
        <v>0.25</v>
      </c>
      <c r="R24" s="89"/>
      <c r="S24" s="44">
        <v>0.25</v>
      </c>
      <c r="T24" s="30"/>
      <c r="U24" s="1537">
        <v>10</v>
      </c>
      <c r="V24" s="1538"/>
      <c r="W24" s="1538"/>
      <c r="X24" s="1539"/>
      <c r="Y24" s="1528">
        <v>0</v>
      </c>
      <c r="Z24" s="1530"/>
      <c r="AA24" s="30"/>
      <c r="AB24" s="30"/>
      <c r="AC24" s="30"/>
      <c r="AD24" s="30"/>
      <c r="AE24" s="30"/>
      <c r="AF24" s="30"/>
      <c r="AG24" s="30"/>
      <c r="AH24" s="30"/>
      <c r="AI24" s="30"/>
      <c r="AJ24" s="30"/>
      <c r="AK24" s="30"/>
      <c r="AL24" s="30"/>
      <c r="AM24" s="30"/>
      <c r="AN24" s="30"/>
      <c r="AO24" s="30"/>
      <c r="AP24" s="30"/>
      <c r="AQ24" s="30"/>
      <c r="AR24" s="30"/>
    </row>
    <row r="25" spans="1:44" ht="15" thickBot="1">
      <c r="A25" s="30"/>
      <c r="B25" s="30"/>
      <c r="C25" s="30"/>
      <c r="D25" s="30"/>
      <c r="E25" s="30"/>
      <c r="F25" s="30"/>
      <c r="G25" s="30"/>
      <c r="H25" s="30"/>
      <c r="I25" s="30"/>
      <c r="J25" s="30"/>
      <c r="K25" s="30"/>
      <c r="L25" s="30"/>
      <c r="M25" s="37">
        <v>2</v>
      </c>
      <c r="N25" s="1547" t="s">
        <v>154</v>
      </c>
      <c r="O25" s="1548"/>
      <c r="P25" s="1548"/>
      <c r="Q25" s="45">
        <v>0.25</v>
      </c>
      <c r="R25" s="89"/>
      <c r="S25" s="46">
        <v>0.25</v>
      </c>
      <c r="T25" s="30"/>
      <c r="U25" s="1537">
        <v>20</v>
      </c>
      <c r="V25" s="1538"/>
      <c r="W25" s="1538"/>
      <c r="X25" s="1539"/>
      <c r="Y25" s="1528">
        <v>0.03</v>
      </c>
      <c r="Z25" s="1530"/>
      <c r="AA25" s="30"/>
      <c r="AB25" s="30"/>
      <c r="AC25" s="30"/>
      <c r="AD25" s="30"/>
      <c r="AE25" s="30"/>
      <c r="AF25" s="30"/>
      <c r="AG25" s="30"/>
      <c r="AH25" s="30"/>
      <c r="AI25" s="30"/>
      <c r="AJ25" s="30"/>
      <c r="AK25" s="30"/>
      <c r="AL25" s="30"/>
      <c r="AM25" s="30"/>
      <c r="AN25" s="30"/>
      <c r="AO25" s="30"/>
      <c r="AP25" s="30"/>
      <c r="AQ25" s="30"/>
      <c r="AR25" s="30"/>
    </row>
    <row r="26" spans="1:44" ht="15" thickBot="1">
      <c r="A26" s="30"/>
      <c r="B26" s="30"/>
      <c r="C26" s="30"/>
      <c r="D26" s="30"/>
      <c r="E26" s="30"/>
      <c r="F26" s="30"/>
      <c r="G26" s="30"/>
      <c r="H26" s="30"/>
      <c r="I26" s="30"/>
      <c r="J26" s="30"/>
      <c r="K26" s="30"/>
      <c r="L26" s="30"/>
      <c r="M26" s="37">
        <v>3</v>
      </c>
      <c r="N26" s="1547" t="s">
        <v>147</v>
      </c>
      <c r="O26" s="1548"/>
      <c r="P26" s="1548"/>
      <c r="Q26" s="45">
        <v>0</v>
      </c>
      <c r="R26" s="89"/>
      <c r="S26" s="46">
        <v>0</v>
      </c>
      <c r="T26" s="30"/>
      <c r="U26" s="1537">
        <v>30</v>
      </c>
      <c r="V26" s="1538"/>
      <c r="W26" s="1538"/>
      <c r="X26" s="1539"/>
      <c r="Y26" s="1528">
        <v>0.05</v>
      </c>
      <c r="Z26" s="1530"/>
      <c r="AA26" s="30"/>
      <c r="AB26" s="30"/>
      <c r="AC26" s="30"/>
      <c r="AD26" s="30"/>
      <c r="AE26" s="30"/>
      <c r="AF26" s="30"/>
      <c r="AG26" s="30"/>
      <c r="AH26" s="30"/>
      <c r="AI26" s="30"/>
      <c r="AJ26" s="30"/>
      <c r="AK26" s="30"/>
      <c r="AL26" s="30"/>
      <c r="AM26" s="30"/>
      <c r="AN26" s="30"/>
      <c r="AO26" s="30"/>
      <c r="AP26" s="30"/>
      <c r="AQ26" s="30"/>
      <c r="AR26" s="30"/>
    </row>
    <row r="27" spans="1:44" ht="15" thickBot="1">
      <c r="A27" s="30"/>
      <c r="B27" s="30"/>
      <c r="C27" s="30"/>
      <c r="D27" s="30"/>
      <c r="E27" s="30"/>
      <c r="F27" s="30"/>
      <c r="G27" s="30"/>
      <c r="H27" s="30"/>
      <c r="I27" s="30"/>
      <c r="J27" s="30"/>
      <c r="K27" s="30"/>
      <c r="L27" s="30"/>
      <c r="M27" s="37">
        <v>4</v>
      </c>
      <c r="N27" s="1547" t="s">
        <v>2786</v>
      </c>
      <c r="O27" s="1548"/>
      <c r="P27" s="1548"/>
      <c r="Q27" s="47">
        <v>0</v>
      </c>
      <c r="R27" s="89"/>
      <c r="S27" s="48">
        <v>0</v>
      </c>
      <c r="T27" s="30"/>
      <c r="U27" s="1537">
        <v>40</v>
      </c>
      <c r="V27" s="1538"/>
      <c r="W27" s="1538"/>
      <c r="X27" s="1539"/>
      <c r="Y27" s="1528">
        <v>0.1</v>
      </c>
      <c r="Z27" s="1530"/>
      <c r="AA27" s="30"/>
      <c r="AB27" s="30"/>
      <c r="AC27" s="30"/>
      <c r="AD27" s="30"/>
      <c r="AE27" s="30"/>
      <c r="AF27" s="30"/>
      <c r="AG27" s="30"/>
      <c r="AH27" s="30"/>
      <c r="AI27" s="30"/>
      <c r="AJ27" s="30"/>
      <c r="AK27" s="30"/>
      <c r="AL27" s="30"/>
      <c r="AM27" s="30"/>
      <c r="AN27" s="30"/>
      <c r="AO27" s="30"/>
      <c r="AP27" s="30"/>
      <c r="AQ27" s="30"/>
      <c r="AR27" s="30"/>
    </row>
    <row r="28" spans="1:44" ht="15" thickBot="1">
      <c r="A28" s="30"/>
      <c r="B28" s="30"/>
      <c r="C28" s="30"/>
      <c r="D28" s="30"/>
      <c r="E28" s="30"/>
      <c r="F28" s="30"/>
      <c r="G28" s="30"/>
      <c r="H28" s="30"/>
      <c r="I28" s="30"/>
      <c r="J28" s="30"/>
      <c r="K28" s="30"/>
      <c r="L28" s="30"/>
      <c r="M28" s="37">
        <v>5</v>
      </c>
      <c r="N28" s="1547" t="s">
        <v>121</v>
      </c>
      <c r="O28" s="1548"/>
      <c r="P28" s="1548"/>
      <c r="Q28" s="45">
        <v>0.65</v>
      </c>
      <c r="R28" s="89"/>
      <c r="S28" s="46">
        <v>0.65</v>
      </c>
      <c r="T28" s="30"/>
      <c r="U28" s="1537">
        <v>60</v>
      </c>
      <c r="V28" s="1538"/>
      <c r="W28" s="1538"/>
      <c r="X28" s="1539"/>
      <c r="Y28" s="1528">
        <v>0.15</v>
      </c>
      <c r="Z28" s="1530"/>
      <c r="AA28" s="30"/>
      <c r="AB28" s="30"/>
      <c r="AC28" s="30"/>
      <c r="AD28" s="30"/>
      <c r="AE28" s="30"/>
      <c r="AF28" s="30"/>
      <c r="AG28" s="30"/>
      <c r="AH28" s="30"/>
      <c r="AI28" s="30"/>
      <c r="AJ28" s="30"/>
      <c r="AK28" s="30"/>
      <c r="AL28" s="30"/>
      <c r="AM28" s="30"/>
      <c r="AN28" s="30"/>
      <c r="AO28" s="30"/>
      <c r="AP28" s="30"/>
      <c r="AQ28" s="30"/>
      <c r="AR28" s="30"/>
    </row>
    <row r="29" spans="1:44" ht="15" thickBot="1">
      <c r="A29" s="30"/>
      <c r="B29" s="30"/>
      <c r="C29" s="30"/>
      <c r="D29" s="30"/>
      <c r="E29" s="30"/>
      <c r="F29" s="30"/>
      <c r="G29" s="30"/>
      <c r="H29" s="30"/>
      <c r="I29" s="30"/>
      <c r="J29" s="30"/>
      <c r="K29" s="30"/>
      <c r="L29" s="30"/>
      <c r="M29" s="37">
        <v>6</v>
      </c>
      <c r="N29" s="1547" t="s">
        <v>129</v>
      </c>
      <c r="O29" s="1548"/>
      <c r="P29" s="1548"/>
      <c r="Q29" s="45">
        <v>3</v>
      </c>
      <c r="R29" s="89"/>
      <c r="S29" s="46">
        <v>1.8</v>
      </c>
      <c r="T29" s="30"/>
      <c r="U29" s="1537">
        <v>70</v>
      </c>
      <c r="V29" s="1538"/>
      <c r="W29" s="1538"/>
      <c r="X29" s="1539"/>
      <c r="Y29" s="1528">
        <v>0.2</v>
      </c>
      <c r="Z29" s="1530"/>
      <c r="AA29" s="30"/>
      <c r="AB29" s="30"/>
      <c r="AC29" s="30"/>
      <c r="AD29" s="30"/>
      <c r="AE29" s="30"/>
      <c r="AF29" s="30"/>
      <c r="AG29" s="30"/>
      <c r="AH29" s="30"/>
      <c r="AI29" s="30"/>
      <c r="AJ29" s="30"/>
      <c r="AK29" s="30"/>
      <c r="AL29" s="30"/>
      <c r="AM29" s="30"/>
      <c r="AN29" s="30"/>
      <c r="AO29" s="30"/>
      <c r="AP29" s="30"/>
      <c r="AQ29" s="30"/>
      <c r="AR29" s="30"/>
    </row>
    <row r="30" spans="1:44" ht="15" thickBot="1">
      <c r="A30" s="30"/>
      <c r="B30" s="30"/>
      <c r="C30" s="30"/>
      <c r="D30" s="30"/>
      <c r="E30" s="30"/>
      <c r="F30" s="30"/>
      <c r="G30" s="30"/>
      <c r="H30" s="30"/>
      <c r="I30" s="30"/>
      <c r="J30" s="30"/>
      <c r="K30" s="30"/>
      <c r="L30" s="30"/>
      <c r="M30" s="37">
        <v>7</v>
      </c>
      <c r="N30" s="1556" t="s">
        <v>451</v>
      </c>
      <c r="O30" s="1557"/>
      <c r="P30" s="1557"/>
      <c r="Q30" s="49">
        <v>0.15</v>
      </c>
      <c r="R30" s="90"/>
      <c r="S30" s="50">
        <v>0.15</v>
      </c>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row>
    <row r="31" spans="1:44" ht="16.5" thickBot="1">
      <c r="A31" s="1560" t="s">
        <v>3430</v>
      </c>
      <c r="B31" s="1560"/>
      <c r="C31" s="1560"/>
      <c r="D31" s="1560"/>
      <c r="E31" s="1560"/>
      <c r="F31" s="1560"/>
      <c r="G31" s="1560"/>
      <c r="H31" s="1560"/>
      <c r="I31" s="1560"/>
      <c r="J31" s="1560"/>
      <c r="K31" s="1560"/>
      <c r="L31" s="404"/>
      <c r="M31" s="404"/>
      <c r="N31" s="404"/>
      <c r="O31" s="404"/>
      <c r="P31" s="404"/>
      <c r="Q31" s="404"/>
      <c r="R31" s="404"/>
      <c r="S31" s="404"/>
      <c r="T31" s="404"/>
      <c r="U31" s="404"/>
      <c r="V31" s="404"/>
      <c r="W31" s="404"/>
      <c r="X31" s="404"/>
      <c r="Y31" s="404"/>
      <c r="Z31" s="404"/>
      <c r="AA31" s="404"/>
      <c r="AB31" s="404"/>
      <c r="AC31" s="404"/>
      <c r="AD31" s="404"/>
      <c r="AE31" s="404"/>
      <c r="AF31" s="404"/>
      <c r="AG31" s="404"/>
      <c r="AH31" s="404"/>
      <c r="AI31" s="404"/>
      <c r="AJ31" s="404"/>
      <c r="AK31" s="404"/>
      <c r="AL31" s="404"/>
      <c r="AM31" s="404"/>
      <c r="AN31" s="404"/>
      <c r="AO31" s="404"/>
      <c r="AP31" s="404"/>
      <c r="AQ31" s="404"/>
      <c r="AR31" s="404"/>
    </row>
    <row r="32" spans="1:44" ht="15.75" thickBot="1">
      <c r="A32" s="30"/>
      <c r="B32" s="30"/>
      <c r="C32" s="30"/>
      <c r="D32" s="30"/>
      <c r="E32" s="30"/>
      <c r="F32" s="30"/>
      <c r="G32" s="30"/>
      <c r="H32" s="1569" t="s">
        <v>3431</v>
      </c>
      <c r="I32" s="1569"/>
      <c r="J32" s="1569"/>
      <c r="K32" s="1569"/>
      <c r="L32" s="1569"/>
      <c r="M32" s="1569"/>
      <c r="N32" s="30"/>
      <c r="O32" s="1569" t="s">
        <v>3432</v>
      </c>
      <c r="P32" s="1569"/>
      <c r="Q32" s="1569"/>
      <c r="R32" s="1569"/>
      <c r="S32" s="1569"/>
      <c r="T32" s="1569"/>
      <c r="U32" s="30"/>
      <c r="V32" s="1568" t="s">
        <v>3433</v>
      </c>
      <c r="W32" s="1568"/>
      <c r="X32" s="1568"/>
      <c r="Y32" s="1568"/>
      <c r="Z32" s="1568"/>
      <c r="AA32" s="1568"/>
      <c r="AB32" s="30"/>
      <c r="AC32" s="1568" t="s">
        <v>3434</v>
      </c>
      <c r="AD32" s="1568"/>
      <c r="AE32" s="1568"/>
      <c r="AF32" s="1568"/>
      <c r="AG32" s="1568"/>
      <c r="AH32" s="1568"/>
      <c r="AI32" s="30"/>
      <c r="AJ32" s="30"/>
      <c r="AK32" s="30"/>
      <c r="AL32" s="30"/>
      <c r="AM32" s="30"/>
      <c r="AN32" s="30"/>
      <c r="AO32" s="30"/>
      <c r="AP32" s="30"/>
      <c r="AQ32" s="30"/>
      <c r="AR32" s="30"/>
    </row>
    <row r="33" spans="1:44" ht="15.75" thickBot="1">
      <c r="A33" s="30"/>
      <c r="B33" s="30"/>
      <c r="C33" s="30"/>
      <c r="D33" s="30"/>
      <c r="E33" s="30"/>
      <c r="F33" s="30"/>
      <c r="G33" s="30"/>
      <c r="H33" s="403"/>
      <c r="I33" s="403"/>
      <c r="J33" s="403"/>
      <c r="K33" s="403" t="s">
        <v>1841</v>
      </c>
      <c r="L33" s="403"/>
      <c r="M33" s="403" t="s">
        <v>1774</v>
      </c>
      <c r="N33" s="30"/>
      <c r="O33" s="403"/>
      <c r="P33" s="403"/>
      <c r="Q33" s="403"/>
      <c r="R33" s="403" t="s">
        <v>1841</v>
      </c>
      <c r="S33" s="403"/>
      <c r="T33" s="403" t="s">
        <v>1774</v>
      </c>
      <c r="U33" s="30"/>
      <c r="V33" s="403"/>
      <c r="W33" s="403"/>
      <c r="X33" s="403"/>
      <c r="Y33" s="403" t="s">
        <v>1841</v>
      </c>
      <c r="Z33" s="403"/>
      <c r="AA33" s="403" t="s">
        <v>1774</v>
      </c>
      <c r="AB33" s="30"/>
      <c r="AC33" s="403"/>
      <c r="AD33" s="403"/>
      <c r="AE33" s="403"/>
      <c r="AF33" s="403" t="s">
        <v>1841</v>
      </c>
      <c r="AG33" s="403"/>
      <c r="AH33" s="403" t="s">
        <v>1774</v>
      </c>
      <c r="AI33" s="30"/>
      <c r="AJ33" s="30"/>
      <c r="AK33" s="30"/>
      <c r="AL33" s="30"/>
      <c r="AM33" s="30"/>
      <c r="AN33" s="30"/>
      <c r="AO33" s="30"/>
      <c r="AP33" s="30"/>
      <c r="AQ33" s="30"/>
      <c r="AR33" s="30"/>
    </row>
    <row r="34" spans="1:44" ht="15" thickBot="1">
      <c r="A34" s="30"/>
      <c r="B34" s="30"/>
      <c r="C34" s="30"/>
      <c r="D34" s="30"/>
      <c r="E34" s="30"/>
      <c r="F34" s="30"/>
      <c r="G34" s="30">
        <v>1</v>
      </c>
      <c r="H34" s="1550" t="s">
        <v>2778</v>
      </c>
      <c r="I34" s="1551"/>
      <c r="J34" s="1551"/>
      <c r="K34" s="43">
        <v>0.35</v>
      </c>
      <c r="L34" s="89"/>
      <c r="M34" s="44">
        <v>0.35</v>
      </c>
      <c r="N34" s="30">
        <v>1</v>
      </c>
      <c r="O34" s="1550" t="s">
        <v>2778</v>
      </c>
      <c r="P34" s="1551"/>
      <c r="Q34" s="1551"/>
      <c r="R34" s="43">
        <v>0</v>
      </c>
      <c r="S34" s="89"/>
      <c r="T34" s="44">
        <v>0</v>
      </c>
      <c r="U34" s="34">
        <v>1</v>
      </c>
      <c r="V34" s="1550" t="s">
        <v>2778</v>
      </c>
      <c r="W34" s="1551"/>
      <c r="X34" s="1551"/>
      <c r="Y34" s="43">
        <v>0</v>
      </c>
      <c r="Z34" s="89"/>
      <c r="AA34" s="44">
        <v>0</v>
      </c>
      <c r="AB34" s="30">
        <v>1</v>
      </c>
      <c r="AC34" s="1550" t="s">
        <v>2778</v>
      </c>
      <c r="AD34" s="1551"/>
      <c r="AE34" s="1551"/>
      <c r="AF34" s="43">
        <v>0</v>
      </c>
      <c r="AG34" s="89"/>
      <c r="AH34" s="44">
        <v>0</v>
      </c>
      <c r="AI34" s="30"/>
      <c r="AJ34" s="30"/>
      <c r="AK34" s="30"/>
      <c r="AL34" s="30"/>
      <c r="AM34" s="30"/>
      <c r="AN34" s="30"/>
      <c r="AO34" s="30"/>
      <c r="AP34" s="30"/>
      <c r="AQ34" s="30"/>
      <c r="AR34" s="30"/>
    </row>
    <row r="35" spans="1:44" ht="15" thickBot="1">
      <c r="A35" s="30"/>
      <c r="B35" s="30"/>
      <c r="C35" s="30"/>
      <c r="D35" s="30"/>
      <c r="E35" s="30"/>
      <c r="F35" s="30"/>
      <c r="G35" s="30">
        <v>2</v>
      </c>
      <c r="H35" s="1547" t="s">
        <v>2781</v>
      </c>
      <c r="I35" s="1548"/>
      <c r="J35" s="1548"/>
      <c r="K35" s="45">
        <v>0</v>
      </c>
      <c r="L35" s="89"/>
      <c r="M35" s="46">
        <v>0</v>
      </c>
      <c r="N35" s="30">
        <v>2</v>
      </c>
      <c r="O35" s="1547" t="s">
        <v>2781</v>
      </c>
      <c r="P35" s="1548"/>
      <c r="Q35" s="1548"/>
      <c r="R35" s="45">
        <v>0</v>
      </c>
      <c r="S35" s="89"/>
      <c r="T35" s="46">
        <v>0</v>
      </c>
      <c r="U35" s="34">
        <v>2</v>
      </c>
      <c r="V35" s="1547" t="s">
        <v>2781</v>
      </c>
      <c r="W35" s="1548"/>
      <c r="X35" s="1548"/>
      <c r="Y35" s="45">
        <v>0</v>
      </c>
      <c r="Z35" s="89"/>
      <c r="AA35" s="46">
        <v>0</v>
      </c>
      <c r="AB35" s="30">
        <v>2</v>
      </c>
      <c r="AC35" s="1547" t="s">
        <v>2781</v>
      </c>
      <c r="AD35" s="1548"/>
      <c r="AE35" s="1548"/>
      <c r="AF35" s="45">
        <v>0</v>
      </c>
      <c r="AG35" s="89"/>
      <c r="AH35" s="46">
        <v>0</v>
      </c>
      <c r="AI35" s="30"/>
      <c r="AJ35" s="30"/>
      <c r="AK35" s="30"/>
      <c r="AL35" s="30"/>
      <c r="AM35" s="30"/>
      <c r="AN35" s="30"/>
      <c r="AO35" s="30"/>
      <c r="AP35" s="30"/>
      <c r="AQ35" s="30"/>
      <c r="AR35" s="30"/>
    </row>
    <row r="36" spans="1:44" ht="15" thickBot="1">
      <c r="A36" s="30"/>
      <c r="B36" s="30"/>
      <c r="C36" s="30"/>
      <c r="D36" s="30"/>
      <c r="E36" s="51"/>
      <c r="F36" s="30"/>
      <c r="G36" s="30">
        <v>3</v>
      </c>
      <c r="H36" s="1547" t="s">
        <v>2784</v>
      </c>
      <c r="I36" s="1548"/>
      <c r="J36" s="1548"/>
      <c r="K36" s="45">
        <v>0.25</v>
      </c>
      <c r="L36" s="89"/>
      <c r="M36" s="46">
        <v>0.25</v>
      </c>
      <c r="N36" s="30">
        <v>3</v>
      </c>
      <c r="O36" s="1547" t="s">
        <v>2784</v>
      </c>
      <c r="P36" s="1548"/>
      <c r="Q36" s="1548"/>
      <c r="R36" s="45">
        <v>0</v>
      </c>
      <c r="S36" s="89"/>
      <c r="T36" s="46">
        <v>0</v>
      </c>
      <c r="U36" s="34">
        <v>3</v>
      </c>
      <c r="V36" s="1547" t="s">
        <v>2784</v>
      </c>
      <c r="W36" s="1548"/>
      <c r="X36" s="1548"/>
      <c r="Y36" s="45">
        <v>0</v>
      </c>
      <c r="Z36" s="89"/>
      <c r="AA36" s="46">
        <v>0</v>
      </c>
      <c r="AB36" s="30">
        <v>3</v>
      </c>
      <c r="AC36" s="1547" t="s">
        <v>2784</v>
      </c>
      <c r="AD36" s="1548"/>
      <c r="AE36" s="1548"/>
      <c r="AF36" s="45">
        <v>0</v>
      </c>
      <c r="AG36" s="89"/>
      <c r="AH36" s="46">
        <v>0</v>
      </c>
      <c r="AI36" s="30"/>
      <c r="AJ36" s="30"/>
      <c r="AK36" s="30"/>
      <c r="AL36" s="30"/>
      <c r="AM36" s="30"/>
      <c r="AN36" s="30"/>
      <c r="AO36" s="30"/>
      <c r="AP36" s="30"/>
      <c r="AQ36" s="30"/>
      <c r="AR36" s="30"/>
    </row>
    <row r="37" spans="1:44" ht="15" thickBot="1">
      <c r="A37" s="30"/>
      <c r="B37" s="30"/>
      <c r="C37" s="30"/>
      <c r="D37" s="30"/>
      <c r="E37" s="30"/>
      <c r="F37" s="30"/>
      <c r="G37" s="30">
        <v>4</v>
      </c>
      <c r="H37" s="1547" t="s">
        <v>2788</v>
      </c>
      <c r="I37" s="1548"/>
      <c r="J37" s="1548"/>
      <c r="K37" s="45">
        <v>0</v>
      </c>
      <c r="L37" s="89"/>
      <c r="M37" s="46">
        <v>0</v>
      </c>
      <c r="N37" s="30">
        <v>4</v>
      </c>
      <c r="O37" s="1564" t="s">
        <v>2788</v>
      </c>
      <c r="P37" s="1565"/>
      <c r="Q37" s="1565"/>
      <c r="R37" s="407">
        <v>0</v>
      </c>
      <c r="S37" s="407"/>
      <c r="T37" s="408"/>
      <c r="U37" s="34">
        <v>4</v>
      </c>
      <c r="V37" s="1564" t="s">
        <v>2788</v>
      </c>
      <c r="W37" s="1565"/>
      <c r="X37" s="1565"/>
      <c r="Y37" s="1566">
        <v>0</v>
      </c>
      <c r="Z37" s="1566"/>
      <c r="AA37" s="1567"/>
      <c r="AB37" s="30">
        <v>4</v>
      </c>
      <c r="AC37" s="1564" t="s">
        <v>2788</v>
      </c>
      <c r="AD37" s="1565"/>
      <c r="AE37" s="1565"/>
      <c r="AF37" s="1566">
        <v>0</v>
      </c>
      <c r="AG37" s="1566"/>
      <c r="AH37" s="1567"/>
      <c r="AI37" s="30"/>
      <c r="AJ37" s="30"/>
      <c r="AK37" s="30"/>
      <c r="AL37" s="30"/>
      <c r="AM37" s="30"/>
      <c r="AN37" s="30"/>
      <c r="AO37" s="30"/>
      <c r="AP37" s="30"/>
      <c r="AQ37" s="30"/>
      <c r="AR37" s="30"/>
    </row>
    <row r="38" spans="1:44" ht="15" thickBot="1">
      <c r="A38" s="30"/>
      <c r="B38" s="30"/>
      <c r="C38" s="30"/>
      <c r="D38" s="30"/>
      <c r="E38" s="30"/>
      <c r="F38" s="30"/>
      <c r="G38" s="30">
        <v>5</v>
      </c>
      <c r="H38" s="1547" t="s">
        <v>2792</v>
      </c>
      <c r="I38" s="1548"/>
      <c r="J38" s="1548"/>
      <c r="K38" s="45">
        <v>0.35</v>
      </c>
      <c r="L38" s="89"/>
      <c r="M38" s="46">
        <v>0.35</v>
      </c>
      <c r="N38" s="30">
        <v>5</v>
      </c>
      <c r="O38" s="1547" t="s">
        <v>2792</v>
      </c>
      <c r="P38" s="1548"/>
      <c r="Q38" s="1548"/>
      <c r="R38" s="45">
        <v>0</v>
      </c>
      <c r="S38" s="89"/>
      <c r="T38" s="46">
        <v>0</v>
      </c>
      <c r="U38" s="34">
        <v>5</v>
      </c>
      <c r="V38" s="1547" t="s">
        <v>2792</v>
      </c>
      <c r="W38" s="1548"/>
      <c r="X38" s="1548"/>
      <c r="Y38" s="45">
        <v>0</v>
      </c>
      <c r="Z38" s="89"/>
      <c r="AA38" s="46">
        <v>0</v>
      </c>
      <c r="AB38" s="30">
        <v>5</v>
      </c>
      <c r="AC38" s="1547" t="s">
        <v>2792</v>
      </c>
      <c r="AD38" s="1548"/>
      <c r="AE38" s="1548"/>
      <c r="AF38" s="45">
        <v>0</v>
      </c>
      <c r="AG38" s="89"/>
      <c r="AH38" s="46">
        <v>0</v>
      </c>
      <c r="AI38" s="30"/>
      <c r="AJ38" s="30"/>
      <c r="AK38" s="30"/>
      <c r="AL38" s="30"/>
      <c r="AM38" s="30"/>
      <c r="AN38" s="30"/>
      <c r="AO38" s="30"/>
      <c r="AP38" s="30"/>
      <c r="AQ38" s="30"/>
      <c r="AR38" s="30"/>
    </row>
    <row r="39" spans="1:44" ht="15" thickBot="1">
      <c r="A39" s="30"/>
      <c r="B39" s="30"/>
      <c r="C39" s="30"/>
      <c r="D39" s="30"/>
      <c r="E39" s="30"/>
      <c r="F39" s="30"/>
      <c r="G39" s="30">
        <v>6</v>
      </c>
      <c r="H39" s="1547" t="s">
        <v>38</v>
      </c>
      <c r="I39" s="1548"/>
      <c r="J39" s="1548"/>
      <c r="K39" s="45">
        <v>1.25</v>
      </c>
      <c r="L39" s="89"/>
      <c r="M39" s="46">
        <v>1.75</v>
      </c>
      <c r="N39" s="30">
        <v>6</v>
      </c>
      <c r="O39" s="1547" t="s">
        <v>38</v>
      </c>
      <c r="P39" s="1548"/>
      <c r="Q39" s="1548"/>
      <c r="R39" s="45">
        <v>0.5</v>
      </c>
      <c r="S39" s="89"/>
      <c r="T39" s="46">
        <v>0.5</v>
      </c>
      <c r="U39" s="34">
        <v>6</v>
      </c>
      <c r="V39" s="1547" t="s">
        <v>38</v>
      </c>
      <c r="W39" s="1548"/>
      <c r="X39" s="1548"/>
      <c r="Y39" s="45">
        <v>0.3</v>
      </c>
      <c r="Z39" s="89"/>
      <c r="AA39" s="46">
        <v>0.3</v>
      </c>
      <c r="AB39" s="30">
        <v>6</v>
      </c>
      <c r="AC39" s="1547" t="s">
        <v>38</v>
      </c>
      <c r="AD39" s="1548"/>
      <c r="AE39" s="1548"/>
      <c r="AF39" s="45">
        <v>0.3</v>
      </c>
      <c r="AG39" s="89"/>
      <c r="AH39" s="46">
        <v>0.3</v>
      </c>
      <c r="AI39" s="30"/>
      <c r="AJ39" s="30"/>
      <c r="AK39" s="30"/>
      <c r="AL39" s="30"/>
      <c r="AM39" s="30"/>
      <c r="AN39" s="30"/>
      <c r="AO39" s="30"/>
      <c r="AP39" s="30"/>
      <c r="AQ39" s="30"/>
      <c r="AR39" s="30"/>
    </row>
    <row r="40" spans="1:44" ht="15" thickBot="1">
      <c r="A40" s="30"/>
      <c r="B40" s="30"/>
      <c r="C40" s="30"/>
      <c r="D40" s="30"/>
      <c r="E40" s="30"/>
      <c r="F40" s="30"/>
      <c r="G40" s="30">
        <v>7</v>
      </c>
      <c r="H40" s="1562" t="s">
        <v>2796</v>
      </c>
      <c r="I40" s="1563"/>
      <c r="J40" s="1563"/>
      <c r="K40" s="47">
        <v>1.25</v>
      </c>
      <c r="L40" s="89"/>
      <c r="M40" s="48">
        <v>1.75</v>
      </c>
      <c r="N40" s="30">
        <v>7</v>
      </c>
      <c r="O40" s="1562" t="s">
        <v>2796</v>
      </c>
      <c r="P40" s="1563"/>
      <c r="Q40" s="1563"/>
      <c r="R40" s="47">
        <v>0.5</v>
      </c>
      <c r="S40" s="89"/>
      <c r="T40" s="48">
        <v>0.5</v>
      </c>
      <c r="U40" s="34">
        <v>7</v>
      </c>
      <c r="V40" s="1562" t="s">
        <v>2796</v>
      </c>
      <c r="W40" s="1563"/>
      <c r="X40" s="1563"/>
      <c r="Y40" s="47">
        <v>0.5</v>
      </c>
      <c r="Z40" s="89"/>
      <c r="AA40" s="48">
        <v>0.5</v>
      </c>
      <c r="AB40" s="30">
        <v>7</v>
      </c>
      <c r="AC40" s="1562" t="s">
        <v>2796</v>
      </c>
      <c r="AD40" s="1563"/>
      <c r="AE40" s="1563"/>
      <c r="AF40" s="47">
        <v>0.5</v>
      </c>
      <c r="AG40" s="89"/>
      <c r="AH40" s="48">
        <v>0.5</v>
      </c>
      <c r="AI40" s="30"/>
      <c r="AJ40" s="30"/>
      <c r="AK40" s="30"/>
      <c r="AL40" s="30"/>
      <c r="AM40" s="30"/>
      <c r="AN40" s="30"/>
      <c r="AO40" s="30"/>
      <c r="AP40" s="30"/>
      <c r="AQ40" s="30"/>
      <c r="AR40" s="30"/>
    </row>
    <row r="41" spans="1:44" ht="15" thickBot="1">
      <c r="A41" s="30"/>
      <c r="B41" s="30"/>
      <c r="C41" s="30"/>
      <c r="D41" s="30"/>
      <c r="E41" s="30"/>
      <c r="F41" s="30"/>
      <c r="G41" s="30">
        <v>8</v>
      </c>
      <c r="H41" s="1556" t="s">
        <v>2799</v>
      </c>
      <c r="I41" s="1557"/>
      <c r="J41" s="1557"/>
      <c r="K41" s="49">
        <v>1.25</v>
      </c>
      <c r="L41" s="89"/>
      <c r="M41" s="50">
        <v>1.75</v>
      </c>
      <c r="N41" s="30">
        <v>8</v>
      </c>
      <c r="O41" s="1556" t="s">
        <v>2799</v>
      </c>
      <c r="P41" s="1557"/>
      <c r="Q41" s="1557"/>
      <c r="R41" s="49">
        <v>0.5</v>
      </c>
      <c r="S41" s="89"/>
      <c r="T41" s="50">
        <v>0.5</v>
      </c>
      <c r="U41" s="34">
        <v>8</v>
      </c>
      <c r="V41" s="1556" t="s">
        <v>2799</v>
      </c>
      <c r="W41" s="1557"/>
      <c r="X41" s="1557"/>
      <c r="Y41" s="49">
        <v>0.5</v>
      </c>
      <c r="Z41" s="89"/>
      <c r="AA41" s="50">
        <v>0.5</v>
      </c>
      <c r="AB41" s="30">
        <v>8</v>
      </c>
      <c r="AC41" s="1556" t="s">
        <v>2799</v>
      </c>
      <c r="AD41" s="1557"/>
      <c r="AE41" s="1557"/>
      <c r="AF41" s="49">
        <v>0.5</v>
      </c>
      <c r="AG41" s="89"/>
      <c r="AH41" s="50">
        <v>0.5</v>
      </c>
      <c r="AI41" s="30"/>
      <c r="AJ41" s="30"/>
      <c r="AK41" s="30"/>
      <c r="AL41" s="30"/>
      <c r="AM41" s="30"/>
      <c r="AN41" s="30"/>
      <c r="AO41" s="30"/>
      <c r="AP41" s="30"/>
      <c r="AQ41" s="30"/>
      <c r="AR41" s="30"/>
    </row>
    <row r="42" spans="1:44" ht="16.5" thickBot="1">
      <c r="A42" s="1560" t="s">
        <v>3435</v>
      </c>
      <c r="B42" s="1560"/>
      <c r="C42" s="1560"/>
      <c r="D42" s="1560"/>
      <c r="E42" s="1560"/>
      <c r="F42" s="1560"/>
      <c r="G42" s="1560"/>
      <c r="H42" s="406"/>
      <c r="I42" s="406"/>
      <c r="J42" s="406"/>
      <c r="K42" s="406"/>
      <c r="L42" s="406"/>
      <c r="M42" s="406"/>
      <c r="N42" s="406"/>
      <c r="O42" s="406"/>
      <c r="P42" s="406"/>
      <c r="Q42" s="406"/>
      <c r="R42" s="406"/>
      <c r="S42" s="406"/>
      <c r="T42" s="406"/>
      <c r="U42" s="406"/>
      <c r="V42" s="406"/>
      <c r="W42" s="406"/>
      <c r="X42" s="406"/>
      <c r="Y42" s="406"/>
      <c r="Z42" s="406"/>
      <c r="AA42" s="406"/>
      <c r="AB42" s="406"/>
      <c r="AC42" s="406"/>
      <c r="AD42" s="406"/>
      <c r="AE42" s="406"/>
      <c r="AF42" s="406"/>
      <c r="AG42" s="406"/>
      <c r="AH42" s="406"/>
      <c r="AI42" s="406"/>
      <c r="AJ42" s="406"/>
      <c r="AK42" s="406"/>
      <c r="AL42" s="406"/>
      <c r="AM42" s="406"/>
      <c r="AN42" s="406"/>
      <c r="AO42" s="406"/>
      <c r="AP42" s="406"/>
      <c r="AQ42" s="406"/>
      <c r="AR42" s="406"/>
    </row>
    <row r="43" spans="1:44" ht="15">
      <c r="A43" s="30"/>
      <c r="B43" s="30"/>
      <c r="C43" s="30"/>
      <c r="D43" s="1554" t="s">
        <v>3436</v>
      </c>
      <c r="E43" s="1554"/>
      <c r="F43" s="1554"/>
      <c r="G43" s="1554"/>
      <c r="H43" s="1554"/>
      <c r="I43" s="1554"/>
      <c r="J43" s="1554"/>
      <c r="K43" s="1554"/>
      <c r="L43" s="1554"/>
      <c r="M43" s="30"/>
      <c r="N43" s="1561" t="s">
        <v>3437</v>
      </c>
      <c r="O43" s="1561"/>
      <c r="P43" s="1561"/>
      <c r="Q43" s="1561"/>
      <c r="R43" s="1561"/>
      <c r="S43" s="1561"/>
      <c r="T43" s="1561"/>
      <c r="U43" s="1561"/>
      <c r="V43" s="1561"/>
      <c r="W43" s="30"/>
      <c r="X43" s="1554" t="s">
        <v>3438</v>
      </c>
      <c r="Y43" s="1554"/>
      <c r="Z43" s="1554"/>
      <c r="AA43" s="1554"/>
      <c r="AB43" s="1554"/>
      <c r="AC43" s="1554"/>
      <c r="AD43" s="1554"/>
      <c r="AE43" s="1554"/>
      <c r="AF43" s="1554"/>
      <c r="AG43" s="30"/>
      <c r="AH43" s="1554" t="s">
        <v>3439</v>
      </c>
      <c r="AI43" s="1554"/>
      <c r="AJ43" s="1554"/>
      <c r="AK43" s="1554"/>
      <c r="AL43" s="1554"/>
      <c r="AM43" s="1554"/>
      <c r="AN43" s="1554"/>
      <c r="AO43" s="1554"/>
      <c r="AP43" s="1554"/>
      <c r="AQ43" s="30"/>
      <c r="AR43" s="30"/>
    </row>
    <row r="44" spans="1:44" ht="15" thickBot="1">
      <c r="A44" s="30"/>
      <c r="B44" s="30"/>
      <c r="C44" s="30"/>
      <c r="D44" s="1555" t="s">
        <v>3440</v>
      </c>
      <c r="E44" s="1555"/>
      <c r="F44" s="1555"/>
      <c r="G44" s="1555" t="s">
        <v>3441</v>
      </c>
      <c r="H44" s="1555"/>
      <c r="I44" s="1555"/>
      <c r="J44" s="1555" t="s">
        <v>3442</v>
      </c>
      <c r="K44" s="1555"/>
      <c r="L44" s="1555"/>
      <c r="M44" s="30"/>
      <c r="N44" s="1555" t="s">
        <v>3440</v>
      </c>
      <c r="O44" s="1555"/>
      <c r="P44" s="1555"/>
      <c r="Q44" s="1555" t="s">
        <v>3441</v>
      </c>
      <c r="R44" s="1555"/>
      <c r="S44" s="1555"/>
      <c r="T44" s="1555" t="s">
        <v>3442</v>
      </c>
      <c r="U44" s="1555"/>
      <c r="V44" s="1555"/>
      <c r="W44" s="30"/>
      <c r="X44" s="1555" t="s">
        <v>3440</v>
      </c>
      <c r="Y44" s="1555"/>
      <c r="Z44" s="1555"/>
      <c r="AA44" s="1555" t="s">
        <v>3441</v>
      </c>
      <c r="AB44" s="1555"/>
      <c r="AC44" s="1555"/>
      <c r="AD44" s="1555" t="s">
        <v>3442</v>
      </c>
      <c r="AE44" s="1555"/>
      <c r="AF44" s="1555"/>
      <c r="AG44" s="30"/>
      <c r="AH44" s="1555" t="s">
        <v>3440</v>
      </c>
      <c r="AI44" s="1555"/>
      <c r="AJ44" s="1555"/>
      <c r="AK44" s="1555" t="s">
        <v>3441</v>
      </c>
      <c r="AL44" s="1555"/>
      <c r="AM44" s="1555"/>
      <c r="AN44" s="1555" t="s">
        <v>3442</v>
      </c>
      <c r="AO44" s="1555"/>
      <c r="AP44" s="1555"/>
      <c r="AQ44" s="30"/>
      <c r="AR44" s="30"/>
    </row>
    <row r="45" spans="1:44">
      <c r="A45" s="30"/>
      <c r="B45" s="30"/>
      <c r="C45" s="30">
        <v>1</v>
      </c>
      <c r="D45" s="1550" t="s">
        <v>3443</v>
      </c>
      <c r="E45" s="1551"/>
      <c r="F45" s="1551"/>
      <c r="G45" s="1552">
        <v>0</v>
      </c>
      <c r="H45" s="1552"/>
      <c r="I45" s="1552"/>
      <c r="J45" s="1552">
        <v>0</v>
      </c>
      <c r="K45" s="1552"/>
      <c r="L45" s="1553"/>
      <c r="M45" s="30">
        <v>1</v>
      </c>
      <c r="N45" s="1550" t="s">
        <v>3443</v>
      </c>
      <c r="O45" s="1551"/>
      <c r="P45" s="1551"/>
      <c r="Q45" s="1552">
        <v>0</v>
      </c>
      <c r="R45" s="1552"/>
      <c r="S45" s="1552"/>
      <c r="T45" s="1552">
        <v>0</v>
      </c>
      <c r="U45" s="1552"/>
      <c r="V45" s="1553"/>
      <c r="W45" s="30">
        <v>1</v>
      </c>
      <c r="X45" s="1550" t="s">
        <v>3443</v>
      </c>
      <c r="Y45" s="1551"/>
      <c r="Z45" s="1551"/>
      <c r="AA45" s="1552">
        <v>0</v>
      </c>
      <c r="AB45" s="1552"/>
      <c r="AC45" s="1552"/>
      <c r="AD45" s="1552">
        <v>0</v>
      </c>
      <c r="AE45" s="1552"/>
      <c r="AF45" s="1553"/>
      <c r="AG45" s="30">
        <v>1</v>
      </c>
      <c r="AH45" s="1550" t="s">
        <v>3443</v>
      </c>
      <c r="AI45" s="1551"/>
      <c r="AJ45" s="1551"/>
      <c r="AK45" s="1552">
        <v>0</v>
      </c>
      <c r="AL45" s="1552"/>
      <c r="AM45" s="1552"/>
      <c r="AN45" s="1552">
        <v>0</v>
      </c>
      <c r="AO45" s="1552"/>
      <c r="AP45" s="1553"/>
      <c r="AQ45" s="30"/>
      <c r="AR45" s="30"/>
    </row>
    <row r="46" spans="1:44">
      <c r="A46" s="30"/>
      <c r="B46" s="30"/>
      <c r="C46" s="30">
        <v>2</v>
      </c>
      <c r="D46" s="1547" t="s">
        <v>3444</v>
      </c>
      <c r="E46" s="1548"/>
      <c r="F46" s="1548"/>
      <c r="G46" s="1529">
        <v>0</v>
      </c>
      <c r="H46" s="1529"/>
      <c r="I46" s="1529"/>
      <c r="J46" s="1529">
        <v>0</v>
      </c>
      <c r="K46" s="1529"/>
      <c r="L46" s="1549"/>
      <c r="M46" s="30">
        <v>2</v>
      </c>
      <c r="N46" s="1547" t="s">
        <v>3444</v>
      </c>
      <c r="O46" s="1548"/>
      <c r="P46" s="1548"/>
      <c r="Q46" s="1529">
        <v>0</v>
      </c>
      <c r="R46" s="1529"/>
      <c r="S46" s="1529"/>
      <c r="T46" s="1529">
        <v>0</v>
      </c>
      <c r="U46" s="1529"/>
      <c r="V46" s="1549"/>
      <c r="W46" s="30">
        <v>2</v>
      </c>
      <c r="X46" s="1547" t="s">
        <v>3444</v>
      </c>
      <c r="Y46" s="1548"/>
      <c r="Z46" s="1548"/>
      <c r="AA46" s="1529">
        <v>0</v>
      </c>
      <c r="AB46" s="1529"/>
      <c r="AC46" s="1529"/>
      <c r="AD46" s="1529">
        <v>0</v>
      </c>
      <c r="AE46" s="1529"/>
      <c r="AF46" s="1549"/>
      <c r="AG46" s="30">
        <v>2</v>
      </c>
      <c r="AH46" s="1547" t="s">
        <v>3444</v>
      </c>
      <c r="AI46" s="1548"/>
      <c r="AJ46" s="1548"/>
      <c r="AK46" s="1529">
        <v>0</v>
      </c>
      <c r="AL46" s="1529"/>
      <c r="AM46" s="1529"/>
      <c r="AN46" s="1529">
        <v>0</v>
      </c>
      <c r="AO46" s="1529"/>
      <c r="AP46" s="1549"/>
      <c r="AQ46" s="30"/>
      <c r="AR46" s="30"/>
    </row>
    <row r="47" spans="1:44" ht="15" thickBot="1">
      <c r="A47" s="30"/>
      <c r="B47" s="30"/>
      <c r="C47" s="30">
        <v>3</v>
      </c>
      <c r="D47" s="1556" t="s">
        <v>3445</v>
      </c>
      <c r="E47" s="1557"/>
      <c r="F47" s="1557"/>
      <c r="G47" s="1558">
        <v>0</v>
      </c>
      <c r="H47" s="1558"/>
      <c r="I47" s="1558"/>
      <c r="J47" s="1558">
        <v>0</v>
      </c>
      <c r="K47" s="1558"/>
      <c r="L47" s="1559"/>
      <c r="M47" s="30">
        <v>3</v>
      </c>
      <c r="N47" s="1556" t="s">
        <v>3445</v>
      </c>
      <c r="O47" s="1557"/>
      <c r="P47" s="1557"/>
      <c r="Q47" s="1558">
        <v>0</v>
      </c>
      <c r="R47" s="1558"/>
      <c r="S47" s="1558"/>
      <c r="T47" s="1558">
        <v>0</v>
      </c>
      <c r="U47" s="1558"/>
      <c r="V47" s="1559"/>
      <c r="W47" s="30">
        <v>3</v>
      </c>
      <c r="X47" s="1556" t="s">
        <v>3445</v>
      </c>
      <c r="Y47" s="1557"/>
      <c r="Z47" s="1557"/>
      <c r="AA47" s="1558">
        <v>0</v>
      </c>
      <c r="AB47" s="1558"/>
      <c r="AC47" s="1558"/>
      <c r="AD47" s="1558">
        <v>0</v>
      </c>
      <c r="AE47" s="1558"/>
      <c r="AF47" s="1559"/>
      <c r="AG47" s="30">
        <v>3</v>
      </c>
      <c r="AH47" s="1556" t="s">
        <v>3445</v>
      </c>
      <c r="AI47" s="1557"/>
      <c r="AJ47" s="1557"/>
      <c r="AK47" s="1558">
        <v>0</v>
      </c>
      <c r="AL47" s="1558"/>
      <c r="AM47" s="1558"/>
      <c r="AN47" s="1558">
        <v>0</v>
      </c>
      <c r="AO47" s="1558"/>
      <c r="AP47" s="1559"/>
      <c r="AQ47" s="30"/>
      <c r="AR47" s="30"/>
    </row>
    <row r="48" spans="1:44">
      <c r="A48" s="30"/>
      <c r="B48" s="30"/>
      <c r="C48" s="30"/>
      <c r="D48" s="30"/>
      <c r="E48" s="30"/>
      <c r="F48" s="30"/>
      <c r="G48" s="30"/>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row>
    <row r="49" spans="1:44" ht="15">
      <c r="A49" s="30"/>
      <c r="B49" s="30"/>
      <c r="C49" s="30"/>
      <c r="D49" s="30"/>
      <c r="E49" s="30"/>
      <c r="F49" s="30"/>
      <c r="G49" s="30"/>
      <c r="H49" s="30"/>
      <c r="I49" s="30"/>
      <c r="J49" s="30"/>
      <c r="K49" s="30"/>
      <c r="L49" s="30"/>
      <c r="M49" s="30"/>
      <c r="N49" s="1554" t="s">
        <v>3446</v>
      </c>
      <c r="O49" s="1554"/>
      <c r="P49" s="1554"/>
      <c r="Q49" s="1554"/>
      <c r="R49" s="1554"/>
      <c r="S49" s="1554"/>
      <c r="T49" s="1554"/>
      <c r="U49" s="1554"/>
      <c r="V49" s="1554"/>
      <c r="W49" s="30"/>
      <c r="X49" s="1554" t="s">
        <v>3447</v>
      </c>
      <c r="Y49" s="1554"/>
      <c r="Z49" s="1554"/>
      <c r="AA49" s="1554"/>
      <c r="AB49" s="1554"/>
      <c r="AC49" s="1554"/>
      <c r="AD49" s="1554"/>
      <c r="AE49" s="1554"/>
      <c r="AF49" s="1554"/>
      <c r="AG49" s="30"/>
      <c r="AH49" s="30"/>
      <c r="AI49" s="30"/>
      <c r="AJ49" s="30"/>
      <c r="AK49" s="30"/>
      <c r="AL49" s="30"/>
      <c r="AM49" s="30"/>
      <c r="AN49" s="30"/>
      <c r="AO49" s="30"/>
      <c r="AP49" s="30"/>
      <c r="AQ49" s="30"/>
      <c r="AR49" s="30"/>
    </row>
    <row r="50" spans="1:44" ht="15" thickBot="1">
      <c r="A50" s="30"/>
      <c r="B50" s="30"/>
      <c r="C50" s="30"/>
      <c r="D50" s="30"/>
      <c r="E50" s="30"/>
      <c r="F50" s="30"/>
      <c r="G50" s="30"/>
      <c r="H50" s="30"/>
      <c r="I50" s="30"/>
      <c r="J50" s="30"/>
      <c r="K50" s="30"/>
      <c r="L50" s="30"/>
      <c r="M50" s="30"/>
      <c r="N50" s="1555" t="s">
        <v>3440</v>
      </c>
      <c r="O50" s="1555"/>
      <c r="P50" s="1555"/>
      <c r="Q50" s="1555" t="s">
        <v>3441</v>
      </c>
      <c r="R50" s="1555"/>
      <c r="S50" s="1555"/>
      <c r="T50" s="1555" t="s">
        <v>3442</v>
      </c>
      <c r="U50" s="1555"/>
      <c r="V50" s="1555"/>
      <c r="W50" s="30"/>
      <c r="X50" s="1555" t="s">
        <v>3440</v>
      </c>
      <c r="Y50" s="1555"/>
      <c r="Z50" s="1555"/>
      <c r="AA50" s="1555" t="s">
        <v>3441</v>
      </c>
      <c r="AB50" s="1555"/>
      <c r="AC50" s="1555"/>
      <c r="AD50" s="1555" t="s">
        <v>3442</v>
      </c>
      <c r="AE50" s="1555"/>
      <c r="AF50" s="1555"/>
      <c r="AG50" s="30"/>
      <c r="AH50" s="30"/>
      <c r="AI50" s="30"/>
      <c r="AJ50" s="30"/>
      <c r="AK50" s="30"/>
      <c r="AL50" s="30"/>
      <c r="AM50" s="30"/>
      <c r="AN50" s="30"/>
      <c r="AO50" s="30"/>
      <c r="AP50" s="30"/>
      <c r="AQ50" s="30"/>
      <c r="AR50" s="30"/>
    </row>
    <row r="51" spans="1:44">
      <c r="A51" s="30"/>
      <c r="B51" s="30"/>
      <c r="C51" s="30"/>
      <c r="D51" s="30"/>
      <c r="E51" s="30"/>
      <c r="F51" s="30"/>
      <c r="G51" s="30"/>
      <c r="H51" s="30"/>
      <c r="I51" s="30"/>
      <c r="J51" s="30"/>
      <c r="K51" s="30"/>
      <c r="L51" s="30"/>
      <c r="M51" s="30">
        <v>1</v>
      </c>
      <c r="N51" s="1550" t="s">
        <v>3443</v>
      </c>
      <c r="O51" s="1551"/>
      <c r="P51" s="1551"/>
      <c r="Q51" s="1552">
        <v>0</v>
      </c>
      <c r="R51" s="1552"/>
      <c r="S51" s="1552"/>
      <c r="T51" s="1552">
        <v>0</v>
      </c>
      <c r="U51" s="1552"/>
      <c r="V51" s="1553"/>
      <c r="W51" s="30">
        <v>1</v>
      </c>
      <c r="X51" s="1550" t="s">
        <v>3443</v>
      </c>
      <c r="Y51" s="1551"/>
      <c r="Z51" s="1551"/>
      <c r="AA51" s="1552">
        <v>0</v>
      </c>
      <c r="AB51" s="1552"/>
      <c r="AC51" s="1552"/>
      <c r="AD51" s="1552">
        <v>0</v>
      </c>
      <c r="AE51" s="1552"/>
      <c r="AF51" s="1553"/>
      <c r="AG51" s="30"/>
      <c r="AH51" s="30"/>
      <c r="AI51" s="30"/>
      <c r="AJ51" s="30"/>
      <c r="AK51" s="30"/>
      <c r="AL51" s="30"/>
      <c r="AM51" s="30"/>
      <c r="AN51" s="30"/>
      <c r="AO51" s="30"/>
      <c r="AP51" s="30"/>
      <c r="AQ51" s="30"/>
      <c r="AR51" s="30"/>
    </row>
    <row r="52" spans="1:44">
      <c r="A52" s="30"/>
      <c r="B52" s="30"/>
      <c r="C52" s="30"/>
      <c r="D52" s="30"/>
      <c r="E52" s="30"/>
      <c r="F52" s="30"/>
      <c r="G52" s="30"/>
      <c r="H52" s="30"/>
      <c r="I52" s="30"/>
      <c r="J52" s="30"/>
      <c r="K52" s="30"/>
      <c r="L52" s="30"/>
      <c r="M52" s="30">
        <v>2</v>
      </c>
      <c r="N52" s="1547" t="s">
        <v>3444</v>
      </c>
      <c r="O52" s="1548"/>
      <c r="P52" s="1548"/>
      <c r="Q52" s="1529">
        <v>0</v>
      </c>
      <c r="R52" s="1529"/>
      <c r="S52" s="1529"/>
      <c r="T52" s="1529">
        <v>0</v>
      </c>
      <c r="U52" s="1529"/>
      <c r="V52" s="1549"/>
      <c r="W52" s="30">
        <v>2</v>
      </c>
      <c r="X52" s="1547" t="s">
        <v>3444</v>
      </c>
      <c r="Y52" s="1548"/>
      <c r="Z52" s="1548"/>
      <c r="AA52" s="1529">
        <v>0</v>
      </c>
      <c r="AB52" s="1529"/>
      <c r="AC52" s="1529"/>
      <c r="AD52" s="1529">
        <v>0</v>
      </c>
      <c r="AE52" s="1529"/>
      <c r="AF52" s="1549"/>
      <c r="AG52" s="30"/>
      <c r="AH52" s="30"/>
      <c r="AI52" s="30"/>
      <c r="AJ52" s="30"/>
      <c r="AK52" s="30"/>
      <c r="AL52" s="30"/>
      <c r="AM52" s="30"/>
      <c r="AN52" s="30"/>
      <c r="AO52" s="30"/>
      <c r="AP52" s="30"/>
      <c r="AQ52" s="30"/>
      <c r="AR52" s="30"/>
    </row>
    <row r="53" spans="1:44" ht="15" thickBot="1">
      <c r="A53" s="30"/>
      <c r="B53" s="30"/>
      <c r="C53" s="30"/>
      <c r="D53" s="30"/>
      <c r="E53" s="30"/>
      <c r="F53" s="30"/>
      <c r="G53" s="30"/>
      <c r="H53" s="30"/>
      <c r="I53" s="30"/>
      <c r="J53" s="30"/>
      <c r="K53" s="30"/>
      <c r="L53" s="30"/>
      <c r="M53" s="30">
        <v>3</v>
      </c>
      <c r="N53" s="1556" t="s">
        <v>3445</v>
      </c>
      <c r="O53" s="1557"/>
      <c r="P53" s="1557"/>
      <c r="Q53" s="1558">
        <v>0</v>
      </c>
      <c r="R53" s="1558"/>
      <c r="S53" s="1558"/>
      <c r="T53" s="1558">
        <v>0</v>
      </c>
      <c r="U53" s="1558"/>
      <c r="V53" s="1559"/>
      <c r="W53" s="30">
        <v>3</v>
      </c>
      <c r="X53" s="1556" t="s">
        <v>3445</v>
      </c>
      <c r="Y53" s="1557"/>
      <c r="Z53" s="1557"/>
      <c r="AA53" s="1558">
        <v>0</v>
      </c>
      <c r="AB53" s="1558"/>
      <c r="AC53" s="1558"/>
      <c r="AD53" s="1558">
        <v>0</v>
      </c>
      <c r="AE53" s="1558"/>
      <c r="AF53" s="1559"/>
      <c r="AG53" s="30"/>
      <c r="AH53" s="30"/>
      <c r="AI53" s="30"/>
      <c r="AJ53" s="30"/>
      <c r="AK53" s="30"/>
      <c r="AL53" s="30"/>
      <c r="AM53" s="30"/>
      <c r="AN53" s="30"/>
      <c r="AO53" s="30"/>
      <c r="AP53" s="30"/>
      <c r="AQ53" s="30"/>
      <c r="AR53" s="30"/>
    </row>
    <row r="54" spans="1:44" ht="16.5" thickBot="1">
      <c r="A54" s="1560" t="s">
        <v>2147</v>
      </c>
      <c r="B54" s="1560"/>
      <c r="C54" s="1560"/>
      <c r="D54" s="1560"/>
      <c r="E54" s="1560"/>
      <c r="F54" s="1560"/>
      <c r="G54" s="1560"/>
      <c r="H54" s="406"/>
      <c r="I54" s="406"/>
      <c r="J54" s="406"/>
      <c r="K54" s="406"/>
      <c r="L54" s="406"/>
      <c r="M54" s="406"/>
      <c r="N54" s="406"/>
      <c r="O54" s="406"/>
      <c r="P54" s="406"/>
      <c r="Q54" s="406"/>
      <c r="R54" s="406"/>
      <c r="S54" s="406"/>
      <c r="T54" s="406"/>
      <c r="U54" s="406"/>
      <c r="V54" s="406"/>
      <c r="W54" s="406"/>
      <c r="X54" s="406"/>
      <c r="Y54" s="406"/>
      <c r="Z54" s="406"/>
      <c r="AA54" s="406"/>
      <c r="AB54" s="406"/>
      <c r="AC54" s="406"/>
      <c r="AD54" s="406"/>
      <c r="AE54" s="406"/>
      <c r="AF54" s="406"/>
      <c r="AG54" s="406"/>
      <c r="AH54" s="406"/>
      <c r="AI54" s="406"/>
      <c r="AJ54" s="406"/>
      <c r="AK54" s="406"/>
      <c r="AL54" s="406"/>
      <c r="AM54" s="406"/>
      <c r="AN54" s="406"/>
      <c r="AO54" s="406"/>
      <c r="AP54" s="406"/>
      <c r="AQ54" s="406"/>
      <c r="AR54" s="406"/>
    </row>
    <row r="55" spans="1:44" ht="15">
      <c r="A55" s="30"/>
      <c r="B55" s="30"/>
      <c r="C55" s="30"/>
      <c r="D55" s="1554" t="s">
        <v>1830</v>
      </c>
      <c r="E55" s="1554"/>
      <c r="F55" s="1554"/>
      <c r="G55" s="1554"/>
      <c r="H55" s="1554"/>
      <c r="I55" s="1554"/>
      <c r="J55" s="1554"/>
      <c r="K55" s="1554"/>
      <c r="L55" s="1554"/>
      <c r="M55" s="30"/>
      <c r="N55" s="1554" t="s">
        <v>1846</v>
      </c>
      <c r="O55" s="1554"/>
      <c r="P55" s="1554"/>
      <c r="Q55" s="1554"/>
      <c r="R55" s="1554"/>
      <c r="S55" s="1554"/>
      <c r="T55" s="1554"/>
      <c r="U55" s="1554"/>
      <c r="V55" s="1554"/>
      <c r="W55" s="30"/>
      <c r="X55" s="1554" t="s">
        <v>1892</v>
      </c>
      <c r="Y55" s="1554"/>
      <c r="Z55" s="1554"/>
      <c r="AA55" s="1554"/>
      <c r="AB55" s="1554"/>
      <c r="AC55" s="1554"/>
      <c r="AD55" s="1554"/>
      <c r="AE55" s="1554"/>
      <c r="AF55" s="1554"/>
      <c r="AG55" s="30"/>
      <c r="AH55" s="1554" t="s">
        <v>1858</v>
      </c>
      <c r="AI55" s="1554"/>
      <c r="AJ55" s="1554"/>
      <c r="AK55" s="1554"/>
      <c r="AL55" s="1554"/>
      <c r="AM55" s="1554"/>
      <c r="AN55" s="1554"/>
      <c r="AO55" s="1554"/>
      <c r="AP55" s="1554"/>
      <c r="AQ55" s="30"/>
      <c r="AR55" s="30"/>
    </row>
    <row r="56" spans="1:44">
      <c r="A56" s="30"/>
      <c r="B56" s="30"/>
      <c r="C56" s="30"/>
      <c r="D56" s="30"/>
      <c r="E56" s="30"/>
      <c r="F56" s="30"/>
      <c r="G56" s="1570" t="s">
        <v>3441</v>
      </c>
      <c r="H56" s="1570"/>
      <c r="I56" s="1570"/>
      <c r="J56" s="1570" t="s">
        <v>3442</v>
      </c>
      <c r="K56" s="1570"/>
      <c r="L56" s="30"/>
      <c r="M56" s="30"/>
      <c r="N56" s="30"/>
      <c r="O56" s="30"/>
      <c r="P56" s="30"/>
      <c r="Q56" s="1570" t="s">
        <v>3441</v>
      </c>
      <c r="R56" s="1570"/>
      <c r="S56" s="1570"/>
      <c r="T56" s="1570" t="s">
        <v>3442</v>
      </c>
      <c r="U56" s="1570"/>
      <c r="V56" s="30"/>
      <c r="W56" s="30"/>
      <c r="X56" s="30"/>
      <c r="Y56" s="30"/>
      <c r="Z56" s="30"/>
      <c r="AA56" s="1570" t="s">
        <v>3441</v>
      </c>
      <c r="AB56" s="1570"/>
      <c r="AC56" s="1570"/>
      <c r="AD56" s="1570" t="s">
        <v>3442</v>
      </c>
      <c r="AE56" s="1570"/>
      <c r="AF56" s="30"/>
      <c r="AG56" s="30"/>
      <c r="AH56" s="30"/>
      <c r="AI56" s="30"/>
      <c r="AJ56" s="30"/>
      <c r="AK56" s="1570" t="s">
        <v>3441</v>
      </c>
      <c r="AL56" s="1570"/>
      <c r="AM56" s="1570"/>
      <c r="AN56" s="1570" t="s">
        <v>3442</v>
      </c>
      <c r="AO56" s="1570"/>
      <c r="AP56" s="30"/>
      <c r="AQ56" s="30"/>
      <c r="AR56" s="30"/>
    </row>
    <row r="57" spans="1:44">
      <c r="A57" s="30"/>
      <c r="B57" s="30"/>
      <c r="C57" s="30"/>
      <c r="D57" s="30">
        <v>1</v>
      </c>
      <c r="E57" s="1570" t="s">
        <v>3448</v>
      </c>
      <c r="F57" s="1570"/>
      <c r="G57" s="1577">
        <v>2</v>
      </c>
      <c r="H57" s="1577"/>
      <c r="I57" s="1577"/>
      <c r="J57" s="1577">
        <v>0.75</v>
      </c>
      <c r="K57" s="1577"/>
      <c r="L57" s="30"/>
      <c r="M57" s="30"/>
      <c r="N57" s="30">
        <v>1</v>
      </c>
      <c r="O57" s="1570" t="s">
        <v>3448</v>
      </c>
      <c r="P57" s="1570"/>
      <c r="Q57" s="1577">
        <v>1.25</v>
      </c>
      <c r="R57" s="1577"/>
      <c r="S57" s="1577"/>
      <c r="T57" s="1577">
        <v>0.35</v>
      </c>
      <c r="U57" s="1577"/>
      <c r="V57" s="30"/>
      <c r="W57" s="30"/>
      <c r="X57" s="30">
        <v>1</v>
      </c>
      <c r="Y57" s="1570" t="s">
        <v>3448</v>
      </c>
      <c r="Z57" s="1570"/>
      <c r="AA57" s="1577">
        <v>0.25</v>
      </c>
      <c r="AB57" s="1577"/>
      <c r="AC57" s="1577"/>
      <c r="AD57" s="1577">
        <v>0.35</v>
      </c>
      <c r="AE57" s="1577"/>
      <c r="AF57" s="30"/>
      <c r="AG57" s="30"/>
      <c r="AH57" s="30">
        <v>1</v>
      </c>
      <c r="AI57" s="1570" t="s">
        <v>3448</v>
      </c>
      <c r="AJ57" s="1570"/>
      <c r="AK57" s="1577">
        <v>1.25</v>
      </c>
      <c r="AL57" s="1577"/>
      <c r="AM57" s="1577"/>
      <c r="AN57" s="1577">
        <v>0.35</v>
      </c>
      <c r="AO57" s="1577"/>
      <c r="AP57" s="30"/>
      <c r="AQ57" s="30"/>
      <c r="AR57" s="30"/>
    </row>
    <row r="58" spans="1:44">
      <c r="A58" s="30"/>
      <c r="B58" s="30"/>
      <c r="C58" s="30"/>
      <c r="D58" s="30">
        <v>2</v>
      </c>
      <c r="E58" s="1570" t="s">
        <v>2856</v>
      </c>
      <c r="F58" s="1570"/>
      <c r="G58" s="1577">
        <v>4.25</v>
      </c>
      <c r="H58" s="1577"/>
      <c r="I58" s="1577"/>
      <c r="J58" s="1577">
        <v>1.5</v>
      </c>
      <c r="K58" s="1577"/>
      <c r="L58" s="30"/>
      <c r="M58" s="30"/>
      <c r="N58" s="30">
        <v>2</v>
      </c>
      <c r="O58" s="1570" t="s">
        <v>2856</v>
      </c>
      <c r="P58" s="1570"/>
      <c r="Q58" s="1577">
        <v>2.25</v>
      </c>
      <c r="R58" s="1577"/>
      <c r="S58" s="1577"/>
      <c r="T58" s="1577">
        <v>0.45</v>
      </c>
      <c r="U58" s="1577"/>
      <c r="V58" s="30"/>
      <c r="W58" s="30"/>
      <c r="X58" s="30">
        <v>2</v>
      </c>
      <c r="Y58" s="1570" t="s">
        <v>2856</v>
      </c>
      <c r="Z58" s="1570"/>
      <c r="AA58" s="1577">
        <v>0.5</v>
      </c>
      <c r="AB58" s="1577"/>
      <c r="AC58" s="1577"/>
      <c r="AD58" s="1577">
        <v>0.5</v>
      </c>
      <c r="AE58" s="1577"/>
      <c r="AF58" s="30"/>
      <c r="AG58" s="30"/>
      <c r="AH58" s="30">
        <v>2</v>
      </c>
      <c r="AI58" s="1570" t="s">
        <v>2856</v>
      </c>
      <c r="AJ58" s="1570"/>
      <c r="AK58" s="1577">
        <v>2.75</v>
      </c>
      <c r="AL58" s="1577"/>
      <c r="AM58" s="1577"/>
      <c r="AN58" s="1577">
        <v>0.75</v>
      </c>
      <c r="AO58" s="1577"/>
      <c r="AP58" s="30"/>
      <c r="AQ58" s="30"/>
      <c r="AR58" s="30"/>
    </row>
    <row r="59" spans="1:44">
      <c r="A59" s="30"/>
      <c r="B59" s="30"/>
      <c r="C59" s="30"/>
      <c r="D59" s="30"/>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row>
    <row r="60" spans="1:44" ht="15">
      <c r="A60" s="30"/>
      <c r="B60" s="30"/>
      <c r="C60" s="30"/>
      <c r="D60" s="1554" t="s">
        <v>1863</v>
      </c>
      <c r="E60" s="1554"/>
      <c r="F60" s="1554"/>
      <c r="G60" s="1554"/>
      <c r="H60" s="1554"/>
      <c r="I60" s="1554"/>
      <c r="J60" s="1554"/>
      <c r="K60" s="1554"/>
      <c r="L60" s="1554"/>
      <c r="M60" s="30"/>
      <c r="N60" s="1602" t="s">
        <v>3449</v>
      </c>
      <c r="O60" s="1527"/>
      <c r="P60" s="1527"/>
      <c r="Q60" s="1527"/>
      <c r="R60" s="1527"/>
      <c r="S60" s="1527"/>
      <c r="T60" s="1527"/>
      <c r="U60" s="1527"/>
      <c r="V60" s="30"/>
      <c r="W60" s="30"/>
      <c r="X60" s="30"/>
      <c r="Y60" s="30"/>
      <c r="Z60" s="30"/>
      <c r="AA60" s="30"/>
      <c r="AB60" s="30"/>
      <c r="AC60" s="30"/>
      <c r="AD60" s="30"/>
      <c r="AE60" s="30"/>
      <c r="AF60" s="30"/>
      <c r="AG60" s="30"/>
      <c r="AH60" s="30"/>
      <c r="AI60" s="30"/>
      <c r="AJ60" s="30"/>
      <c r="AK60" s="30"/>
      <c r="AL60" s="30"/>
      <c r="AM60" s="30"/>
      <c r="AN60" s="30"/>
      <c r="AO60" s="30"/>
      <c r="AP60" s="30"/>
      <c r="AQ60" s="30"/>
      <c r="AR60" s="30"/>
    </row>
    <row r="61" spans="1:44" ht="15">
      <c r="A61" s="30"/>
      <c r="B61" s="30"/>
      <c r="C61" s="30"/>
      <c r="D61" s="30"/>
      <c r="E61" s="30"/>
      <c r="F61" s="30"/>
      <c r="G61" s="1570" t="s">
        <v>3441</v>
      </c>
      <c r="H61" s="1570"/>
      <c r="I61" s="1570"/>
      <c r="J61" s="1570" t="s">
        <v>3442</v>
      </c>
      <c r="K61" s="1570"/>
      <c r="L61" s="30"/>
      <c r="M61" s="30"/>
      <c r="N61" s="30"/>
      <c r="O61" s="30"/>
      <c r="P61" s="30"/>
      <c r="Q61" s="1570" t="s">
        <v>3441</v>
      </c>
      <c r="R61" s="1570"/>
      <c r="S61" s="1570"/>
      <c r="T61" s="1570" t="s">
        <v>3442</v>
      </c>
      <c r="U61" s="1570"/>
      <c r="V61" s="30"/>
      <c r="W61" s="30"/>
      <c r="X61" s="30"/>
      <c r="Y61" s="30"/>
      <c r="Z61" s="30"/>
      <c r="AA61" s="1527" t="s">
        <v>1775</v>
      </c>
      <c r="AB61" s="1527"/>
      <c r="AC61" s="1527"/>
      <c r="AD61" s="30"/>
      <c r="AE61" s="30"/>
      <c r="AF61" s="1527" t="s">
        <v>3450</v>
      </c>
      <c r="AG61" s="1527"/>
      <c r="AH61" s="1527"/>
      <c r="AI61" s="30"/>
      <c r="AJ61" s="30"/>
      <c r="AK61" s="30"/>
      <c r="AL61" s="30"/>
      <c r="AM61" s="30"/>
      <c r="AN61" s="30"/>
      <c r="AO61" s="30"/>
      <c r="AP61" s="30"/>
      <c r="AQ61" s="30"/>
      <c r="AR61" s="30"/>
    </row>
    <row r="62" spans="1:44">
      <c r="A62" s="30"/>
      <c r="B62" s="30"/>
      <c r="C62" s="30"/>
      <c r="D62" s="30">
        <v>1</v>
      </c>
      <c r="E62" s="1570" t="s">
        <v>3448</v>
      </c>
      <c r="F62" s="1570"/>
      <c r="G62" s="1577">
        <v>3.25</v>
      </c>
      <c r="H62" s="1577"/>
      <c r="I62" s="1577"/>
      <c r="J62" s="1577">
        <v>0</v>
      </c>
      <c r="K62" s="1577"/>
      <c r="L62" s="30"/>
      <c r="M62" s="30"/>
      <c r="N62" s="30">
        <v>1</v>
      </c>
      <c r="O62" s="30" t="s">
        <v>3448</v>
      </c>
      <c r="P62" s="30"/>
      <c r="Q62" s="1577">
        <v>0</v>
      </c>
      <c r="R62" s="1577"/>
      <c r="S62" s="1577"/>
      <c r="T62" s="1577">
        <v>0</v>
      </c>
      <c r="U62" s="1577"/>
      <c r="V62" s="30"/>
      <c r="W62" s="30"/>
      <c r="X62" s="30"/>
      <c r="Y62" s="30"/>
      <c r="Z62" s="30"/>
      <c r="AA62" s="1528">
        <v>-0.15</v>
      </c>
      <c r="AB62" s="1529"/>
      <c r="AC62" s="1530"/>
      <c r="AD62" s="30"/>
      <c r="AE62" s="30"/>
      <c r="AF62" s="576" t="s">
        <v>1841</v>
      </c>
      <c r="AG62" s="1528">
        <v>0.1</v>
      </c>
      <c r="AH62" s="1529"/>
      <c r="AI62" s="30"/>
      <c r="AJ62" s="30"/>
      <c r="AK62" s="30"/>
      <c r="AL62" s="30"/>
      <c r="AM62" s="30"/>
      <c r="AN62" s="30"/>
      <c r="AO62" s="30"/>
      <c r="AP62" s="30"/>
      <c r="AQ62" s="30"/>
      <c r="AR62" s="30"/>
    </row>
    <row r="63" spans="1:44" ht="15">
      <c r="A63" s="30"/>
      <c r="B63" s="30"/>
      <c r="C63" s="30"/>
      <c r="D63" s="30">
        <v>2</v>
      </c>
      <c r="E63" s="1570" t="s">
        <v>2856</v>
      </c>
      <c r="F63" s="1570"/>
      <c r="G63" s="1577">
        <v>4.25</v>
      </c>
      <c r="H63" s="1577"/>
      <c r="I63" s="1577"/>
      <c r="J63" s="1577">
        <v>1</v>
      </c>
      <c r="K63" s="1577"/>
      <c r="L63" s="30"/>
      <c r="M63" s="30"/>
      <c r="N63" s="30">
        <v>2</v>
      </c>
      <c r="O63" s="30" t="s">
        <v>2856</v>
      </c>
      <c r="P63" s="30"/>
      <c r="Q63" s="1577">
        <v>1.5</v>
      </c>
      <c r="R63" s="1577"/>
      <c r="S63" s="1577"/>
      <c r="T63" s="1577">
        <v>0.25</v>
      </c>
      <c r="U63" s="1577"/>
      <c r="V63" s="30"/>
      <c r="W63" s="30"/>
      <c r="X63" s="30"/>
      <c r="Y63" s="30"/>
      <c r="Z63" s="30"/>
      <c r="AA63" s="1603" t="s">
        <v>48</v>
      </c>
      <c r="AB63" s="1603"/>
      <c r="AC63" s="1603"/>
      <c r="AD63" s="30"/>
      <c r="AE63" s="30"/>
      <c r="AF63" s="576" t="s">
        <v>1774</v>
      </c>
      <c r="AG63" s="1528">
        <v>0.05</v>
      </c>
      <c r="AH63" s="1529"/>
      <c r="AI63" s="30"/>
      <c r="AJ63" s="30"/>
      <c r="AK63" s="30"/>
      <c r="AL63" s="30"/>
      <c r="AM63" s="30"/>
      <c r="AN63" s="30"/>
      <c r="AO63" s="30"/>
      <c r="AP63" s="30"/>
      <c r="AQ63" s="30"/>
      <c r="AR63" s="30"/>
    </row>
    <row r="64" spans="1:44">
      <c r="A64" s="30"/>
      <c r="B64" s="30"/>
      <c r="C64" s="30"/>
      <c r="D64" s="30"/>
      <c r="E64" s="30"/>
      <c r="F64" s="30"/>
      <c r="G64" s="30"/>
      <c r="H64" s="30"/>
      <c r="I64" s="30"/>
      <c r="J64" s="30"/>
      <c r="K64" s="30"/>
      <c r="L64" s="30"/>
      <c r="M64" s="30"/>
      <c r="N64" s="30"/>
      <c r="O64" s="30"/>
      <c r="P64" s="30"/>
      <c r="Q64" s="30"/>
      <c r="R64" s="30"/>
      <c r="S64" s="30"/>
      <c r="T64" s="30"/>
      <c r="U64" s="30"/>
      <c r="V64" s="30"/>
      <c r="W64" s="30"/>
      <c r="X64" s="30"/>
      <c r="Y64" s="30"/>
      <c r="Z64" s="30"/>
      <c r="AA64" s="1528">
        <v>-0.2</v>
      </c>
      <c r="AB64" s="1529"/>
      <c r="AC64" s="1530"/>
      <c r="AD64" s="30"/>
      <c r="AE64" s="30"/>
      <c r="AF64" s="30"/>
      <c r="AG64" s="30"/>
      <c r="AH64" s="30"/>
      <c r="AI64" s="30"/>
      <c r="AJ64" s="30"/>
      <c r="AK64" s="30"/>
      <c r="AL64" s="30"/>
      <c r="AM64" s="30"/>
      <c r="AN64" s="30"/>
      <c r="AO64" s="30"/>
      <c r="AP64" s="30"/>
      <c r="AQ64" s="30"/>
      <c r="AR64" s="30"/>
    </row>
    <row r="65" spans="1:44">
      <c r="A65" s="30"/>
      <c r="B65" s="30"/>
      <c r="C65" s="30"/>
      <c r="D65" s="30"/>
      <c r="E65" s="30"/>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row>
    <row r="66" spans="1:44">
      <c r="A66" s="30"/>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row>
    <row r="67" spans="1:44">
      <c r="A67" s="30"/>
      <c r="B67" s="30"/>
      <c r="C67" s="30"/>
      <c r="D67" s="30"/>
      <c r="E67" s="30"/>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row>
  </sheetData>
  <sheetProtection algorithmName="SHA-512" hashValue="/ElfDKLUFJTdIklvVinHX8OkasCHMrvDeafVQdj3hMDtyBVq/bzF0pT81PJxp7iG4WkUJzFLHf1PQeMaZ/pEIA==" saltValue="STG0OlXCQNrdVFD+ABDRxA==" spinCount="100000" sheet="1" selectLockedCells="1"/>
  <mergeCells count="281">
    <mergeCell ref="AA63:AC63"/>
    <mergeCell ref="AA64:AC64"/>
    <mergeCell ref="E58:F58"/>
    <mergeCell ref="G58:I58"/>
    <mergeCell ref="J58:K58"/>
    <mergeCell ref="N55:V55"/>
    <mergeCell ref="Q56:S56"/>
    <mergeCell ref="T56:U56"/>
    <mergeCell ref="O57:P57"/>
    <mergeCell ref="Q62:S62"/>
    <mergeCell ref="T62:U62"/>
    <mergeCell ref="Q63:S63"/>
    <mergeCell ref="T63:U63"/>
    <mergeCell ref="D60:L60"/>
    <mergeCell ref="G61:I61"/>
    <mergeCell ref="J61:K61"/>
    <mergeCell ref="E62:F62"/>
    <mergeCell ref="G62:I62"/>
    <mergeCell ref="J62:K62"/>
    <mergeCell ref="E63:F63"/>
    <mergeCell ref="G63:I63"/>
    <mergeCell ref="J63:K63"/>
    <mergeCell ref="AI58:AJ58"/>
    <mergeCell ref="AK58:AM58"/>
    <mergeCell ref="AN58:AO58"/>
    <mergeCell ref="N49:V49"/>
    <mergeCell ref="N60:U60"/>
    <mergeCell ref="Q61:S61"/>
    <mergeCell ref="T61:U61"/>
    <mergeCell ref="Q57:S57"/>
    <mergeCell ref="T57:U57"/>
    <mergeCell ref="O58:P58"/>
    <mergeCell ref="Q58:S58"/>
    <mergeCell ref="T58:U58"/>
    <mergeCell ref="Y58:Z58"/>
    <mergeCell ref="AA58:AC58"/>
    <mergeCell ref="AD58:AE58"/>
    <mergeCell ref="N53:P53"/>
    <mergeCell ref="Q53:S53"/>
    <mergeCell ref="T53:V53"/>
    <mergeCell ref="X53:Z53"/>
    <mergeCell ref="AA53:AC53"/>
    <mergeCell ref="AD53:AF53"/>
    <mergeCell ref="N52:P52"/>
    <mergeCell ref="Q52:S52"/>
    <mergeCell ref="T52:V52"/>
    <mergeCell ref="A54:G54"/>
    <mergeCell ref="D55:L55"/>
    <mergeCell ref="X55:AF55"/>
    <mergeCell ref="AH55:AP55"/>
    <mergeCell ref="G56:I56"/>
    <mergeCell ref="J56:K56"/>
    <mergeCell ref="G57:I57"/>
    <mergeCell ref="J57:K57"/>
    <mergeCell ref="E57:F57"/>
    <mergeCell ref="AA56:AC56"/>
    <mergeCell ref="AD56:AE56"/>
    <mergeCell ref="Y57:Z57"/>
    <mergeCell ref="AA57:AC57"/>
    <mergeCell ref="AD57:AE57"/>
    <mergeCell ref="AK56:AM56"/>
    <mergeCell ref="AN56:AO56"/>
    <mergeCell ref="AI57:AJ57"/>
    <mergeCell ref="AK57:AM57"/>
    <mergeCell ref="AN57:AO57"/>
    <mergeCell ref="A7:C7"/>
    <mergeCell ref="D7:F7"/>
    <mergeCell ref="N7:P7"/>
    <mergeCell ref="Q7:S7"/>
    <mergeCell ref="T7:V7"/>
    <mergeCell ref="W7:Y7"/>
    <mergeCell ref="A6:C6"/>
    <mergeCell ref="D6:F6"/>
    <mergeCell ref="A10:C10"/>
    <mergeCell ref="D10:F10"/>
    <mergeCell ref="N10:P10"/>
    <mergeCell ref="Q10:S10"/>
    <mergeCell ref="T10:V10"/>
    <mergeCell ref="W10:Y10"/>
    <mergeCell ref="N6:P6"/>
    <mergeCell ref="Q6:S6"/>
    <mergeCell ref="T6:V6"/>
    <mergeCell ref="W6:Y6"/>
    <mergeCell ref="H6:L6"/>
    <mergeCell ref="I7:K7"/>
    <mergeCell ref="A9:C9"/>
    <mergeCell ref="D9:F9"/>
    <mergeCell ref="N9:P9"/>
    <mergeCell ref="Q9:S9"/>
    <mergeCell ref="A3:Z3"/>
    <mergeCell ref="A4:F4"/>
    <mergeCell ref="H4:K4"/>
    <mergeCell ref="N4:Y4"/>
    <mergeCell ref="A5:C5"/>
    <mergeCell ref="D5:F5"/>
    <mergeCell ref="H5:I5"/>
    <mergeCell ref="J5:L5"/>
    <mergeCell ref="N5:S5"/>
    <mergeCell ref="T5:Y5"/>
    <mergeCell ref="W9:Y9"/>
    <mergeCell ref="A8:C8"/>
    <mergeCell ref="D8:F8"/>
    <mergeCell ref="N8:P8"/>
    <mergeCell ref="Q8:S8"/>
    <mergeCell ref="T8:V8"/>
    <mergeCell ref="W8:Y8"/>
    <mergeCell ref="N13:P13"/>
    <mergeCell ref="Q13:S13"/>
    <mergeCell ref="T9:V9"/>
    <mergeCell ref="N14:P14"/>
    <mergeCell ref="Q14:S14"/>
    <mergeCell ref="N15:P15"/>
    <mergeCell ref="Q15:S15"/>
    <mergeCell ref="N11:P11"/>
    <mergeCell ref="Q11:S11"/>
    <mergeCell ref="T11:V11"/>
    <mergeCell ref="N12:P12"/>
    <mergeCell ref="Q12:S12"/>
    <mergeCell ref="N16:P16"/>
    <mergeCell ref="Q16:S16"/>
    <mergeCell ref="N17:P17"/>
    <mergeCell ref="Q17:S17"/>
    <mergeCell ref="A21:AR21"/>
    <mergeCell ref="F22:L22"/>
    <mergeCell ref="AB22:AH22"/>
    <mergeCell ref="AJ22:AO22"/>
    <mergeCell ref="AJ23:AL23"/>
    <mergeCell ref="AM23:AO23"/>
    <mergeCell ref="N22:S22"/>
    <mergeCell ref="J24:L24"/>
    <mergeCell ref="N25:P25"/>
    <mergeCell ref="N26:P26"/>
    <mergeCell ref="F23:I23"/>
    <mergeCell ref="J23:L23"/>
    <mergeCell ref="N24:P24"/>
    <mergeCell ref="AB23:AE23"/>
    <mergeCell ref="AF23:AH23"/>
    <mergeCell ref="H35:J35"/>
    <mergeCell ref="O35:Q35"/>
    <mergeCell ref="V35:X35"/>
    <mergeCell ref="AC35:AE35"/>
    <mergeCell ref="U29:X29"/>
    <mergeCell ref="Y29:Z29"/>
    <mergeCell ref="U28:X28"/>
    <mergeCell ref="Y28:Z28"/>
    <mergeCell ref="N30:P30"/>
    <mergeCell ref="N27:P27"/>
    <mergeCell ref="N29:P29"/>
    <mergeCell ref="N28:P28"/>
    <mergeCell ref="A31:K31"/>
    <mergeCell ref="Y27:Z27"/>
    <mergeCell ref="Y24:Z24"/>
    <mergeCell ref="Y25:Z25"/>
    <mergeCell ref="H36:J36"/>
    <mergeCell ref="O36:Q36"/>
    <mergeCell ref="V36:X36"/>
    <mergeCell ref="AC36:AE36"/>
    <mergeCell ref="V32:AA32"/>
    <mergeCell ref="AC32:AH32"/>
    <mergeCell ref="H34:J34"/>
    <mergeCell ref="O34:Q34"/>
    <mergeCell ref="V34:X34"/>
    <mergeCell ref="AC34:AE34"/>
    <mergeCell ref="O32:T32"/>
    <mergeCell ref="H32:M32"/>
    <mergeCell ref="H40:J40"/>
    <mergeCell ref="O40:Q40"/>
    <mergeCell ref="V40:X40"/>
    <mergeCell ref="AC40:AE40"/>
    <mergeCell ref="H39:J39"/>
    <mergeCell ref="O39:Q39"/>
    <mergeCell ref="V39:X39"/>
    <mergeCell ref="AC37:AE37"/>
    <mergeCell ref="AF37:AH37"/>
    <mergeCell ref="H38:J38"/>
    <mergeCell ref="O38:Q38"/>
    <mergeCell ref="V38:X38"/>
    <mergeCell ref="AC38:AE38"/>
    <mergeCell ref="H37:J37"/>
    <mergeCell ref="O37:Q37"/>
    <mergeCell ref="V37:X37"/>
    <mergeCell ref="Y37:AA37"/>
    <mergeCell ref="D43:L43"/>
    <mergeCell ref="X43:AF43"/>
    <mergeCell ref="AH43:AP43"/>
    <mergeCell ref="H41:J41"/>
    <mergeCell ref="O41:Q41"/>
    <mergeCell ref="V41:X41"/>
    <mergeCell ref="X44:Z44"/>
    <mergeCell ref="AA44:AC44"/>
    <mergeCell ref="AD44:AF44"/>
    <mergeCell ref="AH44:AJ44"/>
    <mergeCell ref="AK44:AM44"/>
    <mergeCell ref="AN44:AP44"/>
    <mergeCell ref="D44:F44"/>
    <mergeCell ref="G44:I44"/>
    <mergeCell ref="J44:L44"/>
    <mergeCell ref="N44:P44"/>
    <mergeCell ref="Q44:S44"/>
    <mergeCell ref="T44:V44"/>
    <mergeCell ref="A42:G42"/>
    <mergeCell ref="N43:V43"/>
    <mergeCell ref="AC41:AE41"/>
    <mergeCell ref="AH45:AJ45"/>
    <mergeCell ref="AK45:AM45"/>
    <mergeCell ref="AN45:AP45"/>
    <mergeCell ref="D45:F45"/>
    <mergeCell ref="G45:I45"/>
    <mergeCell ref="J45:L45"/>
    <mergeCell ref="N45:P45"/>
    <mergeCell ref="Q45:S45"/>
    <mergeCell ref="T45:V45"/>
    <mergeCell ref="X45:Z45"/>
    <mergeCell ref="AA45:AC45"/>
    <mergeCell ref="AD45:AF45"/>
    <mergeCell ref="AH46:AJ46"/>
    <mergeCell ref="AK46:AM46"/>
    <mergeCell ref="AN46:AP46"/>
    <mergeCell ref="D46:F46"/>
    <mergeCell ref="G46:I46"/>
    <mergeCell ref="J46:L46"/>
    <mergeCell ref="N46:P46"/>
    <mergeCell ref="Q46:S46"/>
    <mergeCell ref="T46:V46"/>
    <mergeCell ref="AA46:AC46"/>
    <mergeCell ref="AD46:AF46"/>
    <mergeCell ref="AH47:AJ47"/>
    <mergeCell ref="AK47:AM47"/>
    <mergeCell ref="AN47:AP47"/>
    <mergeCell ref="D47:F47"/>
    <mergeCell ref="G47:I47"/>
    <mergeCell ref="J47:L47"/>
    <mergeCell ref="N47:P47"/>
    <mergeCell ref="Q47:S47"/>
    <mergeCell ref="T47:V47"/>
    <mergeCell ref="X52:Z52"/>
    <mergeCell ref="AA52:AC52"/>
    <mergeCell ref="AD52:AF52"/>
    <mergeCell ref="Y26:Z26"/>
    <mergeCell ref="N51:P51"/>
    <mergeCell ref="Q51:S51"/>
    <mergeCell ref="T51:V51"/>
    <mergeCell ref="X51:Z51"/>
    <mergeCell ref="AA51:AC51"/>
    <mergeCell ref="AD51:AF51"/>
    <mergeCell ref="X49:AF49"/>
    <mergeCell ref="N50:P50"/>
    <mergeCell ref="Q50:S50"/>
    <mergeCell ref="T50:V50"/>
    <mergeCell ref="X50:Z50"/>
    <mergeCell ref="AA50:AC50"/>
    <mergeCell ref="AD50:AF50"/>
    <mergeCell ref="X47:Z47"/>
    <mergeCell ref="AA47:AC47"/>
    <mergeCell ref="AD47:AF47"/>
    <mergeCell ref="X46:Z46"/>
    <mergeCell ref="AC39:AE39"/>
    <mergeCell ref="AF61:AH61"/>
    <mergeCell ref="AG62:AH62"/>
    <mergeCell ref="AG63:AH63"/>
    <mergeCell ref="AA61:AC61"/>
    <mergeCell ref="AA62:AC62"/>
    <mergeCell ref="AB13:AD13"/>
    <mergeCell ref="AA4:AD4"/>
    <mergeCell ref="U23:X23"/>
    <mergeCell ref="U24:X24"/>
    <mergeCell ref="U25:X25"/>
    <mergeCell ref="U26:X26"/>
    <mergeCell ref="U27:X27"/>
    <mergeCell ref="U22:Z22"/>
    <mergeCell ref="AB5:AD5"/>
    <mergeCell ref="AB6:AD6"/>
    <mergeCell ref="AB7:AD7"/>
    <mergeCell ref="AB8:AD8"/>
    <mergeCell ref="AB9:AD9"/>
    <mergeCell ref="AB10:AD10"/>
    <mergeCell ref="AB11:AD11"/>
    <mergeCell ref="AB12:AD12"/>
    <mergeCell ref="W11:Y11"/>
    <mergeCell ref="AB14:AD14"/>
    <mergeCell ref="Y23:Z23"/>
  </mergeCell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360B0-31F9-46A9-BA7D-9D677C273D8F}">
  <sheetPr codeName="Sheet8"/>
  <dimension ref="A1:D121"/>
  <sheetViews>
    <sheetView workbookViewId="0">
      <pane ySplit="1" topLeftCell="A64" activePane="bottomLeft" state="frozen"/>
      <selection pane="bottomLeft" activeCell="B64" sqref="B64"/>
    </sheetView>
  </sheetViews>
  <sheetFormatPr defaultRowHeight="14.25"/>
  <cols>
    <col min="1" max="1" width="9.875" bestFit="1" customWidth="1"/>
    <col min="2" max="2" width="107.5" style="54" bestFit="1" customWidth="1"/>
    <col min="3" max="3" width="10.625" customWidth="1"/>
    <col min="4" max="4" width="10.5" bestFit="1" customWidth="1"/>
  </cols>
  <sheetData>
    <row r="1" spans="1:4" ht="15">
      <c r="A1" s="473" t="s">
        <v>3851</v>
      </c>
      <c r="B1" s="474" t="s">
        <v>3852</v>
      </c>
      <c r="C1" s="473" t="s">
        <v>3853</v>
      </c>
      <c r="D1" s="473" t="s">
        <v>7</v>
      </c>
    </row>
    <row r="2" spans="1:4">
      <c r="A2" s="73">
        <v>44040</v>
      </c>
      <c r="B2" s="54" t="s">
        <v>3854</v>
      </c>
      <c r="C2" t="s">
        <v>3855</v>
      </c>
      <c r="D2" s="73">
        <v>44040</v>
      </c>
    </row>
    <row r="3" spans="1:4">
      <c r="A3" s="73">
        <v>44040</v>
      </c>
      <c r="B3" s="54" t="s">
        <v>3856</v>
      </c>
      <c r="C3" t="s">
        <v>3855</v>
      </c>
      <c r="D3" s="73">
        <v>44040</v>
      </c>
    </row>
    <row r="4" spans="1:4">
      <c r="A4" s="73">
        <v>44056</v>
      </c>
      <c r="B4" s="54" t="s">
        <v>3857</v>
      </c>
      <c r="C4" t="s">
        <v>3855</v>
      </c>
      <c r="D4" s="73">
        <v>44056</v>
      </c>
    </row>
    <row r="5" spans="1:4">
      <c r="A5" s="73">
        <v>44056</v>
      </c>
      <c r="B5" s="54" t="s">
        <v>3858</v>
      </c>
      <c r="C5" t="s">
        <v>3855</v>
      </c>
      <c r="D5" s="73">
        <v>44056</v>
      </c>
    </row>
    <row r="6" spans="1:4">
      <c r="A6" s="73">
        <v>44069</v>
      </c>
      <c r="B6" s="54" t="s">
        <v>3859</v>
      </c>
      <c r="C6" t="s">
        <v>3855</v>
      </c>
      <c r="D6" s="73">
        <v>44069</v>
      </c>
    </row>
    <row r="7" spans="1:4">
      <c r="A7" s="73">
        <v>44069</v>
      </c>
      <c r="B7" s="54" t="s">
        <v>3860</v>
      </c>
      <c r="C7" t="s">
        <v>3855</v>
      </c>
      <c r="D7" s="73">
        <v>44069</v>
      </c>
    </row>
    <row r="8" spans="1:4">
      <c r="A8" s="73">
        <v>44069</v>
      </c>
      <c r="B8" s="54" t="s">
        <v>3861</v>
      </c>
      <c r="C8" t="s">
        <v>3855</v>
      </c>
      <c r="D8" s="73">
        <v>44069</v>
      </c>
    </row>
    <row r="9" spans="1:4">
      <c r="A9" s="73">
        <v>44071</v>
      </c>
      <c r="B9" s="54" t="s">
        <v>3862</v>
      </c>
      <c r="C9" t="s">
        <v>3855</v>
      </c>
      <c r="D9" s="73">
        <v>44070</v>
      </c>
    </row>
    <row r="10" spans="1:4">
      <c r="A10" s="73">
        <v>44071</v>
      </c>
      <c r="B10" s="54" t="s">
        <v>3863</v>
      </c>
      <c r="C10" t="s">
        <v>3855</v>
      </c>
      <c r="D10" s="73">
        <v>44070</v>
      </c>
    </row>
    <row r="11" spans="1:4">
      <c r="A11" s="73">
        <v>44071</v>
      </c>
      <c r="B11" s="54" t="s">
        <v>3864</v>
      </c>
      <c r="C11" t="s">
        <v>3855</v>
      </c>
      <c r="D11" s="73">
        <v>44070</v>
      </c>
    </row>
    <row r="12" spans="1:4">
      <c r="A12" s="73">
        <v>44074</v>
      </c>
      <c r="B12" s="54" t="s">
        <v>3865</v>
      </c>
      <c r="C12" t="s">
        <v>3855</v>
      </c>
      <c r="D12" s="73">
        <v>44074</v>
      </c>
    </row>
    <row r="13" spans="1:4">
      <c r="A13" s="73">
        <v>44074</v>
      </c>
      <c r="B13" s="54" t="s">
        <v>3866</v>
      </c>
      <c r="C13" t="s">
        <v>3855</v>
      </c>
      <c r="D13" s="73">
        <v>44074</v>
      </c>
    </row>
    <row r="14" spans="1:4">
      <c r="A14" s="73">
        <v>44089</v>
      </c>
      <c r="B14" s="54" t="s">
        <v>3867</v>
      </c>
      <c r="C14" t="s">
        <v>3855</v>
      </c>
      <c r="D14" s="73">
        <v>44089</v>
      </c>
    </row>
    <row r="15" spans="1:4">
      <c r="A15" s="73">
        <v>44089</v>
      </c>
      <c r="B15" s="54" t="s">
        <v>3868</v>
      </c>
      <c r="C15" t="s">
        <v>3855</v>
      </c>
      <c r="D15" s="73">
        <v>44089</v>
      </c>
    </row>
    <row r="16" spans="1:4">
      <c r="A16" s="73">
        <v>44096</v>
      </c>
      <c r="B16" s="54" t="s">
        <v>3869</v>
      </c>
      <c r="C16" t="s">
        <v>3855</v>
      </c>
      <c r="D16" s="73">
        <v>44096</v>
      </c>
    </row>
    <row r="17" spans="1:4">
      <c r="A17" s="73">
        <v>44100</v>
      </c>
      <c r="B17" s="54" t="s">
        <v>3870</v>
      </c>
      <c r="C17" t="s">
        <v>3855</v>
      </c>
      <c r="D17" s="73">
        <v>44100</v>
      </c>
    </row>
    <row r="18" spans="1:4">
      <c r="A18" s="73">
        <v>44100</v>
      </c>
      <c r="B18" s="54" t="s">
        <v>3871</v>
      </c>
      <c r="C18" t="s">
        <v>3855</v>
      </c>
      <c r="D18" s="73">
        <v>44100</v>
      </c>
    </row>
    <row r="19" spans="1:4">
      <c r="A19" s="73">
        <v>44105</v>
      </c>
      <c r="B19" s="54" t="s">
        <v>3872</v>
      </c>
      <c r="C19" t="s">
        <v>3855</v>
      </c>
      <c r="D19" s="73">
        <v>44105</v>
      </c>
    </row>
    <row r="20" spans="1:4">
      <c r="A20" s="73">
        <v>44105</v>
      </c>
      <c r="B20" s="54" t="s">
        <v>3873</v>
      </c>
      <c r="C20" t="s">
        <v>3855</v>
      </c>
      <c r="D20" s="73">
        <v>44105</v>
      </c>
    </row>
    <row r="21" spans="1:4">
      <c r="A21" s="73">
        <v>44111</v>
      </c>
      <c r="B21" s="54" t="s">
        <v>3874</v>
      </c>
      <c r="C21" t="s">
        <v>3855</v>
      </c>
      <c r="D21" s="73">
        <v>44111</v>
      </c>
    </row>
    <row r="22" spans="1:4">
      <c r="A22" s="73">
        <v>44114</v>
      </c>
      <c r="B22" s="54" t="s">
        <v>3875</v>
      </c>
      <c r="C22" t="s">
        <v>3855</v>
      </c>
      <c r="D22" s="73">
        <v>44114</v>
      </c>
    </row>
    <row r="23" spans="1:4">
      <c r="A23" s="73">
        <v>44114</v>
      </c>
      <c r="B23" s="54" t="s">
        <v>3876</v>
      </c>
      <c r="C23" t="s">
        <v>3877</v>
      </c>
      <c r="D23" s="73">
        <v>44114</v>
      </c>
    </row>
    <row r="24" spans="1:4">
      <c r="A24" s="73">
        <v>40461</v>
      </c>
      <c r="B24" s="54" t="s">
        <v>3878</v>
      </c>
      <c r="C24" t="s">
        <v>3855</v>
      </c>
      <c r="D24" s="73">
        <v>44114</v>
      </c>
    </row>
    <row r="25" spans="1:4">
      <c r="A25" s="73">
        <v>44231</v>
      </c>
      <c r="B25" s="54" t="s">
        <v>3879</v>
      </c>
      <c r="C25" t="s">
        <v>3855</v>
      </c>
      <c r="D25" s="73">
        <v>44231</v>
      </c>
    </row>
    <row r="26" spans="1:4">
      <c r="A26" s="73">
        <v>44231</v>
      </c>
      <c r="B26" s="54" t="s">
        <v>3880</v>
      </c>
      <c r="C26" t="s">
        <v>3855</v>
      </c>
      <c r="D26" s="73">
        <v>44231</v>
      </c>
    </row>
    <row r="27" spans="1:4">
      <c r="A27" s="73">
        <v>44243</v>
      </c>
      <c r="B27" s="54" t="s">
        <v>3881</v>
      </c>
      <c r="C27" t="s">
        <v>3855</v>
      </c>
      <c r="D27" s="73">
        <v>44243</v>
      </c>
    </row>
    <row r="28" spans="1:4">
      <c r="A28" s="73">
        <v>44243</v>
      </c>
      <c r="B28" s="54" t="s">
        <v>3882</v>
      </c>
      <c r="C28" t="s">
        <v>3877</v>
      </c>
      <c r="D28" s="73">
        <v>44243</v>
      </c>
    </row>
    <row r="29" spans="1:4">
      <c r="A29" s="73">
        <v>44246</v>
      </c>
      <c r="B29" s="54" t="s">
        <v>3883</v>
      </c>
      <c r="C29" t="s">
        <v>3855</v>
      </c>
      <c r="D29" s="73">
        <v>44246</v>
      </c>
    </row>
    <row r="30" spans="1:4">
      <c r="A30" s="73">
        <v>44266</v>
      </c>
      <c r="B30" s="54" t="s">
        <v>3884</v>
      </c>
      <c r="C30" t="s">
        <v>3855</v>
      </c>
      <c r="D30" s="73">
        <v>44266</v>
      </c>
    </row>
    <row r="31" spans="1:4">
      <c r="A31" s="73">
        <v>44271</v>
      </c>
      <c r="B31" s="54" t="s">
        <v>3885</v>
      </c>
      <c r="C31" t="s">
        <v>3855</v>
      </c>
      <c r="D31" s="73">
        <v>44266</v>
      </c>
    </row>
    <row r="32" spans="1:4">
      <c r="A32" s="73">
        <v>44284</v>
      </c>
      <c r="B32" s="54" t="s">
        <v>3886</v>
      </c>
      <c r="C32" t="s">
        <v>3855</v>
      </c>
      <c r="D32" s="73">
        <v>44284</v>
      </c>
    </row>
    <row r="33" spans="1:4">
      <c r="A33" s="73">
        <v>44361</v>
      </c>
      <c r="B33" s="54" t="s">
        <v>3887</v>
      </c>
      <c r="C33" t="s">
        <v>3855</v>
      </c>
      <c r="D33" s="73">
        <v>44361</v>
      </c>
    </row>
    <row r="34" spans="1:4">
      <c r="A34" s="73">
        <v>44368</v>
      </c>
      <c r="B34" s="54" t="s">
        <v>3888</v>
      </c>
      <c r="C34" t="s">
        <v>3855</v>
      </c>
      <c r="D34" s="73">
        <v>44368</v>
      </c>
    </row>
    <row r="35" spans="1:4">
      <c r="A35" s="73">
        <v>44371</v>
      </c>
      <c r="B35" s="54" t="s">
        <v>3889</v>
      </c>
      <c r="C35" t="s">
        <v>3855</v>
      </c>
      <c r="D35" s="73">
        <v>44371</v>
      </c>
    </row>
    <row r="36" spans="1:4">
      <c r="A36" s="73">
        <v>44371</v>
      </c>
      <c r="B36" s="54" t="s">
        <v>3890</v>
      </c>
      <c r="C36" t="s">
        <v>3855</v>
      </c>
      <c r="D36" s="73">
        <v>44371</v>
      </c>
    </row>
    <row r="37" spans="1:4">
      <c r="A37" s="73">
        <v>44371</v>
      </c>
      <c r="B37" s="54" t="s">
        <v>3891</v>
      </c>
      <c r="C37" t="s">
        <v>3855</v>
      </c>
      <c r="D37" s="73">
        <v>44371</v>
      </c>
    </row>
    <row r="38" spans="1:4">
      <c r="A38" s="73">
        <v>44453</v>
      </c>
      <c r="B38" s="54" t="s">
        <v>3892</v>
      </c>
      <c r="C38" t="s">
        <v>3855</v>
      </c>
      <c r="D38" s="73">
        <v>44453</v>
      </c>
    </row>
    <row r="39" spans="1:4">
      <c r="A39" s="73">
        <v>44454</v>
      </c>
      <c r="B39" s="54" t="s">
        <v>3893</v>
      </c>
      <c r="C39" t="s">
        <v>3877</v>
      </c>
      <c r="D39" s="73">
        <v>44454</v>
      </c>
    </row>
    <row r="40" spans="1:4">
      <c r="A40" s="73">
        <v>44454</v>
      </c>
      <c r="B40" s="54" t="s">
        <v>3894</v>
      </c>
      <c r="C40" t="s">
        <v>3855</v>
      </c>
      <c r="D40" s="73">
        <v>44454</v>
      </c>
    </row>
    <row r="41" spans="1:4">
      <c r="A41" s="73">
        <v>44459</v>
      </c>
      <c r="B41" s="54" t="s">
        <v>3895</v>
      </c>
      <c r="C41" t="s">
        <v>3855</v>
      </c>
      <c r="D41" s="73">
        <v>44459</v>
      </c>
    </row>
    <row r="42" spans="1:4">
      <c r="A42" s="73">
        <v>44473</v>
      </c>
      <c r="B42" s="54" t="s">
        <v>3896</v>
      </c>
      <c r="C42" t="s">
        <v>3855</v>
      </c>
      <c r="D42" s="73">
        <v>44473</v>
      </c>
    </row>
    <row r="43" spans="1:4">
      <c r="A43" s="73">
        <v>44473</v>
      </c>
      <c r="B43" s="54" t="s">
        <v>3897</v>
      </c>
      <c r="C43" t="s">
        <v>3877</v>
      </c>
      <c r="D43" s="73">
        <v>44473</v>
      </c>
    </row>
    <row r="44" spans="1:4">
      <c r="A44" s="73">
        <v>44474</v>
      </c>
      <c r="B44" s="54" t="s">
        <v>3898</v>
      </c>
      <c r="C44" t="s">
        <v>3877</v>
      </c>
      <c r="D44" s="73">
        <v>44474</v>
      </c>
    </row>
    <row r="45" spans="1:4">
      <c r="A45" s="73">
        <v>44476</v>
      </c>
      <c r="B45" s="54" t="s">
        <v>3899</v>
      </c>
      <c r="C45" t="s">
        <v>3855</v>
      </c>
      <c r="D45" s="73">
        <v>44476</v>
      </c>
    </row>
    <row r="46" spans="1:4">
      <c r="A46" s="73">
        <v>44532</v>
      </c>
      <c r="B46" s="54" t="s">
        <v>3900</v>
      </c>
      <c r="C46" t="s">
        <v>3855</v>
      </c>
      <c r="D46" s="73">
        <v>44532</v>
      </c>
    </row>
    <row r="47" spans="1:4">
      <c r="A47" s="73">
        <v>44532</v>
      </c>
      <c r="B47" s="54" t="s">
        <v>3901</v>
      </c>
      <c r="C47" t="s">
        <v>3855</v>
      </c>
      <c r="D47" s="73">
        <v>44532</v>
      </c>
    </row>
    <row r="48" spans="1:4">
      <c r="A48" s="73">
        <v>44532</v>
      </c>
      <c r="B48" s="54" t="s">
        <v>3902</v>
      </c>
      <c r="C48" t="s">
        <v>3855</v>
      </c>
      <c r="D48" s="73">
        <v>44532</v>
      </c>
    </row>
    <row r="49" spans="1:4">
      <c r="A49" s="73">
        <v>44533</v>
      </c>
      <c r="B49" s="54" t="s">
        <v>3903</v>
      </c>
      <c r="C49" t="s">
        <v>3855</v>
      </c>
      <c r="D49" s="73">
        <v>44532</v>
      </c>
    </row>
    <row r="50" spans="1:4">
      <c r="A50" s="73">
        <v>44565</v>
      </c>
      <c r="B50" s="54" t="s">
        <v>3904</v>
      </c>
      <c r="C50" t="s">
        <v>3877</v>
      </c>
      <c r="D50" s="73">
        <v>44565</v>
      </c>
    </row>
    <row r="51" spans="1:4">
      <c r="A51" s="73">
        <v>44586</v>
      </c>
      <c r="B51" s="54" t="s">
        <v>3905</v>
      </c>
      <c r="C51" t="s">
        <v>3877</v>
      </c>
      <c r="D51" s="73">
        <v>44586</v>
      </c>
    </row>
    <row r="52" spans="1:4">
      <c r="A52" s="73">
        <v>44587</v>
      </c>
      <c r="B52" s="54" t="s">
        <v>3906</v>
      </c>
      <c r="C52" t="s">
        <v>3855</v>
      </c>
      <c r="D52" s="73">
        <v>44587</v>
      </c>
    </row>
    <row r="53" spans="1:4">
      <c r="A53" s="73">
        <v>44588</v>
      </c>
      <c r="B53" s="54" t="s">
        <v>3907</v>
      </c>
      <c r="C53" t="s">
        <v>3877</v>
      </c>
      <c r="D53" s="73">
        <v>44588</v>
      </c>
    </row>
    <row r="54" spans="1:4">
      <c r="A54" s="73">
        <v>44614</v>
      </c>
      <c r="B54" s="54" t="s">
        <v>3908</v>
      </c>
      <c r="C54" t="s">
        <v>3877</v>
      </c>
      <c r="D54" s="73">
        <v>44614</v>
      </c>
    </row>
    <row r="55" spans="1:4">
      <c r="A55" s="73">
        <v>44614</v>
      </c>
      <c r="B55" s="54" t="s">
        <v>3909</v>
      </c>
      <c r="C55" t="s">
        <v>3855</v>
      </c>
      <c r="D55" s="73">
        <v>44614</v>
      </c>
    </row>
    <row r="56" spans="1:4">
      <c r="A56" s="73">
        <v>44713</v>
      </c>
      <c r="B56" s="54" t="s">
        <v>3910</v>
      </c>
      <c r="C56" t="s">
        <v>3877</v>
      </c>
      <c r="D56" s="73">
        <v>44713</v>
      </c>
    </row>
    <row r="57" spans="1:4">
      <c r="A57" s="73">
        <v>44713</v>
      </c>
      <c r="B57" s="54" t="s">
        <v>3911</v>
      </c>
      <c r="C57" t="s">
        <v>3877</v>
      </c>
      <c r="D57" s="73">
        <v>44713</v>
      </c>
    </row>
    <row r="58" spans="1:4">
      <c r="A58" s="73">
        <v>44713</v>
      </c>
      <c r="B58" s="54" t="s">
        <v>3912</v>
      </c>
      <c r="C58" t="s">
        <v>3855</v>
      </c>
      <c r="D58" s="73">
        <v>44713</v>
      </c>
    </row>
    <row r="59" spans="1:4">
      <c r="A59" s="73">
        <v>44719</v>
      </c>
      <c r="B59" s="54" t="s">
        <v>3913</v>
      </c>
      <c r="C59" t="s">
        <v>3855</v>
      </c>
      <c r="D59" s="73">
        <v>44719</v>
      </c>
    </row>
    <row r="60" spans="1:4">
      <c r="A60" s="73">
        <v>44720</v>
      </c>
      <c r="B60" s="54" t="s">
        <v>3914</v>
      </c>
      <c r="C60" t="s">
        <v>3855</v>
      </c>
      <c r="D60" s="73">
        <v>44719</v>
      </c>
    </row>
    <row r="61" spans="1:4">
      <c r="A61" s="73">
        <v>44729</v>
      </c>
      <c r="B61" s="54" t="s">
        <v>3915</v>
      </c>
      <c r="C61" t="s">
        <v>3855</v>
      </c>
      <c r="D61" s="73">
        <v>44729</v>
      </c>
    </row>
    <row r="62" spans="1:4">
      <c r="A62" s="73">
        <v>44762</v>
      </c>
      <c r="B62" s="54" t="s">
        <v>3916</v>
      </c>
      <c r="C62" t="s">
        <v>3855</v>
      </c>
      <c r="D62" s="73">
        <v>44762</v>
      </c>
    </row>
    <row r="63" spans="1:4">
      <c r="A63" s="73">
        <v>44769</v>
      </c>
      <c r="B63" s="54" t="s">
        <v>3917</v>
      </c>
      <c r="C63" t="s">
        <v>3855</v>
      </c>
      <c r="D63" s="73">
        <v>44769</v>
      </c>
    </row>
    <row r="64" spans="1:4">
      <c r="A64" s="73">
        <v>44776</v>
      </c>
      <c r="B64" s="54" t="s">
        <v>3918</v>
      </c>
      <c r="C64" t="s">
        <v>3855</v>
      </c>
      <c r="D64" s="73">
        <v>44776</v>
      </c>
    </row>
    <row r="65" spans="1:4">
      <c r="A65" s="73">
        <v>44792</v>
      </c>
      <c r="B65" s="54" t="s">
        <v>3919</v>
      </c>
      <c r="C65" t="s">
        <v>3877</v>
      </c>
      <c r="D65" s="73">
        <v>44792</v>
      </c>
    </row>
    <row r="66" spans="1:4">
      <c r="A66" s="73">
        <v>44792</v>
      </c>
      <c r="B66" s="54" t="s">
        <v>3920</v>
      </c>
      <c r="C66" t="s">
        <v>3855</v>
      </c>
      <c r="D66" s="73">
        <v>44792</v>
      </c>
    </row>
    <row r="67" spans="1:4">
      <c r="A67" s="73">
        <v>44792</v>
      </c>
      <c r="B67" s="54" t="s">
        <v>3921</v>
      </c>
      <c r="C67" t="s">
        <v>3855</v>
      </c>
      <c r="D67" s="73">
        <v>44792</v>
      </c>
    </row>
    <row r="68" spans="1:4">
      <c r="A68" s="73">
        <v>44802</v>
      </c>
      <c r="B68" s="54" t="s">
        <v>3922</v>
      </c>
      <c r="C68" t="s">
        <v>3855</v>
      </c>
      <c r="D68" s="73">
        <v>44802</v>
      </c>
    </row>
    <row r="69" spans="1:4">
      <c r="A69" s="73">
        <v>44803</v>
      </c>
      <c r="B69" s="54" t="s">
        <v>3923</v>
      </c>
      <c r="C69" t="s">
        <v>3855</v>
      </c>
      <c r="D69" s="73">
        <v>44803</v>
      </c>
    </row>
    <row r="70" spans="1:4">
      <c r="A70" s="73">
        <v>44804</v>
      </c>
      <c r="B70" s="54" t="s">
        <v>3924</v>
      </c>
      <c r="C70" t="s">
        <v>3855</v>
      </c>
      <c r="D70" s="73">
        <v>44804</v>
      </c>
    </row>
    <row r="71" spans="1:4">
      <c r="A71" s="73">
        <v>44804</v>
      </c>
      <c r="B71" s="54" t="s">
        <v>3925</v>
      </c>
      <c r="C71" t="s">
        <v>3855</v>
      </c>
      <c r="D71" s="73">
        <v>44804</v>
      </c>
    </row>
    <row r="72" spans="1:4">
      <c r="A72" s="73">
        <v>44806</v>
      </c>
      <c r="B72" s="54" t="s">
        <v>3926</v>
      </c>
      <c r="C72" t="s">
        <v>3877</v>
      </c>
      <c r="D72" s="73">
        <v>44806</v>
      </c>
    </row>
    <row r="73" spans="1:4">
      <c r="A73" s="73">
        <v>44813</v>
      </c>
      <c r="B73" s="54" t="s">
        <v>3927</v>
      </c>
      <c r="C73" t="s">
        <v>3928</v>
      </c>
      <c r="D73" s="73">
        <v>44813</v>
      </c>
    </row>
    <row r="74" spans="1:4">
      <c r="A74" s="73">
        <v>44896</v>
      </c>
      <c r="B74" s="54" t="s">
        <v>3929</v>
      </c>
      <c r="C74" t="s">
        <v>3855</v>
      </c>
      <c r="D74" s="73">
        <v>44896</v>
      </c>
    </row>
    <row r="75" spans="1:4">
      <c r="A75" s="73">
        <v>44896</v>
      </c>
      <c r="B75" s="54" t="s">
        <v>3930</v>
      </c>
      <c r="C75" t="s">
        <v>3855</v>
      </c>
      <c r="D75" s="73">
        <v>44896</v>
      </c>
    </row>
    <row r="76" spans="1:4">
      <c r="A76" s="73">
        <v>44896</v>
      </c>
      <c r="B76" s="54" t="s">
        <v>3931</v>
      </c>
      <c r="C76" t="s">
        <v>3855</v>
      </c>
      <c r="D76" s="73">
        <v>44896</v>
      </c>
    </row>
    <row r="77" spans="1:4">
      <c r="A77" s="73">
        <v>44902</v>
      </c>
      <c r="B77" s="54" t="s">
        <v>3932</v>
      </c>
      <c r="C77" t="s">
        <v>3855</v>
      </c>
      <c r="D77" s="73">
        <v>44902</v>
      </c>
    </row>
    <row r="78" spans="1:4">
      <c r="A78" s="73">
        <v>44903</v>
      </c>
      <c r="B78" s="54" t="s">
        <v>3933</v>
      </c>
      <c r="C78" t="s">
        <v>3877</v>
      </c>
      <c r="D78" s="73">
        <v>44903</v>
      </c>
    </row>
    <row r="79" spans="1:4">
      <c r="A79" s="73">
        <v>44574</v>
      </c>
      <c r="B79" s="54" t="s">
        <v>3934</v>
      </c>
      <c r="C79" t="s">
        <v>3877</v>
      </c>
      <c r="D79" s="73">
        <v>44574</v>
      </c>
    </row>
    <row r="80" spans="1:4">
      <c r="A80" s="73">
        <v>45049</v>
      </c>
      <c r="B80" s="54" t="s">
        <v>3935</v>
      </c>
      <c r="C80" t="s">
        <v>3855</v>
      </c>
      <c r="D80" s="73">
        <v>45049</v>
      </c>
    </row>
    <row r="81" spans="1:4">
      <c r="A81" s="73">
        <v>45049</v>
      </c>
      <c r="B81" s="54" t="s">
        <v>3936</v>
      </c>
      <c r="C81" t="s">
        <v>3855</v>
      </c>
      <c r="D81" s="73">
        <v>45049</v>
      </c>
    </row>
    <row r="82" spans="1:4">
      <c r="A82" s="73">
        <v>45069</v>
      </c>
      <c r="B82" s="54" t="s">
        <v>3937</v>
      </c>
      <c r="C82" t="s">
        <v>3855</v>
      </c>
      <c r="D82" s="73">
        <v>45069</v>
      </c>
    </row>
    <row r="83" spans="1:4">
      <c r="A83" s="73">
        <v>45069</v>
      </c>
      <c r="B83" s="54" t="s">
        <v>3938</v>
      </c>
      <c r="C83" t="s">
        <v>3855</v>
      </c>
      <c r="D83" s="73">
        <v>45069</v>
      </c>
    </row>
    <row r="84" spans="1:4">
      <c r="A84" s="73">
        <v>45141</v>
      </c>
      <c r="B84" s="54" t="s">
        <v>3939</v>
      </c>
      <c r="C84" t="s">
        <v>3855</v>
      </c>
      <c r="D84" s="73">
        <v>45141</v>
      </c>
    </row>
    <row r="85" spans="1:4">
      <c r="A85" s="73">
        <v>45175</v>
      </c>
      <c r="B85" s="54" t="s">
        <v>3940</v>
      </c>
      <c r="C85" t="s">
        <v>3855</v>
      </c>
      <c r="D85" s="73">
        <v>45175</v>
      </c>
    </row>
    <row r="86" spans="1:4">
      <c r="A86" s="73">
        <v>45252</v>
      </c>
      <c r="B86" s="54" t="s">
        <v>3941</v>
      </c>
      <c r="C86" t="s">
        <v>3855</v>
      </c>
      <c r="D86" s="73">
        <v>45252</v>
      </c>
    </row>
    <row r="87" spans="1:4">
      <c r="A87" s="73">
        <v>45252</v>
      </c>
      <c r="B87" s="54" t="s">
        <v>3942</v>
      </c>
    </row>
    <row r="88" spans="1:4">
      <c r="A88" s="73">
        <v>45313</v>
      </c>
      <c r="B88" s="54" t="s">
        <v>3943</v>
      </c>
      <c r="C88" t="s">
        <v>3855</v>
      </c>
      <c r="D88" s="73">
        <v>45313</v>
      </c>
    </row>
    <row r="89" spans="1:4">
      <c r="A89" s="73">
        <v>45377</v>
      </c>
      <c r="B89" s="54" t="s">
        <v>3944</v>
      </c>
      <c r="C89" t="s">
        <v>3855</v>
      </c>
      <c r="D89" s="73">
        <v>45377</v>
      </c>
    </row>
    <row r="90" spans="1:4">
      <c r="A90" s="73">
        <v>45379</v>
      </c>
      <c r="B90" s="54" t="s">
        <v>3945</v>
      </c>
      <c r="C90" t="s">
        <v>3855</v>
      </c>
      <c r="D90" s="73">
        <v>45384</v>
      </c>
    </row>
    <row r="91" spans="1:4">
      <c r="A91" s="73">
        <v>45397</v>
      </c>
      <c r="B91" s="54" t="s">
        <v>3946</v>
      </c>
      <c r="C91" t="s">
        <v>3855</v>
      </c>
      <c r="D91" s="73">
        <v>45397</v>
      </c>
    </row>
    <row r="92" spans="1:4">
      <c r="A92" s="73">
        <v>45413</v>
      </c>
      <c r="B92" s="54" t="s">
        <v>3947</v>
      </c>
      <c r="C92" t="s">
        <v>3855</v>
      </c>
      <c r="D92" s="73">
        <v>45413</v>
      </c>
    </row>
    <row r="93" spans="1:4">
      <c r="A93" s="73">
        <v>45435</v>
      </c>
      <c r="B93" s="54" t="s">
        <v>3948</v>
      </c>
      <c r="C93" t="s">
        <v>3855</v>
      </c>
      <c r="D93" s="73">
        <v>45436</v>
      </c>
    </row>
    <row r="94" spans="1:4">
      <c r="A94" s="73">
        <v>45449</v>
      </c>
      <c r="B94" s="54" t="s">
        <v>3949</v>
      </c>
      <c r="C94" t="s">
        <v>3877</v>
      </c>
      <c r="D94" s="73">
        <v>45449</v>
      </c>
    </row>
    <row r="95" spans="1:4">
      <c r="A95" s="73">
        <v>45449</v>
      </c>
      <c r="B95" s="54" t="s">
        <v>3950</v>
      </c>
      <c r="C95" t="s">
        <v>3855</v>
      </c>
      <c r="D95" s="73">
        <v>45449</v>
      </c>
    </row>
    <row r="96" spans="1:4">
      <c r="A96" s="73">
        <v>45469</v>
      </c>
      <c r="B96" s="54" t="s">
        <v>3951</v>
      </c>
      <c r="C96" t="s">
        <v>3855</v>
      </c>
      <c r="D96" s="73">
        <v>45469</v>
      </c>
    </row>
    <row r="97" spans="1:4">
      <c r="A97" s="73">
        <v>45470</v>
      </c>
      <c r="B97" s="54" t="s">
        <v>3952</v>
      </c>
      <c r="C97" t="s">
        <v>3855</v>
      </c>
      <c r="D97" s="73">
        <v>45470</v>
      </c>
    </row>
    <row r="98" spans="1:4">
      <c r="A98" s="73">
        <v>45474</v>
      </c>
      <c r="B98" s="54" t="s">
        <v>3953</v>
      </c>
      <c r="C98" t="s">
        <v>3855</v>
      </c>
      <c r="D98" s="73">
        <v>45474</v>
      </c>
    </row>
    <row r="99" spans="1:4">
      <c r="A99" s="73">
        <v>45554</v>
      </c>
      <c r="B99" s="54" t="s">
        <v>3954</v>
      </c>
      <c r="C99" t="s">
        <v>3855</v>
      </c>
      <c r="D99" s="73">
        <v>45554</v>
      </c>
    </row>
    <row r="100" spans="1:4">
      <c r="A100" s="73">
        <v>45573</v>
      </c>
      <c r="B100" s="54" t="s">
        <v>3955</v>
      </c>
      <c r="C100" t="s">
        <v>3855</v>
      </c>
      <c r="D100" s="73">
        <v>45573</v>
      </c>
    </row>
    <row r="101" spans="1:4">
      <c r="A101" s="73">
        <v>45603</v>
      </c>
      <c r="B101" s="54" t="s">
        <v>3956</v>
      </c>
      <c r="C101" t="s">
        <v>3855</v>
      </c>
      <c r="D101" s="73">
        <v>45603</v>
      </c>
    </row>
    <row r="102" spans="1:4">
      <c r="A102" s="73">
        <v>45615</v>
      </c>
      <c r="B102" s="54" t="s">
        <v>3957</v>
      </c>
      <c r="C102" t="s">
        <v>3855</v>
      </c>
      <c r="D102" s="73">
        <v>45615</v>
      </c>
    </row>
    <row r="103" spans="1:4">
      <c r="A103" s="73">
        <v>45615</v>
      </c>
      <c r="B103" s="54" t="s">
        <v>3958</v>
      </c>
      <c r="C103" t="s">
        <v>3855</v>
      </c>
      <c r="D103" s="73">
        <v>45615</v>
      </c>
    </row>
    <row r="104" spans="1:4">
      <c r="A104" s="73">
        <v>45631</v>
      </c>
      <c r="B104" s="54" t="s">
        <v>3961</v>
      </c>
      <c r="C104" t="s">
        <v>3855</v>
      </c>
      <c r="D104" s="73">
        <v>45631</v>
      </c>
    </row>
    <row r="105" spans="1:4">
      <c r="A105" s="73">
        <v>45747</v>
      </c>
      <c r="B105" s="54" t="s">
        <v>3965</v>
      </c>
      <c r="C105" t="s">
        <v>3877</v>
      </c>
      <c r="D105" s="73">
        <v>45747</v>
      </c>
    </row>
    <row r="106" spans="1:4">
      <c r="A106" s="73">
        <v>45770</v>
      </c>
      <c r="B106" s="54" t="s">
        <v>3970</v>
      </c>
      <c r="C106" t="s">
        <v>3855</v>
      </c>
      <c r="D106" s="73">
        <v>45770</v>
      </c>
    </row>
    <row r="107" spans="1:4">
      <c r="A107" s="73">
        <v>45826</v>
      </c>
      <c r="B107" s="54" t="s">
        <v>3975</v>
      </c>
      <c r="C107" t="s">
        <v>3855</v>
      </c>
      <c r="D107" s="73">
        <v>45826</v>
      </c>
    </row>
    <row r="108" spans="1:4">
      <c r="A108" s="73">
        <v>45854</v>
      </c>
      <c r="B108" s="54" t="s">
        <v>3976</v>
      </c>
      <c r="C108" t="s">
        <v>3855</v>
      </c>
      <c r="D108" s="73">
        <v>45854</v>
      </c>
    </row>
    <row r="109" spans="1:4">
      <c r="A109" s="73">
        <v>45919</v>
      </c>
      <c r="B109" s="54" t="s">
        <v>4008</v>
      </c>
      <c r="C109" t="s">
        <v>3855</v>
      </c>
      <c r="D109" s="73">
        <v>45919</v>
      </c>
    </row>
    <row r="110" spans="1:4">
      <c r="A110" s="73">
        <v>45923</v>
      </c>
      <c r="B110" s="54" t="s">
        <v>4009</v>
      </c>
      <c r="C110" t="s">
        <v>3855</v>
      </c>
      <c r="D110" s="73">
        <v>45923</v>
      </c>
    </row>
    <row r="111" spans="1:4">
      <c r="A111" s="73">
        <v>45936</v>
      </c>
      <c r="B111" s="54" t="s">
        <v>4015</v>
      </c>
      <c r="C111" t="s">
        <v>3855</v>
      </c>
      <c r="D111" s="73">
        <v>45936</v>
      </c>
    </row>
    <row r="112" spans="1:4">
      <c r="A112" s="73">
        <v>45971</v>
      </c>
      <c r="B112" s="54" t="s">
        <v>4020</v>
      </c>
      <c r="C112" t="s">
        <v>3855</v>
      </c>
      <c r="D112" s="73">
        <v>45971</v>
      </c>
    </row>
    <row r="113" spans="1:4">
      <c r="A113" s="73">
        <v>45971</v>
      </c>
      <c r="B113" s="54" t="s">
        <v>4021</v>
      </c>
      <c r="C113" t="s">
        <v>3855</v>
      </c>
      <c r="D113" s="73">
        <v>45971</v>
      </c>
    </row>
    <row r="114" spans="1:4">
      <c r="A114" s="73">
        <v>45971</v>
      </c>
      <c r="B114" s="54" t="s">
        <v>4022</v>
      </c>
      <c r="C114" t="s">
        <v>3855</v>
      </c>
      <c r="D114" s="73">
        <v>45971</v>
      </c>
    </row>
    <row r="115" spans="1:4">
      <c r="A115" s="73">
        <v>46051</v>
      </c>
      <c r="B115" s="54" t="s">
        <v>4024</v>
      </c>
      <c r="C115" t="s">
        <v>3855</v>
      </c>
      <c r="D115" s="73">
        <v>46051</v>
      </c>
    </row>
    <row r="116" spans="1:4">
      <c r="A116" s="73">
        <v>46051</v>
      </c>
      <c r="B116" s="54" t="s">
        <v>4025</v>
      </c>
      <c r="C116" t="s">
        <v>3855</v>
      </c>
      <c r="D116" s="73">
        <v>46051</v>
      </c>
    </row>
    <row r="117" spans="1:4">
      <c r="A117" s="73">
        <v>46051</v>
      </c>
      <c r="B117" s="54" t="s">
        <v>4028</v>
      </c>
      <c r="C117" t="s">
        <v>3855</v>
      </c>
      <c r="D117" s="73">
        <v>46051</v>
      </c>
    </row>
    <row r="118" spans="1:4">
      <c r="A118" s="73">
        <v>46051</v>
      </c>
      <c r="B118" s="54" t="s">
        <v>4029</v>
      </c>
      <c r="C118" t="s">
        <v>3855</v>
      </c>
      <c r="D118" s="73">
        <v>46051</v>
      </c>
    </row>
    <row r="119" spans="1:4">
      <c r="A119" s="73">
        <v>46051</v>
      </c>
      <c r="B119" s="54" t="s">
        <v>4030</v>
      </c>
    </row>
    <row r="120" spans="1:4">
      <c r="A120" s="73">
        <v>46058</v>
      </c>
      <c r="B120" s="54" t="s">
        <v>4282</v>
      </c>
      <c r="C120" t="s">
        <v>3855</v>
      </c>
      <c r="D120" s="73">
        <v>46058</v>
      </c>
    </row>
    <row r="121" spans="1:4">
      <c r="A121" s="73">
        <v>46058</v>
      </c>
      <c r="B121" s="54" t="s">
        <v>4283</v>
      </c>
      <c r="C121" t="s">
        <v>3855</v>
      </c>
      <c r="D121" s="73">
        <v>46058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A21450B597B8545A7A0475AB83C87D9" ma:contentTypeVersion="19" ma:contentTypeDescription="Create a new document." ma:contentTypeScope="" ma:versionID="1daf20efe287ed38630182d573b2d57b">
  <xsd:schema xmlns:xsd="http://www.w3.org/2001/XMLSchema" xmlns:xs="http://www.w3.org/2001/XMLSchema" xmlns:p="http://schemas.microsoft.com/office/2006/metadata/properties" xmlns:ns2="1d5db10a-fc8a-4351-b42a-6e55d33cd5a3" xmlns:ns3="33169cf1-ed4c-4978-ae8d-00a0a20f2f36" targetNamespace="http://schemas.microsoft.com/office/2006/metadata/properties" ma:root="true" ma:fieldsID="5115d35ca1094eb306e8a7e39f8a1720" ns2:_="" ns3:_="">
    <xsd:import namespace="1d5db10a-fc8a-4351-b42a-6e55d33cd5a3"/>
    <xsd:import namespace="33169cf1-ed4c-4978-ae8d-00a0a20f2f3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element ref="ns2: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d5db10a-fc8a-4351-b42a-6e55d33cd5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f7786b31-1960-4fab-b74e-a78aa444aa6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element name="Date" ma:index="26" nillable="true" ma:displayName="Date" ma:format="DateOnly" ma:internalNam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33169cf1-ed4c-4978-ae8d-00a0a20f2f3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62df4dc-5fb5-40ab-9889-9dfb870bd8b4}" ma:internalName="TaxCatchAll" ma:showField="CatchAllData" ma:web="33169cf1-ed4c-4978-ae8d-00a0a20f2f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33169cf1-ed4c-4978-ae8d-00a0a20f2f36" xsi:nil="true"/>
    <lcf76f155ced4ddcb4097134ff3c332f xmlns="1d5db10a-fc8a-4351-b42a-6e55d33cd5a3">
      <Terms xmlns="http://schemas.microsoft.com/office/infopath/2007/PartnerControls"/>
    </lcf76f155ced4ddcb4097134ff3c332f>
    <Date xmlns="1d5db10a-fc8a-4351-b42a-6e55d33cd5a3" xsi:nil="true"/>
  </documentManagement>
</p:properties>
</file>

<file path=customXml/itemProps1.xml><?xml version="1.0" encoding="utf-8"?>
<ds:datastoreItem xmlns:ds="http://schemas.openxmlformats.org/officeDocument/2006/customXml" ds:itemID="{29ACC609-5485-4357-89FC-14142CFDCCD5}">
  <ds:schemaRefs>
    <ds:schemaRef ds:uri="http://schemas.microsoft.com/sharepoint/v3/contenttype/forms"/>
  </ds:schemaRefs>
</ds:datastoreItem>
</file>

<file path=customXml/itemProps2.xml><?xml version="1.0" encoding="utf-8"?>
<ds:datastoreItem xmlns:ds="http://schemas.openxmlformats.org/officeDocument/2006/customXml" ds:itemID="{F5E8C967-C14A-41A6-BA61-214BFE139E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d5db10a-fc8a-4351-b42a-6e55d33cd5a3"/>
    <ds:schemaRef ds:uri="33169cf1-ed4c-4978-ae8d-00a0a20f2f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9295B6-C453-4224-9E09-2E526B9C490A}">
  <ds:schemaRefs>
    <ds:schemaRef ds:uri="http://purl.org/dc/terms/"/>
    <ds:schemaRef ds:uri="33169cf1-ed4c-4978-ae8d-00a0a20f2f36"/>
    <ds:schemaRef ds:uri="http://schemas.microsoft.com/office/2006/documentManagement/types"/>
    <ds:schemaRef ds:uri="1d5db10a-fc8a-4351-b42a-6e55d33cd5a3"/>
    <ds:schemaRef ds:uri="http://purl.org/dc/elements/1.1/"/>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166</vt:i4>
      </vt:variant>
    </vt:vector>
  </HeadingPairs>
  <TitlesOfParts>
    <vt:vector size="201" baseType="lpstr">
      <vt:lpstr>Journal</vt:lpstr>
      <vt:lpstr>Data-UW</vt:lpstr>
      <vt:lpstr>Aircraft</vt:lpstr>
      <vt:lpstr>Aircraft Table</vt:lpstr>
      <vt:lpstr>Rating</vt:lpstr>
      <vt:lpstr>Worksheet_Com</vt:lpstr>
      <vt:lpstr>WorksheetAC_old_keep</vt:lpstr>
      <vt:lpstr>Aircraft Base Rate Calculation</vt:lpstr>
      <vt:lpstr>Daily Rates</vt:lpstr>
      <vt:lpstr>Reporter Hull Rates</vt:lpstr>
      <vt:lpstr>Aircraft Rates</vt:lpstr>
      <vt:lpstr>Reporter Liability Rates</vt:lpstr>
      <vt:lpstr>Additional Cov.</vt:lpstr>
      <vt:lpstr>Platinum Coverages</vt:lpstr>
      <vt:lpstr>Platinum Endt-Ancillary</vt:lpstr>
      <vt:lpstr>Turbine Owner BroadForm</vt:lpstr>
      <vt:lpstr>OPC</vt:lpstr>
      <vt:lpstr>Com Quote</vt:lpstr>
      <vt:lpstr>Reporter Quote</vt:lpstr>
      <vt:lpstr>Turbine Owner-Com</vt:lpstr>
      <vt:lpstr>Plat Premium Summary</vt:lpstr>
      <vt:lpstr>Platinum Quote</vt:lpstr>
      <vt:lpstr>QS Quote</vt:lpstr>
      <vt:lpstr>GL NI Information</vt:lpstr>
      <vt:lpstr>GL Coverage Screen</vt:lpstr>
      <vt:lpstr>Answer Sheet_GL</vt:lpstr>
      <vt:lpstr>GL_Calculation Sheet</vt:lpstr>
      <vt:lpstr>GL DebitCredit</vt:lpstr>
      <vt:lpstr>GL_Rates</vt:lpstr>
      <vt:lpstr>GL Additional Coverages</vt:lpstr>
      <vt:lpstr>GL Quote Sheet</vt:lpstr>
      <vt:lpstr>Issuance AC Schedule</vt:lpstr>
      <vt:lpstr>Additional Data Mappings</vt:lpstr>
      <vt:lpstr>MGR Adjustment</vt:lpstr>
      <vt:lpstr>Rater Change Log</vt:lpstr>
      <vt:lpstr>ACAgingMod</vt:lpstr>
      <vt:lpstr>'Reporter Hull Rates'!ACCATCHART</vt:lpstr>
      <vt:lpstr>'Reporter Liability Rates'!ACCATCHART</vt:lpstr>
      <vt:lpstr>ACCATCHART</vt:lpstr>
      <vt:lpstr>'Reporter Hull Rates'!ACGearType</vt:lpstr>
      <vt:lpstr>'Reporter Liability Rates'!ACGearType</vt:lpstr>
      <vt:lpstr>ACGearType</vt:lpstr>
      <vt:lpstr>'Reporter Hull Rates'!ACSelect</vt:lpstr>
      <vt:lpstr>'Reporter Liability Rates'!ACSelect</vt:lpstr>
      <vt:lpstr>ACSelect</vt:lpstr>
      <vt:lpstr>AerialImaging</vt:lpstr>
      <vt:lpstr>'Reporter Hull Rates'!Aircraftlist</vt:lpstr>
      <vt:lpstr>'Reporter Liability Rates'!Aircraftlist</vt:lpstr>
      <vt:lpstr>Aircraftlist</vt:lpstr>
      <vt:lpstr>AW</vt:lpstr>
      <vt:lpstr>'Reporter Hull Rates'!AWCertChart</vt:lpstr>
      <vt:lpstr>'Reporter Liability Rates'!AWCertChart</vt:lpstr>
      <vt:lpstr>AWCertChart</vt:lpstr>
      <vt:lpstr>AWTYPE</vt:lpstr>
      <vt:lpstr>'Reporter Hull Rates'!AWtypes</vt:lpstr>
      <vt:lpstr>'Reporter Liability Rates'!AWtypes</vt:lpstr>
      <vt:lpstr>AWtypes</vt:lpstr>
      <vt:lpstr>Charter</vt:lpstr>
      <vt:lpstr>'Reporter Hull Rates'!ComLimits</vt:lpstr>
      <vt:lpstr>'Reporter Liability Rates'!ComLimits</vt:lpstr>
      <vt:lpstr>ComLimits</vt:lpstr>
      <vt:lpstr>COMME_P</vt:lpstr>
      <vt:lpstr>ComPistonFWLiabRates</vt:lpstr>
      <vt:lpstr>ComPistonMELFWLIABRATES</vt:lpstr>
      <vt:lpstr>COMSE_P</vt:lpstr>
      <vt:lpstr>Deducts</vt:lpstr>
      <vt:lpstr>Dual</vt:lpstr>
      <vt:lpstr>'Reporter Hull Rates'!GearBasic</vt:lpstr>
      <vt:lpstr>'Reporter Liability Rates'!GearBasic</vt:lpstr>
      <vt:lpstr>GearBasic</vt:lpstr>
      <vt:lpstr>'Reporter Hull Rates'!GearEasyRead</vt:lpstr>
      <vt:lpstr>'Reporter Liability Rates'!GearEasyRead</vt:lpstr>
      <vt:lpstr>GearEasyRead</vt:lpstr>
      <vt:lpstr>Hullvalues</vt:lpstr>
      <vt:lpstr>IAOwner_TP</vt:lpstr>
      <vt:lpstr>InstructionRental</vt:lpstr>
      <vt:lpstr>'Reporter Hull Rates'!KYAIRPORT</vt:lpstr>
      <vt:lpstr>'Reporter Liability Rates'!KYAIRPORT</vt:lpstr>
      <vt:lpstr>KYAIRPORT</vt:lpstr>
      <vt:lpstr>'Reporter Hull Rates'!KYCOuntyCity</vt:lpstr>
      <vt:lpstr>'Reporter Liability Rates'!KYCOuntyCity</vt:lpstr>
      <vt:lpstr>KYCOuntyCity</vt:lpstr>
      <vt:lpstr>'Reporter Hull Rates'!KYMUNITAXTABLE</vt:lpstr>
      <vt:lpstr>'Reporter Liability Rates'!KYMUNITAXTABLE</vt:lpstr>
      <vt:lpstr>KYMUNITAXTABLE</vt:lpstr>
      <vt:lpstr>'Reporter Hull Rates'!KYTAXLOC</vt:lpstr>
      <vt:lpstr>'Reporter Liability Rates'!KYTAXLOC</vt:lpstr>
      <vt:lpstr>KYTAXLOC</vt:lpstr>
      <vt:lpstr>LiabilityValues</vt:lpstr>
      <vt:lpstr>'Reporter Hull Rates'!LiabLimitsOptions</vt:lpstr>
      <vt:lpstr>'Reporter Liability Rates'!LiabLimitsOptions</vt:lpstr>
      <vt:lpstr>LiabLimitsOptions</vt:lpstr>
      <vt:lpstr>LiabtotalPrem</vt:lpstr>
      <vt:lpstr>'Reporter Hull Rates'!LimitsGLMatch</vt:lpstr>
      <vt:lpstr>'Reporter Liability Rates'!LimitsGLMatch</vt:lpstr>
      <vt:lpstr>LimitsGLMatch</vt:lpstr>
      <vt:lpstr>'Reporter Hull Rates'!LimitsIncreaseFactorGL</vt:lpstr>
      <vt:lpstr>'Reporter Liability Rates'!LimitsIncreaseFactorGL</vt:lpstr>
      <vt:lpstr>LimitsIncreaseFactorGL</vt:lpstr>
      <vt:lpstr>'Reporter Hull Rates'!ME_P</vt:lpstr>
      <vt:lpstr>'Reporter Liability Rates'!ME_P</vt:lpstr>
      <vt:lpstr>ME_P</vt:lpstr>
      <vt:lpstr>ME_PCATMOD</vt:lpstr>
      <vt:lpstr>ME_PGEARMOD</vt:lpstr>
      <vt:lpstr>'Reporter Hull Rates'!MedLimits</vt:lpstr>
      <vt:lpstr>'Reporter Liability Rates'!MedLimits</vt:lpstr>
      <vt:lpstr>MedLimits</vt:lpstr>
      <vt:lpstr>'Reporter Hull Rates'!MedRate</vt:lpstr>
      <vt:lpstr>'Reporter Liability Rates'!MedRate</vt:lpstr>
      <vt:lpstr>MedRate</vt:lpstr>
      <vt:lpstr>MELPistonLiabLoc</vt:lpstr>
      <vt:lpstr>'Reporter Hull Rates'!METP</vt:lpstr>
      <vt:lpstr>'Reporter Liability Rates'!METP</vt:lpstr>
      <vt:lpstr>METP</vt:lpstr>
      <vt:lpstr>METPCATMOD</vt:lpstr>
      <vt:lpstr>METPGEARMOD</vt:lpstr>
      <vt:lpstr>'Reporter Hull Rates'!Pilot1</vt:lpstr>
      <vt:lpstr>'Reporter Liability Rates'!Pilot1</vt:lpstr>
      <vt:lpstr>Pilot1</vt:lpstr>
      <vt:lpstr>'Reporter Hull Rates'!Pilot2</vt:lpstr>
      <vt:lpstr>'Reporter Liability Rates'!Pilot2</vt:lpstr>
      <vt:lpstr>Pilot2</vt:lpstr>
      <vt:lpstr>'Reporter Hull Rates'!Pilot3</vt:lpstr>
      <vt:lpstr>'Reporter Liability Rates'!Pilot3</vt:lpstr>
      <vt:lpstr>Pilot3</vt:lpstr>
      <vt:lpstr>'Reporter Hull Rates'!Pilot4</vt:lpstr>
      <vt:lpstr>'Reporter Liability Rates'!Pilot4</vt:lpstr>
      <vt:lpstr>Pilot4</vt:lpstr>
      <vt:lpstr>PilotAgeMod</vt:lpstr>
      <vt:lpstr>PilotMMHours</vt:lpstr>
      <vt:lpstr>PilotTTHours</vt:lpstr>
      <vt:lpstr>'Reporter Hull Rates'!PistonFWLiabRate</vt:lpstr>
      <vt:lpstr>'Reporter Liability Rates'!PistonFWLiabRate</vt:lpstr>
      <vt:lpstr>PistonFWLiabRate</vt:lpstr>
      <vt:lpstr>'Reporter Hull Rates'!PistonLiabLocMatch</vt:lpstr>
      <vt:lpstr>'Reporter Liability Rates'!PistonLiabLocMatch</vt:lpstr>
      <vt:lpstr>PistonLiabLocMatch</vt:lpstr>
      <vt:lpstr>'Reporter Hull Rates'!PistonMELFWLiabRates</vt:lpstr>
      <vt:lpstr>'Reporter Liability Rates'!PistonMELFWLiabRates</vt:lpstr>
      <vt:lpstr>PistonMELFWLiabRates</vt:lpstr>
      <vt:lpstr>'Reporter Hull Rates'!PistonRWLiabRate</vt:lpstr>
      <vt:lpstr>'Reporter Liability Rates'!PistonRWLiabRate</vt:lpstr>
      <vt:lpstr>PistonRWLiabRate</vt:lpstr>
      <vt:lpstr>'Com Quote'!Print_Area</vt:lpstr>
      <vt:lpstr>'GL Additional Coverages'!Print_Area</vt:lpstr>
      <vt:lpstr>'GL Coverage Screen'!Print_Area</vt:lpstr>
      <vt:lpstr>'GL DebitCredit'!Print_Area</vt:lpstr>
      <vt:lpstr>'GL NI Information'!Print_Area</vt:lpstr>
      <vt:lpstr>'GL Quote Sheet'!Print_Area</vt:lpstr>
      <vt:lpstr>'Plat Premium Summary'!Print_Area</vt:lpstr>
      <vt:lpstr>'Reporter Quote'!Print_Area</vt:lpstr>
      <vt:lpstr>QSstate</vt:lpstr>
      <vt:lpstr>QSTateform</vt:lpstr>
      <vt:lpstr>'QS Quote'!QuoteTailNum</vt:lpstr>
      <vt:lpstr>'Reporter Hull Rates'!QuoteTailNum</vt:lpstr>
      <vt:lpstr>'Reporter Liability Rates'!QuoteTailNum</vt:lpstr>
      <vt:lpstr>QuoteTailNum</vt:lpstr>
      <vt:lpstr>'QS Quote'!QuoteTailNumber</vt:lpstr>
      <vt:lpstr>'Reporter Hull Rates'!QuoteTailNumber</vt:lpstr>
      <vt:lpstr>'Reporter Liability Rates'!QuoteTailNumber</vt:lpstr>
      <vt:lpstr>QuoteTailNumber</vt:lpstr>
      <vt:lpstr>'Reporter Hull Rates'!RateTableRef</vt:lpstr>
      <vt:lpstr>'Reporter Liability Rates'!RateTableRef</vt:lpstr>
      <vt:lpstr>RateTableRef</vt:lpstr>
      <vt:lpstr>'Reporter Hull Rates'!RevenuGLSizeFactor</vt:lpstr>
      <vt:lpstr>'Reporter Liability Rates'!RevenuGLSizeFactor</vt:lpstr>
      <vt:lpstr>RevenuGLSizeFactor</vt:lpstr>
      <vt:lpstr>'Reporter Hull Rates'!RW_P</vt:lpstr>
      <vt:lpstr>'Reporter Liability Rates'!RW_P</vt:lpstr>
      <vt:lpstr>RW_P</vt:lpstr>
      <vt:lpstr>RW_PCATMOD</vt:lpstr>
      <vt:lpstr>'Reporter Hull Rates'!RW_T</vt:lpstr>
      <vt:lpstr>'Reporter Liability Rates'!RW_T</vt:lpstr>
      <vt:lpstr>RW_T</vt:lpstr>
      <vt:lpstr>RW_TCATMOD</vt:lpstr>
      <vt:lpstr>'Reporter Hull Rates'!SchoolWording</vt:lpstr>
      <vt:lpstr>'Reporter Liability Rates'!SchoolWording</vt:lpstr>
      <vt:lpstr>SchoolWording</vt:lpstr>
      <vt:lpstr>'Reporter Hull Rates'!SE_p</vt:lpstr>
      <vt:lpstr>'Reporter Liability Rates'!SE_p</vt:lpstr>
      <vt:lpstr>SE_p</vt:lpstr>
      <vt:lpstr>SE_PCatMod</vt:lpstr>
      <vt:lpstr>'Reporter Hull Rates'!SE_PGEARMod</vt:lpstr>
      <vt:lpstr>'Reporter Liability Rates'!SE_PGEARMod</vt:lpstr>
      <vt:lpstr>SE_PGEARMod</vt:lpstr>
      <vt:lpstr>'Reporter Hull Rates'!SETP</vt:lpstr>
      <vt:lpstr>'Reporter Liability Rates'!SETP</vt:lpstr>
      <vt:lpstr>SETP</vt:lpstr>
      <vt:lpstr>SETPCATMOD</vt:lpstr>
      <vt:lpstr>SETPGEARMOD</vt:lpstr>
      <vt:lpstr>Sightseeing</vt:lpstr>
      <vt:lpstr>'Reporter Hull Rates'!States</vt:lpstr>
      <vt:lpstr>'Reporter Liability Rates'!States</vt:lpstr>
      <vt:lpstr>States</vt:lpstr>
      <vt:lpstr>'Reporter Hull Rates'!TAXLESSKY</vt:lpstr>
      <vt:lpstr>'Reporter Liability Rates'!TAXLESSKY</vt:lpstr>
      <vt:lpstr>TAXLESSKY</vt:lpstr>
      <vt:lpstr>'Reporter Hull Rates'!Uses</vt:lpstr>
      <vt:lpstr>'Reporter Liability Rates'!Uses</vt:lpstr>
      <vt:lpstr>Uses</vt:lpstr>
      <vt:lpstr>YNRSP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Lombardo</dc:creator>
  <cp:keywords/>
  <dc:description/>
  <cp:lastModifiedBy>Biswajit Pati (C)</cp:lastModifiedBy>
  <cp:revision>36</cp:revision>
  <cp:lastPrinted>2026-02-06T13:31:40Z</cp:lastPrinted>
  <dcterms:created xsi:type="dcterms:W3CDTF">2017-03-15T03:52:31Z</dcterms:created>
  <dcterms:modified xsi:type="dcterms:W3CDTF">2026-05-07T21:12:59Z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0x0101004A21450B597B8545A7A0475AB83C87D9</vt:lpwstr>
  </property>
  <property fmtid="{D5CDD505-2E9C-101B-9397-08002B2CF9AE}" pid="3" name="MediaServiceImageTags">
    <vt:lpwstr/>
  </property>
</Properties>
</file>